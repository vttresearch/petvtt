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comments2.xml" ContentType="application/vnd.openxmlformats-officedocument.spreadsheetml.comments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10.xml" ContentType="application/vnd.openxmlformats-officedocument.spreadsheetml.comments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comments12.xml" ContentType="application/vnd.openxmlformats-officedocument.spreadsheetml.comments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REPOW\JRC\"/>
    </mc:Choice>
  </mc:AlternateContent>
  <bookViews>
    <workbookView xWindow="555" yWindow="-195" windowWidth="26610" windowHeight="16590" tabRatio="909" activeTab="1"/>
  </bookViews>
  <sheets>
    <sheet name="TechSelection" sheetId="34" r:id="rId3"/>
    <sheet name="INTERPOLSET" sheetId="39" r:id="rId4"/>
    <sheet name="CO2_Storage_Potential" sheetId="31" r:id="rId5"/>
    <sheet name="SUP_CCS" sheetId="30" r:id="rId6"/>
    <sheet name="CHPEmissions" sheetId="41" r:id="rId7"/>
    <sheet name="CO2 Transport Data" sheetId="42" r:id="rId8"/>
    <sheet name="FillData" sheetId="43" r:id="rId9"/>
    <sheet name="Input" sheetId="44" r:id="rId10"/>
    <sheet name="Output" sheetId="45" r:id="rId11"/>
    <sheet name="IND_Mult" sheetId="19" r:id="rId12"/>
    <sheet name="IND_Trans" sheetId="20" r:id="rId13"/>
    <sheet name="START" sheetId="46" r:id="rId14"/>
  </sheets>
  <externalReferences>
    <externalReference r:id="rId1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" i="3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C7" authorId="0" shapeId="0" xr:uid="{00000000-0006-0000-0000-000001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already declared in B-Y
</t>
        </r>
      </text>
    </comment>
    <comment ref="C8" authorId="0" shapeId="0" xr:uid="{00000000-0006-0000-0000-000002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Denise has it in B-Y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H14" authorId="0" shapeId="0" xr:uid="{00000000-0006-0000-0100-000001000000}">
      <text>
        <r>
          <rPr>
            <b/>
            <sz val="8"/>
            <rFont val="Tahoma"/>
            <family val="2"/>
          </rPr>
          <t>Maurizio Gargiulo:</t>
        </r>
        <r>
          <rPr>
            <sz val="8"/>
            <rFont val="Tahoma"/>
            <family val="2"/>
          </rPr>
          <t xml:space="preserve">
IER put only these 2
INDELC00, TB_*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55" authorId="0" shapeId="0" xr:uid="{00000000-0006-0000-0200-000001000000}">
      <text>
        <r>
          <rPr>
            <b/>
            <sz val="10"/>
            <rFont val="Tahoma"/>
            <family val="2"/>
          </rPr>
          <t>Amit Kanudia:</t>
        </r>
        <r>
          <rPr>
            <sz val="10"/>
            <rFont val="Tahoma"/>
            <family val="2"/>
          </rPr>
          <t xml:space="preserve">
6/12/2012</t>
        </r>
        <r>
          <rPr>
            <sz val="8"/>
            <rFont val="Tahoma"/>
            <family val="2"/>
          </rPr>
          <t xml:space="preserve">
</t>
        </r>
        <r>
          <rPr>
            <sz val="12"/>
            <rFont val="Tahoma"/>
            <family val="2"/>
          </rPr>
          <t>Don't see any costs for afforestation. Making rough assumptions</t>
        </r>
        <r>
          <rPr>
            <sz val="8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H3" authorId="0" shapeId="0" xr:uid="{00000000-0006-0000-03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to take care of Balkans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</author>
  </authors>
  <commentList>
    <comment ref="P4" authorId="0" shapeId="0" xr:uid="{00000000-0006-0000-0900-000001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Industrial EFF increased for Germany based on MB feedback for RES2020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ese-veda02</author>
  </authors>
  <commentList>
    <comment ref="B41" authorId="0" shapeId="0" xr:uid="{00000000-0006-0000-0A00-000001000000}">
      <text>
        <r>
          <rPr>
            <b/>
            <sz val="9"/>
            <rFont val="Tahoma"/>
            <family val="2"/>
          </rPr>
          <t>ese-veda02:</t>
        </r>
        <r>
          <rPr>
            <sz val="9"/>
            <rFont val="Tahoma"/>
            <family val="2"/>
          </rPr>
          <t xml:space="preserve">
Same for all countries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B00-000001000000}">
      <text>
        <r>
          <rPr>
            <b/>
            <sz val="8"/>
            <rFont val="Tahoma"/>
            <family val="2"/>
          </rPr>
          <t>Insert Table</t>
        </r>
      </text>
    </comment>
    <comment ref="J2" authorId="1" shapeId="0" xr:uid="{00000000-0006-0000-0B00-000002000000}">
      <text>
        <r>
          <rPr>
            <sz val="8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O2" authorId="1" shapeId="0" xr:uid="{00000000-0006-0000-0B00-000003000000}">
      <text>
        <r>
          <rPr>
            <sz val="8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<sst xmlns="http://schemas.openxmlformats.org/spreadsheetml/2006/main" count="11193" uniqueCount="475">
  <si>
    <t>Prmtr</t>
  </si>
  <si>
    <t>BD</t>
  </si>
  <si>
    <t>TS</t>
  </si>
  <si>
    <t>Yr</t>
  </si>
  <si>
    <t>Comm_OUT</t>
  </si>
  <si>
    <t>Comm_IN</t>
  </si>
  <si>
    <t>~TFM_UPD</t>
  </si>
  <si>
    <t>~TFM_INS</t>
  </si>
  <si>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</si>
  <si>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</si>
  <si>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</si>
  <si>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</si>
  <si>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</si>
  <si>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</si>
  <si>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</si>
  <si>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</si>
  <si>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</si>
  <si>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</si>
  <si>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</si>
  <si>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</si>
  <si>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</si>
  <si>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</si>
  <si>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</si>
  <si>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</si>
  <si>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</si>
  <si>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</si>
  <si>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</si>
  <si>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</si>
  <si>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</si>
  <si>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</si>
  <si>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</si>
  <si>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</si>
  <si>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</si>
  <si>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</si>
  <si>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</si>
  <si>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</si>
  <si>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</si>
  <si>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INDELC</t>
  </si>
  <si>
    <t>INDGAS</t>
  </si>
  <si>
    <t>INDLFO</t>
  </si>
  <si>
    <t>MALCAL</t>
  </si>
  <si>
    <t>MCMCLK</t>
  </si>
  <si>
    <t>MISBFS</t>
  </si>
  <si>
    <t>INDHFO</t>
  </si>
  <si>
    <t>INDLPG</t>
  </si>
  <si>
    <t>MCUSCR</t>
  </si>
  <si>
    <t>MCUSCU</t>
  </si>
  <si>
    <t>IISHTH</t>
  </si>
  <si>
    <t>INDBFG</t>
  </si>
  <si>
    <t>INDCOA</t>
  </si>
  <si>
    <t>INDCOG</t>
  </si>
  <si>
    <t>INDCOK</t>
  </si>
  <si>
    <t>MISCST</t>
  </si>
  <si>
    <t>ACT_BND</t>
  </si>
  <si>
    <t>CAP_BND</t>
  </si>
  <si>
    <t>UP</t>
  </si>
  <si>
    <t>IALHTH</t>
  </si>
  <si>
    <t>GASBFG</t>
  </si>
  <si>
    <t>ICUHTH</t>
  </si>
  <si>
    <t>IPPHTH</t>
  </si>
  <si>
    <t/>
  </si>
  <si>
    <t>BG</t>
  </si>
  <si>
    <t>HR</t>
  </si>
  <si>
    <t>MK</t>
  </si>
  <si>
    <t>AllRegions</t>
  </si>
  <si>
    <t>MINSNKEOR1</t>
  </si>
  <si>
    <t>MINSNKDOO1</t>
  </si>
  <si>
    <t>MINSNKDGO1</t>
  </si>
  <si>
    <t>MINSNKDOF1</t>
  </si>
  <si>
    <t>MINSNKDGF1</t>
  </si>
  <si>
    <t>MINSNKCB11</t>
  </si>
  <si>
    <t>MINSNKCB21</t>
  </si>
  <si>
    <t>MINSNKAFF1</t>
  </si>
  <si>
    <t>MINSNKAFF2</t>
  </si>
  <si>
    <t>MINSNKAFF3</t>
  </si>
  <si>
    <t>MINSNKAFF4</t>
  </si>
  <si>
    <t>CUM</t>
  </si>
  <si>
    <t>STORAGE_ELCS</t>
  </si>
  <si>
    <t>STORAGE_SUPS</t>
  </si>
  <si>
    <t>STORAGE_INDS</t>
  </si>
  <si>
    <t>STORAGE_COMS</t>
  </si>
  <si>
    <t>STORAGE_AGRS</t>
  </si>
  <si>
    <t>IPPPRC</t>
  </si>
  <si>
    <t>ANNUAL</t>
  </si>
  <si>
    <t>0</t>
  </si>
  <si>
    <t>TimeSlice</t>
  </si>
  <si>
    <t>LimType</t>
  </si>
  <si>
    <t>Attribute</t>
  </si>
  <si>
    <t>Year</t>
  </si>
  <si>
    <t>Pset_PN</t>
  </si>
  <si>
    <t>Pset_CI</t>
  </si>
  <si>
    <t>Cset_CN</t>
  </si>
  <si>
    <t>*</t>
  </si>
  <si>
    <t>~TFM_AVA</t>
  </si>
  <si>
    <t>PSET_SET</t>
  </si>
  <si>
    <t>PSET_PN</t>
  </si>
  <si>
    <t>PSET_PD</t>
  </si>
  <si>
    <t>PSET_CO</t>
  </si>
  <si>
    <t>PSET_CI</t>
  </si>
  <si>
    <t>PUSPWOO*</t>
  </si>
  <si>
    <t>MGHRYC</t>
  </si>
  <si>
    <t>MPPPUP</t>
  </si>
  <si>
    <t>ICMPRC</t>
  </si>
  <si>
    <t>Input</t>
  </si>
  <si>
    <t>Output</t>
  </si>
  <si>
    <t>IALFINPRO00</t>
  </si>
  <si>
    <t>IALHAHEPF00</t>
  </si>
  <si>
    <t>MALBAU</t>
  </si>
  <si>
    <t>IALHAHERG00</t>
  </si>
  <si>
    <t>IALINERAN00</t>
  </si>
  <si>
    <t>IALRECYCP00</t>
  </si>
  <si>
    <t>MALSCR</t>
  </si>
  <si>
    <t>IAMADVCAP00</t>
  </si>
  <si>
    <t>IAMADVPRO00</t>
  </si>
  <si>
    <t>INDHTH</t>
  </si>
  <si>
    <t>IAMSTDPRO00</t>
  </si>
  <si>
    <t>ICMDRYPRD00</t>
  </si>
  <si>
    <t>ICMFINPRO00</t>
  </si>
  <si>
    <t>ICMWETPRD00</t>
  </si>
  <si>
    <t>ICUFINPRO00</t>
  </si>
  <si>
    <t>ICUOREPRD00</t>
  </si>
  <si>
    <t>MCUORE</t>
  </si>
  <si>
    <t>ICURECPRD00</t>
  </si>
  <si>
    <t>IGFFLATGL00</t>
  </si>
  <si>
    <t>MLMSTN</t>
  </si>
  <si>
    <t>INDCO2P</t>
  </si>
  <si>
    <t>IGHHOLLOW00</t>
  </si>
  <si>
    <t>IGHRECYCL00</t>
  </si>
  <si>
    <t>IISAODFUR00</t>
  </si>
  <si>
    <t>MISOXY</t>
  </si>
  <si>
    <t>MISQLI</t>
  </si>
  <si>
    <t>MISRFC</t>
  </si>
  <si>
    <t>MISSCR</t>
  </si>
  <si>
    <t>IISBLAFUR00</t>
  </si>
  <si>
    <t>MISPLT</t>
  </si>
  <si>
    <t>MISSNT</t>
  </si>
  <si>
    <t>MISRIR</t>
  </si>
  <si>
    <t>IISBOXFUR00</t>
  </si>
  <si>
    <t>IISBOXSCR00</t>
  </si>
  <si>
    <t>IISCOREXP00</t>
  </si>
  <si>
    <t>IISCUPOLA00</t>
  </si>
  <si>
    <t>IISCYCFUR00</t>
  </si>
  <si>
    <t>IISDRIEAF00</t>
  </si>
  <si>
    <t>MISDIR</t>
  </si>
  <si>
    <t>IISDRISPN00</t>
  </si>
  <si>
    <t>IISELAFUR00</t>
  </si>
  <si>
    <t>IISFECRFR00</t>
  </si>
  <si>
    <t>MISORE</t>
  </si>
  <si>
    <t>IISFINPRO00</t>
  </si>
  <si>
    <t>IISPELLET00</t>
  </si>
  <si>
    <t>IISSINTER00</t>
  </si>
  <si>
    <t>ILMQLMPRO00</t>
  </si>
  <si>
    <t>ILMPRC</t>
  </si>
  <si>
    <t>IPPHIGQUA00</t>
  </si>
  <si>
    <t>IPPLOWQUA00</t>
  </si>
  <si>
    <t>INDBIO</t>
  </si>
  <si>
    <t>MPPGYP</t>
  </si>
  <si>
    <t>MPPKAO</t>
  </si>
  <si>
    <t>MPPRYC</t>
  </si>
  <si>
    <t>IPPPUPCHE00</t>
  </si>
  <si>
    <t>MPPNOH</t>
  </si>
  <si>
    <t>MPPOXY</t>
  </si>
  <si>
    <t>MPPWOO</t>
  </si>
  <si>
    <t>INDBLQ</t>
  </si>
  <si>
    <t>IPPPUPMEC00</t>
  </si>
  <si>
    <t>IPPPUPRYC00</t>
  </si>
  <si>
    <t>~TFM_UPD-N</t>
  </si>
  <si>
    <t>ICLSTDPRO01</t>
  </si>
  <si>
    <t>INDBGS01</t>
  </si>
  <si>
    <t>AL</t>
  </si>
  <si>
    <t>ME</t>
  </si>
  <si>
    <t>RS</t>
  </si>
  <si>
    <t>STORAGE_*</t>
  </si>
  <si>
    <t>Share</t>
  </si>
  <si>
    <t>Pset_CO</t>
  </si>
  <si>
    <t>Pset_PD</t>
  </si>
  <si>
    <t>Cset_Set</t>
  </si>
  <si>
    <t>3</t>
  </si>
  <si>
    <t>UP,LO</t>
  </si>
  <si>
    <t>NCAP_BND</t>
  </si>
  <si>
    <t>EXP*,IMP*,MIN*</t>
  </si>
  <si>
    <t>COM_PROJ</t>
  </si>
  <si>
    <t>DEM</t>
  </si>
  <si>
    <t>*MN,*UN,*RN</t>
  </si>
  <si>
    <t>STGOUT_BND</t>
  </si>
  <si>
    <t>NCAP_DRATE</t>
  </si>
  <si>
    <t>FX</t>
  </si>
  <si>
    <t>CHPR</t>
  </si>
  <si>
    <t>PUPO*</t>
  </si>
  <si>
    <t>Some Interpolation Options copied here to reduce the load on SysSettings</t>
  </si>
  <si>
    <t>*assigning ELC sector emissions to CHP in commercial sector</t>
  </si>
  <si>
    <t>FLO_EMIS</t>
  </si>
  <si>
    <t>Other_Indexes</t>
  </si>
  <si>
    <t>ELCCO2N</t>
  </si>
  <si>
    <t>*EU25</t>
  </si>
  <si>
    <t>COST</t>
  </si>
  <si>
    <t>Country</t>
  </si>
  <si>
    <t>Full name</t>
  </si>
  <si>
    <t xml:space="preserve">Domestic transport investment </t>
  </si>
  <si>
    <t>Maximum flow rate</t>
  </si>
  <si>
    <t>Domestic transport</t>
  </si>
  <si>
    <t>Domestic transport cost</t>
  </si>
  <si>
    <t>Comparable country</t>
  </si>
  <si>
    <t>Final domestic transport cost</t>
  </si>
  <si>
    <t>from InfraCCS</t>
  </si>
  <si>
    <t>Source</t>
  </si>
  <si>
    <t>Aquifer</t>
  </si>
  <si>
    <t>Hydrocarbon field</t>
  </si>
  <si>
    <t>(for missing data)</t>
  </si>
  <si>
    <t>Millions EUR</t>
  </si>
  <si>
    <t>Mt/y</t>
  </si>
  <si>
    <t>EUR/t</t>
  </si>
  <si>
    <t>EUR/kg</t>
  </si>
  <si>
    <t>Austria</t>
  </si>
  <si>
    <t>Poland</t>
  </si>
  <si>
    <t>Belgium</t>
  </si>
  <si>
    <t>Netherlands</t>
  </si>
  <si>
    <t>Bulgaria</t>
  </si>
  <si>
    <t>Romania</t>
  </si>
  <si>
    <t>Cyprus</t>
  </si>
  <si>
    <t>Denmark</t>
  </si>
  <si>
    <t>Czech Republic</t>
  </si>
  <si>
    <t>Germany</t>
  </si>
  <si>
    <t>Estonia</t>
  </si>
  <si>
    <t>Spain</t>
  </si>
  <si>
    <t>Finland</t>
  </si>
  <si>
    <t>France</t>
  </si>
  <si>
    <t>Greece</t>
  </si>
  <si>
    <t>Hungary</t>
  </si>
  <si>
    <t>Ireland</t>
  </si>
  <si>
    <t>United Kingdom</t>
  </si>
  <si>
    <t>Italy</t>
  </si>
  <si>
    <t>Lithuania</t>
  </si>
  <si>
    <t>Luxembourg</t>
  </si>
  <si>
    <t>Latvia</t>
  </si>
  <si>
    <t>Malta</t>
  </si>
  <si>
    <t>Portugal</t>
  </si>
  <si>
    <t>Sweden</t>
  </si>
  <si>
    <t>Slovenia</t>
  </si>
  <si>
    <t>Slovakia</t>
  </si>
  <si>
    <t>This worksheet comes from Joris Morbee from:</t>
  </si>
  <si>
    <t>\s-jrcpttfs002p\home\InfraCCS\Results-20110201-1209_Bargaining_Individual_with_outside_option_NPV357\[InfraCCS v4.79.xls]Nodes'!$Y$2:$Y$95,D$2&amp;"-"&amp;$B4,'\\s-jrcpttfs002p\home\InfraCCS\Results-20110201-1209_Bargaining_Individual_with_outside_option_NPV357\[InfraCCS v4.79.xls]</t>
  </si>
  <si>
    <t>Reference: Joris Morbee (IET-JRC), October 2012</t>
  </si>
  <si>
    <t>CO2 transport costs per country from the InfraCCS model</t>
  </si>
  <si>
    <t>MINSNKDSAOF1</t>
  </si>
  <si>
    <t>MINSNKDSAON1</t>
  </si>
  <si>
    <t>MINSNKDOGO1</t>
  </si>
  <si>
    <t>MINSNKDOGF1</t>
  </si>
  <si>
    <t>MINSNKCB31</t>
  </si>
  <si>
    <t>REFERENCES</t>
  </si>
  <si>
    <t>The Afforestation sinking capacity was already in the model supplied by IPTS. It is not clear the data provenience.</t>
  </si>
  <si>
    <t xml:space="preserve">The COST CO2 storage capacity has rhe </t>
  </si>
  <si>
    <t>BA</t>
  </si>
  <si>
    <t>KS</t>
  </si>
  <si>
    <t>Country Surface</t>
  </si>
  <si>
    <t>km2</t>
  </si>
  <si>
    <t>IALFINPRO01</t>
  </si>
  <si>
    <t>IALHAHEPF01</t>
  </si>
  <si>
    <t>IALHAHERG01</t>
  </si>
  <si>
    <t>IALINERAN01</t>
  </si>
  <si>
    <t>IALRECYCP01</t>
  </si>
  <si>
    <t>IAMSTDPRO01</t>
  </si>
  <si>
    <t>ICMDRYPRD01</t>
  </si>
  <si>
    <t>ICMFINPRO01</t>
  </si>
  <si>
    <t>ICMWETPRD01</t>
  </si>
  <si>
    <t>ICUFINPRO01</t>
  </si>
  <si>
    <t>ICURECPRD01</t>
  </si>
  <si>
    <t>IGFFLATGL01</t>
  </si>
  <si>
    <t>IGHHOLLOW01</t>
  </si>
  <si>
    <t>IGHRECYCL01</t>
  </si>
  <si>
    <t>ILMQLMPRO01</t>
  </si>
  <si>
    <t>IPPHIGQUA01</t>
  </si>
  <si>
    <t>IPPLOWQUA01</t>
  </si>
  <si>
    <t>IPPPUPCHE01</t>
  </si>
  <si>
    <t>IPPPUPMEC01</t>
  </si>
  <si>
    <t>IPPPUPRYC01</t>
  </si>
  <si>
    <t>ICMDRYPRD1*</t>
  </si>
  <si>
    <t>INDBGS</t>
  </si>
  <si>
    <t>Eff</t>
  </si>
  <si>
    <t>IGHRECYCL05</t>
  </si>
  <si>
    <t>IPPHIGQUA05</t>
  </si>
  <si>
    <t>RDM: Disabled (New Hydrogen chain)</t>
  </si>
  <si>
    <t>IAMADVCAP10</t>
  </si>
  <si>
    <t>\I: Input</t>
  </si>
  <si>
    <t>\I: Output</t>
  </si>
  <si>
    <t>\I:  Input</t>
  </si>
  <si>
    <t>\I:  Share</t>
  </si>
  <si>
    <t>\I: LO</t>
  </si>
  <si>
    <t>The CUM CO2 storage capacity data is in kt CO2 and is from the GEOCAPACITY research project. The data was supplied in October 2012 by Andrei Bocin-Dumitriu (ESE-IET JRC). This data assumes the usage of legacy wells. Below in the data sheet there is the same data without considering legacy wells</t>
  </si>
  <si>
    <t>INPUT</t>
  </si>
  <si>
    <t>IND___</t>
  </si>
  <si>
    <t>OUTPUT</t>
  </si>
  <si>
    <t>I*,M*,G*</t>
  </si>
  <si>
    <t>RDM: from FILL table</t>
  </si>
  <si>
    <t>EL</t>
  </si>
  <si>
    <t>BASE</t>
  </si>
  <si>
    <t>-</t>
  </si>
  <si>
    <t>ICHELEELC00</t>
  </si>
  <si>
    <t>ICHMCHBIO00</t>
  </si>
  <si>
    <t>ICHMCHCOA00</t>
  </si>
  <si>
    <t>ICHMCHCOK00</t>
  </si>
  <si>
    <t>ICHMCHELC00</t>
  </si>
  <si>
    <t>ICHMCHGAS00</t>
  </si>
  <si>
    <t>ICHMCHHFO00</t>
  </si>
  <si>
    <t>ICHMCHLFO00</t>
  </si>
  <si>
    <t>ICHMCHLPG00</t>
  </si>
  <si>
    <t>ICHPRCBIO00</t>
  </si>
  <si>
    <t>ICHPRCCOA00</t>
  </si>
  <si>
    <t>ICHPRCCOK00</t>
  </si>
  <si>
    <t>ICHPRCELC00</t>
  </si>
  <si>
    <t>ICHPRCGAS00</t>
  </si>
  <si>
    <t>ICHPRCHFO00</t>
  </si>
  <si>
    <t>ICHPRCLFO00</t>
  </si>
  <si>
    <t>ICHPRCLPG00</t>
  </si>
  <si>
    <t>ICHSTMBIO00</t>
  </si>
  <si>
    <t>ICHSTMCOA00</t>
  </si>
  <si>
    <t>ICHSTMCOK00</t>
  </si>
  <si>
    <t>ICHSTMELC00</t>
  </si>
  <si>
    <t>ICHSTMGAS00</t>
  </si>
  <si>
    <t>ICHSTMHFO00</t>
  </si>
  <si>
    <t>ICHSTMHTH00</t>
  </si>
  <si>
    <t>ICHSTMLFO00</t>
  </si>
  <si>
    <t>ICHSTMLPG00</t>
  </si>
  <si>
    <t>ICLADVPRO00</t>
  </si>
  <si>
    <t>INDHH2</t>
  </si>
  <si>
    <t>ICLSTDPRO00</t>
  </si>
  <si>
    <t>ICLSTDPRO02</t>
  </si>
  <si>
    <t>INFELEELC00</t>
  </si>
  <si>
    <t>INFMCHBIO00</t>
  </si>
  <si>
    <t>INFMCHCOA00</t>
  </si>
  <si>
    <t>INFMCHCOK00</t>
  </si>
  <si>
    <t>INFMCHELC00</t>
  </si>
  <si>
    <t>INFMCHGAS00</t>
  </si>
  <si>
    <t>INFMCHHFO00</t>
  </si>
  <si>
    <t>INFMCHLFO00</t>
  </si>
  <si>
    <t>INFMCHLPG00</t>
  </si>
  <si>
    <t>INFPRCBIO00</t>
  </si>
  <si>
    <t>INFPRCCOA00</t>
  </si>
  <si>
    <t>INFPRCCOK00</t>
  </si>
  <si>
    <t>INFPRCELC00</t>
  </si>
  <si>
    <t>INFPRCGAS00</t>
  </si>
  <si>
    <t>INFPRCHFO00</t>
  </si>
  <si>
    <t>INFPRCLFO00</t>
  </si>
  <si>
    <t>INFPRCLPG00</t>
  </si>
  <si>
    <t>INFSTMBIO00</t>
  </si>
  <si>
    <t>INFSTMCOA00</t>
  </si>
  <si>
    <t>INFSTMCOK00</t>
  </si>
  <si>
    <t>INFSTMELC00</t>
  </si>
  <si>
    <t>INFSTMGAS00</t>
  </si>
  <si>
    <t>INFSTMHFO00</t>
  </si>
  <si>
    <t>INFSTMHTH00</t>
  </si>
  <si>
    <t>INFSTMLFO00</t>
  </si>
  <si>
    <t>INFSTMLPG00</t>
  </si>
  <si>
    <t>INMELEELC00</t>
  </si>
  <si>
    <t>INMMCHBIO00</t>
  </si>
  <si>
    <t>INMMCHCOA00</t>
  </si>
  <si>
    <t>INMMCHCOK00</t>
  </si>
  <si>
    <t>INMMCHELC00</t>
  </si>
  <si>
    <t>INMMCHGAS00</t>
  </si>
  <si>
    <t>INMMCHHFO00</t>
  </si>
  <si>
    <t>INMMCHLFO00</t>
  </si>
  <si>
    <t>INMMCHLPG00</t>
  </si>
  <si>
    <t>INMPRCBIO00</t>
  </si>
  <si>
    <t>INMPRCCOA00</t>
  </si>
  <si>
    <t>INMPRCCOK00</t>
  </si>
  <si>
    <t>INMPRCELC00</t>
  </si>
  <si>
    <t>INMPRCGAS00</t>
  </si>
  <si>
    <t>INMPRCHFO00</t>
  </si>
  <si>
    <t>INMPRCLFO00</t>
  </si>
  <si>
    <t>INMPRCLPG00</t>
  </si>
  <si>
    <t>INMSTMBIO00</t>
  </si>
  <si>
    <t>INMSTMCOA00</t>
  </si>
  <si>
    <t>INMSTMCOK00</t>
  </si>
  <si>
    <t>INMSTMELC00</t>
  </si>
  <si>
    <t>INMSTMGAS00</t>
  </si>
  <si>
    <t>INMSTMHFO00</t>
  </si>
  <si>
    <t>INMSTMHTH00</t>
  </si>
  <si>
    <t>INMSTMLFO00</t>
  </si>
  <si>
    <t>INMSTMLPG00</t>
  </si>
  <si>
    <t>IOIELEELC00</t>
  </si>
  <si>
    <t>IOIMCHBIO00</t>
  </si>
  <si>
    <t>IOIMCHCOA00</t>
  </si>
  <si>
    <t>IOIMCHCOK00</t>
  </si>
  <si>
    <t>IOIMCHELC00</t>
  </si>
  <si>
    <t>IOIMCHGAS00</t>
  </si>
  <si>
    <t>IOIMCHHFO00</t>
  </si>
  <si>
    <t>IOIMCHLFO00</t>
  </si>
  <si>
    <t>IOIMCHLPG00</t>
  </si>
  <si>
    <t>IOIPRCBIO00</t>
  </si>
  <si>
    <t>IOIPRCCOA00</t>
  </si>
  <si>
    <t>IOIPRCCOK00</t>
  </si>
  <si>
    <t>IOIPRCELC00</t>
  </si>
  <si>
    <t>IOIPRCGAS00</t>
  </si>
  <si>
    <t>IOIPRCHFO00</t>
  </si>
  <si>
    <t>IOIPRCLFO00</t>
  </si>
  <si>
    <t>IOIPRCLPG00</t>
  </si>
  <si>
    <t>IOISTMBIO00</t>
  </si>
  <si>
    <t>IOISTMCOA00</t>
  </si>
  <si>
    <t>IOISTMCOK00</t>
  </si>
  <si>
    <t>IOISTMELC00</t>
  </si>
  <si>
    <t>IOISTMGAS00</t>
  </si>
  <si>
    <t>IOISTMHFO00</t>
  </si>
  <si>
    <t>IOISTMHTH00</t>
  </si>
  <si>
    <t>IOISTMLFO00</t>
  </si>
  <si>
    <t>IOISTMLPG00</t>
  </si>
  <si>
    <t>SSCDRFLX00</t>
  </si>
  <si>
    <t>IAM</t>
  </si>
  <si>
    <t>ICHELE</t>
  </si>
  <si>
    <t>ICHMCH</t>
  </si>
  <si>
    <t>ICHPRC</t>
  </si>
  <si>
    <t>ICHHTH</t>
  </si>
  <si>
    <t>ICL</t>
  </si>
  <si>
    <t>ICLHTH</t>
  </si>
  <si>
    <t>ICU</t>
  </si>
  <si>
    <t>INFELE</t>
  </si>
  <si>
    <t>INFMCH</t>
  </si>
  <si>
    <t>INFPRC</t>
  </si>
  <si>
    <t>INFHTH</t>
  </si>
  <si>
    <t>IOIELE</t>
  </si>
  <si>
    <t>IOIMCH</t>
  </si>
  <si>
    <t>IOIPRC</t>
  </si>
  <si>
    <t>IOIHTH</t>
  </si>
  <si>
    <t>IPH</t>
  </si>
  <si>
    <t>IPL</t>
  </si>
  <si>
    <t>IAL</t>
  </si>
  <si>
    <t>IIS</t>
  </si>
  <si>
    <t>ICM</t>
  </si>
  <si>
    <t>IGF</t>
  </si>
  <si>
    <t>IGH</t>
  </si>
  <si>
    <t>ILM</t>
  </si>
  <si>
    <t>INMELE</t>
  </si>
  <si>
    <t>INMMCH</t>
  </si>
  <si>
    <t>INMPRC</t>
  </si>
  <si>
    <t>INMHTH</t>
  </si>
  <si>
    <t>IISFINPRO01</t>
  </si>
  <si>
    <t>Attrib_Cond</t>
  </si>
  <si>
    <t>Val_Cond</t>
  </si>
  <si>
    <t>Pset_Set</t>
  </si>
  <si>
    <t>Cset_CD</t>
  </si>
  <si>
    <t>START</t>
  </si>
  <si>
    <t>Fuel Tech New*</t>
  </si>
  <si>
    <t>MIN*,SINK*,I*</t>
  </si>
  <si>
    <t>~TFM_Fill-R: w=Input; Hcol=Region</t>
  </si>
  <si>
    <t>~TFM_Fill-R: w=Output; Hcol=Region</t>
  </si>
  <si>
    <t>XXX~TFM_INS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</si>
  <si>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</si>
  <si>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</si>
  <si>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</si>
  <si>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</si>
  <si>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</si>
  <si>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</si>
  <si>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</si>
  <si>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</si>
  <si>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</si>
  <si>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</si>
  <si>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</si>
  <si>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IND___, M*, I*HTH</t>
  </si>
  <si>
    <t>=2006</t>
  </si>
  <si>
    <t>=2010</t>
  </si>
  <si>
    <t>=2005</t>
  </si>
  <si>
    <t>I*,PU*,STORAGE*,EU*,B*,AGRBDL*,HHT*</t>
  </si>
  <si>
    <t>\I: FLO_EMIS</t>
  </si>
  <si>
    <t>EU*,PU*,CO*</t>
  </si>
  <si>
    <t>*seq*,*CCS*</t>
  </si>
  <si>
    <t>ELCCO2N is residual</t>
  </si>
  <si>
    <t>ELCWOO</t>
  </si>
  <si>
    <t>ELCBGS</t>
  </si>
  <si>
    <t>ELCMUN</t>
  </si>
  <si>
    <t>ELCSLU</t>
  </si>
  <si>
    <t>ELCSCO2N</t>
  </si>
  <si>
    <t>EU*,PU*,H*,CO*</t>
  </si>
  <si>
    <t>-*seq*,-*CCS*</t>
  </si>
  <si>
    <t>PUSCSBIO*</t>
  </si>
  <si>
    <t>year2</t>
  </si>
  <si>
    <t>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</si>
</sst>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_);_(* \(#,##0\);_(* &quot;-&quot;_);_(@_)"/>
    <numFmt numFmtId="165" formatCode="_(* #,##0.00_);_(* \(#,##0.00\);_(* &quot;-&quot;??_);_(@_)"/>
    <numFmt numFmtId="166" formatCode="&quot;$&quot;#,##0_);\(&quot;$&quot;#,##0\)"/>
    <numFmt numFmtId="167" formatCode="0.0%"/>
    <numFmt numFmtId="168" formatCode="0.0000"/>
    <numFmt numFmtId="169" formatCode="_-[$€-2]\ * #,##0.00_-;\-[$€-2]\ * #,##0.00_-;_-[$€-2]\ * &quot;-&quot;??_-"/>
    <numFmt numFmtId="170" formatCode="#,##0;\-\ #,##0;_-\ &quot;- &quot;"/>
    <numFmt numFmtId="171" formatCode="0.0"/>
    <numFmt numFmtId="172" formatCode="0.000000"/>
    <numFmt numFmtId="173" formatCode="_-* #,##0.00\ _€_-;\-* #,##0.00\ _€_-;_-* &quot;-&quot;??\ _€_-;_-@_-"/>
    <numFmt numFmtId="174" formatCode="_-&quot;€&quot;\ * #,##0.00_-;\-&quot;€&quot;\ * #,##0.00_-;_-&quot;€&quot;\ * &quot;-&quot;??_-;_-@_-"/>
    <numFmt numFmtId="175" formatCode="_-&quot;$&quot;* #,##0.00_-;\-&quot;$&quot;* #,##0.00_-;_-&quot;$&quot;* &quot;-&quot;??_-;_-@_-"/>
    <numFmt numFmtId="176" formatCode="_([$€-2]* #,##0.00_);_([$€-2]* \(#,##0.00\);_([$€-2]* &quot;-&quot;??_)"/>
    <numFmt numFmtId="177" formatCode="General_)"/>
    <numFmt numFmtId="178" formatCode="_ &quot;kr&quot;\ * #,##0_ ;_ &quot;kr&quot;\ * \-#,##0_ ;_ &quot;kr&quot;\ * &quot;-&quot;_ ;_ @_ "/>
    <numFmt numFmtId="179" formatCode="_ &quot;kr&quot;\ * #,##0.00_ ;_ &quot;kr&quot;\ * \-#,##0.00_ ;_ &quot;kr&quot;\ * &quot;-&quot;??_ ;_ @_ "/>
    <numFmt numFmtId="180" formatCode="_([$€]* #,##0.00_);_([$€]* \(#,##0.00\);_([$€]* &quot;-&quot;??_);_(@_)"/>
  </numFmts>
  <fonts count="54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8"/>
      <name val="Tahoma"/>
      <family val="2"/>
    </font>
    <font>
      <sz val="8"/>
      <name val="Tahoma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Tahoma"/>
      <family val="2"/>
    </font>
    <font>
      <sz val="12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color indexed="12"/>
      <name val="Arial"/>
      <family val="2"/>
    </font>
    <font>
      <sz val="10"/>
      <name val="Courier"/>
      <family val="3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b/>
      <sz val="18"/>
      <color indexed="62"/>
      <name val="Cambria"/>
      <family val="2"/>
    </font>
    <font>
      <u val="single"/>
      <sz val="12"/>
      <color indexed="20"/>
      <name val="宋体"/>
      <family val="2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theme="4"/>
      <name val="Arial"/>
      <family val="2"/>
    </font>
    <font>
      <b/>
      <u val="single"/>
      <sz val="10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299883842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2002248764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56"/>
      </bottom>
    </border>
    <border>
      <left/>
      <right/>
      <top/>
      <bottom style="thick">
        <color indexed="22"/>
      </bottom>
    </border>
    <border>
      <left/>
      <right/>
      <top/>
      <bottom style="thick">
        <color indexed="27"/>
      </bottom>
    </border>
    <border>
      <left/>
      <right/>
      <top/>
      <bottom style="medium">
        <color indexed="30"/>
      </bottom>
    </border>
    <border>
      <left/>
      <right/>
      <top/>
      <bottom style="medium">
        <color indexed="27"/>
      </bottom>
    </border>
    <border>
      <left/>
      <right/>
      <top/>
      <bottom style="double">
        <color indexed="52"/>
      </bottom>
    </border>
    <border>
      <left/>
      <right/>
      <top/>
      <bottom style="double">
        <color indexed="10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thin">
        <color indexed="56"/>
      </top>
      <bottom style="double">
        <color indexed="56"/>
      </bottom>
    </border>
    <border>
      <left/>
      <right/>
      <top style="thin">
        <color auto="1"/>
      </top>
      <bottom style="medium">
        <color auto="1"/>
      </bottom>
    </border>
    <border>
      <left style="thin">
        <color auto="1"/>
      </left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</borders>
  <cellStyleXfs count="204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5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47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9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8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7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8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22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5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4" fontId="8" fillId="9" borderId="1">
      <alignment horizontal="right" vertical="center"/>
      <protection/>
    </xf>
    <xf numFmtId="4" fontId="8" fillId="9" borderId="1">
      <alignment horizontal="right" vertical="center"/>
      <protection/>
    </xf>
    <xf numFmtId="0" fontId="16" fillId="4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35" fillId="24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26" fillId="25" borderId="2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0" fontId="17" fillId="26" borderId="3" applyNumberFormat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40" fontId="2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40" fontId="27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5" fontId="0" fillId="0" borderId="0" applyFont="0" applyFill="0" applyBorder="0" applyAlignment="0" applyProtection="0"/>
    <xf numFmtId="0" fontId="9" fillId="0" borderId="4">
      <alignment horizontal="left" vertical="center" wrapText="1" indent="2"/>
      <protection/>
    </xf>
    <xf numFmtId="169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19" fillId="6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36" fillId="0" borderId="5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28" fillId="0" borderId="6" applyNumberFormat="0" applyFill="0" applyAlignment="0" applyProtection="0"/>
    <xf numFmtId="0" fontId="37" fillId="0" borderId="7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38" fillId="0" borderId="9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9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0" fontId="20" fillId="12" borderId="2" applyNumberFormat="0" applyAlignment="0" applyProtection="0"/>
    <xf numFmtId="4" fontId="9" fillId="0" borderId="0" applyBorder="0">
      <alignment horizontal="right" vertical="center"/>
      <protection/>
    </xf>
    <xf numFmtId="0" fontId="39" fillId="0" borderId="11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0" fontId="23" fillId="0" borderId="12" applyNumberFormat="0" applyFill="0" applyAlignment="0" applyProtection="0"/>
    <xf numFmtId="173" fontId="0" fillId="0" borderId="0" applyFont="0" applyFill="0" applyBorder="0" applyAlignment="0" applyProtection="0"/>
    <xf numFmtId="0" fontId="40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166" fontId="32" fillId="0" borderId="0">
      <alignment vertical="center"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166" fontId="32" fillId="0" borderId="0">
      <alignment vertical="center"/>
      <protection/>
    </xf>
    <xf numFmtId="0" fontId="47" fillId="0" borderId="0">
      <alignment/>
      <protection/>
    </xf>
    <xf numFmtId="167" fontId="32" fillId="0" borderId="0">
      <alignment vertical="center"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67" fontId="32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177" fontId="32" fillId="0" borderId="0">
      <alignment vertical="center"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4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" fontId="9" fillId="0" borderId="1" applyFill="0" applyBorder="0" applyProtection="0">
      <alignment horizontal="right" vertical="center"/>
    </xf>
    <xf numFmtId="0" fontId="10" fillId="0" borderId="0" applyNumberFormat="0" applyFill="0" applyBorder="0" applyProtection="0">
      <alignment horizontal="left" vertical="center"/>
    </xf>
    <xf numFmtId="0" fontId="0" fillId="26" borderId="0" applyNumberFormat="0" applyFont="0" applyBorder="0" applyAlignment="0" applyProtection="0"/>
    <xf numFmtId="0" fontId="25" fillId="0" borderId="0">
      <alignment/>
      <protection/>
    </xf>
    <xf numFmtId="0" fontId="14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0" fontId="0" fillId="7" borderId="13" applyNumberFormat="0" applyFont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21" fillId="24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0" fontId="21" fillId="25" borderId="14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5" fontId="43" fillId="0" borderId="0" applyFont="0" applyFill="0" applyBorder="0" applyAlignment="0" applyProtection="0"/>
    <xf numFmtId="164" fontId="43" fillId="0" borderId="0" applyFont="0" applyFill="0" applyBorder="0" applyAlignment="0" applyProtection="0"/>
    <xf numFmtId="178" fontId="43" fillId="0" borderId="0" applyFont="0" applyFill="0" applyBorder="0" applyAlignment="0" applyProtection="0"/>
    <xf numFmtId="0" fontId="0" fillId="0" borderId="0">
      <alignment/>
      <protection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2" fillId="27" borderId="1" applyNumberFormat="0" applyProtection="0">
      <alignment horizontal="right"/>
    </xf>
    <xf numFmtId="0" fontId="44" fillId="27" borderId="0" applyNumberFormat="0" applyBorder="0" applyProtection="0">
      <alignment horizontal="left"/>
    </xf>
    <xf numFmtId="0" fontId="2" fillId="27" borderId="1" applyNumberFormat="0" applyProtection="0">
      <alignment horizontal="lef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42" fillId="19" borderId="0" applyNumberFormat="0" applyBorder="0" applyProtection="0">
      <alignment horizontal="left"/>
    </xf>
    <xf numFmtId="0" fontId="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2" fillId="0" borderId="15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0" fontId="22" fillId="0" borderId="16" applyNumberFormat="0" applyFill="0" applyAlignment="0" applyProtection="0"/>
    <xf numFmtId="179" fontId="4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" fontId="9" fillId="0" borderId="0">
      <alignment/>
      <protection/>
    </xf>
    <xf numFmtId="0" fontId="34" fillId="0" borderId="0" applyNumberFormat="0" applyFill="0" applyBorder="0" applyProtection="0">
      <alignment/>
    </xf>
  </cellStyleXfs>
  <cellXfs count="9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12" borderId="17" xfId="0" applyFont="1" applyFill="1" applyBorder="1"/>
    <xf numFmtId="0" fontId="0" fillId="12" borderId="17" xfId="0" applyFill="1" applyBorder="1"/>
    <xf numFmtId="0" fontId="0" fillId="12" borderId="0" xfId="0" applyFill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4" borderId="0" xfId="0" applyFill="1" applyAlignment="1" quotePrefix="1">
      <alignment horizontal="right"/>
    </xf>
    <xf numFmtId="0" fontId="2" fillId="2" borderId="0" xfId="0" applyFont="1" applyFill="1"/>
    <xf numFmtId="1" fontId="0" fillId="0" borderId="0" xfId="0" applyNumberFormat="1"/>
    <xf numFmtId="0" fontId="0" fillId="9" borderId="0" xfId="0" applyFill="1"/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0" fillId="0" borderId="19" xfId="0" applyBorder="1"/>
    <xf numFmtId="0" fontId="2" fillId="0" borderId="0" xfId="0" applyFont="1"/>
    <xf numFmtId="1" fontId="5" fillId="0" borderId="0" xfId="0" applyNumberFormat="1" applyFont="1"/>
    <xf numFmtId="0" fontId="0" fillId="0" borderId="0" xfId="0" quotePrefix="1"/>
    <xf numFmtId="0" fontId="0" fillId="28" borderId="0" xfId="0" applyFill="1"/>
    <xf numFmtId="0" fontId="0" fillId="28" borderId="19" xfId="0" applyFill="1" applyBorder="1"/>
    <xf numFmtId="167" fontId="0" fillId="0" borderId="0" xfId="0" applyNumberFormat="1"/>
    <xf numFmtId="0" fontId="0" fillId="12" borderId="0" xfId="0" applyFill="1" quotePrefix="1"/>
    <xf numFmtId="0" fontId="2" fillId="13" borderId="17" xfId="0" applyFont="1" applyFill="1" applyBorder="1"/>
    <xf numFmtId="0" fontId="2" fillId="12" borderId="18" xfId="0" applyFont="1" applyFill="1" applyBorder="1"/>
    <xf numFmtId="0" fontId="2" fillId="9" borderId="18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0" fillId="12" borderId="0" xfId="0" applyFill="1" applyAlignment="1" quotePrefix="1">
      <alignment horizontal="left"/>
    </xf>
    <xf numFmtId="0" fontId="5" fillId="12" borderId="0" xfId="0" applyFont="1" applyFill="1" applyAlignment="1">
      <alignment horizontal="left" vertical="center" wrapText="1"/>
    </xf>
    <xf numFmtId="0" fontId="0" fillId="18" borderId="0" xfId="1183" applyFill="1">
      <alignment/>
      <protection/>
    </xf>
    <xf numFmtId="0" fontId="0" fillId="0" borderId="0" xfId="1245">
      <alignment/>
      <protection/>
    </xf>
    <xf numFmtId="0" fontId="3" fillId="29" borderId="0" xfId="1245" applyFont="1" applyFill="1">
      <alignment/>
      <protection/>
    </xf>
    <xf numFmtId="0" fontId="3" fillId="0" borderId="0" xfId="1245" applyFont="1">
      <alignment/>
      <protection/>
    </xf>
    <xf numFmtId="0" fontId="2" fillId="13" borderId="17" xfId="1245" applyFont="1" applyFill="1" applyBorder="1">
      <alignment/>
      <protection/>
    </xf>
    <xf numFmtId="0" fontId="2" fillId="29" borderId="0" xfId="1245" applyFont="1" applyFill="1">
      <alignment/>
      <protection/>
    </xf>
    <xf numFmtId="0" fontId="2" fillId="13" borderId="0" xfId="1245" applyFont="1" applyFill="1">
      <alignment/>
      <protection/>
    </xf>
    <xf numFmtId="0" fontId="0" fillId="0" borderId="0" xfId="1245" quotePrefix="1">
      <alignment/>
      <protection/>
    </xf>
    <xf numFmtId="0" fontId="0" fillId="21" borderId="0" xfId="1245" applyFill="1">
      <alignment/>
      <protection/>
    </xf>
    <xf numFmtId="9" fontId="0" fillId="0" borderId="0" xfId="0" applyNumberFormat="1"/>
    <xf numFmtId="171" fontId="0" fillId="0" borderId="0" xfId="0" applyNumberFormat="1"/>
    <xf numFmtId="172" fontId="0" fillId="0" borderId="0" xfId="0" applyNumberFormat="1"/>
    <xf numFmtId="168" fontId="0" fillId="0" borderId="0" xfId="0" applyNumberFormat="1"/>
    <xf numFmtId="3" fontId="0" fillId="0" borderId="0" xfId="0" applyNumberFormat="1"/>
    <xf numFmtId="0" fontId="5" fillId="12" borderId="19" xfId="0" applyFont="1" applyFill="1" applyBorder="1" applyAlignment="1">
      <alignment horizontal="left" vertical="center" wrapText="1"/>
    </xf>
    <xf numFmtId="1" fontId="5" fillId="0" borderId="19" xfId="0" applyNumberFormat="1" applyFont="1" applyBorder="1"/>
    <xf numFmtId="0" fontId="0" fillId="0" borderId="0" xfId="0" applyAlignment="1">
      <alignment horizontal="right"/>
    </xf>
    <xf numFmtId="1" fontId="0" fillId="0" borderId="19" xfId="0" applyNumberFormat="1" applyBorder="1"/>
    <xf numFmtId="0" fontId="0" fillId="12" borderId="0" xfId="0" applyFill="1" applyAlignment="1">
      <alignment horizontal="left" vertical="center" wrapText="1"/>
    </xf>
    <xf numFmtId="0" fontId="0" fillId="12" borderId="19" xfId="0" applyFill="1" applyBorder="1" applyAlignment="1">
      <alignment horizontal="left" vertical="center" wrapText="1"/>
    </xf>
    <xf numFmtId="165" fontId="0" fillId="0" borderId="0" xfId="18" applyFill="1" applyBorder="1"/>
    <xf numFmtId="2" fontId="0" fillId="0" borderId="0" xfId="0" applyNumberFormat="1"/>
    <xf numFmtId="0" fontId="2" fillId="12" borderId="0" xfId="0" applyFont="1" applyFill="1" applyAlignment="1">
      <alignment horizontal="center"/>
    </xf>
    <xf numFmtId="0" fontId="2" fillId="30" borderId="17" xfId="0" applyFont="1" applyFill="1" applyBorder="1" applyAlignment="1">
      <alignment horizontal="center"/>
    </xf>
    <xf numFmtId="0" fontId="48" fillId="0" borderId="0" xfId="0" applyFont="1" applyAlignment="1">
      <alignment horizontal="center"/>
    </xf>
    <xf numFmtId="0" fontId="24" fillId="0" borderId="0" xfId="0" applyFont="1"/>
    <xf numFmtId="2" fontId="4" fillId="0" borderId="0" xfId="0" applyNumberFormat="1" applyFont="1"/>
    <xf numFmtId="2" fontId="0" fillId="0" borderId="0" xfId="0" applyNumberFormat="1" applyAlignment="1" quotePrefix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 quotePrefix="1">
      <alignment horizontal="left"/>
    </xf>
    <xf numFmtId="0" fontId="2" fillId="0" borderId="0" xfId="1064" applyFont="1">
      <alignment/>
      <protection/>
    </xf>
    <xf numFmtId="0" fontId="0" fillId="0" borderId="0" xfId="1064">
      <alignment/>
      <protection/>
    </xf>
    <xf numFmtId="2" fontId="0" fillId="0" borderId="0" xfId="1064" applyNumberFormat="1">
      <alignment/>
      <protection/>
    </xf>
    <xf numFmtId="0" fontId="0" fillId="31" borderId="0" xfId="0" applyFill="1"/>
    <xf numFmtId="0" fontId="0" fillId="0" borderId="0" xfId="0" applyAlignment="1">
      <alignment horizontal="left"/>
    </xf>
    <xf numFmtId="2" fontId="0" fillId="0" borderId="0" xfId="1245" applyNumberFormat="1">
      <alignment/>
      <protection/>
    </xf>
    <xf numFmtId="0" fontId="49" fillId="0" borderId="0" xfId="0" applyFont="1"/>
    <xf numFmtId="0" fontId="0" fillId="32" borderId="0" xfId="1245" applyFill="1">
      <alignment/>
      <protection/>
    </xf>
    <xf numFmtId="1" fontId="49" fillId="0" borderId="0" xfId="0" applyNumberFormat="1" applyFont="1"/>
    <xf numFmtId="0" fontId="50" fillId="0" borderId="0" xfId="0" applyFont="1"/>
    <xf numFmtId="0" fontId="2" fillId="33" borderId="0" xfId="0" applyFont="1" applyFill="1" applyAlignment="1">
      <alignment horizontal="center"/>
    </xf>
    <xf numFmtId="2" fontId="2" fillId="33" borderId="17" xfId="0" applyNumberFormat="1" applyFont="1" applyFill="1" applyBorder="1" applyAlignment="1">
      <alignment horizontal="center"/>
    </xf>
    <xf numFmtId="0" fontId="2" fillId="33" borderId="17" xfId="0" applyFont="1" applyFill="1" applyBorder="1" applyAlignment="1">
      <alignment horizontal="center"/>
    </xf>
    <xf numFmtId="0" fontId="2" fillId="33" borderId="18" xfId="0" applyFont="1" applyFill="1" applyBorder="1" applyAlignment="1">
      <alignment horizontal="center"/>
    </xf>
    <xf numFmtId="2" fontId="49" fillId="0" borderId="0" xfId="0" applyNumberFormat="1" applyFont="1"/>
    <xf numFmtId="0" fontId="47" fillId="6" borderId="0" xfId="62" applyBorder="1" applyAlignment="1">
      <alignment horizontal="center"/>
    </xf>
    <xf numFmtId="0" fontId="2" fillId="3" borderId="17" xfId="0" applyFont="1" applyFill="1" applyBorder="1"/>
    <xf numFmtId="0" fontId="51" fillId="0" borderId="0" xfId="0" applyFont="1"/>
    <xf numFmtId="0" fontId="52" fillId="29" borderId="0" xfId="0" applyFont="1" applyFill="1"/>
    <xf numFmtId="0" fontId="53" fillId="29" borderId="0" xfId="0" applyFont="1" applyFill="1"/>
    <xf numFmtId="2" fontId="53" fillId="29" borderId="0" xfId="0" applyNumberFormat="1" applyFont="1" applyFill="1"/>
    <xf numFmtId="0" fontId="52" fillId="0" borderId="0" xfId="0" applyFont="1"/>
    <xf numFmtId="0" fontId="53" fillId="34" borderId="0" xfId="0" applyFont="1" applyFill="1"/>
    <xf numFmtId="2" fontId="53" fillId="34" borderId="0" xfId="0" applyNumberFormat="1" applyFont="1" applyFill="1"/>
    <xf numFmtId="0" fontId="53" fillId="0" borderId="0" xfId="0" applyFont="1"/>
    <xf numFmtId="2" fontId="53" fillId="0" borderId="0" xfId="0" applyNumberFormat="1" applyFont="1"/>
    <xf numFmtId="0" fontId="53" fillId="0" borderId="0" xfId="0" applyFont="1" quotePrefix="1"/>
    <xf numFmtId="2" fontId="53" fillId="26" borderId="0" xfId="0" applyNumberFormat="1" applyFont="1" applyFill="1"/>
    <xf numFmtId="0" fontId="0" fillId="34" borderId="0" xfId="0" applyFill="1"/>
    <xf numFmtId="0" fontId="53" fillId="34" borderId="0" xfId="0" applyFont="1" applyFill="1" quotePrefix="1"/>
  </cellXfs>
  <cellStyles count="203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2 10" xfId="21"/>
    <cellStyle name="20% - Accent1 2 11" xfId="22"/>
    <cellStyle name="20% - Accent1 2 12" xfId="23"/>
    <cellStyle name="20% - Accent1 2 13" xfId="24"/>
    <cellStyle name="20% - Accent1 2 14" xfId="25"/>
    <cellStyle name="20% - Accent1 2 15" xfId="26"/>
    <cellStyle name="20% - Accent1 2 2" xfId="27"/>
    <cellStyle name="20% - Accent1 2 3" xfId="28"/>
    <cellStyle name="20% - Accent1 2 4" xfId="29"/>
    <cellStyle name="20% - Accent1 2 5" xfId="30"/>
    <cellStyle name="20% - Accent1 2 6" xfId="31"/>
    <cellStyle name="20% - Accent1 2 7" xfId="32"/>
    <cellStyle name="20% - Accent1 2 8" xfId="33"/>
    <cellStyle name="20% - Accent1 2 9" xfId="34"/>
    <cellStyle name="20% - Accent1 3" xfId="35"/>
    <cellStyle name="20% - Accent1 4" xfId="36"/>
    <cellStyle name="20% - Accent1 5" xfId="37"/>
    <cellStyle name="20% - Accent1 6" xfId="38"/>
    <cellStyle name="20% - Accent1 7" xfId="39"/>
    <cellStyle name="20% - Accent1 8" xfId="40"/>
    <cellStyle name="20% - Accent2 2" xfId="41"/>
    <cellStyle name="20% - Accent2 2 10" xfId="42"/>
    <cellStyle name="20% - Accent2 2 11" xfId="43"/>
    <cellStyle name="20% - Accent2 2 12" xfId="44"/>
    <cellStyle name="20% - Accent2 2 13" xfId="45"/>
    <cellStyle name="20% - Accent2 2 14" xfId="46"/>
    <cellStyle name="20% - Accent2 2 15" xfId="47"/>
    <cellStyle name="20% - Accent2 2 2" xfId="48"/>
    <cellStyle name="20% - Accent2 2 3" xfId="49"/>
    <cellStyle name="20% - Accent2 2 4" xfId="50"/>
    <cellStyle name="20% - Accent2 2 5" xfId="51"/>
    <cellStyle name="20% - Accent2 2 6" xfId="52"/>
    <cellStyle name="20% - Accent2 2 7" xfId="53"/>
    <cellStyle name="20% - Accent2 2 8" xfId="54"/>
    <cellStyle name="20% - Accent2 2 9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2 8" xfId="61"/>
    <cellStyle name="20% - Accent3" xfId="62" builtinId="38"/>
    <cellStyle name="20% - Accent3 2" xfId="63"/>
    <cellStyle name="20% - Accent3 2 10" xfId="64"/>
    <cellStyle name="20% - Accent3 2 11" xfId="65"/>
    <cellStyle name="20% - Accent3 2 12" xfId="66"/>
    <cellStyle name="20% - Accent3 2 13" xfId="67"/>
    <cellStyle name="20% - Accent3 2 14" xfId="68"/>
    <cellStyle name="20% - Accent3 2 15" xfId="69"/>
    <cellStyle name="20% - Accent3 2 2" xfId="70"/>
    <cellStyle name="20% - Accent3 2 3" xfId="71"/>
    <cellStyle name="20% - Accent3 2 4" xfId="72"/>
    <cellStyle name="20% - Accent3 2 5" xfId="73"/>
    <cellStyle name="20% - Accent3 2 6" xfId="74"/>
    <cellStyle name="20% - Accent3 2 7" xfId="75"/>
    <cellStyle name="20% - Accent3 2 8" xfId="76"/>
    <cellStyle name="20% - Accent3 2 9" xfId="77"/>
    <cellStyle name="20% - Accent3 3" xfId="78"/>
    <cellStyle name="20% - Accent3 4" xfId="79"/>
    <cellStyle name="20% - Accent3 5" xfId="80"/>
    <cellStyle name="20% - Accent3 6" xfId="81"/>
    <cellStyle name="20% - Accent3 7" xfId="82"/>
    <cellStyle name="20% - Accent3 8" xfId="83"/>
    <cellStyle name="20% - Accent4 2" xfId="84"/>
    <cellStyle name="20% - Accent4 2 10" xfId="85"/>
    <cellStyle name="20% - Accent4 2 11" xfId="86"/>
    <cellStyle name="20% - Accent4 2 12" xfId="87"/>
    <cellStyle name="20% - Accent4 2 13" xfId="88"/>
    <cellStyle name="20% - Accent4 2 14" xfId="89"/>
    <cellStyle name="20% - Accent4 2 15" xfId="90"/>
    <cellStyle name="20% - Accent4 2 2" xfId="91"/>
    <cellStyle name="20% - Accent4 2 3" xfId="92"/>
    <cellStyle name="20% - Accent4 2 4" xfId="93"/>
    <cellStyle name="20% - Accent4 2 5" xfId="94"/>
    <cellStyle name="20% - Accent4 2 6" xfId="95"/>
    <cellStyle name="20% - Accent4 2 7" xfId="96"/>
    <cellStyle name="20% - Accent4 2 8" xfId="97"/>
    <cellStyle name="20% - Accent4 2 9" xfId="98"/>
    <cellStyle name="20% - Accent4 3" xfId="99"/>
    <cellStyle name="20% - Accent4 4" xfId="100"/>
    <cellStyle name="20% - Accent4 5" xfId="101"/>
    <cellStyle name="20% - Accent4 6" xfId="102"/>
    <cellStyle name="20% - Accent4 7" xfId="103"/>
    <cellStyle name="20% - Accent4 8" xfId="104"/>
    <cellStyle name="20% - Accent5 2" xfId="105"/>
    <cellStyle name="20% - Accent5 2 10" xfId="106"/>
    <cellStyle name="20% - Accent5 2 11" xfId="107"/>
    <cellStyle name="20% - Accent5 2 12" xfId="108"/>
    <cellStyle name="20% - Accent5 2 13" xfId="109"/>
    <cellStyle name="20% - Accent5 2 14" xfId="110"/>
    <cellStyle name="20% - Accent5 2 15" xfId="111"/>
    <cellStyle name="20% - Accent5 2 2" xfId="112"/>
    <cellStyle name="20% - Accent5 2 3" xfId="113"/>
    <cellStyle name="20% - Accent5 2 4" xfId="114"/>
    <cellStyle name="20% - Accent5 2 5" xfId="115"/>
    <cellStyle name="20% - Accent5 2 6" xfId="116"/>
    <cellStyle name="20% - Accent5 2 7" xfId="117"/>
    <cellStyle name="20% - Accent5 2 8" xfId="118"/>
    <cellStyle name="20% - Accent5 2 9" xfId="119"/>
    <cellStyle name="20% - Accent5 3" xfId="120"/>
    <cellStyle name="20% - Accent5 4" xfId="121"/>
    <cellStyle name="20% - Accent5 5" xfId="122"/>
    <cellStyle name="20% - Accent5 6" xfId="123"/>
    <cellStyle name="20% - Accent5 7" xfId="124"/>
    <cellStyle name="20% - Accent5 8" xfId="125"/>
    <cellStyle name="20% - Accent6 2" xfId="126"/>
    <cellStyle name="20% - Accent6 2 10" xfId="127"/>
    <cellStyle name="20% - Accent6 2 11" xfId="128"/>
    <cellStyle name="20% - Accent6 2 12" xfId="129"/>
    <cellStyle name="20% - Accent6 2 13" xfId="130"/>
    <cellStyle name="20% - Accent6 2 14" xfId="131"/>
    <cellStyle name="20% - Accent6 2 15" xfId="132"/>
    <cellStyle name="20% - Accent6 2 2" xfId="133"/>
    <cellStyle name="20% - Accent6 2 3" xfId="134"/>
    <cellStyle name="20% - Accent6 2 4" xfId="135"/>
    <cellStyle name="20% - Accent6 2 5" xfId="136"/>
    <cellStyle name="20% - Accent6 2 6" xfId="137"/>
    <cellStyle name="20% - Accent6 2 7" xfId="138"/>
    <cellStyle name="20% - Accent6 2 8" xfId="139"/>
    <cellStyle name="20% - Accent6 2 9" xfId="140"/>
    <cellStyle name="20% - Accent6 3" xfId="141"/>
    <cellStyle name="20% - Accent6 4" xfId="142"/>
    <cellStyle name="20% - Accent6 5" xfId="143"/>
    <cellStyle name="20% - Accent6 6" xfId="144"/>
    <cellStyle name="20% - Accent6 7" xfId="145"/>
    <cellStyle name="20% - Accent6 8" xfId="146"/>
    <cellStyle name="40% - Accent1 2" xfId="147"/>
    <cellStyle name="40% - Accent1 2 10" xfId="148"/>
    <cellStyle name="40% - Accent1 2 11" xfId="149"/>
    <cellStyle name="40% - Accent1 2 12" xfId="150"/>
    <cellStyle name="40% - Accent1 2 13" xfId="151"/>
    <cellStyle name="40% - Accent1 2 14" xfId="152"/>
    <cellStyle name="40% - Accent1 2 15" xfId="153"/>
    <cellStyle name="40% - Accent1 2 2" xfId="154"/>
    <cellStyle name="40% - Accent1 2 3" xfId="155"/>
    <cellStyle name="40% - Accent1 2 4" xfId="156"/>
    <cellStyle name="40% - Accent1 2 5" xfId="157"/>
    <cellStyle name="40% - Accent1 2 6" xfId="158"/>
    <cellStyle name="40% - Accent1 2 7" xfId="159"/>
    <cellStyle name="40% - Accent1 2 8" xfId="160"/>
    <cellStyle name="40% - Accent1 2 9" xfId="161"/>
    <cellStyle name="40% - Accent1 3" xfId="162"/>
    <cellStyle name="40% - Accent1 4" xfId="163"/>
    <cellStyle name="40% - Accent1 5" xfId="164"/>
    <cellStyle name="40% - Accent1 6" xfId="165"/>
    <cellStyle name="40% - Accent1 7" xfId="166"/>
    <cellStyle name="40% - Accent1 8" xfId="167"/>
    <cellStyle name="40% - Accent2 2" xfId="168"/>
    <cellStyle name="40% - Accent2 2 10" xfId="169"/>
    <cellStyle name="40% - Accent2 2 11" xfId="170"/>
    <cellStyle name="40% - Accent2 2 12" xfId="171"/>
    <cellStyle name="40% - Accent2 2 13" xfId="172"/>
    <cellStyle name="40% - Accent2 2 14" xfId="173"/>
    <cellStyle name="40% - Accent2 2 15" xfId="174"/>
    <cellStyle name="40% - Accent2 2 2" xfId="175"/>
    <cellStyle name="40% - Accent2 2 3" xfId="176"/>
    <cellStyle name="40% - Accent2 2 4" xfId="177"/>
    <cellStyle name="40% - Accent2 2 5" xfId="178"/>
    <cellStyle name="40% - Accent2 2 6" xfId="179"/>
    <cellStyle name="40% - Accent2 2 7" xfId="180"/>
    <cellStyle name="40% - Accent2 2 8" xfId="181"/>
    <cellStyle name="40% - Accent2 2 9" xfId="182"/>
    <cellStyle name="40% - Accent2 3" xfId="183"/>
    <cellStyle name="40% - Accent2 4" xfId="184"/>
    <cellStyle name="40% - Accent2 5" xfId="185"/>
    <cellStyle name="40% - Accent2 6" xfId="186"/>
    <cellStyle name="40% - Accent2 7" xfId="187"/>
    <cellStyle name="40% - Accent2 8" xfId="188"/>
    <cellStyle name="40% - Accent3 2" xfId="189"/>
    <cellStyle name="40% - Accent3 2 10" xfId="190"/>
    <cellStyle name="40% - Accent3 2 11" xfId="191"/>
    <cellStyle name="40% - Accent3 2 12" xfId="192"/>
    <cellStyle name="40% - Accent3 2 13" xfId="193"/>
    <cellStyle name="40% - Accent3 2 14" xfId="194"/>
    <cellStyle name="40% - Accent3 2 15" xfId="195"/>
    <cellStyle name="40% - Accent3 2 2" xfId="196"/>
    <cellStyle name="40% - Accent3 2 3" xfId="197"/>
    <cellStyle name="40% - Accent3 2 4" xfId="198"/>
    <cellStyle name="40% - Accent3 2 5" xfId="199"/>
    <cellStyle name="40% - Accent3 2 6" xfId="200"/>
    <cellStyle name="40% - Accent3 2 7" xfId="201"/>
    <cellStyle name="40% - Accent3 2 8" xfId="202"/>
    <cellStyle name="40% - Accent3 2 9" xfId="203"/>
    <cellStyle name="40% - Accent3 3" xfId="204"/>
    <cellStyle name="40% - Accent3 4" xfId="205"/>
    <cellStyle name="40% - Accent3 5" xfId="206"/>
    <cellStyle name="40% - Accent3 6" xfId="207"/>
    <cellStyle name="40% - Accent3 7" xfId="208"/>
    <cellStyle name="40% - Accent3 8" xfId="209"/>
    <cellStyle name="40% - Accent4 2" xfId="210"/>
    <cellStyle name="40% - Accent4 2 10" xfId="211"/>
    <cellStyle name="40% - Accent4 2 11" xfId="212"/>
    <cellStyle name="40% - Accent4 2 12" xfId="213"/>
    <cellStyle name="40% - Accent4 2 13" xfId="214"/>
    <cellStyle name="40% - Accent4 2 14" xfId="215"/>
    <cellStyle name="40% - Accent4 2 15" xfId="216"/>
    <cellStyle name="40% - Accent4 2 2" xfId="217"/>
    <cellStyle name="40% - Accent4 2 3" xfId="218"/>
    <cellStyle name="40% - Accent4 2 4" xfId="219"/>
    <cellStyle name="40% - Accent4 2 5" xfId="220"/>
    <cellStyle name="40% - Accent4 2 6" xfId="221"/>
    <cellStyle name="40% - Accent4 2 7" xfId="222"/>
    <cellStyle name="40% - Accent4 2 8" xfId="223"/>
    <cellStyle name="40% - Accent4 2 9" xfId="224"/>
    <cellStyle name="40% - Accent4 3" xfId="225"/>
    <cellStyle name="40% - Accent4 4" xfId="226"/>
    <cellStyle name="40% - Accent4 5" xfId="227"/>
    <cellStyle name="40% - Accent4 6" xfId="228"/>
    <cellStyle name="40% - Accent4 7" xfId="229"/>
    <cellStyle name="40% - Accent4 8" xfId="230"/>
    <cellStyle name="40% - Accent5 2" xfId="231"/>
    <cellStyle name="40% - Accent5 2 10" xfId="232"/>
    <cellStyle name="40% - Accent5 2 11" xfId="233"/>
    <cellStyle name="40% - Accent5 2 12" xfId="234"/>
    <cellStyle name="40% - Accent5 2 13" xfId="235"/>
    <cellStyle name="40% - Accent5 2 14" xfId="236"/>
    <cellStyle name="40% - Accent5 2 15" xfId="237"/>
    <cellStyle name="40% - Accent5 2 2" xfId="238"/>
    <cellStyle name="40% - Accent5 2 3" xfId="239"/>
    <cellStyle name="40% - Accent5 2 4" xfId="240"/>
    <cellStyle name="40% - Accent5 2 5" xfId="241"/>
    <cellStyle name="40% - Accent5 2 6" xfId="242"/>
    <cellStyle name="40% - Accent5 2 7" xfId="243"/>
    <cellStyle name="40% - Accent5 2 8" xfId="244"/>
    <cellStyle name="40% - Accent5 2 9" xfId="245"/>
    <cellStyle name="40% - Accent5 3" xfId="246"/>
    <cellStyle name="40% - Accent5 4" xfId="247"/>
    <cellStyle name="40% - Accent5 5" xfId="248"/>
    <cellStyle name="40% - Accent5 6" xfId="249"/>
    <cellStyle name="40% - Accent5 7" xfId="250"/>
    <cellStyle name="40% - Accent5 8" xfId="251"/>
    <cellStyle name="40% - Accent6 2" xfId="252"/>
    <cellStyle name="40% - Accent6 2 10" xfId="253"/>
    <cellStyle name="40% - Accent6 2 11" xfId="254"/>
    <cellStyle name="40% - Accent6 2 12" xfId="255"/>
    <cellStyle name="40% - Accent6 2 13" xfId="256"/>
    <cellStyle name="40% - Accent6 2 14" xfId="257"/>
    <cellStyle name="40% - Accent6 2 15" xfId="258"/>
    <cellStyle name="40% - Accent6 2 2" xfId="259"/>
    <cellStyle name="40% - Accent6 2 3" xfId="260"/>
    <cellStyle name="40% - Accent6 2 4" xfId="261"/>
    <cellStyle name="40% - Accent6 2 5" xfId="262"/>
    <cellStyle name="40% - Accent6 2 6" xfId="263"/>
    <cellStyle name="40% - Accent6 2 7" xfId="264"/>
    <cellStyle name="40% - Accent6 2 8" xfId="265"/>
    <cellStyle name="40% - Accent6 2 9" xfId="266"/>
    <cellStyle name="40% - Accent6 3" xfId="267"/>
    <cellStyle name="40% - Accent6 4" xfId="268"/>
    <cellStyle name="40% - Accent6 5" xfId="269"/>
    <cellStyle name="40% - Accent6 6" xfId="270"/>
    <cellStyle name="40% - Accent6 7" xfId="271"/>
    <cellStyle name="40% - Accent6 8" xfId="272"/>
    <cellStyle name="5x indented GHG Textfiels" xfId="273"/>
    <cellStyle name="60% - Accent1 2" xfId="274"/>
    <cellStyle name="60% - Accent1 2 10" xfId="275"/>
    <cellStyle name="60% - Accent1 2 2" xfId="276"/>
    <cellStyle name="60% - Accent1 2 3" xfId="277"/>
    <cellStyle name="60% - Accent1 2 4" xfId="278"/>
    <cellStyle name="60% - Accent1 2 5" xfId="279"/>
    <cellStyle name="60% - Accent1 2 6" xfId="280"/>
    <cellStyle name="60% - Accent1 2 7" xfId="281"/>
    <cellStyle name="60% - Accent1 2 8" xfId="282"/>
    <cellStyle name="60% - Accent1 2 9" xfId="283"/>
    <cellStyle name="60% - Accent1 3" xfId="284"/>
    <cellStyle name="60% - Accent2 2" xfId="285"/>
    <cellStyle name="60% - Accent2 2 10" xfId="286"/>
    <cellStyle name="60% - Accent2 2 2" xfId="287"/>
    <cellStyle name="60% - Accent2 2 3" xfId="288"/>
    <cellStyle name="60% - Accent2 2 4" xfId="289"/>
    <cellStyle name="60% - Accent2 2 5" xfId="290"/>
    <cellStyle name="60% - Accent2 2 6" xfId="291"/>
    <cellStyle name="60% - Accent2 2 7" xfId="292"/>
    <cellStyle name="60% - Accent2 2 8" xfId="293"/>
    <cellStyle name="60% - Accent2 2 9" xfId="294"/>
    <cellStyle name="60% - Accent2 3" xfId="295"/>
    <cellStyle name="60% - Accent3 2" xfId="296"/>
    <cellStyle name="60% - Accent3 2 10" xfId="297"/>
    <cellStyle name="60% - Accent3 2 2" xfId="298"/>
    <cellStyle name="60% - Accent3 2 3" xfId="299"/>
    <cellStyle name="60% - Accent3 2 4" xfId="300"/>
    <cellStyle name="60% - Accent3 2 5" xfId="301"/>
    <cellStyle name="60% - Accent3 2 6" xfId="302"/>
    <cellStyle name="60% - Accent3 2 7" xfId="303"/>
    <cellStyle name="60% - Accent3 2 8" xfId="304"/>
    <cellStyle name="60% - Accent3 2 9" xfId="305"/>
    <cellStyle name="60% - Accent3 3" xfId="306"/>
    <cellStyle name="60% - Accent4 2" xfId="307"/>
    <cellStyle name="60% - Accent4 2 10" xfId="308"/>
    <cellStyle name="60% - Accent4 2 2" xfId="309"/>
    <cellStyle name="60% - Accent4 2 3" xfId="310"/>
    <cellStyle name="60% - Accent4 2 4" xfId="311"/>
    <cellStyle name="60% - Accent4 2 5" xfId="312"/>
    <cellStyle name="60% - Accent4 2 6" xfId="313"/>
    <cellStyle name="60% - Accent4 2 7" xfId="314"/>
    <cellStyle name="60% - Accent4 2 8" xfId="315"/>
    <cellStyle name="60% - Accent4 2 9" xfId="316"/>
    <cellStyle name="60% - Accent4 3" xfId="317"/>
    <cellStyle name="60% - Accent5 2" xfId="318"/>
    <cellStyle name="60% - Accent5 2 10" xfId="319"/>
    <cellStyle name="60% - Accent5 2 2" xfId="320"/>
    <cellStyle name="60% - Accent5 2 3" xfId="321"/>
    <cellStyle name="60% - Accent5 2 4" xfId="322"/>
    <cellStyle name="60% - Accent5 2 5" xfId="323"/>
    <cellStyle name="60% - Accent5 2 6" xfId="324"/>
    <cellStyle name="60% - Accent5 2 7" xfId="325"/>
    <cellStyle name="60% - Accent5 2 8" xfId="326"/>
    <cellStyle name="60% - Accent5 2 9" xfId="327"/>
    <cellStyle name="60% - Accent5 3" xfId="328"/>
    <cellStyle name="60% - Accent6 2" xfId="329"/>
    <cellStyle name="60% - Accent6 2 10" xfId="330"/>
    <cellStyle name="60% - Accent6 2 2" xfId="331"/>
    <cellStyle name="60% - Accent6 2 3" xfId="332"/>
    <cellStyle name="60% - Accent6 2 4" xfId="333"/>
    <cellStyle name="60% - Accent6 2 5" xfId="334"/>
    <cellStyle name="60% - Accent6 2 6" xfId="335"/>
    <cellStyle name="60% - Accent6 2 7" xfId="336"/>
    <cellStyle name="60% - Accent6 2 8" xfId="337"/>
    <cellStyle name="60% - Accent6 2 9" xfId="338"/>
    <cellStyle name="60% - Accent6 3" xfId="339"/>
    <cellStyle name="Accent1 2" xfId="340"/>
    <cellStyle name="Accent1 2 10" xfId="341"/>
    <cellStyle name="Accent1 2 2" xfId="342"/>
    <cellStyle name="Accent1 2 3" xfId="343"/>
    <cellStyle name="Accent1 2 4" xfId="344"/>
    <cellStyle name="Accent1 2 5" xfId="345"/>
    <cellStyle name="Accent1 2 6" xfId="346"/>
    <cellStyle name="Accent1 2 7" xfId="347"/>
    <cellStyle name="Accent1 2 8" xfId="348"/>
    <cellStyle name="Accent1 2 9" xfId="349"/>
    <cellStyle name="Accent1 3" xfId="350"/>
    <cellStyle name="Accent2 2" xfId="351"/>
    <cellStyle name="Accent2 2 10" xfId="352"/>
    <cellStyle name="Accent2 2 2" xfId="353"/>
    <cellStyle name="Accent2 2 3" xfId="354"/>
    <cellStyle name="Accent2 2 4" xfId="355"/>
    <cellStyle name="Accent2 2 5" xfId="356"/>
    <cellStyle name="Accent2 2 6" xfId="357"/>
    <cellStyle name="Accent2 2 7" xfId="358"/>
    <cellStyle name="Accent2 2 8" xfId="359"/>
    <cellStyle name="Accent2 2 9" xfId="360"/>
    <cellStyle name="Accent2 3" xfId="361"/>
    <cellStyle name="Accent3 2" xfId="362"/>
    <cellStyle name="Accent3 2 10" xfId="363"/>
    <cellStyle name="Accent3 2 2" xfId="364"/>
    <cellStyle name="Accent3 2 3" xfId="365"/>
    <cellStyle name="Accent3 2 4" xfId="366"/>
    <cellStyle name="Accent3 2 5" xfId="367"/>
    <cellStyle name="Accent3 2 6" xfId="368"/>
    <cellStyle name="Accent3 2 7" xfId="369"/>
    <cellStyle name="Accent3 2 8" xfId="370"/>
    <cellStyle name="Accent3 2 9" xfId="371"/>
    <cellStyle name="Accent3 3" xfId="372"/>
    <cellStyle name="Accent4 2" xfId="373"/>
    <cellStyle name="Accent4 2 10" xfId="374"/>
    <cellStyle name="Accent4 2 2" xfId="375"/>
    <cellStyle name="Accent4 2 3" xfId="376"/>
    <cellStyle name="Accent4 2 4" xfId="377"/>
    <cellStyle name="Accent4 2 5" xfId="378"/>
    <cellStyle name="Accent4 2 6" xfId="379"/>
    <cellStyle name="Accent4 2 7" xfId="380"/>
    <cellStyle name="Accent4 2 8" xfId="381"/>
    <cellStyle name="Accent4 2 9" xfId="382"/>
    <cellStyle name="Accent4 3" xfId="383"/>
    <cellStyle name="Accent5 2" xfId="384"/>
    <cellStyle name="Accent5 2 10" xfId="385"/>
    <cellStyle name="Accent5 2 2" xfId="386"/>
    <cellStyle name="Accent5 2 3" xfId="387"/>
    <cellStyle name="Accent5 2 4" xfId="388"/>
    <cellStyle name="Accent5 2 5" xfId="389"/>
    <cellStyle name="Accent5 2 6" xfId="390"/>
    <cellStyle name="Accent5 2 7" xfId="391"/>
    <cellStyle name="Accent5 2 8" xfId="392"/>
    <cellStyle name="Accent5 2 9" xfId="393"/>
    <cellStyle name="Accent5 3" xfId="394"/>
    <cellStyle name="Accent6 2" xfId="395"/>
    <cellStyle name="Accent6 2 10" xfId="396"/>
    <cellStyle name="Accent6 2 2" xfId="397"/>
    <cellStyle name="Accent6 2 3" xfId="398"/>
    <cellStyle name="Accent6 2 4" xfId="399"/>
    <cellStyle name="Accent6 2 5" xfId="400"/>
    <cellStyle name="Accent6 2 6" xfId="401"/>
    <cellStyle name="Accent6 2 7" xfId="402"/>
    <cellStyle name="Accent6 2 8" xfId="403"/>
    <cellStyle name="Accent6 2 9" xfId="404"/>
    <cellStyle name="Accent6 3" xfId="405"/>
    <cellStyle name="AggOrange_CRFReport-template" xfId="406"/>
    <cellStyle name="AggOrange9_CRFReport-template" xfId="407"/>
    <cellStyle name="Bad 2" xfId="408"/>
    <cellStyle name="Bad 2 10" xfId="409"/>
    <cellStyle name="Bad 2 2" xfId="410"/>
    <cellStyle name="Bad 2 3" xfId="411"/>
    <cellStyle name="Bad 2 4" xfId="412"/>
    <cellStyle name="Bad 2 5" xfId="413"/>
    <cellStyle name="Bad 2 6" xfId="414"/>
    <cellStyle name="Bad 2 7" xfId="415"/>
    <cellStyle name="Bad 2 8" xfId="416"/>
    <cellStyle name="Bad 2 9" xfId="417"/>
    <cellStyle name="Bad 3" xfId="418"/>
    <cellStyle name="Calculation 2" xfId="419"/>
    <cellStyle name="Calculation 2 10" xfId="420"/>
    <cellStyle name="Calculation 2 2" xfId="421"/>
    <cellStyle name="Calculation 2 3" xfId="422"/>
    <cellStyle name="Calculation 2 4" xfId="423"/>
    <cellStyle name="Calculation 2 5" xfId="424"/>
    <cellStyle name="Calculation 2 6" xfId="425"/>
    <cellStyle name="Calculation 2 7" xfId="426"/>
    <cellStyle name="Calculation 2 8" xfId="427"/>
    <cellStyle name="Calculation 2 9" xfId="428"/>
    <cellStyle name="Calculation 3" xfId="429"/>
    <cellStyle name="Check Cell 2" xfId="430"/>
    <cellStyle name="Check Cell 2 10" xfId="431"/>
    <cellStyle name="Check Cell 2 2" xfId="432"/>
    <cellStyle name="Check Cell 2 3" xfId="433"/>
    <cellStyle name="Check Cell 2 4" xfId="434"/>
    <cellStyle name="Check Cell 2 5" xfId="435"/>
    <cellStyle name="Check Cell 2 6" xfId="436"/>
    <cellStyle name="Check Cell 2 7" xfId="437"/>
    <cellStyle name="Check Cell 2 8" xfId="438"/>
    <cellStyle name="Check Cell 2 9" xfId="439"/>
    <cellStyle name="Check Cell 3" xfId="440"/>
    <cellStyle name="Comma [0] 2 10" xfId="441"/>
    <cellStyle name="Comma [0] 2 10 2" xfId="442"/>
    <cellStyle name="Comma [0] 2 2" xfId="443"/>
    <cellStyle name="Comma [0] 2 2 2" xfId="444"/>
    <cellStyle name="Comma [0] 2 3" xfId="445"/>
    <cellStyle name="Comma [0] 2 3 2" xfId="446"/>
    <cellStyle name="Comma [0] 2 4" xfId="447"/>
    <cellStyle name="Comma [0] 2 4 2" xfId="448"/>
    <cellStyle name="Comma [0] 2 5" xfId="449"/>
    <cellStyle name="Comma [0] 2 5 2" xfId="450"/>
    <cellStyle name="Comma [0] 2 6" xfId="451"/>
    <cellStyle name="Comma [0] 2 6 2" xfId="452"/>
    <cellStyle name="Comma [0] 2 7" xfId="453"/>
    <cellStyle name="Comma [0] 2 7 2" xfId="454"/>
    <cellStyle name="Comma [0] 2 8" xfId="455"/>
    <cellStyle name="Comma [0] 2 8 2" xfId="456"/>
    <cellStyle name="Comma [0] 2 9" xfId="457"/>
    <cellStyle name="Comma [0] 2 9 2" xfId="458"/>
    <cellStyle name="Comma 10" xfId="459"/>
    <cellStyle name="Comma 10 2" xfId="460"/>
    <cellStyle name="Comma 10 2 10" xfId="461"/>
    <cellStyle name="Comma 10 2 10 2" xfId="462"/>
    <cellStyle name="Comma 10 2 11" xfId="463"/>
    <cellStyle name="Comma 10 2 11 2" xfId="464"/>
    <cellStyle name="Comma 10 2 12" xfId="465"/>
    <cellStyle name="Comma 10 2 12 2" xfId="466"/>
    <cellStyle name="Comma 10 2 13" xfId="467"/>
    <cellStyle name="Comma 10 2 13 2" xfId="468"/>
    <cellStyle name="Comma 10 2 14" xfId="469"/>
    <cellStyle name="Comma 10 2 14 2" xfId="470"/>
    <cellStyle name="Comma 10 2 15" xfId="471"/>
    <cellStyle name="Comma 10 2 15 2" xfId="472"/>
    <cellStyle name="Comma 10 2 16" xfId="473"/>
    <cellStyle name="Comma 10 2 16 2" xfId="474"/>
    <cellStyle name="Comma 10 2 17" xfId="475"/>
    <cellStyle name="Comma 10 2 17 2" xfId="476"/>
    <cellStyle name="Comma 10 2 18" xfId="477"/>
    <cellStyle name="Comma 10 2 2" xfId="478"/>
    <cellStyle name="Comma 10 2 2 2" xfId="479"/>
    <cellStyle name="Comma 10 2 3" xfId="480"/>
    <cellStyle name="Comma 10 2 3 2" xfId="481"/>
    <cellStyle name="Comma 10 2 4" xfId="482"/>
    <cellStyle name="Comma 10 2 4 2" xfId="483"/>
    <cellStyle name="Comma 10 2 5" xfId="484"/>
    <cellStyle name="Comma 10 2 5 2" xfId="485"/>
    <cellStyle name="Comma 10 2 6" xfId="486"/>
    <cellStyle name="Comma 10 2 6 2" xfId="487"/>
    <cellStyle name="Comma 10 2 7" xfId="488"/>
    <cellStyle name="Comma 10 2 7 2" xfId="489"/>
    <cellStyle name="Comma 10 2 8" xfId="490"/>
    <cellStyle name="Comma 10 2 8 2" xfId="491"/>
    <cellStyle name="Comma 10 2 9" xfId="492"/>
    <cellStyle name="Comma 10 2 9 2" xfId="493"/>
    <cellStyle name="Comma 10 3" xfId="494"/>
    <cellStyle name="Comma 10 3 10" xfId="495"/>
    <cellStyle name="Comma 10 3 10 2" xfId="496"/>
    <cellStyle name="Comma 10 3 11" xfId="497"/>
    <cellStyle name="Comma 10 3 11 2" xfId="498"/>
    <cellStyle name="Comma 10 3 12" xfId="499"/>
    <cellStyle name="Comma 10 3 12 2" xfId="500"/>
    <cellStyle name="Comma 10 3 13" xfId="501"/>
    <cellStyle name="Comma 10 3 13 2" xfId="502"/>
    <cellStyle name="Comma 10 3 14" xfId="503"/>
    <cellStyle name="Comma 10 3 14 2" xfId="504"/>
    <cellStyle name="Comma 10 3 15" xfId="505"/>
    <cellStyle name="Comma 10 3 15 2" xfId="506"/>
    <cellStyle name="Comma 10 3 16" xfId="507"/>
    <cellStyle name="Comma 10 3 16 2" xfId="508"/>
    <cellStyle name="Comma 10 3 17" xfId="509"/>
    <cellStyle name="Comma 10 3 17 2" xfId="510"/>
    <cellStyle name="Comma 10 3 18" xfId="511"/>
    <cellStyle name="Comma 10 3 2" xfId="512"/>
    <cellStyle name="Comma 10 3 2 2" xfId="513"/>
    <cellStyle name="Comma 10 3 3" xfId="514"/>
    <cellStyle name="Comma 10 3 3 2" xfId="515"/>
    <cellStyle name="Comma 10 3 4" xfId="516"/>
    <cellStyle name="Comma 10 3 4 2" xfId="517"/>
    <cellStyle name="Comma 10 3 5" xfId="518"/>
    <cellStyle name="Comma 10 3 5 2" xfId="519"/>
    <cellStyle name="Comma 10 3 6" xfId="520"/>
    <cellStyle name="Comma 10 3 6 2" xfId="521"/>
    <cellStyle name="Comma 10 3 7" xfId="522"/>
    <cellStyle name="Comma 10 3 7 2" xfId="523"/>
    <cellStyle name="Comma 10 3 8" xfId="524"/>
    <cellStyle name="Comma 10 3 8 2" xfId="525"/>
    <cellStyle name="Comma 10 3 9" xfId="526"/>
    <cellStyle name="Comma 10 3 9 2" xfId="527"/>
    <cellStyle name="Comma 10 4" xfId="528"/>
    <cellStyle name="Comma 10 4 10" xfId="529"/>
    <cellStyle name="Comma 10 4 10 2" xfId="530"/>
    <cellStyle name="Comma 10 4 11" xfId="531"/>
    <cellStyle name="Comma 10 4 11 2" xfId="532"/>
    <cellStyle name="Comma 10 4 12" xfId="533"/>
    <cellStyle name="Comma 10 4 12 2" xfId="534"/>
    <cellStyle name="Comma 10 4 13" xfId="535"/>
    <cellStyle name="Comma 10 4 13 2" xfId="536"/>
    <cellStyle name="Comma 10 4 14" xfId="537"/>
    <cellStyle name="Comma 10 4 14 2" xfId="538"/>
    <cellStyle name="Comma 10 4 15" xfId="539"/>
    <cellStyle name="Comma 10 4 15 2" xfId="540"/>
    <cellStyle name="Comma 10 4 16" xfId="541"/>
    <cellStyle name="Comma 10 4 16 2" xfId="542"/>
    <cellStyle name="Comma 10 4 17" xfId="543"/>
    <cellStyle name="Comma 10 4 17 2" xfId="544"/>
    <cellStyle name="Comma 10 4 18" xfId="545"/>
    <cellStyle name="Comma 10 4 2" xfId="546"/>
    <cellStyle name="Comma 10 4 2 2" xfId="547"/>
    <cellStyle name="Comma 10 4 3" xfId="548"/>
    <cellStyle name="Comma 10 4 3 2" xfId="549"/>
    <cellStyle name="Comma 10 4 4" xfId="550"/>
    <cellStyle name="Comma 10 4 4 2" xfId="551"/>
    <cellStyle name="Comma 10 4 5" xfId="552"/>
    <cellStyle name="Comma 10 4 5 2" xfId="553"/>
    <cellStyle name="Comma 10 4 6" xfId="554"/>
    <cellStyle name="Comma 10 4 6 2" xfId="555"/>
    <cellStyle name="Comma 10 4 7" xfId="556"/>
    <cellStyle name="Comma 10 4 7 2" xfId="557"/>
    <cellStyle name="Comma 10 4 8" xfId="558"/>
    <cellStyle name="Comma 10 4 8 2" xfId="559"/>
    <cellStyle name="Comma 10 4 9" xfId="560"/>
    <cellStyle name="Comma 10 4 9 2" xfId="561"/>
    <cellStyle name="Comma 10 5" xfId="562"/>
    <cellStyle name="Comma 10 5 10" xfId="563"/>
    <cellStyle name="Comma 10 5 10 2" xfId="564"/>
    <cellStyle name="Comma 10 5 11" xfId="565"/>
    <cellStyle name="Comma 10 5 11 2" xfId="566"/>
    <cellStyle name="Comma 10 5 12" xfId="567"/>
    <cellStyle name="Comma 10 5 12 2" xfId="568"/>
    <cellStyle name="Comma 10 5 13" xfId="569"/>
    <cellStyle name="Comma 10 5 13 2" xfId="570"/>
    <cellStyle name="Comma 10 5 14" xfId="571"/>
    <cellStyle name="Comma 10 5 14 2" xfId="572"/>
    <cellStyle name="Comma 10 5 15" xfId="573"/>
    <cellStyle name="Comma 10 5 15 2" xfId="574"/>
    <cellStyle name="Comma 10 5 16" xfId="575"/>
    <cellStyle name="Comma 10 5 16 2" xfId="576"/>
    <cellStyle name="Comma 10 5 17" xfId="577"/>
    <cellStyle name="Comma 10 5 17 2" xfId="578"/>
    <cellStyle name="Comma 10 5 18" xfId="579"/>
    <cellStyle name="Comma 10 5 2" xfId="580"/>
    <cellStyle name="Comma 10 5 2 2" xfId="581"/>
    <cellStyle name="Comma 10 5 3" xfId="582"/>
    <cellStyle name="Comma 10 5 3 2" xfId="583"/>
    <cellStyle name="Comma 10 5 4" xfId="584"/>
    <cellStyle name="Comma 10 5 4 2" xfId="585"/>
    <cellStyle name="Comma 10 5 5" xfId="586"/>
    <cellStyle name="Comma 10 5 5 2" xfId="587"/>
    <cellStyle name="Comma 10 5 6" xfId="588"/>
    <cellStyle name="Comma 10 5 6 2" xfId="589"/>
    <cellStyle name="Comma 10 5 7" xfId="590"/>
    <cellStyle name="Comma 10 5 7 2" xfId="591"/>
    <cellStyle name="Comma 10 5 8" xfId="592"/>
    <cellStyle name="Comma 10 5 8 2" xfId="593"/>
    <cellStyle name="Comma 10 5 9" xfId="594"/>
    <cellStyle name="Comma 10 5 9 2" xfId="595"/>
    <cellStyle name="Comma 10 6" xfId="596"/>
    <cellStyle name="Comma 10 6 10" xfId="597"/>
    <cellStyle name="Comma 10 6 10 2" xfId="598"/>
    <cellStyle name="Comma 10 6 11" xfId="599"/>
    <cellStyle name="Comma 10 6 11 2" xfId="600"/>
    <cellStyle name="Comma 10 6 12" xfId="601"/>
    <cellStyle name="Comma 10 6 12 2" xfId="602"/>
    <cellStyle name="Comma 10 6 13" xfId="603"/>
    <cellStyle name="Comma 10 6 13 2" xfId="604"/>
    <cellStyle name="Comma 10 6 14" xfId="605"/>
    <cellStyle name="Comma 10 6 14 2" xfId="606"/>
    <cellStyle name="Comma 10 6 15" xfId="607"/>
    <cellStyle name="Comma 10 6 15 2" xfId="608"/>
    <cellStyle name="Comma 10 6 16" xfId="609"/>
    <cellStyle name="Comma 10 6 16 2" xfId="610"/>
    <cellStyle name="Comma 10 6 17" xfId="611"/>
    <cellStyle name="Comma 10 6 17 2" xfId="612"/>
    <cellStyle name="Comma 10 6 18" xfId="613"/>
    <cellStyle name="Comma 10 6 2" xfId="614"/>
    <cellStyle name="Comma 10 6 2 2" xfId="615"/>
    <cellStyle name="Comma 10 6 3" xfId="616"/>
    <cellStyle name="Comma 10 6 3 2" xfId="617"/>
    <cellStyle name="Comma 10 6 4" xfId="618"/>
    <cellStyle name="Comma 10 6 4 2" xfId="619"/>
    <cellStyle name="Comma 10 6 5" xfId="620"/>
    <cellStyle name="Comma 10 6 5 2" xfId="621"/>
    <cellStyle name="Comma 10 6 6" xfId="622"/>
    <cellStyle name="Comma 10 6 6 2" xfId="623"/>
    <cellStyle name="Comma 10 6 7" xfId="624"/>
    <cellStyle name="Comma 10 6 7 2" xfId="625"/>
    <cellStyle name="Comma 10 6 8" xfId="626"/>
    <cellStyle name="Comma 10 6 8 2" xfId="627"/>
    <cellStyle name="Comma 10 6 9" xfId="628"/>
    <cellStyle name="Comma 10 6 9 2" xfId="629"/>
    <cellStyle name="Comma 10 7" xfId="630"/>
    <cellStyle name="Comma 10 7 10" xfId="631"/>
    <cellStyle name="Comma 10 7 10 2" xfId="632"/>
    <cellStyle name="Comma 10 7 11" xfId="633"/>
    <cellStyle name="Comma 10 7 11 2" xfId="634"/>
    <cellStyle name="Comma 10 7 12" xfId="635"/>
    <cellStyle name="Comma 10 7 12 2" xfId="636"/>
    <cellStyle name="Comma 10 7 13" xfId="637"/>
    <cellStyle name="Comma 10 7 13 2" xfId="638"/>
    <cellStyle name="Comma 10 7 14" xfId="639"/>
    <cellStyle name="Comma 10 7 14 2" xfId="640"/>
    <cellStyle name="Comma 10 7 15" xfId="641"/>
    <cellStyle name="Comma 10 7 15 2" xfId="642"/>
    <cellStyle name="Comma 10 7 16" xfId="643"/>
    <cellStyle name="Comma 10 7 16 2" xfId="644"/>
    <cellStyle name="Comma 10 7 17" xfId="645"/>
    <cellStyle name="Comma 10 7 17 2" xfId="646"/>
    <cellStyle name="Comma 10 7 18" xfId="647"/>
    <cellStyle name="Comma 10 7 2" xfId="648"/>
    <cellStyle name="Comma 10 7 2 2" xfId="649"/>
    <cellStyle name="Comma 10 7 3" xfId="650"/>
    <cellStyle name="Comma 10 7 3 2" xfId="651"/>
    <cellStyle name="Comma 10 7 4" xfId="652"/>
    <cellStyle name="Comma 10 7 4 2" xfId="653"/>
    <cellStyle name="Comma 10 7 5" xfId="654"/>
    <cellStyle name="Comma 10 7 5 2" xfId="655"/>
    <cellStyle name="Comma 10 7 6" xfId="656"/>
    <cellStyle name="Comma 10 7 6 2" xfId="657"/>
    <cellStyle name="Comma 10 7 7" xfId="658"/>
    <cellStyle name="Comma 10 7 7 2" xfId="659"/>
    <cellStyle name="Comma 10 7 8" xfId="660"/>
    <cellStyle name="Comma 10 7 8 2" xfId="661"/>
    <cellStyle name="Comma 10 7 9" xfId="662"/>
    <cellStyle name="Comma 10 7 9 2" xfId="663"/>
    <cellStyle name="Comma 10 8" xfId="664"/>
    <cellStyle name="Comma 10 8 10" xfId="665"/>
    <cellStyle name="Comma 10 8 10 2" xfId="666"/>
    <cellStyle name="Comma 10 8 11" xfId="667"/>
    <cellStyle name="Comma 10 8 11 2" xfId="668"/>
    <cellStyle name="Comma 10 8 12" xfId="669"/>
    <cellStyle name="Comma 10 8 12 2" xfId="670"/>
    <cellStyle name="Comma 10 8 13" xfId="671"/>
    <cellStyle name="Comma 10 8 13 2" xfId="672"/>
    <cellStyle name="Comma 10 8 14" xfId="673"/>
    <cellStyle name="Comma 10 8 14 2" xfId="674"/>
    <cellStyle name="Comma 10 8 15" xfId="675"/>
    <cellStyle name="Comma 10 8 15 2" xfId="676"/>
    <cellStyle name="Comma 10 8 16" xfId="677"/>
    <cellStyle name="Comma 10 8 16 2" xfId="678"/>
    <cellStyle name="Comma 10 8 17" xfId="679"/>
    <cellStyle name="Comma 10 8 17 2" xfId="680"/>
    <cellStyle name="Comma 10 8 18" xfId="681"/>
    <cellStyle name="Comma 10 8 2" xfId="682"/>
    <cellStyle name="Comma 10 8 2 2" xfId="683"/>
    <cellStyle name="Comma 10 8 3" xfId="684"/>
    <cellStyle name="Comma 10 8 3 2" xfId="685"/>
    <cellStyle name="Comma 10 8 4" xfId="686"/>
    <cellStyle name="Comma 10 8 4 2" xfId="687"/>
    <cellStyle name="Comma 10 8 5" xfId="688"/>
    <cellStyle name="Comma 10 8 5 2" xfId="689"/>
    <cellStyle name="Comma 10 8 6" xfId="690"/>
    <cellStyle name="Comma 10 8 6 2" xfId="691"/>
    <cellStyle name="Comma 10 8 7" xfId="692"/>
    <cellStyle name="Comma 10 8 7 2" xfId="693"/>
    <cellStyle name="Comma 10 8 8" xfId="694"/>
    <cellStyle name="Comma 10 8 8 2" xfId="695"/>
    <cellStyle name="Comma 10 8 9" xfId="696"/>
    <cellStyle name="Comma 10 8 9 2" xfId="697"/>
    <cellStyle name="Comma 11" xfId="698"/>
    <cellStyle name="Comma 11 2" xfId="699"/>
    <cellStyle name="Comma 12" xfId="700"/>
    <cellStyle name="Comma 12 2" xfId="701"/>
    <cellStyle name="Comma 13" xfId="702"/>
    <cellStyle name="Comma 13 2" xfId="703"/>
    <cellStyle name="Comma 14" xfId="704"/>
    <cellStyle name="Comma 14 2" xfId="705"/>
    <cellStyle name="Comma 15" xfId="706"/>
    <cellStyle name="Comma 15 2" xfId="707"/>
    <cellStyle name="Comma 15 2 2" xfId="708"/>
    <cellStyle name="Comma 15 3" xfId="709"/>
    <cellStyle name="Comma 15 3 2" xfId="710"/>
    <cellStyle name="Comma 15 4" xfId="711"/>
    <cellStyle name="Comma 16" xfId="712"/>
    <cellStyle name="Comma 16 2" xfId="713"/>
    <cellStyle name="Comma 16 2 2" xfId="714"/>
    <cellStyle name="Comma 16 3" xfId="715"/>
    <cellStyle name="Comma 16 3 2" xfId="716"/>
    <cellStyle name="Comma 16 4" xfId="717"/>
    <cellStyle name="Comma 17" xfId="718"/>
    <cellStyle name="Comma 17 2" xfId="719"/>
    <cellStyle name="Comma 17 2 2" xfId="720"/>
    <cellStyle name="Comma 17 3" xfId="721"/>
    <cellStyle name="Comma 18" xfId="722"/>
    <cellStyle name="Comma 18 2" xfId="723"/>
    <cellStyle name="Comma 19" xfId="724"/>
    <cellStyle name="Comma 19 2" xfId="725"/>
    <cellStyle name="Comma 2" xfId="726"/>
    <cellStyle name="Comma 2 10" xfId="727"/>
    <cellStyle name="Comma 2 11" xfId="728"/>
    <cellStyle name="Comma 2 12" xfId="729"/>
    <cellStyle name="Comma 2 13" xfId="730"/>
    <cellStyle name="Comma 2 14" xfId="731"/>
    <cellStyle name="Comma 2 15" xfId="732"/>
    <cellStyle name="Comma 2 16" xfId="733"/>
    <cellStyle name="Comma 2 17" xfId="734"/>
    <cellStyle name="Comma 2 17 2" xfId="735"/>
    <cellStyle name="Comma 2 18" xfId="736"/>
    <cellStyle name="Comma 2 18 2" xfId="737"/>
    <cellStyle name="Comma 2 19" xfId="738"/>
    <cellStyle name="Comma 2 19 2" xfId="739"/>
    <cellStyle name="Comma 2 19 2 2" xfId="740"/>
    <cellStyle name="Comma 2 19 3" xfId="741"/>
    <cellStyle name="Comma 2 19 3 2" xfId="742"/>
    <cellStyle name="Comma 2 19 4" xfId="743"/>
    <cellStyle name="Comma 2 2" xfId="744"/>
    <cellStyle name="Comma 2 2 2" xfId="745"/>
    <cellStyle name="Comma 2 2 3" xfId="746"/>
    <cellStyle name="Comma 2 2 3 2" xfId="747"/>
    <cellStyle name="Comma 2 20" xfId="748"/>
    <cellStyle name="Comma 2 20 2" xfId="749"/>
    <cellStyle name="Comma 2 21" xfId="750"/>
    <cellStyle name="Comma 2 3" xfId="751"/>
    <cellStyle name="Comma 2 4" xfId="752"/>
    <cellStyle name="Comma 2 5" xfId="753"/>
    <cellStyle name="Comma 2 6" xfId="754"/>
    <cellStyle name="Comma 2 7" xfId="755"/>
    <cellStyle name="Comma 2 8" xfId="756"/>
    <cellStyle name="Comma 2 9" xfId="757"/>
    <cellStyle name="Comma 20" xfId="758"/>
    <cellStyle name="Comma 20 2" xfId="759"/>
    <cellStyle name="Comma 21" xfId="760"/>
    <cellStyle name="Comma 21 2" xfId="761"/>
    <cellStyle name="Comma 22" xfId="762"/>
    <cellStyle name="Comma 22 2" xfId="763"/>
    <cellStyle name="Comma 23" xfId="764"/>
    <cellStyle name="Comma 23 2" xfId="765"/>
    <cellStyle name="Comma 24" xfId="766"/>
    <cellStyle name="Comma 24 2" xfId="767"/>
    <cellStyle name="Comma 25" xfId="768"/>
    <cellStyle name="Comma 25 2" xfId="769"/>
    <cellStyle name="Comma 26" xfId="770"/>
    <cellStyle name="Comma 26 2" xfId="771"/>
    <cellStyle name="Comma 27" xfId="772"/>
    <cellStyle name="Comma 3" xfId="773"/>
    <cellStyle name="Comma 3 10" xfId="774"/>
    <cellStyle name="Comma 3 10 2" xfId="775"/>
    <cellStyle name="Comma 3 11" xfId="776"/>
    <cellStyle name="Comma 3 2" xfId="777"/>
    <cellStyle name="Comma 3 2 2" xfId="778"/>
    <cellStyle name="Comma 3 3" xfId="779"/>
    <cellStyle name="Comma 3 3 2" xfId="780"/>
    <cellStyle name="Comma 3 4" xfId="781"/>
    <cellStyle name="Comma 3 4 2" xfId="782"/>
    <cellStyle name="Comma 3 5" xfId="783"/>
    <cellStyle name="Comma 3 5 2" xfId="784"/>
    <cellStyle name="Comma 3 6" xfId="785"/>
    <cellStyle name="Comma 3 6 2" xfId="786"/>
    <cellStyle name="Comma 3 7" xfId="787"/>
    <cellStyle name="Comma 3 7 2" xfId="788"/>
    <cellStyle name="Comma 3 8" xfId="789"/>
    <cellStyle name="Comma 3 8 2" xfId="790"/>
    <cellStyle name="Comma 3 9" xfId="791"/>
    <cellStyle name="Comma 3 9 2" xfId="792"/>
    <cellStyle name="Comma 4" xfId="793"/>
    <cellStyle name="Comma 4 2" xfId="794"/>
    <cellStyle name="Comma 4 2 2" xfId="795"/>
    <cellStyle name="Comma 4 3" xfId="796"/>
    <cellStyle name="Comma 4 3 2" xfId="797"/>
    <cellStyle name="Comma 4 4" xfId="798"/>
    <cellStyle name="Comma 4 4 2" xfId="799"/>
    <cellStyle name="Comma 4 5" xfId="800"/>
    <cellStyle name="Comma 4 5 2" xfId="801"/>
    <cellStyle name="Comma 4 6" xfId="802"/>
    <cellStyle name="Comma 4 6 2" xfId="803"/>
    <cellStyle name="Comma 4 7" xfId="804"/>
    <cellStyle name="Comma 4 7 2" xfId="805"/>
    <cellStyle name="Comma 4 8" xfId="806"/>
    <cellStyle name="Comma 4 8 2" xfId="807"/>
    <cellStyle name="Comma 4 9" xfId="808"/>
    <cellStyle name="Comma 5" xfId="809"/>
    <cellStyle name="Comma 5 2" xfId="810"/>
    <cellStyle name="Comma 5 2 2" xfId="811"/>
    <cellStyle name="Comma 5 3" xfId="812"/>
    <cellStyle name="Comma 5 3 2" xfId="813"/>
    <cellStyle name="Comma 5 4" xfId="814"/>
    <cellStyle name="Comma 5 4 2" xfId="815"/>
    <cellStyle name="Comma 5 5" xfId="816"/>
    <cellStyle name="Comma 5 5 2" xfId="817"/>
    <cellStyle name="Comma 5 6" xfId="818"/>
    <cellStyle name="Comma 5 6 2" xfId="819"/>
    <cellStyle name="Comma 5 7" xfId="820"/>
    <cellStyle name="Comma 5 7 2" xfId="821"/>
    <cellStyle name="Comma 5 8" xfId="822"/>
    <cellStyle name="Comma 5 8 2" xfId="823"/>
    <cellStyle name="Comma 5 9" xfId="824"/>
    <cellStyle name="Comma 6" xfId="825"/>
    <cellStyle name="Comma 6 2" xfId="826"/>
    <cellStyle name="Comma 6 2 2" xfId="827"/>
    <cellStyle name="Comma 6 3" xfId="828"/>
    <cellStyle name="Comma 6 3 2" xfId="829"/>
    <cellStyle name="Comma 6 4" xfId="830"/>
    <cellStyle name="Comma 6 4 2" xfId="831"/>
    <cellStyle name="Comma 6 5" xfId="832"/>
    <cellStyle name="Comma 6 5 2" xfId="833"/>
    <cellStyle name="Comma 6 6" xfId="834"/>
    <cellStyle name="Comma 6 6 2" xfId="835"/>
    <cellStyle name="Comma 6 7" xfId="836"/>
    <cellStyle name="Comma 6 7 2" xfId="837"/>
    <cellStyle name="Comma 6 8" xfId="838"/>
    <cellStyle name="Comma 6 8 2" xfId="839"/>
    <cellStyle name="Comma 6 9" xfId="840"/>
    <cellStyle name="Comma 7" xfId="841"/>
    <cellStyle name="Comma 7 10" xfId="842"/>
    <cellStyle name="Comma 7 10 2" xfId="843"/>
    <cellStyle name="Comma 7 11" xfId="844"/>
    <cellStyle name="Comma 7 11 2" xfId="845"/>
    <cellStyle name="Comma 7 12" xfId="846"/>
    <cellStyle name="Comma 7 12 2" xfId="847"/>
    <cellStyle name="Comma 7 13" xfId="848"/>
    <cellStyle name="Comma 7 13 2" xfId="849"/>
    <cellStyle name="Comma 7 14" xfId="850"/>
    <cellStyle name="Comma 7 14 2" xfId="851"/>
    <cellStyle name="Comma 7 15" xfId="852"/>
    <cellStyle name="Comma 7 15 2" xfId="853"/>
    <cellStyle name="Comma 7 16" xfId="854"/>
    <cellStyle name="Comma 7 16 2" xfId="855"/>
    <cellStyle name="Comma 7 17" xfId="856"/>
    <cellStyle name="Comma 7 17 2" xfId="857"/>
    <cellStyle name="Comma 7 18" xfId="858"/>
    <cellStyle name="Comma 7 18 2" xfId="859"/>
    <cellStyle name="Comma 7 19" xfId="860"/>
    <cellStyle name="Comma 7 19 2" xfId="861"/>
    <cellStyle name="Comma 7 2" xfId="862"/>
    <cellStyle name="Comma 7 2 2" xfId="863"/>
    <cellStyle name="Comma 7 20" xfId="864"/>
    <cellStyle name="Comma 7 20 2" xfId="865"/>
    <cellStyle name="Comma 7 21" xfId="866"/>
    <cellStyle name="Comma 7 21 2" xfId="867"/>
    <cellStyle name="Comma 7 3" xfId="868"/>
    <cellStyle name="Comma 7 3 10" xfId="869"/>
    <cellStyle name="Comma 7 3 10 2" xfId="870"/>
    <cellStyle name="Comma 7 3 11" xfId="871"/>
    <cellStyle name="Comma 7 3 11 2" xfId="872"/>
    <cellStyle name="Comma 7 3 12" xfId="873"/>
    <cellStyle name="Comma 7 3 12 2" xfId="874"/>
    <cellStyle name="Comma 7 3 13" xfId="875"/>
    <cellStyle name="Comma 7 3 13 2" xfId="876"/>
    <cellStyle name="Comma 7 3 14" xfId="877"/>
    <cellStyle name="Comma 7 3 14 2" xfId="878"/>
    <cellStyle name="Comma 7 3 15" xfId="879"/>
    <cellStyle name="Comma 7 3 15 2" xfId="880"/>
    <cellStyle name="Comma 7 3 2" xfId="881"/>
    <cellStyle name="Comma 7 3 2 2" xfId="882"/>
    <cellStyle name="Comma 7 3 3" xfId="883"/>
    <cellStyle name="Comma 7 3 3 2" xfId="884"/>
    <cellStyle name="Comma 7 3 4" xfId="885"/>
    <cellStyle name="Comma 7 3 4 2" xfId="886"/>
    <cellStyle name="Comma 7 3 5" xfId="887"/>
    <cellStyle name="Comma 7 3 5 2" xfId="888"/>
    <cellStyle name="Comma 7 3 6" xfId="889"/>
    <cellStyle name="Comma 7 3 6 2" xfId="890"/>
    <cellStyle name="Comma 7 3 7" xfId="891"/>
    <cellStyle name="Comma 7 3 7 2" xfId="892"/>
    <cellStyle name="Comma 7 3 8" xfId="893"/>
    <cellStyle name="Comma 7 3 8 2" xfId="894"/>
    <cellStyle name="Comma 7 3 9" xfId="895"/>
    <cellStyle name="Comma 7 3 9 2" xfId="896"/>
    <cellStyle name="Comma 7 4" xfId="897"/>
    <cellStyle name="Comma 7 4 2" xfId="898"/>
    <cellStyle name="Comma 7 5" xfId="899"/>
    <cellStyle name="Comma 7 5 2" xfId="900"/>
    <cellStyle name="Comma 7 6" xfId="901"/>
    <cellStyle name="Comma 7 6 2" xfId="902"/>
    <cellStyle name="Comma 7 7" xfId="903"/>
    <cellStyle name="Comma 7 7 2" xfId="904"/>
    <cellStyle name="Comma 7 8" xfId="905"/>
    <cellStyle name="Comma 7 8 2" xfId="906"/>
    <cellStyle name="Comma 7 9" xfId="907"/>
    <cellStyle name="Comma 7 9 2" xfId="908"/>
    <cellStyle name="Comma 8" xfId="909"/>
    <cellStyle name="Comma 8 2" xfId="910"/>
    <cellStyle name="Comma 8 2 2" xfId="911"/>
    <cellStyle name="Comma 8 3" xfId="912"/>
    <cellStyle name="Comma 8 3 2" xfId="913"/>
    <cellStyle name="Comma 8 4" xfId="914"/>
    <cellStyle name="Comma 8 4 2" xfId="915"/>
    <cellStyle name="Comma 8 5" xfId="916"/>
    <cellStyle name="Comma 8 5 2" xfId="917"/>
    <cellStyle name="Comma 8 6" xfId="918"/>
    <cellStyle name="Comma 8 6 2" xfId="919"/>
    <cellStyle name="Comma 8 7" xfId="920"/>
    <cellStyle name="Comma 8 7 2" xfId="921"/>
    <cellStyle name="Comma 8 8" xfId="922"/>
    <cellStyle name="Comma 8 8 2" xfId="923"/>
    <cellStyle name="Comma 9" xfId="924"/>
    <cellStyle name="Comma 9 10" xfId="925"/>
    <cellStyle name="Comma 9 10 2" xfId="926"/>
    <cellStyle name="Comma 9 2" xfId="927"/>
    <cellStyle name="Comma 9 2 2" xfId="928"/>
    <cellStyle name="Comma 9 3" xfId="929"/>
    <cellStyle name="Comma 9 3 2" xfId="930"/>
    <cellStyle name="Comma 9 4" xfId="931"/>
    <cellStyle name="Comma 9 4 2" xfId="932"/>
    <cellStyle name="Comma 9 5" xfId="933"/>
    <cellStyle name="Comma 9 5 2" xfId="934"/>
    <cellStyle name="Comma 9 6" xfId="935"/>
    <cellStyle name="Comma 9 6 2" xfId="936"/>
    <cellStyle name="Comma 9 7" xfId="937"/>
    <cellStyle name="Comma 9 7 2" xfId="938"/>
    <cellStyle name="Comma 9 8" xfId="939"/>
    <cellStyle name="Comma 9 8 2" xfId="940"/>
    <cellStyle name="Comma 9 9" xfId="941"/>
    <cellStyle name="Comma 9 9 2" xfId="942"/>
    <cellStyle name="Currency 2 2" xfId="943"/>
    <cellStyle name="CustomizationCells" xfId="944"/>
    <cellStyle name="Euro" xfId="945"/>
    <cellStyle name="Euro 2" xfId="946"/>
    <cellStyle name="Euro 2 2" xfId="947"/>
    <cellStyle name="Euro 2 2 2" xfId="948"/>
    <cellStyle name="Euro 3" xfId="949"/>
    <cellStyle name="Euro 4" xfId="950"/>
    <cellStyle name="Euro 4 2" xfId="951"/>
    <cellStyle name="Euro 4 3" xfId="952"/>
    <cellStyle name="Euro 5" xfId="953"/>
    <cellStyle name="Euro 5 2" xfId="954"/>
    <cellStyle name="Euro 6" xfId="955"/>
    <cellStyle name="Euro 6 2" xfId="956"/>
    <cellStyle name="Euro 6 3" xfId="957"/>
    <cellStyle name="Euro 7" xfId="958"/>
    <cellStyle name="Explanatory Text 2" xfId="959"/>
    <cellStyle name="Explanatory Text 2 10" xfId="960"/>
    <cellStyle name="Explanatory Text 2 2" xfId="961"/>
    <cellStyle name="Explanatory Text 2 3" xfId="962"/>
    <cellStyle name="Explanatory Text 2 4" xfId="963"/>
    <cellStyle name="Explanatory Text 2 5" xfId="964"/>
    <cellStyle name="Explanatory Text 2 6" xfId="965"/>
    <cellStyle name="Explanatory Text 2 7" xfId="966"/>
    <cellStyle name="Explanatory Text 2 8" xfId="967"/>
    <cellStyle name="Explanatory Text 2 9" xfId="968"/>
    <cellStyle name="Explanatory Text 3" xfId="969"/>
    <cellStyle name="Float" xfId="970"/>
    <cellStyle name="Float 2" xfId="971"/>
    <cellStyle name="Float 2 2" xfId="972"/>
    <cellStyle name="Float 3" xfId="973"/>
    <cellStyle name="Good 2" xfId="974"/>
    <cellStyle name="Good 2 10" xfId="975"/>
    <cellStyle name="Good 2 2" xfId="976"/>
    <cellStyle name="Good 2 3" xfId="977"/>
    <cellStyle name="Good 2 4" xfId="978"/>
    <cellStyle name="Good 2 5" xfId="979"/>
    <cellStyle name="Good 2 6" xfId="980"/>
    <cellStyle name="Good 2 7" xfId="981"/>
    <cellStyle name="Good 2 8" xfId="982"/>
    <cellStyle name="Good 2 9" xfId="983"/>
    <cellStyle name="Good 3" xfId="984"/>
    <cellStyle name="Heading 1 2" xfId="985"/>
    <cellStyle name="Heading 1 2 10" xfId="986"/>
    <cellStyle name="Heading 1 2 2" xfId="987"/>
    <cellStyle name="Heading 1 2 3" xfId="988"/>
    <cellStyle name="Heading 1 2 4" xfId="989"/>
    <cellStyle name="Heading 1 2 5" xfId="990"/>
    <cellStyle name="Heading 1 2 6" xfId="991"/>
    <cellStyle name="Heading 1 2 7" xfId="992"/>
    <cellStyle name="Heading 1 2 8" xfId="993"/>
    <cellStyle name="Heading 1 2 9" xfId="994"/>
    <cellStyle name="Heading 1 3" xfId="995"/>
    <cellStyle name="Heading 2 2" xfId="996"/>
    <cellStyle name="Heading 2 2 10" xfId="997"/>
    <cellStyle name="Heading 2 2 2" xfId="998"/>
    <cellStyle name="Heading 2 2 3" xfId="999"/>
    <cellStyle name="Heading 2 2 4" xfId="1000"/>
    <cellStyle name="Heading 2 2 5" xfId="1001"/>
    <cellStyle name="Heading 2 2 6" xfId="1002"/>
    <cellStyle name="Heading 2 2 7" xfId="1003"/>
    <cellStyle name="Heading 2 2 8" xfId="1004"/>
    <cellStyle name="Heading 2 2 9" xfId="1005"/>
    <cellStyle name="Heading 2 3" xfId="1006"/>
    <cellStyle name="Heading 3 2" xfId="1007"/>
    <cellStyle name="Heading 3 2 10" xfId="1008"/>
    <cellStyle name="Heading 3 2 2" xfId="1009"/>
    <cellStyle name="Heading 3 2 3" xfId="1010"/>
    <cellStyle name="Heading 3 2 4" xfId="1011"/>
    <cellStyle name="Heading 3 2 5" xfId="1012"/>
    <cellStyle name="Heading 3 2 6" xfId="1013"/>
    <cellStyle name="Heading 3 2 7" xfId="1014"/>
    <cellStyle name="Heading 3 2 8" xfId="1015"/>
    <cellStyle name="Heading 3 2 9" xfId="1016"/>
    <cellStyle name="Heading 3 3" xfId="1017"/>
    <cellStyle name="Heading 4 2" xfId="1018"/>
    <cellStyle name="Heading 4 2 10" xfId="1019"/>
    <cellStyle name="Heading 4 2 2" xfId="1020"/>
    <cellStyle name="Heading 4 2 3" xfId="1021"/>
    <cellStyle name="Heading 4 2 4" xfId="1022"/>
    <cellStyle name="Heading 4 2 5" xfId="1023"/>
    <cellStyle name="Heading 4 2 6" xfId="1024"/>
    <cellStyle name="Heading 4 2 7" xfId="1025"/>
    <cellStyle name="Heading 4 2 8" xfId="1026"/>
    <cellStyle name="Heading 4 2 9" xfId="1027"/>
    <cellStyle name="Heading 4 3" xfId="1028"/>
    <cellStyle name="Input 2" xfId="1029"/>
    <cellStyle name="Input 2 10" xfId="1030"/>
    <cellStyle name="Input 2 2" xfId="1031"/>
    <cellStyle name="Input 2 3" xfId="1032"/>
    <cellStyle name="Input 2 4" xfId="1033"/>
    <cellStyle name="Input 2 5" xfId="1034"/>
    <cellStyle name="Input 2 6" xfId="1035"/>
    <cellStyle name="Input 2 7" xfId="1036"/>
    <cellStyle name="Input 2 8" xfId="1037"/>
    <cellStyle name="Input 2 9" xfId="1038"/>
    <cellStyle name="Input 3" xfId="1039"/>
    <cellStyle name="InputCells" xfId="1040"/>
    <cellStyle name="Linked Cell 2" xfId="1041"/>
    <cellStyle name="Linked Cell 2 10" xfId="1042"/>
    <cellStyle name="Linked Cell 2 2" xfId="1043"/>
    <cellStyle name="Linked Cell 2 3" xfId="1044"/>
    <cellStyle name="Linked Cell 2 4" xfId="1045"/>
    <cellStyle name="Linked Cell 2 5" xfId="1046"/>
    <cellStyle name="Linked Cell 2 6" xfId="1047"/>
    <cellStyle name="Linked Cell 2 7" xfId="1048"/>
    <cellStyle name="Linked Cell 2 8" xfId="1049"/>
    <cellStyle name="Linked Cell 2 9" xfId="1050"/>
    <cellStyle name="Linked Cell 3" xfId="1051"/>
    <cellStyle name="Migliaia_Oil&amp;Gas IFE ARC POLITO" xfId="1052"/>
    <cellStyle name="Neutral 2" xfId="1053"/>
    <cellStyle name="Neutral 2 10" xfId="1054"/>
    <cellStyle name="Neutral 2 2" xfId="1055"/>
    <cellStyle name="Neutral 2 3" xfId="1056"/>
    <cellStyle name="Neutral 2 4" xfId="1057"/>
    <cellStyle name="Neutral 2 5" xfId="1058"/>
    <cellStyle name="Neutral 2 6" xfId="1059"/>
    <cellStyle name="Neutral 2 7" xfId="1060"/>
    <cellStyle name="Neutral 2 8" xfId="1061"/>
    <cellStyle name="Neutral 2 9" xfId="1062"/>
    <cellStyle name="Neutral 3" xfId="1063"/>
    <cellStyle name="Normal 10" xfId="1064"/>
    <cellStyle name="Normal 10 2" xfId="1065"/>
    <cellStyle name="Normal 10 3" xfId="1066"/>
    <cellStyle name="Normal 10 4" xfId="1067"/>
    <cellStyle name="Normal 10 5" xfId="1068"/>
    <cellStyle name="Normal 10 6" xfId="1069"/>
    <cellStyle name="Normal 10 7" xfId="1070"/>
    <cellStyle name="Normal 10 8" xfId="1071"/>
    <cellStyle name="Normal 10 9" xfId="1072"/>
    <cellStyle name="Normal 11" xfId="1073"/>
    <cellStyle name="Normal 11 2" xfId="1074"/>
    <cellStyle name="Normal 11 3" xfId="1075"/>
    <cellStyle name="Normal 11 4" xfId="1076"/>
    <cellStyle name="Normal 11 5" xfId="1077"/>
    <cellStyle name="Normal 11 6" xfId="1078"/>
    <cellStyle name="Normal 11 7" xfId="1079"/>
    <cellStyle name="Normal 11 8" xfId="1080"/>
    <cellStyle name="Normal 12" xfId="1081"/>
    <cellStyle name="Normal 12 2" xfId="1082"/>
    <cellStyle name="Normal 12 3" xfId="1083"/>
    <cellStyle name="Normal 12 4" xfId="1084"/>
    <cellStyle name="Normal 12 5" xfId="1085"/>
    <cellStyle name="Normal 12 6" xfId="1086"/>
    <cellStyle name="Normal 12 7" xfId="1087"/>
    <cellStyle name="Normal 12 8" xfId="1088"/>
    <cellStyle name="Normal 13" xfId="1089"/>
    <cellStyle name="Normal 13 10" xfId="1090"/>
    <cellStyle name="Normal 13 11" xfId="1091"/>
    <cellStyle name="Normal 13 12" xfId="1092"/>
    <cellStyle name="Normal 13 13" xfId="1093"/>
    <cellStyle name="Normal 13 14" xfId="1094"/>
    <cellStyle name="Normal 13 15" xfId="1095"/>
    <cellStyle name="Normal 13 16" xfId="1096"/>
    <cellStyle name="Normal 13 17" xfId="1097"/>
    <cellStyle name="Normal 13 18" xfId="1098"/>
    <cellStyle name="Normal 13 19" xfId="1099"/>
    <cellStyle name="Normal 13 2" xfId="1100"/>
    <cellStyle name="Normal 13 2 2" xfId="1101"/>
    <cellStyle name="Normal 13 2 3" xfId="1102"/>
    <cellStyle name="Normal 13 2 4" xfId="1103"/>
    <cellStyle name="Normal 13 2 5" xfId="1104"/>
    <cellStyle name="Normal 13 2 6" xfId="1105"/>
    <cellStyle name="Normal 13 2 7" xfId="1106"/>
    <cellStyle name="Normal 13 2 8" xfId="1107"/>
    <cellStyle name="Normal 13 20" xfId="1108"/>
    <cellStyle name="Normal 13 21" xfId="1109"/>
    <cellStyle name="Normal 13 22" xfId="1110"/>
    <cellStyle name="Normal 13 23" xfId="1111"/>
    <cellStyle name="Normal 13 24" xfId="1112"/>
    <cellStyle name="Normal 13 25" xfId="1113"/>
    <cellStyle name="Normal 13 26" xfId="1114"/>
    <cellStyle name="Normal 13 27" xfId="1115"/>
    <cellStyle name="Normal 13 28" xfId="1116"/>
    <cellStyle name="Normal 13 29" xfId="1117"/>
    <cellStyle name="Normal 13 3" xfId="1118"/>
    <cellStyle name="Normal 13 30" xfId="1119"/>
    <cellStyle name="Normal 13 31" xfId="1120"/>
    <cellStyle name="Normal 13 32" xfId="1121"/>
    <cellStyle name="Normal 13 33" xfId="1122"/>
    <cellStyle name="Normal 13 34" xfId="1123"/>
    <cellStyle name="Normal 13 35" xfId="1124"/>
    <cellStyle name="Normal 13 36" xfId="1125"/>
    <cellStyle name="Normal 13 37" xfId="1126"/>
    <cellStyle name="Normal 13 38" xfId="1127"/>
    <cellStyle name="Normal 13 4" xfId="1128"/>
    <cellStyle name="Normal 13 5" xfId="1129"/>
    <cellStyle name="Normal 13 6" xfId="1130"/>
    <cellStyle name="Normal 13 7" xfId="1131"/>
    <cellStyle name="Normal 13 8" xfId="1132"/>
    <cellStyle name="Normal 13 9" xfId="1133"/>
    <cellStyle name="Normal 14" xfId="1134"/>
    <cellStyle name="Normal 14 10" xfId="1135"/>
    <cellStyle name="Normal 14 11" xfId="1136"/>
    <cellStyle name="Normal 14 12" xfId="1137"/>
    <cellStyle name="Normal 14 13" xfId="1138"/>
    <cellStyle name="Normal 14 14" xfId="1139"/>
    <cellStyle name="Normal 14 15" xfId="1140"/>
    <cellStyle name="Normal 14 2" xfId="1141"/>
    <cellStyle name="Normal 14 2 2" xfId="1142"/>
    <cellStyle name="Normal 14 2 3" xfId="1143"/>
    <cellStyle name="Normal 14 2 4" xfId="1144"/>
    <cellStyle name="Normal 14 2 5" xfId="1145"/>
    <cellStyle name="Normal 14 2 6" xfId="1146"/>
    <cellStyle name="Normal 14 2 7" xfId="1147"/>
    <cellStyle name="Normal 14 3" xfId="1148"/>
    <cellStyle name="Normal 14 4" xfId="1149"/>
    <cellStyle name="Normal 14 5" xfId="1150"/>
    <cellStyle name="Normal 14 6" xfId="1151"/>
    <cellStyle name="Normal 14 7" xfId="1152"/>
    <cellStyle name="Normal 14 8" xfId="1153"/>
    <cellStyle name="Normal 14 9" xfId="1154"/>
    <cellStyle name="Normal 15" xfId="1155"/>
    <cellStyle name="Normal 15 2" xfId="1156"/>
    <cellStyle name="Normal 15 3" xfId="1157"/>
    <cellStyle name="Normal 15 4" xfId="1158"/>
    <cellStyle name="Normal 15 5" xfId="1159"/>
    <cellStyle name="Normal 15 6" xfId="1160"/>
    <cellStyle name="Normal 16" xfId="1161"/>
    <cellStyle name="Normal 16 2" xfId="1162"/>
    <cellStyle name="Normal 16 3" xfId="1163"/>
    <cellStyle name="Normal 16 4" xfId="1164"/>
    <cellStyle name="Normal 16 5" xfId="1165"/>
    <cellStyle name="Normal 16 6" xfId="1166"/>
    <cellStyle name="Normal 17" xfId="1167"/>
    <cellStyle name="Normal 17 10" xfId="1168"/>
    <cellStyle name="Normal 17 11" xfId="1169"/>
    <cellStyle name="Normal 17 12" xfId="1170"/>
    <cellStyle name="Normal 17 13" xfId="1171"/>
    <cellStyle name="Normal 17 2" xfId="1172"/>
    <cellStyle name="Normal 17 3" xfId="1173"/>
    <cellStyle name="Normal 17 4" xfId="1174"/>
    <cellStyle name="Normal 17 5" xfId="1175"/>
    <cellStyle name="Normal 17 6" xfId="1176"/>
    <cellStyle name="Normal 17 7" xfId="1177"/>
    <cellStyle name="Normal 17 8" xfId="1178"/>
    <cellStyle name="Normal 17 9" xfId="1179"/>
    <cellStyle name="Normal 18" xfId="1180"/>
    <cellStyle name="Normal 19" xfId="1181"/>
    <cellStyle name="Normal 19 2" xfId="1182"/>
    <cellStyle name="Normal 2" xfId="1183"/>
    <cellStyle name="Normal 2 10" xfId="1184"/>
    <cellStyle name="Normal 2 11" xfId="1185"/>
    <cellStyle name="Normal 2 12" xfId="1186"/>
    <cellStyle name="Normal 2 13" xfId="1187"/>
    <cellStyle name="Normal 2 14" xfId="1188"/>
    <cellStyle name="Normal 2 15" xfId="1189"/>
    <cellStyle name="Normal 2 16" xfId="1190"/>
    <cellStyle name="Normal 2 17" xfId="1191"/>
    <cellStyle name="Normal 2 18" xfId="1192"/>
    <cellStyle name="Normal 2 19" xfId="1193"/>
    <cellStyle name="Normal 2 2" xfId="1194"/>
    <cellStyle name="Normal 2 2 10" xfId="1195"/>
    <cellStyle name="Normal 2 2 11" xfId="1196"/>
    <cellStyle name="Normal 2 2 12" xfId="1197"/>
    <cellStyle name="Normal 2 2 13" xfId="1198"/>
    <cellStyle name="Normal 2 2 14" xfId="1199"/>
    <cellStyle name="Normal 2 2 2" xfId="1200"/>
    <cellStyle name="Normal 2 2 3" xfId="1201"/>
    <cellStyle name="Normal 2 2 4" xfId="1202"/>
    <cellStyle name="Normal 2 2 5" xfId="1203"/>
    <cellStyle name="Normal 2 2 6" xfId="1204"/>
    <cellStyle name="Normal 2 2 7" xfId="1205"/>
    <cellStyle name="Normal 2 2 8" xfId="1206"/>
    <cellStyle name="Normal 2 2 9" xfId="1207"/>
    <cellStyle name="Normal 2 3" xfId="1208"/>
    <cellStyle name="Normal 2 3 10" xfId="1209"/>
    <cellStyle name="Normal 2 3 11" xfId="1210"/>
    <cellStyle name="Normal 2 3 12" xfId="1211"/>
    <cellStyle name="Normal 2 3 13" xfId="1212"/>
    <cellStyle name="Normal 2 3 14" xfId="1213"/>
    <cellStyle name="Normal 2 3 2" xfId="1214"/>
    <cellStyle name="Normal 2 3 3" xfId="1215"/>
    <cellStyle name="Normal 2 3 4" xfId="1216"/>
    <cellStyle name="Normal 2 3 5" xfId="1217"/>
    <cellStyle name="Normal 2 3 6" xfId="1218"/>
    <cellStyle name="Normal 2 3 7" xfId="1219"/>
    <cellStyle name="Normal 2 3 8" xfId="1220"/>
    <cellStyle name="Normal 2 3 9" xfId="1221"/>
    <cellStyle name="Normal 2 4" xfId="1222"/>
    <cellStyle name="Normal 2 4 10" xfId="1223"/>
    <cellStyle name="Normal 2 4 11" xfId="1224"/>
    <cellStyle name="Normal 2 4 12" xfId="1225"/>
    <cellStyle name="Normal 2 4 13" xfId="1226"/>
    <cellStyle name="Normal 2 4 2" xfId="1227"/>
    <cellStyle name="Normal 2 4 3" xfId="1228"/>
    <cellStyle name="Normal 2 4 4" xfId="1229"/>
    <cellStyle name="Normal 2 4 5" xfId="1230"/>
    <cellStyle name="Normal 2 4 6" xfId="1231"/>
    <cellStyle name="Normal 2 4 7" xfId="1232"/>
    <cellStyle name="Normal 2 4 8" xfId="1233"/>
    <cellStyle name="Normal 2 4 9" xfId="1234"/>
    <cellStyle name="Normal 2 5" xfId="1235"/>
    <cellStyle name="Normal 2 6" xfId="1236"/>
    <cellStyle name="Normal 2 7" xfId="1237"/>
    <cellStyle name="Normal 2 8" xfId="1238"/>
    <cellStyle name="Normal 2 9" xfId="1239"/>
    <cellStyle name="Normal 20" xfId="1240"/>
    <cellStyle name="Normal 21" xfId="1241"/>
    <cellStyle name="Normal 22" xfId="1242"/>
    <cellStyle name="Normal 22 2" xfId="1243"/>
    <cellStyle name="Normal 26" xfId="1244"/>
    <cellStyle name="Normal 3" xfId="1245"/>
    <cellStyle name="Normal 3 10" xfId="1246"/>
    <cellStyle name="Normal 3 11" xfId="1247"/>
    <cellStyle name="Normal 3 12" xfId="1248"/>
    <cellStyle name="Normal 3 2" xfId="1249"/>
    <cellStyle name="Normal 3 2 10" xfId="1250"/>
    <cellStyle name="Normal 3 2 2" xfId="1251"/>
    <cellStyle name="Normal 3 2 3" xfId="1252"/>
    <cellStyle name="Normal 3 2 4" xfId="1253"/>
    <cellStyle name="Normal 3 2 5" xfId="1254"/>
    <cellStyle name="Normal 3 2 6" xfId="1255"/>
    <cellStyle name="Normal 3 2 7" xfId="1256"/>
    <cellStyle name="Normal 3 2 8" xfId="1257"/>
    <cellStyle name="Normal 3 2 9" xfId="1258"/>
    <cellStyle name="Normal 3 2 9 2" xfId="1259"/>
    <cellStyle name="Normal 3 2 9 3" xfId="1260"/>
    <cellStyle name="Normal 3 3" xfId="1261"/>
    <cellStyle name="Normal 3 3 2" xfId="1262"/>
    <cellStyle name="Normal 3 3 3" xfId="1263"/>
    <cellStyle name="Normal 3 3 4" xfId="1264"/>
    <cellStyle name="Normal 3 3 5" xfId="1265"/>
    <cellStyle name="Normal 3 3 6" xfId="1266"/>
    <cellStyle name="Normal 3 3 7" xfId="1267"/>
    <cellStyle name="Normal 3 3 8" xfId="1268"/>
    <cellStyle name="Normal 3 3 9" xfId="1269"/>
    <cellStyle name="Normal 3 4" xfId="1270"/>
    <cellStyle name="Normal 3 4 2" xfId="1271"/>
    <cellStyle name="Normal 3 4 3" xfId="1272"/>
    <cellStyle name="Normal 3 4 4" xfId="1273"/>
    <cellStyle name="Normal 3 4 5" xfId="1274"/>
    <cellStyle name="Normal 3 4 6" xfId="1275"/>
    <cellStyle name="Normal 3 4 7" xfId="1276"/>
    <cellStyle name="Normal 3 4 8" xfId="1277"/>
    <cellStyle name="Normal 3 5" xfId="1278"/>
    <cellStyle name="Normal 3 5 2" xfId="1279"/>
    <cellStyle name="Normal 3 5 3" xfId="1280"/>
    <cellStyle name="Normal 3 5 4" xfId="1281"/>
    <cellStyle name="Normal 3 5 5" xfId="1282"/>
    <cellStyle name="Normal 3 5 6" xfId="1283"/>
    <cellStyle name="Normal 3 5 7" xfId="1284"/>
    <cellStyle name="Normal 3 5 8" xfId="1285"/>
    <cellStyle name="Normal 3 6" xfId="1286"/>
    <cellStyle name="Normal 3 7" xfId="1287"/>
    <cellStyle name="Normal 3 8" xfId="1288"/>
    <cellStyle name="Normal 3 9" xfId="1289"/>
    <cellStyle name="Normal 4" xfId="1290"/>
    <cellStyle name="Normal 4 10" xfId="1291"/>
    <cellStyle name="Normal 4 11" xfId="1292"/>
    <cellStyle name="Normal 4 12" xfId="1293"/>
    <cellStyle name="Normal 4 2" xfId="1294"/>
    <cellStyle name="Normal 4 2 2" xfId="1295"/>
    <cellStyle name="Normal 4 2 2 10" xfId="1296"/>
    <cellStyle name="Normal 4 2 2 11" xfId="1297"/>
    <cellStyle name="Normal 4 2 2 12" xfId="1298"/>
    <cellStyle name="Normal 4 2 2 13" xfId="1299"/>
    <cellStyle name="Normal 4 2 2 2" xfId="1300"/>
    <cellStyle name="Normal 4 2 2 2 10" xfId="1301"/>
    <cellStyle name="Normal 4 2 2 2 11" xfId="1302"/>
    <cellStyle name="Normal 4 2 2 2 12" xfId="1303"/>
    <cellStyle name="Normal 4 2 2 2 13" xfId="1304"/>
    <cellStyle name="Normal 4 2 2 2 2" xfId="1305"/>
    <cellStyle name="Normal 4 2 2 2 3" xfId="1306"/>
    <cellStyle name="Normal 4 2 2 2 4" xfId="1307"/>
    <cellStyle name="Normal 4 2 2 2 5" xfId="1308"/>
    <cellStyle name="Normal 4 2 2 2 6" xfId="1309"/>
    <cellStyle name="Normal 4 2 2 2 7" xfId="1310"/>
    <cellStyle name="Normal 4 2 2 2 8" xfId="1311"/>
    <cellStyle name="Normal 4 2 2 2 9" xfId="1312"/>
    <cellStyle name="Normal 4 2 2 3" xfId="1313"/>
    <cellStyle name="Normal 4 2 2 4" xfId="1314"/>
    <cellStyle name="Normal 4 2 2 5" xfId="1315"/>
    <cellStyle name="Normal 4 2 2 6" xfId="1316"/>
    <cellStyle name="Normal 4 2 2 7" xfId="1317"/>
    <cellStyle name="Normal 4 2 2 8" xfId="1318"/>
    <cellStyle name="Normal 4 2 2 9" xfId="1319"/>
    <cellStyle name="Normal 4 2 3" xfId="1320"/>
    <cellStyle name="Normal 4 2 4" xfId="1321"/>
    <cellStyle name="Normal 4 2 5" xfId="1322"/>
    <cellStyle name="Normal 4 2 6" xfId="1323"/>
    <cellStyle name="Normal 4 2 7" xfId="1324"/>
    <cellStyle name="Normal 4 2 8" xfId="1325"/>
    <cellStyle name="Normal 4 2 9" xfId="1326"/>
    <cellStyle name="Normal 4 3" xfId="1327"/>
    <cellStyle name="Normal 4 3 2" xfId="1328"/>
    <cellStyle name="Normal 4 3 3" xfId="1329"/>
    <cellStyle name="Normal 4 3 4" xfId="1330"/>
    <cellStyle name="Normal 4 3 5" xfId="1331"/>
    <cellStyle name="Normal 4 3 6" xfId="1332"/>
    <cellStyle name="Normal 4 3 7" xfId="1333"/>
    <cellStyle name="Normal 4 3 8" xfId="1334"/>
    <cellStyle name="Normal 4 4" xfId="1335"/>
    <cellStyle name="Normal 4 4 2" xfId="1336"/>
    <cellStyle name="Normal 4 4 3" xfId="1337"/>
    <cellStyle name="Normal 4 4 4" xfId="1338"/>
    <cellStyle name="Normal 4 4 5" xfId="1339"/>
    <cellStyle name="Normal 4 4 6" xfId="1340"/>
    <cellStyle name="Normal 4 4 7" xfId="1341"/>
    <cellStyle name="Normal 4 4 8" xfId="1342"/>
    <cellStyle name="Normal 4 5" xfId="1343"/>
    <cellStyle name="Normal 4 5 2" xfId="1344"/>
    <cellStyle name="Normal 4 5 3" xfId="1345"/>
    <cellStyle name="Normal 4 5 4" xfId="1346"/>
    <cellStyle name="Normal 4 5 5" xfId="1347"/>
    <cellStyle name="Normal 4 5 6" xfId="1348"/>
    <cellStyle name="Normal 4 5 7" xfId="1349"/>
    <cellStyle name="Normal 4 5 8" xfId="1350"/>
    <cellStyle name="Normal 4 6" xfId="1351"/>
    <cellStyle name="Normal 4 7" xfId="1352"/>
    <cellStyle name="Normal 4 8" xfId="1353"/>
    <cellStyle name="Normal 4 9" xfId="1354"/>
    <cellStyle name="Normal 5" xfId="1355"/>
    <cellStyle name="Normal 5 10" xfId="1356"/>
    <cellStyle name="Normal 5 11" xfId="1357"/>
    <cellStyle name="Normal 5 12" xfId="1358"/>
    <cellStyle name="Normal 5 2" xfId="1359"/>
    <cellStyle name="Normal 5 2 2" xfId="1360"/>
    <cellStyle name="Normal 5 2 2 10" xfId="1361"/>
    <cellStyle name="Normal 5 2 2 11" xfId="1362"/>
    <cellStyle name="Normal 5 2 2 12" xfId="1363"/>
    <cellStyle name="Normal 5 2 2 13" xfId="1364"/>
    <cellStyle name="Normal 5 2 2 2" xfId="1365"/>
    <cellStyle name="Normal 5 2 2 2 10" xfId="1366"/>
    <cellStyle name="Normal 5 2 2 2 11" xfId="1367"/>
    <cellStyle name="Normal 5 2 2 2 12" xfId="1368"/>
    <cellStyle name="Normal 5 2 2 2 13" xfId="1369"/>
    <cellStyle name="Normal 5 2 2 2 2" xfId="1370"/>
    <cellStyle name="Normal 5 2 2 2 3" xfId="1371"/>
    <cellStyle name="Normal 5 2 2 2 4" xfId="1372"/>
    <cellStyle name="Normal 5 2 2 2 5" xfId="1373"/>
    <cellStyle name="Normal 5 2 2 2 6" xfId="1374"/>
    <cellStyle name="Normal 5 2 2 2 7" xfId="1375"/>
    <cellStyle name="Normal 5 2 2 2 8" xfId="1376"/>
    <cellStyle name="Normal 5 2 2 2 9" xfId="1377"/>
    <cellStyle name="Normal 5 2 2 3" xfId="1378"/>
    <cellStyle name="Normal 5 2 2 4" xfId="1379"/>
    <cellStyle name="Normal 5 2 2 5" xfId="1380"/>
    <cellStyle name="Normal 5 2 2 6" xfId="1381"/>
    <cellStyle name="Normal 5 2 2 7" xfId="1382"/>
    <cellStyle name="Normal 5 2 2 8" xfId="1383"/>
    <cellStyle name="Normal 5 2 2 9" xfId="1384"/>
    <cellStyle name="Normal 5 2 3" xfId="1385"/>
    <cellStyle name="Normal 5 2 4" xfId="1386"/>
    <cellStyle name="Normal 5 2 5" xfId="1387"/>
    <cellStyle name="Normal 5 2 6" xfId="1388"/>
    <cellStyle name="Normal 5 2 7" xfId="1389"/>
    <cellStyle name="Normal 5 2 8" xfId="1390"/>
    <cellStyle name="Normal 5 3" xfId="1391"/>
    <cellStyle name="Normal 5 3 2" xfId="1392"/>
    <cellStyle name="Normal 5 3 3" xfId="1393"/>
    <cellStyle name="Normal 5 3 4" xfId="1394"/>
    <cellStyle name="Normal 5 3 5" xfId="1395"/>
    <cellStyle name="Normal 5 3 6" xfId="1396"/>
    <cellStyle name="Normal 5 3 7" xfId="1397"/>
    <cellStyle name="Normal 5 3 8" xfId="1398"/>
    <cellStyle name="Normal 5 4" xfId="1399"/>
    <cellStyle name="Normal 5 4 2" xfId="1400"/>
    <cellStyle name="Normal 5 4 3" xfId="1401"/>
    <cellStyle name="Normal 5 4 4" xfId="1402"/>
    <cellStyle name="Normal 5 4 5" xfId="1403"/>
    <cellStyle name="Normal 5 4 6" xfId="1404"/>
    <cellStyle name="Normal 5 4 7" xfId="1405"/>
    <cellStyle name="Normal 5 4 8" xfId="1406"/>
    <cellStyle name="Normal 5 5" xfId="1407"/>
    <cellStyle name="Normal 5 5 2" xfId="1408"/>
    <cellStyle name="Normal 5 5 3" xfId="1409"/>
    <cellStyle name="Normal 5 5 4" xfId="1410"/>
    <cellStyle name="Normal 5 5 5" xfId="1411"/>
    <cellStyle name="Normal 5 5 6" xfId="1412"/>
    <cellStyle name="Normal 5 5 7" xfId="1413"/>
    <cellStyle name="Normal 5 5 8" xfId="1414"/>
    <cellStyle name="Normal 5 6" xfId="1415"/>
    <cellStyle name="Normal 5 7" xfId="1416"/>
    <cellStyle name="Normal 5 8" xfId="1417"/>
    <cellStyle name="Normal 5 9" xfId="1418"/>
    <cellStyle name="Normal 6" xfId="1419"/>
    <cellStyle name="Normal 6 10" xfId="1420"/>
    <cellStyle name="Normal 6 11" xfId="1421"/>
    <cellStyle name="Normal 6 12" xfId="1422"/>
    <cellStyle name="Normal 6 2" xfId="1423"/>
    <cellStyle name="Normal 6 2 2" xfId="1424"/>
    <cellStyle name="Normal 6 2 2 10" xfId="1425"/>
    <cellStyle name="Normal 6 2 2 11" xfId="1426"/>
    <cellStyle name="Normal 6 2 2 12" xfId="1427"/>
    <cellStyle name="Normal 6 2 2 13" xfId="1428"/>
    <cellStyle name="Normal 6 2 2 2" xfId="1429"/>
    <cellStyle name="Normal 6 2 2 3" xfId="1430"/>
    <cellStyle name="Normal 6 2 2 4" xfId="1431"/>
    <cellStyle name="Normal 6 2 2 5" xfId="1432"/>
    <cellStyle name="Normal 6 2 2 6" xfId="1433"/>
    <cellStyle name="Normal 6 2 2 7" xfId="1434"/>
    <cellStyle name="Normal 6 2 2 8" xfId="1435"/>
    <cellStyle name="Normal 6 2 2 9" xfId="1436"/>
    <cellStyle name="Normal 6 2 3" xfId="1437"/>
    <cellStyle name="Normal 6 2 4" xfId="1438"/>
    <cellStyle name="Normal 6 2 5" xfId="1439"/>
    <cellStyle name="Normal 6 2 6" xfId="1440"/>
    <cellStyle name="Normal 6 2 7" xfId="1441"/>
    <cellStyle name="Normal 6 2 8" xfId="1442"/>
    <cellStyle name="Normal 6 3" xfId="1443"/>
    <cellStyle name="Normal 6 3 2" xfId="1444"/>
    <cellStyle name="Normal 6 3 3" xfId="1445"/>
    <cellStyle name="Normal 6 3 4" xfId="1446"/>
    <cellStyle name="Normal 6 3 5" xfId="1447"/>
    <cellStyle name="Normal 6 3 6" xfId="1448"/>
    <cellStyle name="Normal 6 3 7" xfId="1449"/>
    <cellStyle name="Normal 6 3 8" xfId="1450"/>
    <cellStyle name="Normal 6 4" xfId="1451"/>
    <cellStyle name="Normal 6 4 2" xfId="1452"/>
    <cellStyle name="Normal 6 4 3" xfId="1453"/>
    <cellStyle name="Normal 6 4 4" xfId="1454"/>
    <cellStyle name="Normal 6 4 5" xfId="1455"/>
    <cellStyle name="Normal 6 4 6" xfId="1456"/>
    <cellStyle name="Normal 6 4 7" xfId="1457"/>
    <cellStyle name="Normal 6 4 8" xfId="1458"/>
    <cellStyle name="Normal 6 5" xfId="1459"/>
    <cellStyle name="Normal 6 5 2" xfId="1460"/>
    <cellStyle name="Normal 6 5 3" xfId="1461"/>
    <cellStyle name="Normal 6 5 4" xfId="1462"/>
    <cellStyle name="Normal 6 5 5" xfId="1463"/>
    <cellStyle name="Normal 6 5 6" xfId="1464"/>
    <cellStyle name="Normal 6 5 7" xfId="1465"/>
    <cellStyle name="Normal 6 5 8" xfId="1466"/>
    <cellStyle name="Normal 6 6" xfId="1467"/>
    <cellStyle name="Normal 6 7" xfId="1468"/>
    <cellStyle name="Normal 6 8" xfId="1469"/>
    <cellStyle name="Normal 6 9" xfId="1470"/>
    <cellStyle name="Normal 7" xfId="1471"/>
    <cellStyle name="Normal 7 10" xfId="1472"/>
    <cellStyle name="Normal 7 11" xfId="1473"/>
    <cellStyle name="Normal 7 12" xfId="1474"/>
    <cellStyle name="Normal 7 13" xfId="1475"/>
    <cellStyle name="Normal 7 2" xfId="1476"/>
    <cellStyle name="Normal 7 2 2" xfId="1477"/>
    <cellStyle name="Normal 7 2 3" xfId="1478"/>
    <cellStyle name="Normal 7 2 4" xfId="1479"/>
    <cellStyle name="Normal 7 2 5" xfId="1480"/>
    <cellStyle name="Normal 7 2 6" xfId="1481"/>
    <cellStyle name="Normal 7 2 7" xfId="1482"/>
    <cellStyle name="Normal 7 2 8" xfId="1483"/>
    <cellStyle name="Normal 7 2 9" xfId="1484"/>
    <cellStyle name="Normal 7 3" xfId="1485"/>
    <cellStyle name="Normal 7 3 2" xfId="1486"/>
    <cellStyle name="Normal 7 3 3" xfId="1487"/>
    <cellStyle name="Normal 7 3 4" xfId="1488"/>
    <cellStyle name="Normal 7 3 5" xfId="1489"/>
    <cellStyle name="Normal 7 3 6" xfId="1490"/>
    <cellStyle name="Normal 7 3 7" xfId="1491"/>
    <cellStyle name="Normal 7 3 8" xfId="1492"/>
    <cellStyle name="Normal 7 4" xfId="1493"/>
    <cellStyle name="Normal 7 4 2" xfId="1494"/>
    <cellStyle name="Normal 7 4 3" xfId="1495"/>
    <cellStyle name="Normal 7 4 4" xfId="1496"/>
    <cellStyle name="Normal 7 4 5" xfId="1497"/>
    <cellStyle name="Normal 7 4 6" xfId="1498"/>
    <cellStyle name="Normal 7 4 7" xfId="1499"/>
    <cellStyle name="Normal 7 4 8" xfId="1500"/>
    <cellStyle name="Normal 7 5" xfId="1501"/>
    <cellStyle name="Normal 7 5 2" xfId="1502"/>
    <cellStyle name="Normal 7 5 3" xfId="1503"/>
    <cellStyle name="Normal 7 5 4" xfId="1504"/>
    <cellStyle name="Normal 7 5 5" xfId="1505"/>
    <cellStyle name="Normal 7 5 6" xfId="1506"/>
    <cellStyle name="Normal 7 5 7" xfId="1507"/>
    <cellStyle name="Normal 7 5 8" xfId="1508"/>
    <cellStyle name="Normal 7 6" xfId="1509"/>
    <cellStyle name="Normal 7 7" xfId="1510"/>
    <cellStyle name="Normal 7 8" xfId="1511"/>
    <cellStyle name="Normal 7 9" xfId="1512"/>
    <cellStyle name="Normal 8" xfId="1513"/>
    <cellStyle name="Normal 8 10" xfId="1514"/>
    <cellStyle name="Normal 8 11" xfId="1515"/>
    <cellStyle name="Normal 8 12" xfId="1516"/>
    <cellStyle name="Normal 8 13" xfId="1517"/>
    <cellStyle name="Normal 8 2" xfId="1518"/>
    <cellStyle name="Normal 8 2 2" xfId="1519"/>
    <cellStyle name="Normal 8 2 3" xfId="1520"/>
    <cellStyle name="Normal 8 2 4" xfId="1521"/>
    <cellStyle name="Normal 8 2 5" xfId="1522"/>
    <cellStyle name="Normal 8 2 6" xfId="1523"/>
    <cellStyle name="Normal 8 2 7" xfId="1524"/>
    <cellStyle name="Normal 8 2 8" xfId="1525"/>
    <cellStyle name="Normal 8 2 9" xfId="1526"/>
    <cellStyle name="Normal 8 3" xfId="1527"/>
    <cellStyle name="Normal 8 3 2" xfId="1528"/>
    <cellStyle name="Normal 8 3 3" xfId="1529"/>
    <cellStyle name="Normal 8 3 4" xfId="1530"/>
    <cellStyle name="Normal 8 3 5" xfId="1531"/>
    <cellStyle name="Normal 8 3 6" xfId="1532"/>
    <cellStyle name="Normal 8 3 7" xfId="1533"/>
    <cellStyle name="Normal 8 3 8" xfId="1534"/>
    <cellStyle name="Normal 8 4" xfId="1535"/>
    <cellStyle name="Normal 8 4 2" xfId="1536"/>
    <cellStyle name="Normal 8 4 3" xfId="1537"/>
    <cellStyle name="Normal 8 4 4" xfId="1538"/>
    <cellStyle name="Normal 8 4 5" xfId="1539"/>
    <cellStyle name="Normal 8 4 6" xfId="1540"/>
    <cellStyle name="Normal 8 4 7" xfId="1541"/>
    <cellStyle name="Normal 8 4 8" xfId="1542"/>
    <cellStyle name="Normal 8 5" xfId="1543"/>
    <cellStyle name="Normal 8 5 2" xfId="1544"/>
    <cellStyle name="Normal 8 5 3" xfId="1545"/>
    <cellStyle name="Normal 8 5 4" xfId="1546"/>
    <cellStyle name="Normal 8 5 5" xfId="1547"/>
    <cellStyle name="Normal 8 5 6" xfId="1548"/>
    <cellStyle name="Normal 8 5 7" xfId="1549"/>
    <cellStyle name="Normal 8 5 8" xfId="1550"/>
    <cellStyle name="Normal 8 6" xfId="1551"/>
    <cellStyle name="Normal 8 7" xfId="1552"/>
    <cellStyle name="Normal 8 8" xfId="1553"/>
    <cellStyle name="Normal 8 9" xfId="1554"/>
    <cellStyle name="Normal 9" xfId="1555"/>
    <cellStyle name="Normal 9 2" xfId="1556"/>
    <cellStyle name="Normal 9 3" xfId="1557"/>
    <cellStyle name="Normal 9 4" xfId="1558"/>
    <cellStyle name="Normal 9 5" xfId="1559"/>
    <cellStyle name="Normal 9 6" xfId="1560"/>
    <cellStyle name="Normal 9 7" xfId="1561"/>
    <cellStyle name="Normal 9 8" xfId="1562"/>
    <cellStyle name="Normal GHG Numbers (0.00)" xfId="1563"/>
    <cellStyle name="Normal GHG Textfiels Bold" xfId="1564"/>
    <cellStyle name="Normal GHG-Shade" xfId="1565"/>
    <cellStyle name="Normale_B2020" xfId="1566"/>
    <cellStyle name="Note 2" xfId="1567"/>
    <cellStyle name="Note 2 10" xfId="1568"/>
    <cellStyle name="Note 2 11" xfId="1569"/>
    <cellStyle name="Note 2 12" xfId="1570"/>
    <cellStyle name="Note 2 13" xfId="1571"/>
    <cellStyle name="Note 2 14" xfId="1572"/>
    <cellStyle name="Note 2 15" xfId="1573"/>
    <cellStyle name="Note 2 2" xfId="1574"/>
    <cellStyle name="Note 2 3" xfId="1575"/>
    <cellStyle name="Note 2 4" xfId="1576"/>
    <cellStyle name="Note 2 5" xfId="1577"/>
    <cellStyle name="Note 2 6" xfId="1578"/>
    <cellStyle name="Note 2 7" xfId="1579"/>
    <cellStyle name="Note 2 8" xfId="1580"/>
    <cellStyle name="Note 2 9" xfId="1581"/>
    <cellStyle name="Note 3" xfId="1582"/>
    <cellStyle name="Note 4" xfId="1583"/>
    <cellStyle name="Note 5" xfId="1584"/>
    <cellStyle name="Note 6" xfId="1585"/>
    <cellStyle name="Note 7" xfId="1586"/>
    <cellStyle name="Note 8" xfId="1587"/>
    <cellStyle name="Nuovo" xfId="1588"/>
    <cellStyle name="Nuovo 2" xfId="1589"/>
    <cellStyle name="Nuovo 2 2" xfId="1590"/>
    <cellStyle name="Nuovo 3" xfId="1591"/>
    <cellStyle name="Nuovo 4" xfId="1592"/>
    <cellStyle name="Nuovo 4 2" xfId="1593"/>
    <cellStyle name="Nuovo 5" xfId="1594"/>
    <cellStyle name="Output 2" xfId="1595"/>
    <cellStyle name="Output 2 10" xfId="1596"/>
    <cellStyle name="Output 2 2" xfId="1597"/>
    <cellStyle name="Output 2 3" xfId="1598"/>
    <cellStyle name="Output 2 4" xfId="1599"/>
    <cellStyle name="Output 2 5" xfId="1600"/>
    <cellStyle name="Output 2 6" xfId="1601"/>
    <cellStyle name="Output 2 7" xfId="1602"/>
    <cellStyle name="Output 2 8" xfId="1603"/>
    <cellStyle name="Output 2 9" xfId="1604"/>
    <cellStyle name="Output 3" xfId="1605"/>
    <cellStyle name="Percent 10" xfId="1606"/>
    <cellStyle name="Percent 10 2" xfId="1607"/>
    <cellStyle name="Percent 10 3" xfId="1608"/>
    <cellStyle name="Percent 10 4" xfId="1609"/>
    <cellStyle name="Percent 10 5" xfId="1610"/>
    <cellStyle name="Percent 10 6" xfId="1611"/>
    <cellStyle name="Percent 10 7" xfId="1612"/>
    <cellStyle name="Percent 10 8" xfId="1613"/>
    <cellStyle name="Percent 11" xfId="1614"/>
    <cellStyle name="Percent 11 2" xfId="1615"/>
    <cellStyle name="Percent 11 3" xfId="1616"/>
    <cellStyle name="Percent 11 4" xfId="1617"/>
    <cellStyle name="Percent 11 5" xfId="1618"/>
    <cellStyle name="Percent 11 6" xfId="1619"/>
    <cellStyle name="Percent 11 7" xfId="1620"/>
    <cellStyle name="Percent 11 8" xfId="1621"/>
    <cellStyle name="Percent 12" xfId="1622"/>
    <cellStyle name="Percent 12 2" xfId="1623"/>
    <cellStyle name="Percent 12 3" xfId="1624"/>
    <cellStyle name="Percent 12 4" xfId="1625"/>
    <cellStyle name="Percent 12 5" xfId="1626"/>
    <cellStyle name="Percent 12 6" xfId="1627"/>
    <cellStyle name="Percent 12 7" xfId="1628"/>
    <cellStyle name="Percent 12 8" xfId="1629"/>
    <cellStyle name="Percent 13" xfId="1630"/>
    <cellStyle name="Percent 13 2" xfId="1631"/>
    <cellStyle name="Percent 13 3" xfId="1632"/>
    <cellStyle name="Percent 13 4" xfId="1633"/>
    <cellStyle name="Percent 13 5" xfId="1634"/>
    <cellStyle name="Percent 13 6" xfId="1635"/>
    <cellStyle name="Percent 13 7" xfId="1636"/>
    <cellStyle name="Percent 13 8" xfId="1637"/>
    <cellStyle name="Percent 14" xfId="1638"/>
    <cellStyle name="Percent 14 2" xfId="1639"/>
    <cellStyle name="Percent 14 3" xfId="1640"/>
    <cellStyle name="Percent 14 4" xfId="1641"/>
    <cellStyle name="Percent 14 5" xfId="1642"/>
    <cellStyle name="Percent 14 6" xfId="1643"/>
    <cellStyle name="Percent 14 7" xfId="1644"/>
    <cellStyle name="Percent 14 8" xfId="1645"/>
    <cellStyle name="Percent 15" xfId="1646"/>
    <cellStyle name="Percent 15 10" xfId="1647"/>
    <cellStyle name="Percent 15 11" xfId="1648"/>
    <cellStyle name="Percent 15 12" xfId="1649"/>
    <cellStyle name="Percent 15 13" xfId="1650"/>
    <cellStyle name="Percent 15 14" xfId="1651"/>
    <cellStyle name="Percent 15 2" xfId="1652"/>
    <cellStyle name="Percent 15 2 2" xfId="1653"/>
    <cellStyle name="Percent 15 2 3" xfId="1654"/>
    <cellStyle name="Percent 15 2 4" xfId="1655"/>
    <cellStyle name="Percent 15 2 5" xfId="1656"/>
    <cellStyle name="Percent 15 2 6" xfId="1657"/>
    <cellStyle name="Percent 15 2 7" xfId="1658"/>
    <cellStyle name="Percent 15 3" xfId="1659"/>
    <cellStyle name="Percent 15 4" xfId="1660"/>
    <cellStyle name="Percent 15 5" xfId="1661"/>
    <cellStyle name="Percent 15 6" xfId="1662"/>
    <cellStyle name="Percent 15 7" xfId="1663"/>
    <cellStyle name="Percent 15 8" xfId="1664"/>
    <cellStyle name="Percent 15 9" xfId="1665"/>
    <cellStyle name="Percent 16" xfId="1666"/>
    <cellStyle name="Percent 16 10" xfId="1667"/>
    <cellStyle name="Percent 16 10 2" xfId="1668"/>
    <cellStyle name="Percent 16 2" xfId="1669"/>
    <cellStyle name="Percent 16 3" xfId="1670"/>
    <cellStyle name="Percent 16 3 10" xfId="1671"/>
    <cellStyle name="Percent 16 3 11" xfId="1672"/>
    <cellStyle name="Percent 16 3 12" xfId="1673"/>
    <cellStyle name="Percent 16 3 13" xfId="1674"/>
    <cellStyle name="Percent 16 3 14" xfId="1675"/>
    <cellStyle name="Percent 16 3 15" xfId="1676"/>
    <cellStyle name="Percent 16 3 16" xfId="1677"/>
    <cellStyle name="Percent 16 3 17" xfId="1678"/>
    <cellStyle name="Percent 16 3 2" xfId="1679"/>
    <cellStyle name="Percent 16 3 3" xfId="1680"/>
    <cellStyle name="Percent 16 3 4" xfId="1681"/>
    <cellStyle name="Percent 16 3 5" xfId="1682"/>
    <cellStyle name="Percent 16 3 6" xfId="1683"/>
    <cellStyle name="Percent 16 3 7" xfId="1684"/>
    <cellStyle name="Percent 16 3 8" xfId="1685"/>
    <cellStyle name="Percent 16 3 9" xfId="1686"/>
    <cellStyle name="Percent 16 4" xfId="1687"/>
    <cellStyle name="Percent 16 4 10" xfId="1688"/>
    <cellStyle name="Percent 16 4 11" xfId="1689"/>
    <cellStyle name="Percent 16 4 12" xfId="1690"/>
    <cellStyle name="Percent 16 4 13" xfId="1691"/>
    <cellStyle name="Percent 16 4 14" xfId="1692"/>
    <cellStyle name="Percent 16 4 15" xfId="1693"/>
    <cellStyle name="Percent 16 4 16" xfId="1694"/>
    <cellStyle name="Percent 16 4 17" xfId="1695"/>
    <cellStyle name="Percent 16 4 2" xfId="1696"/>
    <cellStyle name="Percent 16 4 3" xfId="1697"/>
    <cellStyle name="Percent 16 4 4" xfId="1698"/>
    <cellStyle name="Percent 16 4 5" xfId="1699"/>
    <cellStyle name="Percent 16 4 6" xfId="1700"/>
    <cellStyle name="Percent 16 4 7" xfId="1701"/>
    <cellStyle name="Percent 16 4 8" xfId="1702"/>
    <cellStyle name="Percent 16 4 9" xfId="1703"/>
    <cellStyle name="Percent 16 5" xfId="1704"/>
    <cellStyle name="Percent 16 5 10" xfId="1705"/>
    <cellStyle name="Percent 16 5 11" xfId="1706"/>
    <cellStyle name="Percent 16 5 12" xfId="1707"/>
    <cellStyle name="Percent 16 5 13" xfId="1708"/>
    <cellStyle name="Percent 16 5 14" xfId="1709"/>
    <cellStyle name="Percent 16 5 15" xfId="1710"/>
    <cellStyle name="Percent 16 5 16" xfId="1711"/>
    <cellStyle name="Percent 16 5 17" xfId="1712"/>
    <cellStyle name="Percent 16 5 2" xfId="1713"/>
    <cellStyle name="Percent 16 5 3" xfId="1714"/>
    <cellStyle name="Percent 16 5 4" xfId="1715"/>
    <cellStyle name="Percent 16 5 5" xfId="1716"/>
    <cellStyle name="Percent 16 5 6" xfId="1717"/>
    <cellStyle name="Percent 16 5 7" xfId="1718"/>
    <cellStyle name="Percent 16 5 8" xfId="1719"/>
    <cellStyle name="Percent 16 5 9" xfId="1720"/>
    <cellStyle name="Percent 16 6" xfId="1721"/>
    <cellStyle name="Percent 16 6 10" xfId="1722"/>
    <cellStyle name="Percent 16 6 11" xfId="1723"/>
    <cellStyle name="Percent 16 6 12" xfId="1724"/>
    <cellStyle name="Percent 16 6 13" xfId="1725"/>
    <cellStyle name="Percent 16 6 14" xfId="1726"/>
    <cellStyle name="Percent 16 6 15" xfId="1727"/>
    <cellStyle name="Percent 16 6 16" xfId="1728"/>
    <cellStyle name="Percent 16 6 17" xfId="1729"/>
    <cellStyle name="Percent 16 6 2" xfId="1730"/>
    <cellStyle name="Percent 16 6 3" xfId="1731"/>
    <cellStyle name="Percent 16 6 4" xfId="1732"/>
    <cellStyle name="Percent 16 6 5" xfId="1733"/>
    <cellStyle name="Percent 16 6 6" xfId="1734"/>
    <cellStyle name="Percent 16 6 7" xfId="1735"/>
    <cellStyle name="Percent 16 6 8" xfId="1736"/>
    <cellStyle name="Percent 16 6 9" xfId="1737"/>
    <cellStyle name="Percent 16 7" xfId="1738"/>
    <cellStyle name="Percent 16 7 10" xfId="1739"/>
    <cellStyle name="Percent 16 7 11" xfId="1740"/>
    <cellStyle name="Percent 16 7 12" xfId="1741"/>
    <cellStyle name="Percent 16 7 13" xfId="1742"/>
    <cellStyle name="Percent 16 7 14" xfId="1743"/>
    <cellStyle name="Percent 16 7 15" xfId="1744"/>
    <cellStyle name="Percent 16 7 16" xfId="1745"/>
    <cellStyle name="Percent 16 7 17" xfId="1746"/>
    <cellStyle name="Percent 16 7 2" xfId="1747"/>
    <cellStyle name="Percent 16 7 3" xfId="1748"/>
    <cellStyle name="Percent 16 7 4" xfId="1749"/>
    <cellStyle name="Percent 16 7 5" xfId="1750"/>
    <cellStyle name="Percent 16 7 6" xfId="1751"/>
    <cellStyle name="Percent 16 7 7" xfId="1752"/>
    <cellStyle name="Percent 16 7 8" xfId="1753"/>
    <cellStyle name="Percent 16 7 9" xfId="1754"/>
    <cellStyle name="Percent 16 8" xfId="1755"/>
    <cellStyle name="Percent 16 8 10" xfId="1756"/>
    <cellStyle name="Percent 16 8 11" xfId="1757"/>
    <cellStyle name="Percent 16 8 12" xfId="1758"/>
    <cellStyle name="Percent 16 8 13" xfId="1759"/>
    <cellStyle name="Percent 16 8 14" xfId="1760"/>
    <cellStyle name="Percent 16 8 15" xfId="1761"/>
    <cellStyle name="Percent 16 8 16" xfId="1762"/>
    <cellStyle name="Percent 16 8 17" xfId="1763"/>
    <cellStyle name="Percent 16 8 2" xfId="1764"/>
    <cellStyle name="Percent 16 8 3" xfId="1765"/>
    <cellStyle name="Percent 16 8 4" xfId="1766"/>
    <cellStyle name="Percent 16 8 5" xfId="1767"/>
    <cellStyle name="Percent 16 8 6" xfId="1768"/>
    <cellStyle name="Percent 16 8 7" xfId="1769"/>
    <cellStyle name="Percent 16 8 8" xfId="1770"/>
    <cellStyle name="Percent 16 8 9" xfId="1771"/>
    <cellStyle name="Percent 16 9" xfId="1772"/>
    <cellStyle name="Percent 16 9 10" xfId="1773"/>
    <cellStyle name="Percent 16 9 11" xfId="1774"/>
    <cellStyle name="Percent 16 9 12" xfId="1775"/>
    <cellStyle name="Percent 16 9 13" xfId="1776"/>
    <cellStyle name="Percent 16 9 14" xfId="1777"/>
    <cellStyle name="Percent 16 9 15" xfId="1778"/>
    <cellStyle name="Percent 16 9 16" xfId="1779"/>
    <cellStyle name="Percent 16 9 17" xfId="1780"/>
    <cellStyle name="Percent 16 9 2" xfId="1781"/>
    <cellStyle name="Percent 16 9 3" xfId="1782"/>
    <cellStyle name="Percent 16 9 4" xfId="1783"/>
    <cellStyle name="Percent 16 9 5" xfId="1784"/>
    <cellStyle name="Percent 16 9 6" xfId="1785"/>
    <cellStyle name="Percent 16 9 7" xfId="1786"/>
    <cellStyle name="Percent 16 9 8" xfId="1787"/>
    <cellStyle name="Percent 16 9 9" xfId="1788"/>
    <cellStyle name="Percent 17" xfId="1789"/>
    <cellStyle name="Percent 2" xfId="1790"/>
    <cellStyle name="Percent 2 10" xfId="1791"/>
    <cellStyle name="Percent 2 10 2" xfId="1792"/>
    <cellStyle name="Percent 2 10 3" xfId="1793"/>
    <cellStyle name="Percent 2 10 4" xfId="1794"/>
    <cellStyle name="Percent 2 10 5" xfId="1795"/>
    <cellStyle name="Percent 2 10 6" xfId="1796"/>
    <cellStyle name="Percent 2 10 7" xfId="1797"/>
    <cellStyle name="Percent 2 10 8" xfId="1798"/>
    <cellStyle name="Percent 2 11" xfId="1799"/>
    <cellStyle name="Percent 2 11 2" xfId="1800"/>
    <cellStyle name="Percent 2 11 3" xfId="1801"/>
    <cellStyle name="Percent 2 11 4" xfId="1802"/>
    <cellStyle name="Percent 2 11 5" xfId="1803"/>
    <cellStyle name="Percent 2 11 6" xfId="1804"/>
    <cellStyle name="Percent 2 11 7" xfId="1805"/>
    <cellStyle name="Percent 2 11 8" xfId="1806"/>
    <cellStyle name="Percent 2 12" xfId="1807"/>
    <cellStyle name="Percent 2 13" xfId="1808"/>
    <cellStyle name="Percent 2 14" xfId="1809"/>
    <cellStyle name="Percent 2 15" xfId="1810"/>
    <cellStyle name="Percent 2 16" xfId="1811"/>
    <cellStyle name="Percent 2 17" xfId="1812"/>
    <cellStyle name="Percent 2 18" xfId="1813"/>
    <cellStyle name="Percent 2 19" xfId="1814"/>
    <cellStyle name="Percent 2 19 2" xfId="1815"/>
    <cellStyle name="Percent 2 19 2 2" xfId="1816"/>
    <cellStyle name="Percent 2 19 3" xfId="1817"/>
    <cellStyle name="Percent 2 2" xfId="1818"/>
    <cellStyle name="Percent 2 2 2" xfId="1819"/>
    <cellStyle name="Percent 2 2 3" xfId="1820"/>
    <cellStyle name="Percent 2 2 4" xfId="1821"/>
    <cellStyle name="Percent 2 2 5" xfId="1822"/>
    <cellStyle name="Percent 2 2 6" xfId="1823"/>
    <cellStyle name="Percent 2 2 7" xfId="1824"/>
    <cellStyle name="Percent 2 2 8" xfId="1825"/>
    <cellStyle name="Percent 2 2 9" xfId="1826"/>
    <cellStyle name="Percent 2 3" xfId="1827"/>
    <cellStyle name="Percent 2 3 2" xfId="1828"/>
    <cellStyle name="Percent 2 3 3" xfId="1829"/>
    <cellStyle name="Percent 2 3 4" xfId="1830"/>
    <cellStyle name="Percent 2 3 5" xfId="1831"/>
    <cellStyle name="Percent 2 3 6" xfId="1832"/>
    <cellStyle name="Percent 2 3 7" xfId="1833"/>
    <cellStyle name="Percent 2 3 8" xfId="1834"/>
    <cellStyle name="Percent 2 4" xfId="1835"/>
    <cellStyle name="Percent 2 4 2" xfId="1836"/>
    <cellStyle name="Percent 2 4 3" xfId="1837"/>
    <cellStyle name="Percent 2 4 4" xfId="1838"/>
    <cellStyle name="Percent 2 4 5" xfId="1839"/>
    <cellStyle name="Percent 2 4 6" xfId="1840"/>
    <cellStyle name="Percent 2 4 7" xfId="1841"/>
    <cellStyle name="Percent 2 4 8" xfId="1842"/>
    <cellStyle name="Percent 2 5" xfId="1843"/>
    <cellStyle name="Percent 2 5 2" xfId="1844"/>
    <cellStyle name="Percent 2 5 3" xfId="1845"/>
    <cellStyle name="Percent 2 5 4" xfId="1846"/>
    <cellStyle name="Percent 2 5 5" xfId="1847"/>
    <cellStyle name="Percent 2 5 6" xfId="1848"/>
    <cellStyle name="Percent 2 5 7" xfId="1849"/>
    <cellStyle name="Percent 2 5 8" xfId="1850"/>
    <cellStyle name="Percent 2 6" xfId="1851"/>
    <cellStyle name="Percent 2 6 2" xfId="1852"/>
    <cellStyle name="Percent 2 6 3" xfId="1853"/>
    <cellStyle name="Percent 2 6 4" xfId="1854"/>
    <cellStyle name="Percent 2 6 5" xfId="1855"/>
    <cellStyle name="Percent 2 6 6" xfId="1856"/>
    <cellStyle name="Percent 2 6 7" xfId="1857"/>
    <cellStyle name="Percent 2 6 8" xfId="1858"/>
    <cellStyle name="Percent 2 7" xfId="1859"/>
    <cellStyle name="Percent 2 7 2" xfId="1860"/>
    <cellStyle name="Percent 2 7 3" xfId="1861"/>
    <cellStyle name="Percent 2 7 4" xfId="1862"/>
    <cellStyle name="Percent 2 7 5" xfId="1863"/>
    <cellStyle name="Percent 2 7 6" xfId="1864"/>
    <cellStyle name="Percent 2 7 7" xfId="1865"/>
    <cellStyle name="Percent 2 7 8" xfId="1866"/>
    <cellStyle name="Percent 2 8" xfId="1867"/>
    <cellStyle name="Percent 2 8 2" xfId="1868"/>
    <cellStyle name="Percent 2 8 3" xfId="1869"/>
    <cellStyle name="Percent 2 8 4" xfId="1870"/>
    <cellStyle name="Percent 2 8 5" xfId="1871"/>
    <cellStyle name="Percent 2 8 6" xfId="1872"/>
    <cellStyle name="Percent 2 8 7" xfId="1873"/>
    <cellStyle name="Percent 2 8 8" xfId="1874"/>
    <cellStyle name="Percent 2 9" xfId="1875"/>
    <cellStyle name="Percent 2 9 2" xfId="1876"/>
    <cellStyle name="Percent 2 9 3" xfId="1877"/>
    <cellStyle name="Percent 2 9 4" xfId="1878"/>
    <cellStyle name="Percent 2 9 5" xfId="1879"/>
    <cellStyle name="Percent 2 9 6" xfId="1880"/>
    <cellStyle name="Percent 2 9 7" xfId="1881"/>
    <cellStyle name="Percent 2 9 8" xfId="1882"/>
    <cellStyle name="Percent 3" xfId="1883"/>
    <cellStyle name="Percent 3 2" xfId="1884"/>
    <cellStyle name="Percent 3 2 2" xfId="1885"/>
    <cellStyle name="Percent 3 2 2 2" xfId="1886"/>
    <cellStyle name="Percent 3 2 2 3" xfId="1887"/>
    <cellStyle name="Percent 3 2 3" xfId="1888"/>
    <cellStyle name="Percent 3 3" xfId="1889"/>
    <cellStyle name="Percent 3 4" xfId="1890"/>
    <cellStyle name="Percent 3 5" xfId="1891"/>
    <cellStyle name="Percent 3 6" xfId="1892"/>
    <cellStyle name="Percent 3 7" xfId="1893"/>
    <cellStyle name="Percent 3 8" xfId="1894"/>
    <cellStyle name="Percent 4" xfId="1895"/>
    <cellStyle name="Percent 4 10" xfId="1896"/>
    <cellStyle name="Percent 4 11" xfId="1897"/>
    <cellStyle name="Percent 4 12" xfId="1898"/>
    <cellStyle name="Percent 4 13" xfId="1899"/>
    <cellStyle name="Percent 4 14" xfId="1900"/>
    <cellStyle name="Percent 4 14 2" xfId="1901"/>
    <cellStyle name="Percent 4 15" xfId="1902"/>
    <cellStyle name="Percent 4 16" xfId="1903"/>
    <cellStyle name="Percent 4 16 2" xfId="1904"/>
    <cellStyle name="Percent 4 16 3" xfId="1905"/>
    <cellStyle name="Percent 4 16 3 2" xfId="1906"/>
    <cellStyle name="Percent 4 17" xfId="1907"/>
    <cellStyle name="Percent 4 2" xfId="1908"/>
    <cellStyle name="Percent 4 2 2" xfId="1909"/>
    <cellStyle name="Percent 4 2 3" xfId="1910"/>
    <cellStyle name="Percent 4 2 4" xfId="1911"/>
    <cellStyle name="Percent 4 2 5" xfId="1912"/>
    <cellStyle name="Percent 4 2 6" xfId="1913"/>
    <cellStyle name="Percent 4 2 7" xfId="1914"/>
    <cellStyle name="Percent 4 2 8" xfId="1915"/>
    <cellStyle name="Percent 4 2 9" xfId="1916"/>
    <cellStyle name="Percent 4 3" xfId="1917"/>
    <cellStyle name="Percent 4 3 2" xfId="1918"/>
    <cellStyle name="Percent 4 3 3" xfId="1919"/>
    <cellStyle name="Percent 4 3 4" xfId="1920"/>
    <cellStyle name="Percent 4 3 5" xfId="1921"/>
    <cellStyle name="Percent 4 3 6" xfId="1922"/>
    <cellStyle name="Percent 4 3 7" xfId="1923"/>
    <cellStyle name="Percent 4 3 8" xfId="1924"/>
    <cellStyle name="Percent 4 4" xfId="1925"/>
    <cellStyle name="Percent 4 4 2" xfId="1926"/>
    <cellStyle name="Percent 4 4 3" xfId="1927"/>
    <cellStyle name="Percent 4 4 4" xfId="1928"/>
    <cellStyle name="Percent 4 4 5" xfId="1929"/>
    <cellStyle name="Percent 4 4 6" xfId="1930"/>
    <cellStyle name="Percent 4 4 7" xfId="1931"/>
    <cellStyle name="Percent 4 4 8" xfId="1932"/>
    <cellStyle name="Percent 4 5" xfId="1933"/>
    <cellStyle name="Percent 4 5 2" xfId="1934"/>
    <cellStyle name="Percent 4 5 3" xfId="1935"/>
    <cellStyle name="Percent 4 5 4" xfId="1936"/>
    <cellStyle name="Percent 4 5 5" xfId="1937"/>
    <cellStyle name="Percent 4 5 6" xfId="1938"/>
    <cellStyle name="Percent 4 5 7" xfId="1939"/>
    <cellStyle name="Percent 4 5 8" xfId="1940"/>
    <cellStyle name="Percent 4 6" xfId="1941"/>
    <cellStyle name="Percent 4 6 2" xfId="1942"/>
    <cellStyle name="Percent 4 6 3" xfId="1943"/>
    <cellStyle name="Percent 4 6 4" xfId="1944"/>
    <cellStyle name="Percent 4 6 5" xfId="1945"/>
    <cellStyle name="Percent 4 6 6" xfId="1946"/>
    <cellStyle name="Percent 4 6 7" xfId="1947"/>
    <cellStyle name="Percent 4 6 8" xfId="1948"/>
    <cellStyle name="Percent 4 7" xfId="1949"/>
    <cellStyle name="Percent 4 8" xfId="1950"/>
    <cellStyle name="Percent 4 9" xfId="1951"/>
    <cellStyle name="Percent 5" xfId="1952"/>
    <cellStyle name="Percent 5 10" xfId="1953"/>
    <cellStyle name="Percent 5 11" xfId="1954"/>
    <cellStyle name="Percent 5 2" xfId="1955"/>
    <cellStyle name="Percent 5 3" xfId="1956"/>
    <cellStyle name="Percent 5 4" xfId="1957"/>
    <cellStyle name="Percent 5 5" xfId="1958"/>
    <cellStyle name="Percent 5 6" xfId="1959"/>
    <cellStyle name="Percent 5 7" xfId="1960"/>
    <cellStyle name="Percent 5 8" xfId="1961"/>
    <cellStyle name="Percent 5 9" xfId="1962"/>
    <cellStyle name="Percent 5 9 2" xfId="1963"/>
    <cellStyle name="Percent 5 9 3" xfId="1964"/>
    <cellStyle name="Percent 6" xfId="1965"/>
    <cellStyle name="Percent 6 2" xfId="1966"/>
    <cellStyle name="Percent 6 3" xfId="1967"/>
    <cellStyle name="Percent 6 4" xfId="1968"/>
    <cellStyle name="Percent 6 5" xfId="1969"/>
    <cellStyle name="Percent 6 6" xfId="1970"/>
    <cellStyle name="Percent 6 7" xfId="1971"/>
    <cellStyle name="Percent 6 8" xfId="1972"/>
    <cellStyle name="Percent 7" xfId="1973"/>
    <cellStyle name="Percent 7 2" xfId="1974"/>
    <cellStyle name="Percent 7 3" xfId="1975"/>
    <cellStyle name="Percent 7 4" xfId="1976"/>
    <cellStyle name="Percent 7 5" xfId="1977"/>
    <cellStyle name="Percent 7 6" xfId="1978"/>
    <cellStyle name="Percent 7 7" xfId="1979"/>
    <cellStyle name="Percent 7 8" xfId="1980"/>
    <cellStyle name="Percent 8" xfId="1981"/>
    <cellStyle name="Percent 8 2" xfId="1982"/>
    <cellStyle name="Percent 8 3" xfId="1983"/>
    <cellStyle name="Percent 8 4" xfId="1984"/>
    <cellStyle name="Percent 8 5" xfId="1985"/>
    <cellStyle name="Percent 8 6" xfId="1986"/>
    <cellStyle name="Percent 8 7" xfId="1987"/>
    <cellStyle name="Percent 8 8" xfId="1988"/>
    <cellStyle name="Percent 9" xfId="1989"/>
    <cellStyle name="Percent 9 2" xfId="1990"/>
    <cellStyle name="Percent 9 3" xfId="1991"/>
    <cellStyle name="Percent 9 4" xfId="1992"/>
    <cellStyle name="Percent 9 5" xfId="1993"/>
    <cellStyle name="Percent 9 6" xfId="1994"/>
    <cellStyle name="Percent 9 7" xfId="1995"/>
    <cellStyle name="Percent 9 8" xfId="1996"/>
    <cellStyle name="Pilkku_Layo9704" xfId="1997"/>
    <cellStyle name="Pyör. luku_Layo9704" xfId="1998"/>
    <cellStyle name="Pyör. valuutta_Layo9704" xfId="1999"/>
    <cellStyle name="Standard_Sce_D_Extraction" xfId="2000"/>
    <cellStyle name="Style 21" xfId="2001"/>
    <cellStyle name="Style 21 2" xfId="2002"/>
    <cellStyle name="Style 21 2 2" xfId="2003"/>
    <cellStyle name="Style 21 3" xfId="2004"/>
    <cellStyle name="Style 22" xfId="2005"/>
    <cellStyle name="Style 23" xfId="2006"/>
    <cellStyle name="Style 24" xfId="2007"/>
    <cellStyle name="Style 25" xfId="2008"/>
    <cellStyle name="Style 25 2" xfId="2009"/>
    <cellStyle name="Style 25 2 2" xfId="2010"/>
    <cellStyle name="Style 25 3" xfId="2011"/>
    <cellStyle name="Style 26" xfId="2012"/>
    <cellStyle name="Title 2" xfId="2013"/>
    <cellStyle name="Title 2 10" xfId="2014"/>
    <cellStyle name="Title 2 2" xfId="2015"/>
    <cellStyle name="Title 2 3" xfId="2016"/>
    <cellStyle name="Title 2 4" xfId="2017"/>
    <cellStyle name="Title 2 5" xfId="2018"/>
    <cellStyle name="Title 2 6" xfId="2019"/>
    <cellStyle name="Title 2 7" xfId="2020"/>
    <cellStyle name="Title 2 8" xfId="2021"/>
    <cellStyle name="Title 2 9" xfId="2022"/>
    <cellStyle name="Title 3" xfId="2023"/>
    <cellStyle name="Total 2" xfId="2024"/>
    <cellStyle name="Total 2 10" xfId="2025"/>
    <cellStyle name="Total 2 2" xfId="2026"/>
    <cellStyle name="Total 2 3" xfId="2027"/>
    <cellStyle name="Total 2 4" xfId="2028"/>
    <cellStyle name="Total 2 5" xfId="2029"/>
    <cellStyle name="Total 2 6" xfId="2030"/>
    <cellStyle name="Total 2 7" xfId="2031"/>
    <cellStyle name="Total 2 8" xfId="2032"/>
    <cellStyle name="Total 2 9" xfId="2033"/>
    <cellStyle name="Total 3" xfId="2034"/>
    <cellStyle name="Valuutta_Layo9704" xfId="2035"/>
    <cellStyle name="Warning Text 2" xfId="2036"/>
    <cellStyle name="Warning Text 2 10" xfId="2037"/>
    <cellStyle name="Warning Text 2 2" xfId="2038"/>
    <cellStyle name="Warning Text 2 3" xfId="2039"/>
    <cellStyle name="Warning Text 2 4" xfId="2040"/>
    <cellStyle name="Warning Text 2 5" xfId="2041"/>
    <cellStyle name="Warning Text 2 6" xfId="2042"/>
    <cellStyle name="Warning Text 2 7" xfId="2043"/>
    <cellStyle name="Warning Text 2 8" xfId="2044"/>
    <cellStyle name="Warning Text 2 9" xfId="2045"/>
    <cellStyle name="Warning Text 3" xfId="2046"/>
    <cellStyle name="Обычный_CRF2002 (1)" xfId="2047"/>
    <cellStyle name="已访问的超链接" xfId="204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externalLink" Target="externalLinks/externalLink1.xml" /><Relationship Id="rId14" Type="http://schemas.openxmlformats.org/officeDocument/2006/relationships/worksheet" Target="worksheets/sheet12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alcChain" Target="calcChain.xml" /><Relationship Id="rId6" Type="http://schemas.openxmlformats.org/officeDocument/2006/relationships/worksheet" Target="worksheets/sheet4.xml" /><Relationship Id="rId1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2.bin" /><Relationship Id="rId1" Type="http://schemas.openxmlformats.org/officeDocument/2006/relationships/comments" Target="../comments4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6.bin" /><Relationship Id="rId1" Type="http://schemas.openxmlformats.org/officeDocument/2006/relationships/comments" Target="../comments10.xml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 /><Relationship Id="rId3" Type="http://schemas.openxmlformats.org/officeDocument/2006/relationships/printerSettings" Target="../printerSettings/printerSettings7.bin" /><Relationship Id="rId1" Type="http://schemas.openxmlformats.org/officeDocument/2006/relationships/comments" Target="../comments11.xml" 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 /><Relationship Id="rId3" Type="http://schemas.openxmlformats.org/officeDocument/2006/relationships/printerSettings" Target="../printerSettings/printerSettings8.bin" /><Relationship Id="rId1" Type="http://schemas.openxmlformats.org/officeDocument/2006/relationships/comments" Target="../comments1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R9"/>
  <sheetViews>
    <sheetView workbookViewId="0" topLeftCell="C1">
      <selection pane="topLeft" activeCell="C9" sqref="C9"/>
    </sheetView>
  </sheetViews>
  <sheetFormatPr defaultRowHeight="12.75"/>
  <cols>
    <col min="1" max="1" width="2.28571428571429" customWidth="1"/>
    <col min="2" max="2" width="10" customWidth="1"/>
    <col min="3" max="3" width="23.2857142857143" bestFit="1" customWidth="1"/>
    <col min="4" max="4" width="9.28571428571429" bestFit="1" customWidth="1"/>
    <col min="5" max="5" width="9.57142857142857" bestFit="1" customWidth="1"/>
    <col min="6" max="6" width="8.57142857142857" bestFit="1" customWidth="1"/>
    <col min="7" max="7" width="5.28571428571429" style="2" customWidth="1"/>
    <col min="8" max="8" width="3.57142857142857" style="2" bestFit="1" customWidth="1"/>
    <col min="9" max="10" width="3.71428571428571" style="2" bestFit="1" customWidth="1"/>
    <col min="11" max="11" width="3.42857142857143" style="2" bestFit="1" customWidth="1"/>
    <col min="12" max="12" width="3.28571428571429" style="2" bestFit="1" customWidth="1"/>
    <col min="13" max="13" width="3.57142857142857" style="2" bestFit="1" customWidth="1"/>
    <col min="14" max="14" width="3.71428571428571" style="2" bestFit="1" customWidth="1"/>
    <col min="15" max="16" width="3.42857142857143" style="2" bestFit="1" customWidth="1"/>
    <col min="17" max="17" width="2.57142857142857" style="2" bestFit="1" customWidth="1"/>
    <col min="18" max="18" width="3.42857142857143" style="2" bestFit="1" customWidth="1"/>
    <col min="19" max="20" width="3.71428571428571" style="2" bestFit="1" customWidth="1"/>
    <col min="21" max="22" width="2.71428571428571" style="2" bestFit="1" customWidth="1"/>
    <col min="23" max="23" width="2.57142857142857" style="2" bestFit="1" customWidth="1"/>
    <col min="24" max="24" width="3.28571428571429" style="2" bestFit="1" customWidth="1"/>
    <col min="25" max="25" width="3.42857142857143" style="2" bestFit="1" customWidth="1"/>
    <col min="26" max="26" width="3.28571428571429" style="2" bestFit="1" customWidth="1"/>
    <col min="27" max="27" width="3.57142857142857" bestFit="1" customWidth="1"/>
    <col min="28" max="28" width="3.42857142857143" bestFit="1" customWidth="1"/>
    <col min="29" max="29" width="3.71428571428571" bestFit="1" customWidth="1"/>
    <col min="30" max="31" width="3.28571428571429" bestFit="1" customWidth="1"/>
    <col min="32" max="32" width="3.71428571428571" bestFit="1" customWidth="1"/>
    <col min="33" max="33" width="3.42857142857143" bestFit="1" customWidth="1"/>
    <col min="34" max="34" width="2.71428571428571" bestFit="1" customWidth="1"/>
    <col min="35" max="35" width="3.57142857142857" bestFit="1" customWidth="1"/>
    <col min="36" max="44" width="4" customWidth="1"/>
  </cols>
  <sheetData>
    <row r="3" spans="2:12" ht="12.75">
      <c r="B3" s="3" t="s">
        <v>93</v>
      </c>
      <c r="H3" s="1"/>
      <c r="I3" s="1"/>
      <c r="J3" s="1"/>
      <c r="K3" s="1"/>
      <c r="L3" s="1"/>
    </row>
    <row r="4" spans="2:44" ht="13.5" thickBot="1">
      <c r="B4" s="4" t="s">
        <v>94</v>
      </c>
      <c r="C4" s="4" t="s">
        <v>95</v>
      </c>
      <c r="D4" s="4" t="s">
        <v>96</v>
      </c>
      <c r="E4" s="4" t="s">
        <v>97</v>
      </c>
      <c r="F4" s="28" t="s">
        <v>98</v>
      </c>
      <c r="G4" s="28" t="s">
        <v>64</v>
      </c>
      <c r="H4" s="29" t="s">
        <v>8</v>
      </c>
      <c r="I4" s="30" t="s">
        <v>9</v>
      </c>
      <c r="J4" s="30" t="s">
        <v>61</v>
      </c>
      <c r="K4" s="30" t="s">
        <v>10</v>
      </c>
      <c r="L4" s="30" t="s">
        <v>11</v>
      </c>
      <c r="M4" s="30" t="s">
        <v>12</v>
      </c>
      <c r="N4" s="30" t="s">
        <v>13</v>
      </c>
      <c r="O4" s="30" t="s">
        <v>14</v>
      </c>
      <c r="P4" s="30" t="s">
        <v>15</v>
      </c>
      <c r="Q4" s="30" t="s">
        <v>16</v>
      </c>
      <c r="R4" s="30" t="s">
        <v>17</v>
      </c>
      <c r="S4" s="30" t="s">
        <v>18</v>
      </c>
      <c r="T4" s="30" t="s">
        <v>294</v>
      </c>
      <c r="U4" s="30" t="s">
        <v>20</v>
      </c>
      <c r="V4" s="30" t="s">
        <v>21</v>
      </c>
      <c r="W4" s="30" t="s">
        <v>22</v>
      </c>
      <c r="X4" s="30" t="s">
        <v>36</v>
      </c>
      <c r="Y4" s="30" t="s">
        <v>23</v>
      </c>
      <c r="Z4" s="30" t="s">
        <v>24</v>
      </c>
      <c r="AA4" s="30" t="s">
        <v>25</v>
      </c>
      <c r="AB4" s="30" t="s">
        <v>26</v>
      </c>
      <c r="AC4" s="30" t="s">
        <v>27</v>
      </c>
      <c r="AD4" s="30" t="s">
        <v>28</v>
      </c>
      <c r="AE4" s="30" t="s">
        <v>29</v>
      </c>
      <c r="AF4" s="30" t="s">
        <v>30</v>
      </c>
      <c r="AG4" s="30" t="s">
        <v>31</v>
      </c>
      <c r="AH4" s="30" t="s">
        <v>32</v>
      </c>
      <c r="AI4" s="30" t="s">
        <v>33</v>
      </c>
      <c r="AJ4" s="30" t="s">
        <v>34</v>
      </c>
      <c r="AK4" s="30" t="s">
        <v>35</v>
      </c>
      <c r="AL4" s="30" t="s">
        <v>169</v>
      </c>
      <c r="AM4" s="30" t="s">
        <v>252</v>
      </c>
      <c r="AN4" s="30" t="s">
        <v>62</v>
      </c>
      <c r="AO4" s="30" t="s">
        <v>253</v>
      </c>
      <c r="AP4" s="30" t="s">
        <v>170</v>
      </c>
      <c r="AQ4" s="30" t="s">
        <v>63</v>
      </c>
      <c r="AR4" s="30" t="s">
        <v>171</v>
      </c>
    </row>
    <row r="5" spans="3:43" ht="12.75">
      <c r="C5" s="20" t="s">
        <v>92</v>
      </c>
      <c r="G5">
        <v>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33"/>
      <c r="AM5" s="33"/>
      <c r="AN5" s="33"/>
      <c r="AO5" s="33"/>
      <c r="AP5" s="33"/>
      <c r="AQ5" s="33"/>
    </row>
    <row r="6" spans="3:43" ht="12.75">
      <c r="C6" s="15" t="s">
        <v>99</v>
      </c>
      <c r="G6"/>
      <c r="W6" s="2">
        <v>0</v>
      </c>
      <c r="AA6" s="2"/>
      <c r="AL6" s="33"/>
      <c r="AM6" s="33"/>
      <c r="AN6" s="33"/>
      <c r="AO6" s="33"/>
      <c r="AP6" s="33"/>
      <c r="AQ6" s="33"/>
    </row>
    <row r="7" spans="3:43" ht="12.75">
      <c r="C7" s="15" t="s">
        <v>167</v>
      </c>
      <c r="G7">
        <v>0</v>
      </c>
      <c r="AA7" s="2"/>
      <c r="AL7" s="33"/>
      <c r="AM7" s="33"/>
      <c r="AN7" s="33"/>
      <c r="AO7" s="33"/>
      <c r="AP7" s="33"/>
      <c r="AQ7" s="33"/>
    </row>
    <row r="8" spans="3:43" ht="12.75">
      <c r="C8" s="15" t="s">
        <v>168</v>
      </c>
      <c r="I8" s="2">
        <v>0</v>
      </c>
      <c r="AL8" s="33"/>
      <c r="AM8" s="33"/>
      <c r="AN8" s="33"/>
      <c r="AO8" s="33"/>
      <c r="AP8" s="33"/>
      <c r="AQ8" s="33"/>
    </row>
    <row r="9" spans="3:44" ht="12.75">
      <c r="C9" t="s">
        <v>472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1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1</v>
      </c>
      <c r="V9" s="2">
        <v>0</v>
      </c>
      <c r="W9" s="2">
        <v>0</v>
      </c>
      <c r="X9" s="2">
        <v>0</v>
      </c>
      <c r="Y9" s="2">
        <v>1</v>
      </c>
      <c r="Z9" s="2">
        <v>0</v>
      </c>
      <c r="AA9" s="2">
        <v>1</v>
      </c>
      <c r="AB9" s="2">
        <v>0</v>
      </c>
      <c r="AC9" s="2">
        <v>0</v>
      </c>
      <c r="AD9" s="2">
        <v>0</v>
      </c>
      <c r="AE9" s="2">
        <v>1</v>
      </c>
      <c r="AF9" s="2">
        <v>0</v>
      </c>
      <c r="AG9" s="2">
        <v>1</v>
      </c>
      <c r="AH9" s="2">
        <v>1</v>
      </c>
      <c r="AI9" s="2">
        <v>0</v>
      </c>
      <c r="AJ9" s="2">
        <v>1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</sheetData>
  <pageMargins left="0.75" right="0.75" top="1" bottom="1" header="0.5" footer="0.5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 topLeftCell="A1">
      <selection pane="topLeft" activeCell="B8" sqref="B8"/>
    </sheetView>
  </sheetViews>
  <sheetFormatPr defaultColWidth="9.14428571428571" defaultRowHeight="12.75"/>
  <cols>
    <col min="1" max="2" width="9.14285714285714" style="34"/>
    <col min="3" max="3" width="13.1428571428571" style="34" bestFit="1" customWidth="1"/>
    <col min="4" max="4" width="9.14285714285714" style="34"/>
    <col min="5" max="5" width="13.7142857142857" style="34" bestFit="1" customWidth="1"/>
    <col min="6" max="7" width="9.14285714285714" style="34"/>
    <col min="8" max="8" width="36.4285714285714" style="34" bestFit="1" customWidth="1"/>
    <col min="9" max="16384" width="9.14285714285714" style="34"/>
  </cols>
  <sheetData>
    <row r="1" spans="3:8" ht="12.75">
      <c r="C1" s="35" t="s">
        <v>189</v>
      </c>
      <c r="D1" s="35"/>
      <c r="E1" s="35"/>
      <c r="F1" s="35"/>
      <c r="G1" s="35"/>
      <c r="H1" s="35"/>
    </row>
    <row r="2" spans="1:1" ht="12.75">
      <c r="A2" s="36" t="s">
        <v>6</v>
      </c>
    </row>
    <row r="3" spans="1:11" ht="13.5" thickBot="1">
      <c r="A3" s="37" t="s">
        <v>85</v>
      </c>
      <c r="B3" s="37" t="s">
        <v>86</v>
      </c>
      <c r="C3" s="37" t="s">
        <v>87</v>
      </c>
      <c r="D3" s="37" t="s">
        <v>88</v>
      </c>
      <c r="E3" s="37" t="s">
        <v>64</v>
      </c>
      <c r="F3" s="38" t="s">
        <v>174</v>
      </c>
      <c r="G3" s="38" t="s">
        <v>90</v>
      </c>
      <c r="H3" s="38" t="s">
        <v>89</v>
      </c>
      <c r="I3" s="38" t="s">
        <v>175</v>
      </c>
      <c r="J3" s="39" t="s">
        <v>176</v>
      </c>
      <c r="K3" s="39" t="s">
        <v>91</v>
      </c>
    </row>
    <row r="4" spans="1:11" ht="12.75">
      <c r="A4" s="40" t="s">
        <v>60</v>
      </c>
      <c r="B4" s="40" t="s">
        <v>60</v>
      </c>
      <c r="C4" s="34" t="s">
        <v>173</v>
      </c>
      <c r="D4" s="40" t="s">
        <v>84</v>
      </c>
      <c r="E4" s="40" t="s">
        <v>177</v>
      </c>
      <c r="F4" s="40" t="s">
        <v>60</v>
      </c>
      <c r="G4" s="40" t="s">
        <v>60</v>
      </c>
      <c r="H4" s="40" t="s">
        <v>60</v>
      </c>
      <c r="I4" s="40" t="s">
        <v>60</v>
      </c>
      <c r="J4" s="40" t="s">
        <v>60</v>
      </c>
      <c r="K4" s="40" t="s">
        <v>60</v>
      </c>
    </row>
    <row r="5" spans="3:5" ht="12.75">
      <c r="C5" s="34" t="s">
        <v>179</v>
      </c>
      <c r="D5" s="34">
        <v>0</v>
      </c>
      <c r="E5" s="34">
        <v>1</v>
      </c>
    </row>
    <row r="6" spans="2:8" ht="12.75">
      <c r="B6" s="34" t="s">
        <v>55</v>
      </c>
      <c r="C6" s="34" t="s">
        <v>53</v>
      </c>
      <c r="D6" s="34">
        <v>0</v>
      </c>
      <c r="E6" s="34">
        <v>15</v>
      </c>
      <c r="H6" s="34" t="s">
        <v>180</v>
      </c>
    </row>
    <row r="7" spans="2:5" ht="12.75">
      <c r="B7" s="34" t="s">
        <v>178</v>
      </c>
      <c r="C7" s="34" t="s">
        <v>184</v>
      </c>
      <c r="D7" s="34">
        <v>0</v>
      </c>
      <c r="E7" s="34">
        <v>1</v>
      </c>
    </row>
    <row r="8" spans="3:5" ht="14.25" customHeight="1">
      <c r="C8" s="34" t="s">
        <v>185</v>
      </c>
      <c r="D8" s="34">
        <v>0</v>
      </c>
      <c r="E8" s="34">
        <v>5</v>
      </c>
    </row>
    <row r="11" spans="2:5" ht="12.75">
      <c r="B11" s="34" t="s">
        <v>178</v>
      </c>
      <c r="C11" s="34" t="s">
        <v>54</v>
      </c>
      <c r="D11" s="34">
        <v>0</v>
      </c>
      <c r="E11" s="34">
        <v>3</v>
      </c>
    </row>
    <row r="12" spans="3:11" ht="12.75">
      <c r="C12" s="34" t="s">
        <v>181</v>
      </c>
      <c r="D12" s="34">
        <v>0</v>
      </c>
      <c r="E12" s="34">
        <v>1</v>
      </c>
      <c r="J12" s="34" t="s">
        <v>182</v>
      </c>
      <c r="K12" s="34" t="s">
        <v>183</v>
      </c>
    </row>
    <row r="13" spans="2:8" ht="12" customHeight="1">
      <c r="B13" s="70" t="s">
        <v>186</v>
      </c>
      <c r="C13" s="70" t="s">
        <v>187</v>
      </c>
      <c r="D13" s="70">
        <v>0</v>
      </c>
      <c r="E13" s="70">
        <v>-1</v>
      </c>
      <c r="F13" s="70"/>
      <c r="G13" s="70"/>
      <c r="H13" s="70" t="s">
        <v>188</v>
      </c>
    </row>
    <row r="14" spans="3:8" ht="12.75">
      <c r="C14" s="34" t="s">
        <v>53</v>
      </c>
      <c r="D14" s="34">
        <v>0</v>
      </c>
      <c r="E14" s="34">
        <v>1</v>
      </c>
      <c r="H14" s="41"/>
    </row>
  </sheetData>
  <pageMargins left="0.75" right="0.75" top="1" bottom="1" header="0.5" footer="0.5"/>
  <pageSetup orientation="portrait" paperSize="9" r:id="rId3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7"/>
  <sheetViews>
    <sheetView workbookViewId="0" topLeftCell="A1">
      <selection pane="topLeft" activeCell="G48" sqref="G48"/>
    </sheetView>
  </sheetViews>
  <sheetFormatPr defaultRowHeight="12.75"/>
  <cols>
    <col min="1" max="1" width="9.14285714285714" customWidth="1"/>
    <col min="2" max="2" width="17.7142857142857" customWidth="1"/>
    <col min="3" max="3" width="9.71428571428571" bestFit="1" customWidth="1"/>
    <col min="4" max="4" width="12.8571428571429" bestFit="1" customWidth="1"/>
    <col min="5" max="6" width="9.14285714285714" customWidth="1"/>
    <col min="7" max="7" width="12.5714285714286" customWidth="1"/>
    <col min="8" max="40" width="9.14285714285714" customWidth="1"/>
    <col min="44" max="44" width="14.7142857142857" customWidth="1"/>
    <col min="45" max="46" width="9.14285714285714" customWidth="1"/>
    <col min="47" max="47" width="15.2857142857143" customWidth="1"/>
    <col min="48" max="60" width="9.14285714285714" customWidth="1"/>
    <col min="61" max="61" width="11.8571428571429" customWidth="1"/>
  </cols>
  <sheetData>
    <row r="1" spans="1:44" ht="12.75">
      <c r="A1" s="3" t="s">
        <v>7</v>
      </c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R1" s="7"/>
    </row>
    <row r="2" spans="1:44" ht="13.5" thickBot="1">
      <c r="A2" s="27" t="s">
        <v>85</v>
      </c>
      <c r="B2" s="4" t="s">
        <v>89</v>
      </c>
      <c r="C2" s="27" t="s">
        <v>86</v>
      </c>
      <c r="D2" s="27" t="s">
        <v>87</v>
      </c>
      <c r="E2" s="27" t="s">
        <v>88</v>
      </c>
      <c r="F2" s="27" t="s">
        <v>64</v>
      </c>
      <c r="G2" s="10" t="s">
        <v>8</v>
      </c>
      <c r="H2" s="11" t="s">
        <v>9</v>
      </c>
      <c r="I2" s="11" t="s">
        <v>61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1" t="s">
        <v>17</v>
      </c>
      <c r="Q2" s="11" t="s">
        <v>18</v>
      </c>
      <c r="R2" s="11" t="s">
        <v>294</v>
      </c>
      <c r="S2" s="11" t="s">
        <v>20</v>
      </c>
      <c r="T2" s="11" t="s">
        <v>21</v>
      </c>
      <c r="U2" s="11" t="s">
        <v>36</v>
      </c>
      <c r="V2" s="11" t="s">
        <v>23</v>
      </c>
      <c r="W2" s="11" t="s">
        <v>24</v>
      </c>
      <c r="X2" s="11" t="s">
        <v>25</v>
      </c>
      <c r="Y2" s="11" t="s">
        <v>26</v>
      </c>
      <c r="Z2" s="11" t="s">
        <v>27</v>
      </c>
      <c r="AA2" s="11" t="s">
        <v>29</v>
      </c>
      <c r="AB2" s="11" t="s">
        <v>30</v>
      </c>
      <c r="AC2" s="11" t="s">
        <v>31</v>
      </c>
      <c r="AD2" s="11" t="s">
        <v>32</v>
      </c>
      <c r="AE2" s="11" t="s">
        <v>33</v>
      </c>
      <c r="AF2" s="11" t="s">
        <v>34</v>
      </c>
      <c r="AG2" s="11" t="s">
        <v>35</v>
      </c>
      <c r="AH2" s="11" t="s">
        <v>22</v>
      </c>
      <c r="AI2" s="11" t="s">
        <v>10</v>
      </c>
      <c r="AJ2" s="11" t="s">
        <v>28</v>
      </c>
      <c r="AK2" s="11" t="s">
        <v>62</v>
      </c>
      <c r="AL2" s="11" t="s">
        <v>169</v>
      </c>
      <c r="AM2" s="11" t="s">
        <v>252</v>
      </c>
      <c r="AN2" s="11" t="s">
        <v>63</v>
      </c>
      <c r="AO2" s="55" t="s">
        <v>170</v>
      </c>
      <c r="AP2" s="55" t="s">
        <v>171</v>
      </c>
      <c r="AQ2" s="55" t="s">
        <v>253</v>
      </c>
      <c r="AR2" s="11" t="s">
        <v>194</v>
      </c>
    </row>
    <row r="3" spans="2:46" ht="12.75">
      <c r="B3" s="23" t="s">
        <v>70</v>
      </c>
      <c r="D3" t="s">
        <v>76</v>
      </c>
      <c r="G3" s="15">
        <v>0</v>
      </c>
      <c r="H3">
        <v>0</v>
      </c>
      <c r="I3">
        <v>0</v>
      </c>
      <c r="J3">
        <v>0</v>
      </c>
      <c r="K3">
        <v>0</v>
      </c>
      <c r="L3">
        <v>21597</v>
      </c>
      <c r="M3">
        <v>0</v>
      </c>
      <c r="N3">
        <v>0</v>
      </c>
      <c r="O3" s="15">
        <v>145000</v>
      </c>
      <c r="P3" s="15">
        <v>0</v>
      </c>
      <c r="Q3" s="15">
        <v>0</v>
      </c>
      <c r="R3" s="15">
        <v>0</v>
      </c>
      <c r="S3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>
        <v>0</v>
      </c>
      <c r="AC3">
        <v>0</v>
      </c>
      <c r="AD3" s="15">
        <v>0</v>
      </c>
      <c r="AE3" s="15">
        <v>0</v>
      </c>
      <c r="AF3" s="15">
        <v>0</v>
      </c>
      <c r="AG3" s="15">
        <v>0</v>
      </c>
      <c r="AH3">
        <v>0</v>
      </c>
      <c r="AI3">
        <v>0</v>
      </c>
      <c r="AJ3" s="15">
        <v>0</v>
      </c>
      <c r="AK3" s="15">
        <v>0</v>
      </c>
      <c r="AL3">
        <v>0</v>
      </c>
      <c r="AM3">
        <v>0</v>
      </c>
      <c r="AN3">
        <v>0</v>
      </c>
      <c r="AT3" s="54"/>
    </row>
    <row r="4" spans="2:46" ht="12.75">
      <c r="B4" s="23" t="s">
        <v>71</v>
      </c>
      <c r="D4" t="s">
        <v>76</v>
      </c>
      <c r="G4">
        <v>0</v>
      </c>
      <c r="H4">
        <v>0</v>
      </c>
      <c r="I4">
        <v>17000</v>
      </c>
      <c r="J4">
        <v>0</v>
      </c>
      <c r="K4">
        <v>110000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87000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115000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T4" s="54"/>
    </row>
    <row r="5" spans="2:46" ht="12.75">
      <c r="B5" s="23" t="s">
        <v>69</v>
      </c>
      <c r="D5" t="s">
        <v>76</v>
      </c>
      <c r="G5">
        <v>0</v>
      </c>
      <c r="H5">
        <v>0</v>
      </c>
      <c r="I5">
        <v>3000</v>
      </c>
      <c r="J5">
        <v>0</v>
      </c>
      <c r="K5">
        <v>0</v>
      </c>
      <c r="L5">
        <v>0</v>
      </c>
      <c r="M5">
        <v>515890</v>
      </c>
      <c r="N5">
        <v>0</v>
      </c>
      <c r="O5">
        <v>0</v>
      </c>
      <c r="P5">
        <v>0</v>
      </c>
      <c r="Q5">
        <v>0</v>
      </c>
      <c r="R5">
        <v>5000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1160000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6390570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T5" s="54"/>
    </row>
    <row r="6" spans="2:46" ht="12.75">
      <c r="B6" s="23" t="s">
        <v>67</v>
      </c>
      <c r="D6" t="s">
        <v>76</v>
      </c>
      <c r="G6">
        <v>0</v>
      </c>
      <c r="H6">
        <v>639600</v>
      </c>
      <c r="I6">
        <v>0</v>
      </c>
      <c r="J6">
        <v>0</v>
      </c>
      <c r="K6">
        <v>33000</v>
      </c>
      <c r="L6">
        <v>1491826</v>
      </c>
      <c r="M6">
        <v>0</v>
      </c>
      <c r="N6">
        <v>0</v>
      </c>
      <c r="O6">
        <v>0</v>
      </c>
      <c r="P6">
        <v>0</v>
      </c>
      <c r="Q6">
        <v>0</v>
      </c>
      <c r="R6">
        <v>1600</v>
      </c>
      <c r="S6">
        <v>0</v>
      </c>
      <c r="T6">
        <v>0</v>
      </c>
      <c r="U6">
        <v>1600000</v>
      </c>
      <c r="V6">
        <v>0</v>
      </c>
      <c r="W6">
        <v>0</v>
      </c>
      <c r="X6">
        <v>0</v>
      </c>
      <c r="Y6">
        <v>0</v>
      </c>
      <c r="Z6">
        <v>8864000</v>
      </c>
      <c r="AA6">
        <v>0</v>
      </c>
      <c r="AB6">
        <v>0</v>
      </c>
      <c r="AC6">
        <v>240000</v>
      </c>
      <c r="AD6">
        <v>0</v>
      </c>
      <c r="AE6">
        <v>5800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T6" s="54"/>
    </row>
    <row r="7" spans="2:46" ht="12.75">
      <c r="B7" s="23" t="s">
        <v>68</v>
      </c>
      <c r="D7" t="s">
        <v>76</v>
      </c>
      <c r="G7">
        <v>0</v>
      </c>
      <c r="H7">
        <v>0</v>
      </c>
      <c r="I7">
        <v>0</v>
      </c>
      <c r="J7">
        <v>0</v>
      </c>
      <c r="K7">
        <v>0</v>
      </c>
      <c r="L7">
        <v>15220</v>
      </c>
      <c r="M7">
        <v>294330</v>
      </c>
      <c r="N7">
        <v>0</v>
      </c>
      <c r="O7">
        <v>34000</v>
      </c>
      <c r="P7">
        <v>0</v>
      </c>
      <c r="Q7">
        <v>0</v>
      </c>
      <c r="R7">
        <v>63400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14660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3553160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T7" s="54"/>
    </row>
    <row r="8" spans="2:46" ht="12.75">
      <c r="B8" s="23" t="s">
        <v>66</v>
      </c>
      <c r="D8" t="s">
        <v>76</v>
      </c>
      <c r="G8">
        <v>0</v>
      </c>
      <c r="H8">
        <v>0</v>
      </c>
      <c r="I8">
        <v>0</v>
      </c>
      <c r="J8">
        <v>0</v>
      </c>
      <c r="K8">
        <v>0</v>
      </c>
      <c r="L8">
        <v>40680</v>
      </c>
      <c r="M8">
        <v>0</v>
      </c>
      <c r="N8" s="15">
        <v>0</v>
      </c>
      <c r="O8">
        <v>500</v>
      </c>
      <c r="P8">
        <v>0</v>
      </c>
      <c r="Q8">
        <v>11099</v>
      </c>
      <c r="R8">
        <v>0</v>
      </c>
      <c r="S8">
        <v>0</v>
      </c>
      <c r="T8">
        <v>0</v>
      </c>
      <c r="U8">
        <v>210000</v>
      </c>
      <c r="V8">
        <v>5700</v>
      </c>
      <c r="W8">
        <v>0</v>
      </c>
      <c r="X8">
        <v>0</v>
      </c>
      <c r="Y8">
        <v>0</v>
      </c>
      <c r="Z8">
        <v>20340</v>
      </c>
      <c r="AA8">
        <v>682270</v>
      </c>
      <c r="AB8">
        <v>0</v>
      </c>
      <c r="AC8">
        <v>234590</v>
      </c>
      <c r="AD8">
        <v>0</v>
      </c>
      <c r="AE8">
        <v>440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T8" s="54"/>
    </row>
    <row r="9" spans="2:46" ht="12.75">
      <c r="B9" s="23" t="s">
        <v>244</v>
      </c>
      <c r="D9" t="s">
        <v>76</v>
      </c>
      <c r="G9">
        <v>0</v>
      </c>
      <c r="H9">
        <v>0</v>
      </c>
      <c r="I9">
        <v>0</v>
      </c>
      <c r="J9">
        <v>0</v>
      </c>
      <c r="K9">
        <v>0</v>
      </c>
      <c r="L9">
        <v>6336000</v>
      </c>
      <c r="M9">
        <v>14718000</v>
      </c>
      <c r="N9" s="15">
        <v>0</v>
      </c>
      <c r="O9">
        <v>0</v>
      </c>
      <c r="P9">
        <v>0</v>
      </c>
      <c r="Q9">
        <v>7922000</v>
      </c>
      <c r="R9">
        <v>1864000</v>
      </c>
      <c r="S9">
        <v>0</v>
      </c>
      <c r="T9">
        <v>92277000</v>
      </c>
      <c r="U9">
        <v>2709000</v>
      </c>
      <c r="V9">
        <v>0</v>
      </c>
      <c r="W9">
        <v>0</v>
      </c>
      <c r="X9">
        <v>0</v>
      </c>
      <c r="Y9">
        <v>0</v>
      </c>
      <c r="Z9">
        <v>170000</v>
      </c>
      <c r="AA9">
        <v>0</v>
      </c>
      <c r="AB9">
        <v>0</v>
      </c>
      <c r="AC9">
        <v>0</v>
      </c>
      <c r="AD9">
        <v>2250000</v>
      </c>
      <c r="AE9">
        <v>0</v>
      </c>
      <c r="AF9">
        <v>0</v>
      </c>
      <c r="AG9">
        <v>14933000</v>
      </c>
      <c r="AH9">
        <v>0</v>
      </c>
      <c r="AI9">
        <v>0</v>
      </c>
      <c r="AJ9">
        <v>26031000</v>
      </c>
      <c r="AK9">
        <v>0</v>
      </c>
      <c r="AL9">
        <v>0</v>
      </c>
      <c r="AM9">
        <v>0</v>
      </c>
      <c r="AN9">
        <v>0</v>
      </c>
      <c r="AT9" s="54"/>
    </row>
    <row r="10" spans="2:46" ht="12.75">
      <c r="B10" s="23" t="s">
        <v>245</v>
      </c>
      <c r="D10" t="s">
        <v>76</v>
      </c>
      <c r="G10">
        <v>0</v>
      </c>
      <c r="H10">
        <v>199000</v>
      </c>
      <c r="I10">
        <v>2100000</v>
      </c>
      <c r="J10">
        <v>0</v>
      </c>
      <c r="K10">
        <v>766000</v>
      </c>
      <c r="L10">
        <v>20000000</v>
      </c>
      <c r="M10">
        <v>1954000</v>
      </c>
      <c r="N10">
        <v>0</v>
      </c>
      <c r="O10">
        <v>23439</v>
      </c>
      <c r="P10">
        <v>0</v>
      </c>
      <c r="Q10">
        <v>0</v>
      </c>
      <c r="R10">
        <v>255000</v>
      </c>
      <c r="S10">
        <v>140000</v>
      </c>
      <c r="T10">
        <v>0</v>
      </c>
      <c r="U10">
        <v>1963000</v>
      </c>
      <c r="V10">
        <v>41500</v>
      </c>
      <c r="W10">
        <v>0</v>
      </c>
      <c r="X10">
        <v>404000</v>
      </c>
      <c r="Y10">
        <v>0</v>
      </c>
      <c r="Z10">
        <v>170000</v>
      </c>
      <c r="AA10">
        <v>3522600</v>
      </c>
      <c r="AB10">
        <v>7700000</v>
      </c>
      <c r="AC10">
        <v>7500000</v>
      </c>
      <c r="AD10">
        <v>0</v>
      </c>
      <c r="AE10">
        <v>92000</v>
      </c>
      <c r="AF10">
        <v>1716000</v>
      </c>
      <c r="AG10">
        <v>0</v>
      </c>
      <c r="AH10">
        <v>0</v>
      </c>
      <c r="AI10">
        <v>0</v>
      </c>
      <c r="AJ10">
        <v>0</v>
      </c>
      <c r="AK10">
        <v>2710000</v>
      </c>
      <c r="AL10">
        <v>20000</v>
      </c>
      <c r="AM10">
        <v>296062.36489999999</v>
      </c>
      <c r="AN10">
        <v>1050000</v>
      </c>
      <c r="AT10" s="54"/>
    </row>
    <row r="11" spans="2:46" ht="12.75">
      <c r="B11" s="23" t="s">
        <v>65</v>
      </c>
      <c r="D11" t="s">
        <v>76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5000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T11" s="46"/>
    </row>
    <row r="12" spans="2:46" ht="12.75">
      <c r="B12" s="23" t="s">
        <v>246</v>
      </c>
      <c r="D12" t="s">
        <v>76</v>
      </c>
      <c r="G12">
        <v>487500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1007401</v>
      </c>
      <c r="R12">
        <v>0</v>
      </c>
      <c r="S12">
        <v>389000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82060</v>
      </c>
      <c r="AB12">
        <v>0</v>
      </c>
      <c r="AC12">
        <v>16000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188830</v>
      </c>
      <c r="AL12">
        <v>111000</v>
      </c>
      <c r="AM12">
        <v>0</v>
      </c>
      <c r="AN12">
        <v>0</v>
      </c>
      <c r="AT12" s="46"/>
    </row>
    <row r="13" spans="2:46" ht="12.75">
      <c r="B13" s="23" t="s">
        <v>247</v>
      </c>
      <c r="D13" t="s">
        <v>76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1505000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3157000</v>
      </c>
      <c r="AK13">
        <v>0</v>
      </c>
      <c r="AL13">
        <v>0</v>
      </c>
      <c r="AM13">
        <v>0</v>
      </c>
      <c r="AN13">
        <v>0</v>
      </c>
      <c r="AT13" s="46"/>
    </row>
    <row r="14" spans="1:46" ht="12.75">
      <c r="A14" s="19"/>
      <c r="B14" s="24" t="s">
        <v>248</v>
      </c>
      <c r="C14" s="19"/>
      <c r="D14" s="19" t="s">
        <v>76</v>
      </c>
      <c r="E14" s="19"/>
      <c r="F14" s="19"/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71000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R14" s="19"/>
      <c r="AT14" s="46"/>
    </row>
    <row r="15" spans="2:46" ht="12.75">
      <c r="B15" s="23" t="s">
        <v>70</v>
      </c>
      <c r="D15" t="s">
        <v>195</v>
      </c>
      <c r="G15" s="15">
        <v>0</v>
      </c>
      <c r="H15">
        <v>0</v>
      </c>
      <c r="I15">
        <v>0</v>
      </c>
      <c r="J15">
        <v>0</v>
      </c>
      <c r="K15">
        <v>0</v>
      </c>
      <c r="L15">
        <v>0.0013237097128479564</v>
      </c>
      <c r="M15">
        <v>0.0064339897339243217</v>
      </c>
      <c r="N15">
        <v>0</v>
      </c>
      <c r="O15" s="15">
        <v>0.0020136993059663771</v>
      </c>
      <c r="P15" s="15">
        <v>0</v>
      </c>
      <c r="Q15" s="15">
        <v>0.004573897594210668</v>
      </c>
      <c r="R15" s="15">
        <v>0</v>
      </c>
      <c r="S15">
        <v>0.00099070793347095305</v>
      </c>
      <c r="T15" s="15">
        <v>0</v>
      </c>
      <c r="U15" s="15">
        <v>0.0014497554209476115</v>
      </c>
      <c r="V15" s="15">
        <v>0</v>
      </c>
      <c r="W15" s="15">
        <v>0</v>
      </c>
      <c r="X15" s="15">
        <v>0</v>
      </c>
      <c r="Y15" s="15">
        <v>0</v>
      </c>
      <c r="Z15" s="15">
        <v>0.0016814096977456451</v>
      </c>
      <c r="AA15" s="15">
        <v>0.002614765827162946</v>
      </c>
      <c r="AB15">
        <v>0</v>
      </c>
      <c r="AC15">
        <v>0.00097225906964486231</v>
      </c>
      <c r="AD15" s="15">
        <v>0</v>
      </c>
      <c r="AE15" s="15">
        <v>0</v>
      </c>
      <c r="AF15" s="15">
        <v>0</v>
      </c>
      <c r="AG15" s="15">
        <v>0.0014014214277907305</v>
      </c>
      <c r="AH15">
        <v>0</v>
      </c>
      <c r="AI15">
        <v>0</v>
      </c>
      <c r="AJ15" s="15">
        <v>0.0016814096977456451</v>
      </c>
      <c r="AK15" s="15">
        <v>0.002614765827162946</v>
      </c>
      <c r="AL15">
        <v>0.0016814096977456451</v>
      </c>
      <c r="AM15">
        <v>0.002614765827162946</v>
      </c>
      <c r="AN15">
        <v>0.0016814096977456451</v>
      </c>
      <c r="AT15" s="54"/>
    </row>
    <row r="16" spans="2:46" ht="12.75">
      <c r="B16" s="23" t="s">
        <v>71</v>
      </c>
      <c r="D16" t="s">
        <v>195</v>
      </c>
      <c r="G16">
        <v>0</v>
      </c>
      <c r="H16">
        <v>0</v>
      </c>
      <c r="I16">
        <v>0</v>
      </c>
      <c r="J16">
        <v>0</v>
      </c>
      <c r="K16">
        <v>0</v>
      </c>
      <c r="L16">
        <v>0.0013237097128479564</v>
      </c>
      <c r="M16">
        <v>0.0064339897339243217</v>
      </c>
      <c r="N16">
        <v>0</v>
      </c>
      <c r="O16">
        <v>0.0020136993059663771</v>
      </c>
      <c r="P16">
        <v>0</v>
      </c>
      <c r="Q16">
        <v>0.004573897594210668</v>
      </c>
      <c r="R16">
        <v>0</v>
      </c>
      <c r="S16">
        <v>0.00099070793347095305</v>
      </c>
      <c r="T16">
        <v>0</v>
      </c>
      <c r="U16">
        <v>0.0014497554209476115</v>
      </c>
      <c r="V16">
        <v>0</v>
      </c>
      <c r="W16">
        <v>0</v>
      </c>
      <c r="X16">
        <v>0</v>
      </c>
      <c r="Y16">
        <v>0</v>
      </c>
      <c r="Z16">
        <v>0.0016814096977456451</v>
      </c>
      <c r="AA16">
        <v>0.002614765827162946</v>
      </c>
      <c r="AB16">
        <v>0</v>
      </c>
      <c r="AC16">
        <v>0.00097225906964486231</v>
      </c>
      <c r="AD16">
        <v>0</v>
      </c>
      <c r="AE16">
        <v>0</v>
      </c>
      <c r="AF16">
        <v>0</v>
      </c>
      <c r="AG16">
        <v>0.0014014214277907305</v>
      </c>
      <c r="AH16">
        <v>0</v>
      </c>
      <c r="AI16">
        <v>0</v>
      </c>
      <c r="AJ16">
        <v>0.0016814096977456451</v>
      </c>
      <c r="AK16">
        <v>0.002614765827162946</v>
      </c>
      <c r="AL16">
        <v>0.0016814096977456451</v>
      </c>
      <c r="AM16">
        <v>0.002614765827162946</v>
      </c>
      <c r="AN16">
        <v>0.0016814096977456451</v>
      </c>
      <c r="AT16" s="54"/>
    </row>
    <row r="17" spans="2:46" ht="12.75">
      <c r="B17" s="23" t="s">
        <v>69</v>
      </c>
      <c r="D17" t="s">
        <v>195</v>
      </c>
      <c r="G17">
        <v>0.001</v>
      </c>
      <c r="H17">
        <v>0.001</v>
      </c>
      <c r="I17">
        <v>0.001</v>
      </c>
      <c r="J17">
        <v>0.001</v>
      </c>
      <c r="K17">
        <v>0.001</v>
      </c>
      <c r="L17">
        <v>0.0023237097128479562</v>
      </c>
      <c r="M17">
        <v>0.0074339897339243217</v>
      </c>
      <c r="N17">
        <v>0.001</v>
      </c>
      <c r="O17">
        <v>0.0030136993059663771</v>
      </c>
      <c r="P17">
        <v>0.001</v>
      </c>
      <c r="Q17">
        <v>0.005573897594210668</v>
      </c>
      <c r="R17">
        <v>0.001</v>
      </c>
      <c r="S17">
        <v>0.0019907079334709529</v>
      </c>
      <c r="T17">
        <v>0.001</v>
      </c>
      <c r="U17">
        <v>0.0024497554209476115</v>
      </c>
      <c r="V17">
        <v>0.001</v>
      </c>
      <c r="W17">
        <v>0.001</v>
      </c>
      <c r="X17">
        <v>0.001</v>
      </c>
      <c r="Y17">
        <v>0.001</v>
      </c>
      <c r="Z17">
        <v>0.0026814096977456452</v>
      </c>
      <c r="AA17">
        <v>0.003614765827162946</v>
      </c>
      <c r="AB17">
        <v>0.001</v>
      </c>
      <c r="AC17">
        <v>0.0019722590696448624</v>
      </c>
      <c r="AD17">
        <v>0.001</v>
      </c>
      <c r="AE17">
        <v>0.001</v>
      </c>
      <c r="AF17">
        <v>0.001</v>
      </c>
      <c r="AG17">
        <v>0.0024014214277907307</v>
      </c>
      <c r="AH17">
        <v>0</v>
      </c>
      <c r="AI17">
        <v>0</v>
      </c>
      <c r="AJ17">
        <v>0.0026814096977456452</v>
      </c>
      <c r="AK17">
        <v>0.003614765827162946</v>
      </c>
      <c r="AL17">
        <v>0.0026814096977456452</v>
      </c>
      <c r="AM17">
        <v>0.003614765827162946</v>
      </c>
      <c r="AN17">
        <v>0.0026814096977456452</v>
      </c>
      <c r="AT17" s="54"/>
    </row>
    <row r="18" spans="2:46" ht="12.75">
      <c r="B18" s="23" t="s">
        <v>67</v>
      </c>
      <c r="D18" t="s">
        <v>195</v>
      </c>
      <c r="G18">
        <v>0.00040000000000000002</v>
      </c>
      <c r="H18">
        <v>0.00040000000000000002</v>
      </c>
      <c r="I18">
        <v>0.00040000000000000002</v>
      </c>
      <c r="J18">
        <v>0.00040000000000000002</v>
      </c>
      <c r="K18">
        <v>0.00040000000000000002</v>
      </c>
      <c r="L18">
        <v>0.0017237097128479564</v>
      </c>
      <c r="M18">
        <v>0.0068339897339243219</v>
      </c>
      <c r="N18">
        <v>0.00040000000000000002</v>
      </c>
      <c r="O18">
        <v>0.0024136993059663773</v>
      </c>
      <c r="P18">
        <v>0.00040000000000000002</v>
      </c>
      <c r="Q18">
        <v>0.0049738975942106682</v>
      </c>
      <c r="R18">
        <v>0.00040000000000000002</v>
      </c>
      <c r="S18">
        <v>0.001390707933470953</v>
      </c>
      <c r="T18">
        <v>0.00040000000000000002</v>
      </c>
      <c r="U18">
        <v>0.0018497554209476114</v>
      </c>
      <c r="V18">
        <v>0.00040000000000000002</v>
      </c>
      <c r="W18">
        <v>0.00040000000000000002</v>
      </c>
      <c r="X18">
        <v>0.00040000000000000002</v>
      </c>
      <c r="Y18">
        <v>0.00040000000000000002</v>
      </c>
      <c r="Z18">
        <v>0.0020814096977456453</v>
      </c>
      <c r="AA18">
        <v>0.0030147658271629462</v>
      </c>
      <c r="AB18">
        <v>0.00040000000000000002</v>
      </c>
      <c r="AC18">
        <v>0.0013722590696448624</v>
      </c>
      <c r="AD18">
        <v>0.00040000000000000002</v>
      </c>
      <c r="AE18">
        <v>0.00040000000000000002</v>
      </c>
      <c r="AF18">
        <v>0.00040000000000000002</v>
      </c>
      <c r="AG18">
        <v>0.0018014214277907305</v>
      </c>
      <c r="AH18">
        <v>0</v>
      </c>
      <c r="AI18">
        <v>0</v>
      </c>
      <c r="AJ18">
        <v>0.0020814096977456453</v>
      </c>
      <c r="AK18">
        <v>0.0030147658271629462</v>
      </c>
      <c r="AL18">
        <v>0.0020814096977456453</v>
      </c>
      <c r="AM18">
        <v>0.0030147658271629462</v>
      </c>
      <c r="AN18">
        <v>0.0020814096977456453</v>
      </c>
      <c r="AT18" s="54"/>
    </row>
    <row r="19" spans="2:46" ht="12.75">
      <c r="B19" s="23" t="s">
        <v>68</v>
      </c>
      <c r="D19" t="s">
        <v>195</v>
      </c>
      <c r="G19">
        <v>0.001</v>
      </c>
      <c r="H19">
        <v>0.001</v>
      </c>
      <c r="I19">
        <v>0.001</v>
      </c>
      <c r="J19">
        <v>0.001</v>
      </c>
      <c r="K19">
        <v>0.001</v>
      </c>
      <c r="L19">
        <v>0.0023237097128479562</v>
      </c>
      <c r="M19">
        <v>0.0074339897339243217</v>
      </c>
      <c r="N19">
        <v>0.001</v>
      </c>
      <c r="O19">
        <v>0.0030136993059663771</v>
      </c>
      <c r="P19">
        <v>0.001</v>
      </c>
      <c r="Q19">
        <v>0.005573897594210668</v>
      </c>
      <c r="R19">
        <v>0.001</v>
      </c>
      <c r="S19">
        <v>0.0019907079334709529</v>
      </c>
      <c r="T19">
        <v>0.001</v>
      </c>
      <c r="U19">
        <v>0.0024497554209476115</v>
      </c>
      <c r="V19">
        <v>0.001</v>
      </c>
      <c r="W19">
        <v>0.001</v>
      </c>
      <c r="X19">
        <v>0.001</v>
      </c>
      <c r="Y19">
        <v>0.001</v>
      </c>
      <c r="Z19">
        <v>0.0026814096977456452</v>
      </c>
      <c r="AA19">
        <v>0.003614765827162946</v>
      </c>
      <c r="AB19">
        <v>0.001</v>
      </c>
      <c r="AC19">
        <v>0.0019722590696448624</v>
      </c>
      <c r="AD19">
        <v>0.001</v>
      </c>
      <c r="AE19">
        <v>0.001</v>
      </c>
      <c r="AF19">
        <v>0.001</v>
      </c>
      <c r="AG19">
        <v>0.0024014214277907307</v>
      </c>
      <c r="AH19">
        <v>0</v>
      </c>
      <c r="AI19">
        <v>0</v>
      </c>
      <c r="AJ19">
        <v>0.0026814096977456452</v>
      </c>
      <c r="AK19">
        <v>0.003614765827162946</v>
      </c>
      <c r="AL19">
        <v>0.0026814096977456452</v>
      </c>
      <c r="AM19">
        <v>0.003614765827162946</v>
      </c>
      <c r="AN19">
        <v>0.0026814096977456452</v>
      </c>
      <c r="AT19" s="54"/>
    </row>
    <row r="20" spans="2:46" ht="12.75">
      <c r="B20" s="23" t="s">
        <v>66</v>
      </c>
      <c r="D20" t="s">
        <v>195</v>
      </c>
      <c r="G20">
        <v>0.00040000000000000002</v>
      </c>
      <c r="H20">
        <v>0.00040000000000000002</v>
      </c>
      <c r="I20">
        <v>0.00040000000000000002</v>
      </c>
      <c r="J20">
        <v>0.00040000000000000002</v>
      </c>
      <c r="K20">
        <v>0.00040000000000000002</v>
      </c>
      <c r="L20">
        <v>0.0017237097128479564</v>
      </c>
      <c r="M20">
        <v>0.0068339897339243219</v>
      </c>
      <c r="N20" s="15">
        <v>0.00040000000000000002</v>
      </c>
      <c r="O20">
        <v>0.0024136993059663773</v>
      </c>
      <c r="P20">
        <v>0.00040000000000000002</v>
      </c>
      <c r="Q20">
        <v>0.0049738975942106682</v>
      </c>
      <c r="R20">
        <v>0.00040000000000000002</v>
      </c>
      <c r="S20">
        <v>0.001390707933470953</v>
      </c>
      <c r="T20">
        <v>0.00040000000000000002</v>
      </c>
      <c r="U20">
        <v>0.0018497554209476114</v>
      </c>
      <c r="V20">
        <v>0.00040000000000000002</v>
      </c>
      <c r="W20">
        <v>0.00040000000000000002</v>
      </c>
      <c r="X20">
        <v>0.00040000000000000002</v>
      </c>
      <c r="Y20">
        <v>0.00040000000000000002</v>
      </c>
      <c r="Z20">
        <v>0.0020814096977456453</v>
      </c>
      <c r="AA20">
        <v>0.0030147658271629462</v>
      </c>
      <c r="AB20">
        <v>0.00040000000000000002</v>
      </c>
      <c r="AC20">
        <v>0.0013722590696448624</v>
      </c>
      <c r="AD20">
        <v>0.00040000000000000002</v>
      </c>
      <c r="AE20">
        <v>0.00040000000000000002</v>
      </c>
      <c r="AF20">
        <v>0.00040000000000000002</v>
      </c>
      <c r="AG20">
        <v>0.0018014214277907305</v>
      </c>
      <c r="AH20">
        <v>0</v>
      </c>
      <c r="AI20">
        <v>0</v>
      </c>
      <c r="AJ20">
        <v>0.0020814096977456453</v>
      </c>
      <c r="AK20">
        <v>0.0030147658271629462</v>
      </c>
      <c r="AL20">
        <v>0.0020814096977456453</v>
      </c>
      <c r="AM20">
        <v>0.0030147658271629462</v>
      </c>
      <c r="AN20">
        <v>0.0020814096977456453</v>
      </c>
      <c r="AT20" s="54"/>
    </row>
    <row r="21" spans="2:46" ht="12.75">
      <c r="B21" s="23" t="s">
        <v>244</v>
      </c>
      <c r="D21" t="s">
        <v>195</v>
      </c>
      <c r="G21">
        <v>0.0014</v>
      </c>
      <c r="H21">
        <v>0.0014</v>
      </c>
      <c r="I21">
        <v>0.0014</v>
      </c>
      <c r="J21">
        <v>0.0014</v>
      </c>
      <c r="K21">
        <v>0.0014</v>
      </c>
      <c r="L21">
        <v>0.0027237097128479564</v>
      </c>
      <c r="M21">
        <v>0.0078339897339243219</v>
      </c>
      <c r="N21" s="15">
        <v>0.0014</v>
      </c>
      <c r="O21">
        <v>0.0034136993059663773</v>
      </c>
      <c r="P21">
        <v>0.0014</v>
      </c>
      <c r="Q21">
        <v>0.0059738975942106682</v>
      </c>
      <c r="R21">
        <v>0.0014</v>
      </c>
      <c r="S21">
        <v>0.002390707933470953</v>
      </c>
      <c r="T21">
        <v>0.0014</v>
      </c>
      <c r="U21">
        <v>0.0028497554209476117</v>
      </c>
      <c r="V21">
        <v>0.0014</v>
      </c>
      <c r="W21">
        <v>0.0014</v>
      </c>
      <c r="X21">
        <v>0.0014</v>
      </c>
      <c r="Y21">
        <v>0.0014</v>
      </c>
      <c r="Z21">
        <v>0.0030814096977456453</v>
      </c>
      <c r="AA21">
        <v>0.0040147658271629458</v>
      </c>
      <c r="AB21">
        <v>0.0014</v>
      </c>
      <c r="AC21">
        <v>0.0023722590696448622</v>
      </c>
      <c r="AD21">
        <v>0.0014</v>
      </c>
      <c r="AE21">
        <v>0.0014</v>
      </c>
      <c r="AF21">
        <v>0.0014</v>
      </c>
      <c r="AG21">
        <v>0.0028014214277907305</v>
      </c>
      <c r="AH21">
        <v>0</v>
      </c>
      <c r="AI21">
        <v>0</v>
      </c>
      <c r="AJ21">
        <v>0.0030814096977456453</v>
      </c>
      <c r="AK21">
        <v>0.0040147658271629458</v>
      </c>
      <c r="AL21">
        <v>0.0030814096977456453</v>
      </c>
      <c r="AM21">
        <v>0.0040147658271629458</v>
      </c>
      <c r="AN21">
        <v>0.0030814096977456453</v>
      </c>
      <c r="AT21" s="54"/>
    </row>
    <row r="22" spans="2:46" ht="12.75">
      <c r="B22" s="23" t="s">
        <v>245</v>
      </c>
      <c r="D22" t="s">
        <v>195</v>
      </c>
      <c r="G22">
        <v>0.00050000000000000001</v>
      </c>
      <c r="H22">
        <v>0.00050000000000000001</v>
      </c>
      <c r="I22">
        <v>0.00050000000000000001</v>
      </c>
      <c r="J22">
        <v>0.00050000000000000001</v>
      </c>
      <c r="K22">
        <v>0.00050000000000000001</v>
      </c>
      <c r="L22">
        <v>0.0018237097128479564</v>
      </c>
      <c r="M22">
        <v>0.0069339897339243221</v>
      </c>
      <c r="N22">
        <v>0.00050000000000000001</v>
      </c>
      <c r="O22">
        <v>0.0025136993059663771</v>
      </c>
      <c r="P22">
        <v>0.00050000000000000001</v>
      </c>
      <c r="Q22">
        <v>0.0050738975942106676</v>
      </c>
      <c r="R22">
        <v>0.00050000000000000001</v>
      </c>
      <c r="S22">
        <v>0.0014907079334709531</v>
      </c>
      <c r="T22">
        <v>0.00050000000000000001</v>
      </c>
      <c r="U22">
        <v>0.0019497554209476115</v>
      </c>
      <c r="V22">
        <v>0.00050000000000000001</v>
      </c>
      <c r="W22">
        <v>0.00050000000000000001</v>
      </c>
      <c r="X22">
        <v>0.00050000000000000001</v>
      </c>
      <c r="Y22">
        <v>0.00050000000000000001</v>
      </c>
      <c r="Z22">
        <v>0.0021814096977456452</v>
      </c>
      <c r="AA22">
        <v>0.003114765827162946</v>
      </c>
      <c r="AB22">
        <v>0.00050000000000000001</v>
      </c>
      <c r="AC22">
        <v>0.0014722590696448624</v>
      </c>
      <c r="AD22">
        <v>0.00050000000000000001</v>
      </c>
      <c r="AE22">
        <v>0.00050000000000000001</v>
      </c>
      <c r="AF22">
        <v>0.00050000000000000001</v>
      </c>
      <c r="AG22">
        <v>0.0019014214277907305</v>
      </c>
      <c r="AH22">
        <v>0</v>
      </c>
      <c r="AI22">
        <v>0</v>
      </c>
      <c r="AJ22">
        <v>0.0021814096977456452</v>
      </c>
      <c r="AK22">
        <v>0.003114765827162946</v>
      </c>
      <c r="AL22">
        <v>0.0021814096977456452</v>
      </c>
      <c r="AM22">
        <v>0.003114765827162946</v>
      </c>
      <c r="AN22">
        <v>0.0021814096977456452</v>
      </c>
      <c r="AT22" s="54"/>
    </row>
    <row r="23" spans="2:46" ht="12.75">
      <c r="B23" s="23" t="s">
        <v>65</v>
      </c>
      <c r="D23" t="s">
        <v>195</v>
      </c>
      <c r="G23">
        <v>0</v>
      </c>
      <c r="H23">
        <v>0</v>
      </c>
      <c r="I23">
        <v>0</v>
      </c>
      <c r="J23">
        <v>0</v>
      </c>
      <c r="K23">
        <v>0</v>
      </c>
      <c r="L23">
        <v>0.0013237097128479564</v>
      </c>
      <c r="M23">
        <v>0.0064339897339243217</v>
      </c>
      <c r="N23">
        <v>0</v>
      </c>
      <c r="O23">
        <v>0.0020136993059663771</v>
      </c>
      <c r="P23">
        <v>0</v>
      </c>
      <c r="Q23">
        <v>0.004573897594210668</v>
      </c>
      <c r="R23">
        <v>0</v>
      </c>
      <c r="S23">
        <v>0.00099070793347095305</v>
      </c>
      <c r="T23">
        <v>0</v>
      </c>
      <c r="U23">
        <v>0.0014497554209476115</v>
      </c>
      <c r="V23">
        <v>0</v>
      </c>
      <c r="W23">
        <v>0</v>
      </c>
      <c r="X23">
        <v>0</v>
      </c>
      <c r="Y23">
        <v>0</v>
      </c>
      <c r="Z23">
        <v>0.0016814096977456451</v>
      </c>
      <c r="AA23">
        <v>0.002614765827162946</v>
      </c>
      <c r="AB23">
        <v>0</v>
      </c>
      <c r="AC23">
        <v>0.00097225906964486231</v>
      </c>
      <c r="AD23">
        <v>0</v>
      </c>
      <c r="AE23">
        <v>0</v>
      </c>
      <c r="AF23">
        <v>0</v>
      </c>
      <c r="AG23">
        <v>0.0014014214277907305</v>
      </c>
      <c r="AH23">
        <v>0</v>
      </c>
      <c r="AI23">
        <v>0</v>
      </c>
      <c r="AJ23">
        <v>0.0016814096977456451</v>
      </c>
      <c r="AK23">
        <v>0.002614765827162946</v>
      </c>
      <c r="AL23">
        <v>0.0016814096977456451</v>
      </c>
      <c r="AM23">
        <v>0.002614765827162946</v>
      </c>
      <c r="AN23">
        <v>0.0016814096977456451</v>
      </c>
      <c r="AT23" s="46"/>
    </row>
    <row r="24" spans="2:46" ht="12.75">
      <c r="B24" s="23" t="s">
        <v>246</v>
      </c>
      <c r="D24" t="s">
        <v>195</v>
      </c>
      <c r="G24">
        <v>0.00040000000000000002</v>
      </c>
      <c r="H24">
        <v>0.00040000000000000002</v>
      </c>
      <c r="I24">
        <v>0.00040000000000000002</v>
      </c>
      <c r="J24">
        <v>0.00040000000000000002</v>
      </c>
      <c r="K24">
        <v>0.00040000000000000002</v>
      </c>
      <c r="L24">
        <v>0.0017237097128479564</v>
      </c>
      <c r="M24">
        <v>0.0068339897339243219</v>
      </c>
      <c r="N24">
        <v>0.00040000000000000002</v>
      </c>
      <c r="O24">
        <v>0.0024136993059663773</v>
      </c>
      <c r="P24">
        <v>0.00040000000000000002</v>
      </c>
      <c r="Q24">
        <v>0.0049738975942106682</v>
      </c>
      <c r="R24">
        <v>0.00040000000000000002</v>
      </c>
      <c r="S24">
        <v>0.001390707933470953</v>
      </c>
      <c r="T24">
        <v>0.00040000000000000002</v>
      </c>
      <c r="U24">
        <v>0.0018497554209476114</v>
      </c>
      <c r="V24">
        <v>0.00040000000000000002</v>
      </c>
      <c r="W24">
        <v>0.00040000000000000002</v>
      </c>
      <c r="X24">
        <v>0.00040000000000000002</v>
      </c>
      <c r="Y24">
        <v>0.00040000000000000002</v>
      </c>
      <c r="Z24">
        <v>0.0020814096977456453</v>
      </c>
      <c r="AA24">
        <v>0.0030147658271629462</v>
      </c>
      <c r="AB24">
        <v>0.00040000000000000002</v>
      </c>
      <c r="AC24">
        <v>0.0013722590696448624</v>
      </c>
      <c r="AD24">
        <v>0.00040000000000000002</v>
      </c>
      <c r="AE24">
        <v>0.00040000000000000002</v>
      </c>
      <c r="AF24">
        <v>0.00040000000000000002</v>
      </c>
      <c r="AG24">
        <v>0.0018014214277907305</v>
      </c>
      <c r="AH24">
        <v>0</v>
      </c>
      <c r="AI24">
        <v>0</v>
      </c>
      <c r="AJ24">
        <v>0.0020814096977456453</v>
      </c>
      <c r="AK24">
        <v>0.0030147658271629462</v>
      </c>
      <c r="AL24">
        <v>0.0020814096977456453</v>
      </c>
      <c r="AM24">
        <v>0.0030147658271629462</v>
      </c>
      <c r="AN24">
        <v>0.0020814096977456453</v>
      </c>
      <c r="AT24" s="46"/>
    </row>
    <row r="25" spans="2:46" ht="12.75">
      <c r="B25" s="23" t="s">
        <v>247</v>
      </c>
      <c r="D25" t="s">
        <v>195</v>
      </c>
      <c r="G25">
        <v>0.00040000000000000002</v>
      </c>
      <c r="H25">
        <v>0.00040000000000000002</v>
      </c>
      <c r="I25">
        <v>0.00040000000000000002</v>
      </c>
      <c r="J25">
        <v>0.00040000000000000002</v>
      </c>
      <c r="K25">
        <v>0.00040000000000000002</v>
      </c>
      <c r="L25">
        <v>0.0017237097128479564</v>
      </c>
      <c r="M25">
        <v>0.0068339897339243219</v>
      </c>
      <c r="N25">
        <v>0.00040000000000000002</v>
      </c>
      <c r="O25">
        <v>0.0024136993059663773</v>
      </c>
      <c r="P25">
        <v>0.00040000000000000002</v>
      </c>
      <c r="Q25">
        <v>0.0049738975942106682</v>
      </c>
      <c r="R25">
        <v>0.00040000000000000002</v>
      </c>
      <c r="S25">
        <v>0.001390707933470953</v>
      </c>
      <c r="T25">
        <v>0.00040000000000000002</v>
      </c>
      <c r="U25">
        <v>0.0018497554209476114</v>
      </c>
      <c r="V25">
        <v>0.00040000000000000002</v>
      </c>
      <c r="W25">
        <v>0.00040000000000000002</v>
      </c>
      <c r="X25">
        <v>0.00040000000000000002</v>
      </c>
      <c r="Y25">
        <v>0.00040000000000000002</v>
      </c>
      <c r="Z25">
        <v>0.0020814096977456453</v>
      </c>
      <c r="AA25">
        <v>0.0030147658271629462</v>
      </c>
      <c r="AB25">
        <v>0.00040000000000000002</v>
      </c>
      <c r="AC25">
        <v>0.0013722590696448624</v>
      </c>
      <c r="AD25">
        <v>0.00040000000000000002</v>
      </c>
      <c r="AE25">
        <v>0.00040000000000000002</v>
      </c>
      <c r="AF25">
        <v>0.00040000000000000002</v>
      </c>
      <c r="AG25">
        <v>0.0018014214277907305</v>
      </c>
      <c r="AH25">
        <v>0</v>
      </c>
      <c r="AI25">
        <v>0</v>
      </c>
      <c r="AJ25">
        <v>0.0020814096977456453</v>
      </c>
      <c r="AK25">
        <v>0.0030147658271629462</v>
      </c>
      <c r="AL25">
        <v>0.0020814096977456453</v>
      </c>
      <c r="AM25">
        <v>0.0030147658271629462</v>
      </c>
      <c r="AN25">
        <v>0.0020814096977456453</v>
      </c>
      <c r="AT25" s="46"/>
    </row>
    <row r="26" spans="1:46" ht="12.75">
      <c r="A26" s="19"/>
      <c r="B26" s="24" t="s">
        <v>248</v>
      </c>
      <c r="C26" s="19"/>
      <c r="D26" s="19" t="s">
        <v>195</v>
      </c>
      <c r="E26" s="19"/>
      <c r="F26" s="19"/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0.0013237097128479564</v>
      </c>
      <c r="M26" s="19">
        <v>0.0064339897339243217</v>
      </c>
      <c r="N26" s="19">
        <v>0</v>
      </c>
      <c r="O26" s="19">
        <v>0.0020136993059663771</v>
      </c>
      <c r="P26" s="19">
        <v>0</v>
      </c>
      <c r="Q26" s="19">
        <v>0.004573897594210668</v>
      </c>
      <c r="R26" s="19">
        <v>0</v>
      </c>
      <c r="S26" s="19">
        <v>0.00099070793347095305</v>
      </c>
      <c r="T26" s="19">
        <v>0</v>
      </c>
      <c r="U26" s="19">
        <v>0.0014497554209476115</v>
      </c>
      <c r="V26" s="19">
        <v>0</v>
      </c>
      <c r="W26" s="19">
        <v>0</v>
      </c>
      <c r="X26" s="19">
        <v>0</v>
      </c>
      <c r="Y26" s="19">
        <v>0</v>
      </c>
      <c r="Z26" s="19">
        <v>0.0016814096977456451</v>
      </c>
      <c r="AA26" s="19">
        <v>0.002614765827162946</v>
      </c>
      <c r="AB26" s="19">
        <v>0</v>
      </c>
      <c r="AC26" s="19">
        <v>0.00097225906964486231</v>
      </c>
      <c r="AD26" s="19">
        <v>0</v>
      </c>
      <c r="AE26" s="19">
        <v>0</v>
      </c>
      <c r="AF26" s="19">
        <v>0</v>
      </c>
      <c r="AG26" s="19">
        <v>0.0014014214277907305</v>
      </c>
      <c r="AH26" s="19">
        <v>0</v>
      </c>
      <c r="AI26" s="19">
        <v>0</v>
      </c>
      <c r="AJ26" s="19">
        <v>0.0016814096977456451</v>
      </c>
      <c r="AK26" s="19">
        <v>0.002614765827162946</v>
      </c>
      <c r="AL26" s="19">
        <v>0.0016814096977456451</v>
      </c>
      <c r="AM26" s="19">
        <v>0.002614765827162946</v>
      </c>
      <c r="AN26" s="19">
        <v>0.0016814096977456451</v>
      </c>
      <c r="AR26" s="19"/>
      <c r="AT26" s="46"/>
    </row>
    <row r="27" spans="2:47" ht="12.75">
      <c r="B27" s="23" t="s">
        <v>72</v>
      </c>
      <c r="D27" t="s">
        <v>76</v>
      </c>
      <c r="G27" s="15">
        <v>57981.359212639501</v>
      </c>
      <c r="H27" s="15">
        <v>18016.499430344127</v>
      </c>
      <c r="I27" s="15"/>
      <c r="J27" s="15">
        <v>120.79449835966562</v>
      </c>
      <c r="K27" s="15">
        <v>29020.878230909664</v>
      </c>
      <c r="L27" s="15">
        <v>152442.65692989802</v>
      </c>
      <c r="M27" s="15">
        <v>10811.107603190074</v>
      </c>
      <c r="N27" s="15">
        <v>3956.0198212790492</v>
      </c>
      <c r="O27" s="15">
        <v>346136.63504962181</v>
      </c>
      <c r="P27" s="15">
        <v>785.16423933782653</v>
      </c>
      <c r="Q27" s="15">
        <v>305730.87534831365</v>
      </c>
      <c r="R27" s="15">
        <v>141178.5699578592</v>
      </c>
      <c r="S27" s="15">
        <v>31738.754444002141</v>
      </c>
      <c r="T27" s="15">
        <v>100652.01575819137</v>
      </c>
      <c r="U27" s="15">
        <v>131454.6128399061</v>
      </c>
      <c r="V27" s="15">
        <v>15008.716421188452</v>
      </c>
      <c r="W27" s="15">
        <v>948.2368121233751</v>
      </c>
      <c r="X27" s="15">
        <v>18451.359624438923</v>
      </c>
      <c r="Y27" s="15">
        <v>0</v>
      </c>
      <c r="Z27" s="15">
        <v>30561.008084995399</v>
      </c>
      <c r="AA27" s="15">
        <v>123300.98420062868</v>
      </c>
      <c r="AB27" s="15">
        <v>43395.423535709873</v>
      </c>
      <c r="AC27" s="15">
        <v>149452.99309549629</v>
      </c>
      <c r="AD27" s="15">
        <v>13498.785191692634</v>
      </c>
      <c r="AE27" s="15">
        <v>9482.3681212337524</v>
      </c>
      <c r="AF27" s="15">
        <v>26121.810270277689</v>
      </c>
      <c r="AG27" s="15">
        <v>333272.02097431745</v>
      </c>
      <c r="AH27" s="15">
        <v>68671.6723174699</v>
      </c>
      <c r="AI27" s="15">
        <v>33067.493925958464</v>
      </c>
      <c r="AJ27" s="15">
        <v>4741.1840606168762</v>
      </c>
      <c r="AK27" s="15"/>
      <c r="AL27" s="15"/>
      <c r="AM27" s="15"/>
      <c r="AN27" s="15"/>
      <c r="AR27" s="15">
        <v>2200000</v>
      </c>
      <c r="AT27" s="20"/>
      <c r="AU27" s="20"/>
    </row>
    <row r="28" spans="2:44" ht="12.75">
      <c r="B28" s="23" t="s">
        <v>73</v>
      </c>
      <c r="D28" t="s">
        <v>76</v>
      </c>
      <c r="G28" s="15">
        <v>83150.540143580729</v>
      </c>
      <c r="H28" s="15">
        <v>25837.298046698055</v>
      </c>
      <c r="I28" s="15"/>
      <c r="J28" s="15">
        <v>173.23029196579319</v>
      </c>
      <c r="K28" s="15">
        <v>41618.577644781813</v>
      </c>
      <c r="L28" s="15">
        <v>218616.62846083101</v>
      </c>
      <c r="M28" s="15">
        <v>15504.111130938492</v>
      </c>
      <c r="N28" s="15">
        <v>5673.292061879727</v>
      </c>
      <c r="O28" s="15">
        <v>496391.40162798041</v>
      </c>
      <c r="P28" s="15">
        <v>1125.9968977776557</v>
      </c>
      <c r="Q28" s="15">
        <v>438445.86896542256</v>
      </c>
      <c r="R28" s="15">
        <v>202462.90373502081</v>
      </c>
      <c r="S28" s="15">
        <v>45516.259214012163</v>
      </c>
      <c r="T28" s="15">
        <v>144344.14078049717</v>
      </c>
      <c r="U28" s="15">
        <v>188517.86523177446</v>
      </c>
      <c r="V28" s="15">
        <v>21523.863776749804</v>
      </c>
      <c r="W28" s="15">
        <v>1359.8577919314766</v>
      </c>
      <c r="X28" s="15">
        <v>26460.927097774907</v>
      </c>
      <c r="Y28" s="15">
        <v>0</v>
      </c>
      <c r="Z28" s="15">
        <v>43827.263867345675</v>
      </c>
      <c r="AA28" s="15">
        <v>176824.82052408339</v>
      </c>
      <c r="AB28" s="15">
        <v>62232.982388711207</v>
      </c>
      <c r="AC28" s="15">
        <v>214329.17873467764</v>
      </c>
      <c r="AD28" s="15">
        <v>19358.485127177391</v>
      </c>
      <c r="AE28" s="15">
        <v>13598.577919314766</v>
      </c>
      <c r="AF28" s="15">
        <v>37461.050637602777</v>
      </c>
      <c r="AG28" s="15">
        <v>477942.37553362339</v>
      </c>
      <c r="AH28" s="15">
        <v>98481.420982553434</v>
      </c>
      <c r="AI28" s="15">
        <v>47421.792425635889</v>
      </c>
      <c r="AJ28" s="15">
        <v>6799.2889596573832</v>
      </c>
      <c r="AK28" s="15"/>
      <c r="AL28" s="15"/>
      <c r="AM28" s="15"/>
      <c r="AN28" s="15"/>
      <c r="AR28" s="15">
        <v>3155000</v>
      </c>
    </row>
    <row r="29" spans="2:44" ht="12.75">
      <c r="B29" s="23" t="s">
        <v>74</v>
      </c>
      <c r="D29" t="s">
        <v>76</v>
      </c>
      <c r="G29" s="15">
        <v>64833.701665042347</v>
      </c>
      <c r="H29" s="15">
        <v>20145.72209029389</v>
      </c>
      <c r="I29" s="15"/>
      <c r="J29" s="15">
        <v>135.07021180217154</v>
      </c>
      <c r="K29" s="15">
        <v>32450.618385471716</v>
      </c>
      <c r="L29" s="15">
        <v>170458.6072943405</v>
      </c>
      <c r="M29" s="15">
        <v>12088.783956294355</v>
      </c>
      <c r="N29" s="15">
        <v>4423.5494365211189</v>
      </c>
      <c r="O29" s="15">
        <v>387043.69191912259</v>
      </c>
      <c r="P29" s="15">
        <v>877.95637671411509</v>
      </c>
      <c r="Q29" s="15">
        <v>341862.70607129618</v>
      </c>
      <c r="R29" s="15">
        <v>157863.31004378802</v>
      </c>
      <c r="S29" s="15">
        <v>35489.698151020573</v>
      </c>
      <c r="T29" s="15">
        <v>112547.25398415944</v>
      </c>
      <c r="U29" s="15">
        <v>146990.15799371319</v>
      </c>
      <c r="V29" s="15">
        <v>16782.473816419813</v>
      </c>
      <c r="W29" s="15">
        <v>1060.3011626470468</v>
      </c>
      <c r="X29" s="15">
        <v>20631.974852781703</v>
      </c>
      <c r="Y29" s="15">
        <v>0</v>
      </c>
      <c r="Z29" s="15">
        <v>34172.763585949404</v>
      </c>
      <c r="AA29" s="15">
        <v>137872.91869706661</v>
      </c>
      <c r="AB29" s="15">
        <v>48523.97358993013</v>
      </c>
      <c r="AC29" s="15">
        <v>167115.61955223675</v>
      </c>
      <c r="AD29" s="15">
        <v>15094.096168892673</v>
      </c>
      <c r="AE29" s="15">
        <v>10603.011626470468</v>
      </c>
      <c r="AF29" s="15">
        <v>29208.933302219597</v>
      </c>
      <c r="AG29" s="15">
        <v>372658.71436219133</v>
      </c>
      <c r="AH29" s="15">
        <v>76787.415409534529</v>
      </c>
      <c r="AI29" s="15">
        <v>36975.470480844466</v>
      </c>
      <c r="AJ29" s="15">
        <v>5301.5058132352342</v>
      </c>
      <c r="AK29" s="15"/>
      <c r="AL29" s="15"/>
      <c r="AM29" s="15"/>
      <c r="AN29" s="15"/>
      <c r="AR29" s="15">
        <v>2460000</v>
      </c>
    </row>
    <row r="30" spans="1:44" ht="12.75">
      <c r="A30" s="19"/>
      <c r="B30" s="24" t="s">
        <v>75</v>
      </c>
      <c r="C30" s="19"/>
      <c r="D30" s="19" t="s">
        <v>76</v>
      </c>
      <c r="E30" s="19"/>
      <c r="F30" s="19"/>
      <c r="G30" s="50">
        <v>85127.177389466175</v>
      </c>
      <c r="H30" s="50">
        <v>26451.496890914332</v>
      </c>
      <c r="I30" s="50"/>
      <c r="J30" s="50">
        <v>177.34828622805452</v>
      </c>
      <c r="K30" s="50">
        <v>42607.9257662901</v>
      </c>
      <c r="L30" s="50">
        <v>223813.5372198048</v>
      </c>
      <c r="M30" s="50">
        <v>15872.671617410881</v>
      </c>
      <c r="N30" s="50">
        <v>5808.1563739687854</v>
      </c>
      <c r="O30" s="50">
        <v>508191.51418649021</v>
      </c>
      <c r="P30" s="50">
        <v>1152.7638604823544</v>
      </c>
      <c r="Q30" s="50">
        <v>448868.51244320592</v>
      </c>
      <c r="R30" s="50">
        <v>207275.80952903873</v>
      </c>
      <c r="S30" s="50">
        <v>46598.262206421321</v>
      </c>
      <c r="T30" s="50">
        <v>147775.45949952642</v>
      </c>
      <c r="U30" s="50">
        <v>192999.27248768034</v>
      </c>
      <c r="V30" s="50">
        <v>22035.524563835774</v>
      </c>
      <c r="W30" s="50">
        <v>1392.184046890228</v>
      </c>
      <c r="X30" s="50">
        <v>27089.950721335324</v>
      </c>
      <c r="Y30" s="50">
        <v>0</v>
      </c>
      <c r="Z30" s="50">
        <v>44869.11641569779</v>
      </c>
      <c r="AA30" s="50">
        <v>181028.26316728664</v>
      </c>
      <c r="AB30" s="50">
        <v>63712.371827428586</v>
      </c>
      <c r="AC30" s="50">
        <v>219424.16713566048</v>
      </c>
      <c r="AD30" s="50">
        <v>19818.670985985093</v>
      </c>
      <c r="AE30" s="50">
        <v>13921.840468902281</v>
      </c>
      <c r="AF30" s="50">
        <v>38351.566896816788</v>
      </c>
      <c r="AG30" s="50">
        <v>489303.92170320242</v>
      </c>
      <c r="AH30" s="50">
        <v>100822.500720649</v>
      </c>
      <c r="AI30" s="50">
        <v>48549.09335492993</v>
      </c>
      <c r="AJ30" s="50">
        <v>6960.9202344511405</v>
      </c>
      <c r="AK30" s="50"/>
      <c r="AL30" s="50"/>
      <c r="AM30" s="50"/>
      <c r="AN30" s="50"/>
      <c r="AR30" s="50">
        <v>3230000</v>
      </c>
    </row>
    <row r="31" spans="1:44" ht="12.75">
      <c r="A31" t="s">
        <v>83</v>
      </c>
      <c r="B31" s="23" t="s">
        <v>72</v>
      </c>
      <c r="C31" t="s">
        <v>55</v>
      </c>
      <c r="D31" s="32" t="s">
        <v>53</v>
      </c>
      <c r="E31">
        <v>2005</v>
      </c>
      <c r="G31" s="15">
        <v>0</v>
      </c>
      <c r="H31" s="15">
        <v>0</v>
      </c>
      <c r="I31" s="15"/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/>
      <c r="AL31" s="15"/>
      <c r="AM31" s="15"/>
      <c r="AN31" s="15"/>
      <c r="AR31" s="15">
        <v>0</v>
      </c>
    </row>
    <row r="32" spans="1:44" ht="12.75">
      <c r="A32" t="s">
        <v>83</v>
      </c>
      <c r="B32" s="23" t="s">
        <v>72</v>
      </c>
      <c r="C32" t="s">
        <v>55</v>
      </c>
      <c r="D32" s="32" t="s">
        <v>53</v>
      </c>
      <c r="E32">
        <v>2010</v>
      </c>
      <c r="G32" s="15">
        <v>1062.9037350207959</v>
      </c>
      <c r="H32" s="15">
        <v>330.27519182989943</v>
      </c>
      <c r="I32" s="15"/>
      <c r="J32" s="15">
        <v>2.2143827812933248</v>
      </c>
      <c r="K32" s="15">
        <v>532.0054632057213</v>
      </c>
      <c r="L32" s="15">
        <v>2794.5510699921756</v>
      </c>
      <c r="M32" s="15">
        <v>198.18725892575259</v>
      </c>
      <c r="N32" s="15">
        <v>72.521036087356393</v>
      </c>
      <c r="O32" s="15">
        <v>6345.3138597960224</v>
      </c>
      <c r="P32" s="15">
        <v>14.393488078406611</v>
      </c>
      <c r="Q32" s="15">
        <v>5604.6028194534047</v>
      </c>
      <c r="R32" s="15">
        <v>2588.0598756365735</v>
      </c>
      <c r="S32" s="15">
        <v>581.82907578482104</v>
      </c>
      <c r="T32" s="15">
        <v>1845.1344525126626</v>
      </c>
      <c r="U32" s="15">
        <v>2409.8020617424609</v>
      </c>
      <c r="V32" s="15">
        <v>275.13706057569556</v>
      </c>
      <c r="W32" s="15">
        <v>17.382904833152601</v>
      </c>
      <c r="X32" s="15">
        <v>338.2469698425553</v>
      </c>
      <c r="Y32" s="15">
        <v>0</v>
      </c>
      <c r="Z32" s="15">
        <v>560.2388436672112</v>
      </c>
      <c r="AA32" s="15">
        <v>2260.3312240051614</v>
      </c>
      <c r="AB32" s="15">
        <v>795.51701417962693</v>
      </c>
      <c r="AC32" s="15">
        <v>2739.7450961551663</v>
      </c>
      <c r="AD32" s="15">
        <v>247.45727580952905</v>
      </c>
      <c r="AE32" s="15">
        <v>173.829048331526</v>
      </c>
      <c r="AF32" s="15">
        <v>478.86027645468147</v>
      </c>
      <c r="AG32" s="15">
        <v>6109.4820935882826</v>
      </c>
      <c r="AH32" s="15">
        <v>1258.8766111652551</v>
      </c>
      <c r="AI32" s="15">
        <v>606.18728637904769</v>
      </c>
      <c r="AJ32" s="15">
        <v>86.914524165762998</v>
      </c>
      <c r="AK32" s="15"/>
      <c r="AL32" s="15"/>
      <c r="AM32" s="15"/>
      <c r="AN32" s="15"/>
      <c r="AR32" s="15">
        <v>40330</v>
      </c>
    </row>
    <row r="33" spans="1:44" ht="12.75">
      <c r="A33" t="s">
        <v>83</v>
      </c>
      <c r="B33" s="23" t="s">
        <v>72</v>
      </c>
      <c r="C33" t="s">
        <v>55</v>
      </c>
      <c r="D33" s="32" t="s">
        <v>53</v>
      </c>
      <c r="E33">
        <v>2020</v>
      </c>
      <c r="G33" s="15">
        <v>1352.8105310839933</v>
      </c>
      <c r="H33" s="15">
        <v>420.35768898162002</v>
      </c>
      <c r="I33" s="15"/>
      <c r="J33" s="15">
        <v>2.8183552730916528</v>
      </c>
      <c r="K33" s="15">
        <v>677.10985436026954</v>
      </c>
      <c r="L33" s="15">
        <v>3556.7643546416657</v>
      </c>
      <c r="M33" s="15">
        <v>252.24279694170295</v>
      </c>
      <c r="N33" s="15">
        <v>92.301135193751634</v>
      </c>
      <c r="O33" s="15">
        <v>8075.9970350441308</v>
      </c>
      <c r="P33" s="15">
        <v>18.319309275095744</v>
      </c>
      <c r="Q33" s="15">
        <v>7133.2571961949725</v>
      </c>
      <c r="R33" s="15">
        <v>3293.9527254258696</v>
      </c>
      <c r="S33" s="15">
        <v>740.52284800483176</v>
      </c>
      <c r="T33" s="15">
        <v>2348.3945313036197</v>
      </c>
      <c r="U33" s="15">
        <v>3067.0751259419912</v>
      </c>
      <c r="V33" s="15">
        <v>350.18064268163783</v>
      </c>
      <c r="W33" s="15">
        <v>22.124088893769475</v>
      </c>
      <c r="X33" s="15">
        <v>430.50376796474995</v>
      </c>
      <c r="Y33" s="15">
        <v>0</v>
      </c>
      <c r="Z33" s="15">
        <v>713.04388409218814</v>
      </c>
      <c r="AA33" s="15">
        <v>2876.8361450083048</v>
      </c>
      <c r="AB33" s="15">
        <v>1012.4941318581763</v>
      </c>
      <c r="AC33" s="15">
        <v>3487.0100616326476</v>
      </c>
      <c r="AD33" s="15">
        <v>314.95120176799225</v>
      </c>
      <c r="AE33" s="15">
        <v>221.24088893769476</v>
      </c>
      <c r="AF33" s="15">
        <v>609.46932780606994</v>
      </c>
      <c r="AG33" s="15">
        <v>7775.8421984598699</v>
      </c>
      <c r="AH33" s="15">
        <v>1602.2349727526046</v>
      </c>
      <c r="AI33" s="15">
        <v>771.52475600883997</v>
      </c>
      <c r="AJ33" s="15">
        <v>110.62044446884738</v>
      </c>
      <c r="AK33" s="15"/>
      <c r="AL33" s="15"/>
      <c r="AM33" s="15"/>
      <c r="AN33" s="15"/>
      <c r="AR33" s="15">
        <v>51330</v>
      </c>
    </row>
    <row r="34" spans="1:44" ht="12.75">
      <c r="A34" t="s">
        <v>83</v>
      </c>
      <c r="B34" s="23" t="s">
        <v>72</v>
      </c>
      <c r="C34" t="s">
        <v>55</v>
      </c>
      <c r="D34" s="32" t="s">
        <v>53</v>
      </c>
      <c r="E34">
        <v>2030</v>
      </c>
      <c r="G34" s="15">
        <v>483.09014289440091</v>
      </c>
      <c r="H34" s="15">
        <v>150.11019752645811</v>
      </c>
      <c r="I34" s="15"/>
      <c r="J34" s="15">
        <v>1.0064377976966685</v>
      </c>
      <c r="K34" s="15">
        <v>241.79668089662462</v>
      </c>
      <c r="L34" s="15">
        <v>1270.1245006931956</v>
      </c>
      <c r="M34" s="15">
        <v>90.076182893851836</v>
      </c>
      <c r="N34" s="15">
        <v>32.960837874565897</v>
      </c>
      <c r="O34" s="15">
        <v>2883.9475092998036</v>
      </c>
      <c r="P34" s="15">
        <v>6.5418456850283455</v>
      </c>
      <c r="Q34" s="15">
        <v>2547.2940659702676</v>
      </c>
      <c r="R34" s="15">
        <v>1176.2741760579815</v>
      </c>
      <c r="S34" s="15">
        <v>264.44153134479967</v>
      </c>
      <c r="T34" s="15">
        <v>838.614294930749</v>
      </c>
      <c r="U34" s="15">
        <v>1095.2559333433996</v>
      </c>
      <c r="V34" s="15">
        <v>125.04989636381106</v>
      </c>
      <c r="W34" s="15">
        <v>7.9005367119188481</v>
      </c>
      <c r="X34" s="15">
        <v>153.73337359816611</v>
      </c>
      <c r="Y34" s="15">
        <v>0</v>
      </c>
      <c r="Z34" s="15">
        <v>254.62876281725713</v>
      </c>
      <c r="AA34" s="15">
        <v>1027.3213819988744</v>
      </c>
      <c r="AB34" s="15">
        <v>361.56277882252817</v>
      </c>
      <c r="AC34" s="15">
        <v>1245.2151652002033</v>
      </c>
      <c r="AD34" s="15">
        <v>112.46942389260272</v>
      </c>
      <c r="AE34" s="15">
        <v>79.005367119188492</v>
      </c>
      <c r="AF34" s="15">
        <v>217.64217375190455</v>
      </c>
      <c r="AG34" s="15">
        <v>2776.7618838451085</v>
      </c>
      <c r="AH34" s="15">
        <v>572.15988799055606</v>
      </c>
      <c r="AI34" s="15">
        <v>275.51234711946302</v>
      </c>
      <c r="AJ34" s="15">
        <v>39.502683559594246</v>
      </c>
      <c r="AK34" s="15"/>
      <c r="AL34" s="15"/>
      <c r="AM34" s="15"/>
      <c r="AN34" s="15"/>
      <c r="AR34" s="15">
        <v>18330</v>
      </c>
    </row>
    <row r="35" spans="1:44" ht="12.75">
      <c r="A35" t="s">
        <v>83</v>
      </c>
      <c r="B35" s="23" t="s">
        <v>72</v>
      </c>
      <c r="C35" t="s">
        <v>55</v>
      </c>
      <c r="D35" s="32" t="s">
        <v>53</v>
      </c>
      <c r="E35">
        <v>2040</v>
      </c>
      <c r="G35" s="15">
        <v>483.09014289440091</v>
      </c>
      <c r="H35" s="15">
        <v>150.11019752645811</v>
      </c>
      <c r="I35" s="15"/>
      <c r="J35" s="15">
        <v>1.0064377976966685</v>
      </c>
      <c r="K35" s="15">
        <v>241.79668089662462</v>
      </c>
      <c r="L35" s="15">
        <v>1270.1245006931956</v>
      </c>
      <c r="M35" s="15">
        <v>90.076182893851836</v>
      </c>
      <c r="N35" s="15">
        <v>32.960837874565897</v>
      </c>
      <c r="O35" s="15">
        <v>2883.9475092998036</v>
      </c>
      <c r="P35" s="15">
        <v>6.5418456850283455</v>
      </c>
      <c r="Q35" s="15">
        <v>2547.2940659702676</v>
      </c>
      <c r="R35" s="15">
        <v>1176.2741760579815</v>
      </c>
      <c r="S35" s="15">
        <v>264.44153134479967</v>
      </c>
      <c r="T35" s="15">
        <v>838.614294930749</v>
      </c>
      <c r="U35" s="15">
        <v>1095.2559333433996</v>
      </c>
      <c r="V35" s="15">
        <v>125.04989636381106</v>
      </c>
      <c r="W35" s="15">
        <v>7.9005367119188481</v>
      </c>
      <c r="X35" s="15">
        <v>153.73337359816611</v>
      </c>
      <c r="Y35" s="15">
        <v>0</v>
      </c>
      <c r="Z35" s="15">
        <v>254.62876281725713</v>
      </c>
      <c r="AA35" s="15">
        <v>1027.3213819988744</v>
      </c>
      <c r="AB35" s="15">
        <v>361.56277882252817</v>
      </c>
      <c r="AC35" s="15">
        <v>1245.2151652002033</v>
      </c>
      <c r="AD35" s="15">
        <v>112.46942389260272</v>
      </c>
      <c r="AE35" s="15">
        <v>79.005367119188492</v>
      </c>
      <c r="AF35" s="15">
        <v>217.64217375190455</v>
      </c>
      <c r="AG35" s="15">
        <v>2776.7618838451085</v>
      </c>
      <c r="AH35" s="15">
        <v>572.15988799055606</v>
      </c>
      <c r="AI35" s="15">
        <v>275.51234711946302</v>
      </c>
      <c r="AJ35" s="15">
        <v>39.502683559594246</v>
      </c>
      <c r="AK35" s="15"/>
      <c r="AL35" s="15"/>
      <c r="AM35" s="15"/>
      <c r="AN35" s="15"/>
      <c r="AR35" s="15">
        <v>18330</v>
      </c>
    </row>
    <row r="36" spans="1:44" ht="12.75">
      <c r="A36" t="s">
        <v>83</v>
      </c>
      <c r="B36" s="23" t="s">
        <v>72</v>
      </c>
      <c r="C36" t="s">
        <v>55</v>
      </c>
      <c r="D36" s="32" t="s">
        <v>53</v>
      </c>
      <c r="E36">
        <v>2050</v>
      </c>
      <c r="G36" s="15">
        <v>2415.9778177375742</v>
      </c>
      <c r="H36" s="15">
        <v>750.71477399074831</v>
      </c>
      <c r="I36" s="15"/>
      <c r="J36" s="15">
        <v>5.0332871202866123</v>
      </c>
      <c r="K36" s="15">
        <v>1209.2472306488585</v>
      </c>
      <c r="L36" s="15">
        <v>6352.0083458017043</v>
      </c>
      <c r="M36" s="15">
        <v>450.47919726565186</v>
      </c>
      <c r="N36" s="15">
        <v>164.84015318938657</v>
      </c>
      <c r="O36" s="15">
        <v>14422.884243181288</v>
      </c>
      <c r="P36" s="15">
        <v>32.716366281862982</v>
      </c>
      <c r="Q36" s="15">
        <v>12739.249701445415</v>
      </c>
      <c r="R36" s="15">
        <v>5882.6543218349789</v>
      </c>
      <c r="S36" s="15">
        <v>1322.4961908553073</v>
      </c>
      <c r="T36" s="15">
        <v>4193.9864929788191</v>
      </c>
      <c r="U36" s="15">
        <v>5477.4747086519064</v>
      </c>
      <c r="V36" s="15">
        <v>625.38592469561161</v>
      </c>
      <c r="W36" s="15">
        <v>39.511303894249906</v>
      </c>
      <c r="X36" s="15">
        <v>768.83460762378002</v>
      </c>
      <c r="Y36" s="15">
        <v>0</v>
      </c>
      <c r="Z36" s="15">
        <v>1273.4216414325128</v>
      </c>
      <c r="AA36" s="15">
        <v>5137.72782803256</v>
      </c>
      <c r="AB36" s="15">
        <v>1808.2083979629656</v>
      </c>
      <c r="AC36" s="15">
        <v>6227.4344895746117</v>
      </c>
      <c r="AD36" s="15">
        <v>562.46983569202894</v>
      </c>
      <c r="AE36" s="15">
        <v>395.11303894249909</v>
      </c>
      <c r="AF36" s="15">
        <v>1088.4483397619799</v>
      </c>
      <c r="AG36" s="15">
        <v>13886.839164870762</v>
      </c>
      <c r="AH36" s="15">
        <v>2861.4237278829391</v>
      </c>
      <c r="AI36" s="15">
        <v>1377.8623491784601</v>
      </c>
      <c r="AJ36" s="15">
        <v>197.55651947124954</v>
      </c>
      <c r="AK36" s="15"/>
      <c r="AL36" s="15"/>
      <c r="AM36" s="15"/>
      <c r="AN36" s="15"/>
      <c r="AR36" s="15">
        <v>91670</v>
      </c>
    </row>
    <row r="37" spans="1:44" ht="12.75">
      <c r="A37" t="s">
        <v>83</v>
      </c>
      <c r="B37" s="23" t="s">
        <v>73</v>
      </c>
      <c r="C37" t="s">
        <v>55</v>
      </c>
      <c r="D37" s="32" t="s">
        <v>53</v>
      </c>
      <c r="E37">
        <v>2005</v>
      </c>
      <c r="G37" s="15">
        <v>0</v>
      </c>
      <c r="H37" s="15">
        <v>0</v>
      </c>
      <c r="I37" s="15"/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/>
      <c r="AL37" s="15"/>
      <c r="AM37" s="15"/>
      <c r="AN37" s="15"/>
      <c r="AR37" s="15">
        <v>0</v>
      </c>
    </row>
    <row r="38" spans="1:44" ht="12.75">
      <c r="A38" t="s">
        <v>83</v>
      </c>
      <c r="B38" s="23" t="s">
        <v>73</v>
      </c>
      <c r="C38" t="s">
        <v>55</v>
      </c>
      <c r="D38" s="32" t="s">
        <v>53</v>
      </c>
      <c r="E38">
        <v>2010</v>
      </c>
      <c r="G38" s="15">
        <v>2512.4377153367832</v>
      </c>
      <c r="H38" s="15">
        <v>780.68767758850265</v>
      </c>
      <c r="I38" s="15"/>
      <c r="J38" s="15">
        <v>5.2342452402849649</v>
      </c>
      <c r="K38" s="15">
        <v>1257.5274189784629</v>
      </c>
      <c r="L38" s="15">
        <v>6605.6174932396261</v>
      </c>
      <c r="M38" s="15">
        <v>468.46494900550442</v>
      </c>
      <c r="N38" s="15">
        <v>171.42153161933263</v>
      </c>
      <c r="O38" s="15">
        <v>14998.729736036568</v>
      </c>
      <c r="P38" s="15">
        <v>34.022594061852274</v>
      </c>
      <c r="Q38" s="15">
        <v>13247.874703161246</v>
      </c>
      <c r="R38" s="15">
        <v>6117.5241245830539</v>
      </c>
      <c r="S38" s="15">
        <v>1375.2979368848746</v>
      </c>
      <c r="T38" s="15">
        <v>4361.4348464674467</v>
      </c>
      <c r="U38" s="15">
        <v>5696.1673827401137</v>
      </c>
      <c r="V38" s="15">
        <v>650.35497110540689</v>
      </c>
      <c r="W38" s="15">
        <v>41.088825136236977</v>
      </c>
      <c r="X38" s="15">
        <v>799.53096045352834</v>
      </c>
      <c r="Y38" s="15">
        <v>0</v>
      </c>
      <c r="Z38" s="15">
        <v>1324.2640457920961</v>
      </c>
      <c r="AA38" s="15">
        <v>5342.8558290208784</v>
      </c>
      <c r="AB38" s="15">
        <v>1880.4026025723738</v>
      </c>
      <c r="AC38" s="15">
        <v>6476.0699235425736</v>
      </c>
      <c r="AD38" s="15">
        <v>584.92690560184485</v>
      </c>
      <c r="AE38" s="15">
        <v>410.88825136236977</v>
      </c>
      <c r="AF38" s="15">
        <v>1131.9055332116236</v>
      </c>
      <c r="AG38" s="15">
        <v>14441.282617946219</v>
      </c>
      <c r="AH38" s="15">
        <v>2975.6684191020026</v>
      </c>
      <c r="AI38" s="15">
        <v>1432.8746345280092</v>
      </c>
      <c r="AJ38" s="15">
        <v>205.44412568118489</v>
      </c>
      <c r="AK38" s="15"/>
      <c r="AL38" s="15"/>
      <c r="AM38" s="15"/>
      <c r="AN38" s="15"/>
      <c r="AR38" s="15">
        <v>95330</v>
      </c>
    </row>
    <row r="39" spans="1:44" ht="12.75">
      <c r="A39" t="s">
        <v>83</v>
      </c>
      <c r="B39" s="23" t="s">
        <v>73</v>
      </c>
      <c r="C39" t="s">
        <v>55</v>
      </c>
      <c r="D39" s="32" t="s">
        <v>53</v>
      </c>
      <c r="E39">
        <v>2020</v>
      </c>
      <c r="G39" s="15">
        <v>0</v>
      </c>
      <c r="H39" s="15">
        <v>0</v>
      </c>
      <c r="I39" s="15"/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/>
      <c r="AL39" s="15"/>
      <c r="AM39" s="15"/>
      <c r="AN39" s="15"/>
      <c r="AR39" s="15">
        <v>0</v>
      </c>
    </row>
    <row r="40" spans="1:44" ht="12.75">
      <c r="A40" t="s">
        <v>83</v>
      </c>
      <c r="B40" s="23" t="s">
        <v>73</v>
      </c>
      <c r="C40" t="s">
        <v>55</v>
      </c>
      <c r="D40" s="32" t="s">
        <v>53</v>
      </c>
      <c r="E40">
        <v>2030</v>
      </c>
      <c r="G40" s="15">
        <v>1932.6241232103885</v>
      </c>
      <c r="H40" s="15">
        <v>600.52268328506136</v>
      </c>
      <c r="I40" s="15"/>
      <c r="J40" s="15">
        <v>4.0263002566883088</v>
      </c>
      <c r="K40" s="15">
        <v>967.31863666936624</v>
      </c>
      <c r="L40" s="15">
        <v>5081.1909239406459</v>
      </c>
      <c r="M40" s="15">
        <v>360.3538729736037</v>
      </c>
      <c r="N40" s="15">
        <v>131.86133340654212</v>
      </c>
      <c r="O40" s="15">
        <v>11537.36338554035</v>
      </c>
      <c r="P40" s="15">
        <v>26.170951668474007</v>
      </c>
      <c r="Q40" s="15">
        <v>10190.56594967811</v>
      </c>
      <c r="R40" s="15">
        <v>4705.7384250044615</v>
      </c>
      <c r="S40" s="15">
        <v>1057.9103924448532</v>
      </c>
      <c r="T40" s="15">
        <v>3354.9146888855335</v>
      </c>
      <c r="U40" s="15">
        <v>4381.621254341052</v>
      </c>
      <c r="V40" s="15">
        <v>500.26780689352239</v>
      </c>
      <c r="W40" s="15">
        <v>31.606457015003226</v>
      </c>
      <c r="X40" s="15">
        <v>615.01736420913915</v>
      </c>
      <c r="Y40" s="15">
        <v>0</v>
      </c>
      <c r="Z40" s="15">
        <v>1018.6539649421421</v>
      </c>
      <c r="AA40" s="15">
        <v>4109.8459870145916</v>
      </c>
      <c r="AB40" s="15">
        <v>1446.4483672152751</v>
      </c>
      <c r="AC40" s="15">
        <v>4981.5399925876109</v>
      </c>
      <c r="AD40" s="15">
        <v>449.93905368491858</v>
      </c>
      <c r="AE40" s="15">
        <v>316.0645701500323</v>
      </c>
      <c r="AF40" s="15">
        <v>870.68743050884677</v>
      </c>
      <c r="AG40" s="15">
        <v>11108.562408203044</v>
      </c>
      <c r="AH40" s="15">
        <v>2288.9516959273037</v>
      </c>
      <c r="AI40" s="15">
        <v>1102.1996952684246</v>
      </c>
      <c r="AJ40" s="15">
        <v>158.03228507501615</v>
      </c>
      <c r="AK40" s="15"/>
      <c r="AL40" s="15"/>
      <c r="AM40" s="15"/>
      <c r="AN40" s="15"/>
      <c r="AR40" s="15">
        <v>73330</v>
      </c>
    </row>
    <row r="41" spans="1:44" ht="12.75">
      <c r="A41" t="s">
        <v>83</v>
      </c>
      <c r="B41" s="23" t="s">
        <v>73</v>
      </c>
      <c r="C41" t="s">
        <v>55</v>
      </c>
      <c r="D41" s="32" t="s">
        <v>53</v>
      </c>
      <c r="E41">
        <v>2040</v>
      </c>
      <c r="G41" s="15">
        <v>1932.6241232103885</v>
      </c>
      <c r="H41" s="15">
        <v>600.52268328506136</v>
      </c>
      <c r="I41" s="15"/>
      <c r="J41" s="15">
        <v>4.0263002566883088</v>
      </c>
      <c r="K41" s="15">
        <v>967.31863666936624</v>
      </c>
      <c r="L41" s="15">
        <v>5081.1909239406459</v>
      </c>
      <c r="M41" s="15">
        <v>360.3538729736037</v>
      </c>
      <c r="N41" s="15">
        <v>131.86133340654212</v>
      </c>
      <c r="O41" s="15">
        <v>11537.36338554035</v>
      </c>
      <c r="P41" s="15">
        <v>26.170951668474007</v>
      </c>
      <c r="Q41" s="15">
        <v>10190.56594967811</v>
      </c>
      <c r="R41" s="15">
        <v>4705.7384250044615</v>
      </c>
      <c r="S41" s="15">
        <v>1057.9103924448532</v>
      </c>
      <c r="T41" s="15">
        <v>3354.9146888855335</v>
      </c>
      <c r="U41" s="15">
        <v>4381.621254341052</v>
      </c>
      <c r="V41" s="15">
        <v>500.26780689352239</v>
      </c>
      <c r="W41" s="15">
        <v>31.606457015003226</v>
      </c>
      <c r="X41" s="15">
        <v>615.01736420913915</v>
      </c>
      <c r="Y41" s="15">
        <v>0</v>
      </c>
      <c r="Z41" s="15">
        <v>1018.6539649421421</v>
      </c>
      <c r="AA41" s="15">
        <v>4109.8459870145916</v>
      </c>
      <c r="AB41" s="15">
        <v>1446.4483672152751</v>
      </c>
      <c r="AC41" s="15">
        <v>4981.5399925876109</v>
      </c>
      <c r="AD41" s="15">
        <v>449.93905368491858</v>
      </c>
      <c r="AE41" s="15">
        <v>316.0645701500323</v>
      </c>
      <c r="AF41" s="15">
        <v>870.68743050884677</v>
      </c>
      <c r="AG41" s="15">
        <v>11108.562408203044</v>
      </c>
      <c r="AH41" s="15">
        <v>2288.9516959273037</v>
      </c>
      <c r="AI41" s="15">
        <v>1102.1996952684246</v>
      </c>
      <c r="AJ41" s="15">
        <v>158.03228507501615</v>
      </c>
      <c r="AK41" s="15"/>
      <c r="AL41" s="15"/>
      <c r="AM41" s="15"/>
      <c r="AN41" s="15"/>
      <c r="AR41" s="15">
        <v>73330</v>
      </c>
    </row>
    <row r="42" spans="1:44" ht="12.75">
      <c r="A42" t="s">
        <v>83</v>
      </c>
      <c r="B42" s="23" t="s">
        <v>73</v>
      </c>
      <c r="C42" t="s">
        <v>55</v>
      </c>
      <c r="D42" s="32" t="s">
        <v>53</v>
      </c>
      <c r="E42">
        <v>2050</v>
      </c>
      <c r="G42" s="15">
        <v>1932.6241232103885</v>
      </c>
      <c r="H42" s="15">
        <v>600.52268328506136</v>
      </c>
      <c r="I42" s="15"/>
      <c r="J42" s="15">
        <v>4.0263002566883088</v>
      </c>
      <c r="K42" s="15">
        <v>967.31863666936624</v>
      </c>
      <c r="L42" s="15">
        <v>5081.1909239406459</v>
      </c>
      <c r="M42" s="15">
        <v>360.3538729736037</v>
      </c>
      <c r="N42" s="15">
        <v>131.86133340654212</v>
      </c>
      <c r="O42" s="15">
        <v>11537.36338554035</v>
      </c>
      <c r="P42" s="15">
        <v>26.170951668474007</v>
      </c>
      <c r="Q42" s="15">
        <v>10190.56594967811</v>
      </c>
      <c r="R42" s="15">
        <v>4705.7384250044615</v>
      </c>
      <c r="S42" s="15">
        <v>1057.9103924448532</v>
      </c>
      <c r="T42" s="15">
        <v>3354.9146888855335</v>
      </c>
      <c r="U42" s="15">
        <v>4381.621254341052</v>
      </c>
      <c r="V42" s="15">
        <v>500.26780689352239</v>
      </c>
      <c r="W42" s="15">
        <v>31.606457015003226</v>
      </c>
      <c r="X42" s="15">
        <v>615.01736420913915</v>
      </c>
      <c r="Y42" s="15">
        <v>0</v>
      </c>
      <c r="Z42" s="15">
        <v>1018.6539649421421</v>
      </c>
      <c r="AA42" s="15">
        <v>4109.8459870145916</v>
      </c>
      <c r="AB42" s="15">
        <v>1446.4483672152751</v>
      </c>
      <c r="AC42" s="15">
        <v>4981.5399925876109</v>
      </c>
      <c r="AD42" s="15">
        <v>449.93905368491858</v>
      </c>
      <c r="AE42" s="15">
        <v>316.0645701500323</v>
      </c>
      <c r="AF42" s="15">
        <v>870.68743050884677</v>
      </c>
      <c r="AG42" s="15">
        <v>11108.562408203044</v>
      </c>
      <c r="AH42" s="15">
        <v>2288.9516959273037</v>
      </c>
      <c r="AI42" s="15">
        <v>1102.1996952684246</v>
      </c>
      <c r="AJ42" s="15">
        <v>158.03228507501615</v>
      </c>
      <c r="AK42" s="15"/>
      <c r="AL42" s="15"/>
      <c r="AM42" s="15"/>
      <c r="AN42" s="15"/>
      <c r="AR42" s="15">
        <v>73330</v>
      </c>
    </row>
    <row r="43" spans="1:44" ht="12.75">
      <c r="A43" t="s">
        <v>83</v>
      </c>
      <c r="B43" s="23" t="s">
        <v>74</v>
      </c>
      <c r="C43" t="s">
        <v>55</v>
      </c>
      <c r="D43" s="32" t="s">
        <v>53</v>
      </c>
      <c r="E43">
        <v>2005</v>
      </c>
      <c r="G43" s="15">
        <v>0</v>
      </c>
      <c r="H43" s="15">
        <v>0</v>
      </c>
      <c r="I43" s="15"/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/>
      <c r="AL43" s="15"/>
      <c r="AM43" s="15"/>
      <c r="AN43" s="15"/>
      <c r="AR43" s="15">
        <v>0</v>
      </c>
    </row>
    <row r="44" spans="1:44" ht="12.75">
      <c r="A44" t="s">
        <v>83</v>
      </c>
      <c r="B44" s="23" t="s">
        <v>74</v>
      </c>
      <c r="C44" t="s">
        <v>55</v>
      </c>
      <c r="D44" s="32" t="s">
        <v>53</v>
      </c>
      <c r="E44">
        <v>2010</v>
      </c>
      <c r="G44" s="15">
        <v>676.53704135838905</v>
      </c>
      <c r="H44" s="15">
        <v>210.21979108042444</v>
      </c>
      <c r="I44" s="15"/>
      <c r="J44" s="15">
        <v>1.4094521694966438</v>
      </c>
      <c r="K44" s="15">
        <v>338.62088372156865</v>
      </c>
      <c r="L44" s="15">
        <v>1778.7286379047646</v>
      </c>
      <c r="M44" s="15">
        <v>126.14596916994964</v>
      </c>
      <c r="N44" s="15">
        <v>46.159558551015088</v>
      </c>
      <c r="O44" s="15">
        <v>4038.7851916926329</v>
      </c>
      <c r="P44" s="15">
        <v>9.1614391017281847</v>
      </c>
      <c r="Q44" s="15">
        <v>3567.323440996005</v>
      </c>
      <c r="R44" s="15">
        <v>1647.2972230992027</v>
      </c>
      <c r="S44" s="15">
        <v>370.33355753524313</v>
      </c>
      <c r="T44" s="15">
        <v>1174.4260202330784</v>
      </c>
      <c r="U44" s="15">
        <v>1533.8363234547226</v>
      </c>
      <c r="V44" s="15">
        <v>175.124432059958</v>
      </c>
      <c r="W44" s="15">
        <v>11.064199530548654</v>
      </c>
      <c r="X44" s="15">
        <v>215.29381889061233</v>
      </c>
      <c r="Y44" s="15">
        <v>0</v>
      </c>
      <c r="Z44" s="15">
        <v>356.59139888265088</v>
      </c>
      <c r="AA44" s="15">
        <v>1438.6983020136993</v>
      </c>
      <c r="AB44" s="15">
        <v>506.34569189166933</v>
      </c>
      <c r="AC44" s="15">
        <v>1743.8446967097227</v>
      </c>
      <c r="AD44" s="15">
        <v>157.50627994124997</v>
      </c>
      <c r="AE44" s="15">
        <v>110.64199530548655</v>
      </c>
      <c r="AF44" s="15">
        <v>304.7940316536492</v>
      </c>
      <c r="AG44" s="15">
        <v>3888.6785356412402</v>
      </c>
      <c r="AH44" s="15">
        <v>801.27355835884202</v>
      </c>
      <c r="AI44" s="15">
        <v>385.83753139970628</v>
      </c>
      <c r="AJ44" s="15">
        <v>55.320997652743273</v>
      </c>
      <c r="AK44" s="15"/>
      <c r="AL44" s="15"/>
      <c r="AM44" s="15"/>
      <c r="AN44" s="15"/>
      <c r="AR44" s="15">
        <v>25670</v>
      </c>
    </row>
    <row r="45" spans="1:44" ht="12.75">
      <c r="A45" t="s">
        <v>83</v>
      </c>
      <c r="B45" s="23" t="s">
        <v>74</v>
      </c>
      <c r="C45" t="s">
        <v>55</v>
      </c>
      <c r="D45" s="32" t="s">
        <v>53</v>
      </c>
      <c r="E45">
        <v>2020</v>
      </c>
      <c r="G45" s="15">
        <v>4155.4185941167589</v>
      </c>
      <c r="H45" s="15">
        <v>1291.2097569010721</v>
      </c>
      <c r="I45" s="15"/>
      <c r="J45" s="15">
        <v>8.6571220710765804</v>
      </c>
      <c r="K45" s="15">
        <v>2079.8735775761484</v>
      </c>
      <c r="L45" s="15">
        <v>10925.288053698645</v>
      </c>
      <c r="M45" s="15">
        <v>774.81242536135403</v>
      </c>
      <c r="N45" s="15">
        <v>283.52074782775804</v>
      </c>
      <c r="O45" s="15">
        <v>24806.983294669943</v>
      </c>
      <c r="P45" s="15">
        <v>56.271293461997772</v>
      </c>
      <c r="Q45" s="15">
        <v>21911.175961894824</v>
      </c>
      <c r="R45" s="15">
        <v>10118.011420570754</v>
      </c>
      <c r="S45" s="15">
        <v>2274.6588241753716</v>
      </c>
      <c r="T45" s="15">
        <v>7213.5469657245603</v>
      </c>
      <c r="U45" s="15">
        <v>9421.1130938490896</v>
      </c>
      <c r="V45" s="15">
        <v>1075.6474173312652</v>
      </c>
      <c r="W45" s="15">
        <v>67.958408257951163</v>
      </c>
      <c r="X45" s="15">
        <v>1322.3753963569477</v>
      </c>
      <c r="Y45" s="15">
        <v>0</v>
      </c>
      <c r="Z45" s="15">
        <v>2190.2518839823751</v>
      </c>
      <c r="AA45" s="15">
        <v>8836.7573540514204</v>
      </c>
      <c r="AB45" s="15">
        <v>3110.0711040342617</v>
      </c>
      <c r="AC45" s="15">
        <v>10711.024282439501</v>
      </c>
      <c r="AD45" s="15">
        <v>967.43339144280799</v>
      </c>
      <c r="AE45" s="15">
        <v>679.58408257951169</v>
      </c>
      <c r="AF45" s="15">
        <v>1872.1026478703104</v>
      </c>
      <c r="AG45" s="15">
        <v>23884.999794100284</v>
      </c>
      <c r="AH45" s="15">
        <v>4921.5738974070364</v>
      </c>
      <c r="AI45" s="15">
        <v>2369.887166957214</v>
      </c>
      <c r="AJ45" s="15">
        <v>339.79204128975584</v>
      </c>
      <c r="AK45" s="15"/>
      <c r="AL45" s="15"/>
      <c r="AM45" s="15"/>
      <c r="AN45" s="15"/>
      <c r="AR45" s="15">
        <v>157670</v>
      </c>
    </row>
    <row r="46" spans="1:44" ht="12.75">
      <c r="A46" t="s">
        <v>83</v>
      </c>
      <c r="B46" s="23" t="s">
        <v>74</v>
      </c>
      <c r="C46" t="s">
        <v>55</v>
      </c>
      <c r="D46" s="32" t="s">
        <v>53</v>
      </c>
      <c r="E46">
        <v>2030</v>
      </c>
      <c r="G46" s="15">
        <v>1642.7173271471909</v>
      </c>
      <c r="H46" s="15">
        <v>510.44018613334066</v>
      </c>
      <c r="I46" s="15"/>
      <c r="J46" s="15">
        <v>3.4223277648899808</v>
      </c>
      <c r="K46" s="15">
        <v>822.21424551481789</v>
      </c>
      <c r="L46" s="15">
        <v>4318.9776392911563</v>
      </c>
      <c r="M46" s="15">
        <v>306.29833495765331</v>
      </c>
      <c r="N46" s="15">
        <v>112.08123430014687</v>
      </c>
      <c r="O46" s="15">
        <v>9806.6802102922411</v>
      </c>
      <c r="P46" s="15">
        <v>22.245130471784876</v>
      </c>
      <c r="Q46" s="15">
        <v>8661.9115729365403</v>
      </c>
      <c r="R46" s="15">
        <v>3999.8455752151654</v>
      </c>
      <c r="S46" s="15">
        <v>899.21662022484247</v>
      </c>
      <c r="T46" s="15">
        <v>2851.6546100945766</v>
      </c>
      <c r="U46" s="15">
        <v>3724.3481901415216</v>
      </c>
      <c r="V46" s="15">
        <v>425.22422478758011</v>
      </c>
      <c r="W46" s="15">
        <v>26.865272954386352</v>
      </c>
      <c r="X46" s="15">
        <v>522.76056608694455</v>
      </c>
      <c r="Y46" s="15">
        <v>0</v>
      </c>
      <c r="Z46" s="15">
        <v>865.84892451716519</v>
      </c>
      <c r="AA46" s="15">
        <v>3493.3410660114482</v>
      </c>
      <c r="AB46" s="15">
        <v>1229.4712495367257</v>
      </c>
      <c r="AC46" s="15">
        <v>4234.2750271101295</v>
      </c>
      <c r="AD46" s="15">
        <v>382.44512772645538</v>
      </c>
      <c r="AE46" s="15">
        <v>268.65272954386353</v>
      </c>
      <c r="AF46" s="15">
        <v>740.07837915745836</v>
      </c>
      <c r="AG46" s="15">
        <v>9442.2023033314563</v>
      </c>
      <c r="AH46" s="15">
        <v>1945.593334339954</v>
      </c>
      <c r="AI46" s="15">
        <v>936.86222563863225</v>
      </c>
      <c r="AJ46" s="15">
        <v>134.32636477193176</v>
      </c>
      <c r="AK46" s="15"/>
      <c r="AL46" s="15"/>
      <c r="AM46" s="15"/>
      <c r="AN46" s="15"/>
      <c r="AR46" s="15">
        <v>62330</v>
      </c>
    </row>
    <row r="47" spans="1:44" ht="12.75">
      <c r="A47" t="s">
        <v>83</v>
      </c>
      <c r="B47" s="23" t="s">
        <v>74</v>
      </c>
      <c r="C47" t="s">
        <v>55</v>
      </c>
      <c r="D47" s="32" t="s">
        <v>53</v>
      </c>
      <c r="E47">
        <v>2040</v>
      </c>
      <c r="G47" s="15">
        <v>0</v>
      </c>
      <c r="H47" s="15">
        <v>0</v>
      </c>
      <c r="I47" s="15"/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/>
      <c r="AL47" s="15"/>
      <c r="AM47" s="15"/>
      <c r="AN47" s="15"/>
      <c r="AR47" s="15">
        <v>0</v>
      </c>
    </row>
    <row r="48" spans="1:44" ht="12.75">
      <c r="A48" t="s">
        <v>83</v>
      </c>
      <c r="B48" s="23" t="s">
        <v>74</v>
      </c>
      <c r="C48" t="s">
        <v>55</v>
      </c>
      <c r="D48" s="32" t="s">
        <v>53</v>
      </c>
      <c r="E48">
        <v>2050</v>
      </c>
      <c r="G48" s="15">
        <v>0</v>
      </c>
      <c r="H48" s="15">
        <v>0</v>
      </c>
      <c r="I48" s="15"/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/>
      <c r="AL48" s="15"/>
      <c r="AM48" s="15"/>
      <c r="AN48" s="15"/>
      <c r="AR48" s="15">
        <v>0</v>
      </c>
    </row>
    <row r="49" spans="1:44" ht="12.75">
      <c r="A49" t="s">
        <v>83</v>
      </c>
      <c r="B49" s="23" t="s">
        <v>75</v>
      </c>
      <c r="C49" t="s">
        <v>55</v>
      </c>
      <c r="D49" s="32" t="s">
        <v>53</v>
      </c>
      <c r="E49">
        <v>2005</v>
      </c>
      <c r="G49" s="15">
        <v>0</v>
      </c>
      <c r="H49" s="15">
        <v>0</v>
      </c>
      <c r="I49" s="15"/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/>
      <c r="AL49" s="15"/>
      <c r="AM49" s="15"/>
      <c r="AN49" s="15"/>
      <c r="AR49" s="15">
        <v>0</v>
      </c>
    </row>
    <row r="50" spans="1:44" ht="12.75">
      <c r="A50" t="s">
        <v>83</v>
      </c>
      <c r="B50" s="23" t="s">
        <v>75</v>
      </c>
      <c r="C50" t="s">
        <v>55</v>
      </c>
      <c r="D50" s="32" t="s">
        <v>53</v>
      </c>
      <c r="E50">
        <v>2010</v>
      </c>
      <c r="G50" s="15">
        <v>0</v>
      </c>
      <c r="H50" s="15">
        <v>0</v>
      </c>
      <c r="I50" s="15"/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/>
      <c r="AL50" s="15"/>
      <c r="AM50" s="15"/>
      <c r="AN50" s="15"/>
      <c r="AR50" s="15">
        <v>0</v>
      </c>
    </row>
    <row r="51" spans="1:44" ht="12.75">
      <c r="A51" t="s">
        <v>83</v>
      </c>
      <c r="B51" s="23" t="s">
        <v>75</v>
      </c>
      <c r="C51" t="s">
        <v>55</v>
      </c>
      <c r="D51" s="32" t="s">
        <v>53</v>
      </c>
      <c r="E51">
        <v>2020</v>
      </c>
      <c r="G51" s="15">
        <v>0</v>
      </c>
      <c r="H51" s="15">
        <v>0</v>
      </c>
      <c r="I51" s="15"/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/>
      <c r="AL51" s="15"/>
      <c r="AM51" s="15"/>
      <c r="AN51" s="15"/>
      <c r="AR51" s="15">
        <v>0</v>
      </c>
    </row>
    <row r="52" spans="1:44" ht="12.75">
      <c r="A52" t="s">
        <v>83</v>
      </c>
      <c r="B52" s="23" t="s">
        <v>75</v>
      </c>
      <c r="C52" t="s">
        <v>55</v>
      </c>
      <c r="D52" s="32" t="s">
        <v>53</v>
      </c>
      <c r="E52">
        <v>2030</v>
      </c>
      <c r="G52" s="15">
        <v>0</v>
      </c>
      <c r="H52" s="15">
        <v>0</v>
      </c>
      <c r="I52" s="15"/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/>
      <c r="AL52" s="15"/>
      <c r="AM52" s="15"/>
      <c r="AN52" s="15"/>
      <c r="AR52" s="15">
        <v>0</v>
      </c>
    </row>
    <row r="53" spans="1:44" ht="12.75">
      <c r="A53" t="s">
        <v>83</v>
      </c>
      <c r="B53" s="23" t="s">
        <v>75</v>
      </c>
      <c r="C53" t="s">
        <v>55</v>
      </c>
      <c r="D53" s="32" t="s">
        <v>53</v>
      </c>
      <c r="E53">
        <v>2040</v>
      </c>
      <c r="G53" s="15">
        <v>4735.2321862431536</v>
      </c>
      <c r="H53" s="15">
        <v>1471.3747512045134</v>
      </c>
      <c r="I53" s="15"/>
      <c r="J53" s="15">
        <v>9.8650670546732364</v>
      </c>
      <c r="K53" s="15">
        <v>2370.0823598852453</v>
      </c>
      <c r="L53" s="15">
        <v>12449.714622997624</v>
      </c>
      <c r="M53" s="15">
        <v>882.92350139325481</v>
      </c>
      <c r="N53" s="15">
        <v>323.08094604054855</v>
      </c>
      <c r="O53" s="15">
        <v>28268.349645166159</v>
      </c>
      <c r="P53" s="15">
        <v>64.122935855376042</v>
      </c>
      <c r="Q53" s="15">
        <v>24968.484715377959</v>
      </c>
      <c r="R53" s="15">
        <v>11529.797120149347</v>
      </c>
      <c r="S53" s="15">
        <v>2592.046368615393</v>
      </c>
      <c r="T53" s="15">
        <v>8220.067123306475</v>
      </c>
      <c r="U53" s="15">
        <v>10735.65922224815</v>
      </c>
      <c r="V53" s="15">
        <v>1225.7345815431497</v>
      </c>
      <c r="W53" s="15">
        <v>77.440776379184911</v>
      </c>
      <c r="X53" s="15">
        <v>1506.8889926013369</v>
      </c>
      <c r="Y53" s="15">
        <v>0</v>
      </c>
      <c r="Z53" s="15">
        <v>2495.8619648323288</v>
      </c>
      <c r="AA53" s="15">
        <v>10069.767196057706</v>
      </c>
      <c r="AB53" s="15">
        <v>3544.0253393913604</v>
      </c>
      <c r="AC53" s="15">
        <v>12205.554213394464</v>
      </c>
      <c r="AD53" s="15">
        <v>1102.4212433597343</v>
      </c>
      <c r="AE53" s="15">
        <v>774.40776379184922</v>
      </c>
      <c r="AF53" s="15">
        <v>2133.3207505730875</v>
      </c>
      <c r="AG53" s="15">
        <v>27217.72000384346</v>
      </c>
      <c r="AH53" s="15">
        <v>5608.2906205817353</v>
      </c>
      <c r="AI53" s="15">
        <v>2700.5621062167988</v>
      </c>
      <c r="AJ53" s="15">
        <v>387.20388189592461</v>
      </c>
      <c r="AK53" s="15"/>
      <c r="AL53" s="15"/>
      <c r="AM53" s="15"/>
      <c r="AN53" s="15"/>
      <c r="AR53" s="15">
        <v>179670</v>
      </c>
    </row>
    <row r="54" spans="1:44" s="19" customFormat="1" ht="12.75">
      <c r="A54" s="19" t="s">
        <v>83</v>
      </c>
      <c r="B54" s="24" t="s">
        <v>75</v>
      </c>
      <c r="C54" s="19" t="s">
        <v>55</v>
      </c>
      <c r="D54" s="47" t="s">
        <v>53</v>
      </c>
      <c r="E54" s="19">
        <v>2050</v>
      </c>
      <c r="G54" s="50">
        <v>3768.7883488215675</v>
      </c>
      <c r="H54" s="50">
        <v>1171.0724629723684</v>
      </c>
      <c r="I54" s="50"/>
      <c r="J54" s="50">
        <v>7.8516423933782651</v>
      </c>
      <c r="K54" s="50">
        <v>1886.3570850091282</v>
      </c>
      <c r="L54" s="50">
        <v>9908.7727004433709</v>
      </c>
      <c r="M54" s="50">
        <v>702.72199420735478</v>
      </c>
      <c r="N54" s="50">
        <v>257.1412883831382</v>
      </c>
      <c r="O54" s="50">
        <v>22498.881278225417</v>
      </c>
      <c r="P54" s="50">
        <v>51.035675556958722</v>
      </c>
      <c r="Q54" s="50">
        <v>19872.506897640389</v>
      </c>
      <c r="R54" s="50">
        <v>9176.607047260848</v>
      </c>
      <c r="S54" s="50">
        <v>2063.0190388601391</v>
      </c>
      <c r="T54" s="50">
        <v>6542.3810242824393</v>
      </c>
      <c r="U54" s="50">
        <v>8544.5498345938977</v>
      </c>
      <c r="V54" s="50">
        <v>975.56656737724938</v>
      </c>
      <c r="W54" s="50">
        <v>61.635392788019381</v>
      </c>
      <c r="X54" s="50">
        <v>1199.33837558853</v>
      </c>
      <c r="Y54" s="50">
        <v>0</v>
      </c>
      <c r="Z54" s="50">
        <v>1986.465525524701</v>
      </c>
      <c r="AA54" s="50">
        <v>8014.5639730408639</v>
      </c>
      <c r="AB54" s="50">
        <v>2820.702529821142</v>
      </c>
      <c r="AC54" s="50">
        <v>9714.4445512072598</v>
      </c>
      <c r="AD54" s="50">
        <v>877.42103746002124</v>
      </c>
      <c r="AE54" s="50">
        <v>616.35392788019385</v>
      </c>
      <c r="AF54" s="50">
        <v>1697.9176675680499</v>
      </c>
      <c r="AG54" s="50">
        <v>21662.681363330634</v>
      </c>
      <c r="AH54" s="50">
        <v>4463.6587006355439</v>
      </c>
      <c r="AI54" s="50">
        <v>2149.3871051873002</v>
      </c>
      <c r="AJ54" s="50">
        <v>308.17696394009693</v>
      </c>
      <c r="AK54" s="50"/>
      <c r="AL54" s="50"/>
      <c r="AM54" s="50"/>
      <c r="AN54" s="50"/>
      <c r="AR54" s="50">
        <v>143000</v>
      </c>
    </row>
    <row r="55" spans="2:44" ht="12.75">
      <c r="B55" s="23" t="s">
        <v>72</v>
      </c>
      <c r="D55" s="51" t="s">
        <v>195</v>
      </c>
      <c r="F55">
        <v>0.05</v>
      </c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R55" s="21"/>
    </row>
    <row r="56" spans="2:44" ht="12.75">
      <c r="B56" s="23" t="s">
        <v>73</v>
      </c>
      <c r="D56" s="51" t="s">
        <v>195</v>
      </c>
      <c r="F56">
        <v>0.10</v>
      </c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R56" s="21"/>
    </row>
    <row r="57" spans="2:44" ht="12.75">
      <c r="B57" s="23" t="s">
        <v>74</v>
      </c>
      <c r="D57" s="51" t="s">
        <v>195</v>
      </c>
      <c r="F57">
        <v>0.20</v>
      </c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R57" s="21"/>
    </row>
    <row r="58" spans="1:44" ht="12.75">
      <c r="A58" s="19"/>
      <c r="B58" s="24" t="s">
        <v>75</v>
      </c>
      <c r="C58" s="19"/>
      <c r="D58" s="52" t="s">
        <v>195</v>
      </c>
      <c r="E58" s="19"/>
      <c r="F58" s="19">
        <v>0.30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R58" s="48"/>
    </row>
    <row r="62" spans="1:1" ht="12.75">
      <c r="A62" s="20" t="s">
        <v>249</v>
      </c>
    </row>
    <row r="63" spans="1:1" ht="12.75">
      <c r="A63" t="s">
        <v>288</v>
      </c>
    </row>
    <row r="64" spans="1:1" ht="12.75">
      <c r="A64" t="s">
        <v>251</v>
      </c>
    </row>
    <row r="65" spans="1:1" ht="12.75">
      <c r="A65" t="s">
        <v>250</v>
      </c>
    </row>
    <row r="77" spans="1:44" ht="12.75">
      <c r="A77" s="20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R77" s="15"/>
    </row>
    <row r="78" spans="7:44" ht="12.75"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R78" s="15"/>
    </row>
    <row r="79" spans="7:44" ht="12.75"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R79" s="15"/>
    </row>
    <row r="80" spans="7:44" ht="12.75"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R80" s="15"/>
    </row>
    <row r="81" spans="7:44" ht="12.75"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R81" s="15"/>
    </row>
    <row r="82" spans="7:44" ht="12.75"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R82" s="15"/>
    </row>
    <row r="83" spans="7:44" ht="12.75"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R83" s="15"/>
    </row>
    <row r="84" spans="7:44" ht="12.75"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R84" s="53"/>
    </row>
    <row r="87" spans="1:44" ht="12.75">
      <c r="A87" s="20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R87" s="25"/>
    </row>
    <row r="88" spans="7:44" ht="12.75"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R88" s="25"/>
    </row>
    <row r="89" spans="7:44" ht="12.75"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R89" s="25"/>
    </row>
    <row r="90" spans="7:44" ht="12.75"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R90" s="25"/>
    </row>
    <row r="91" spans="7:44" ht="12.75"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R91" s="25"/>
    </row>
    <row r="92" spans="7:44" ht="12.75"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R92" s="25"/>
    </row>
    <row r="93" spans="7:44" ht="12.75"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R93" s="25"/>
    </row>
    <row r="94" spans="7:44" ht="12.75"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R94" s="25"/>
    </row>
    <row r="95" spans="7:44" ht="12.75"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R95" s="25"/>
    </row>
    <row r="96" spans="7:44" ht="12.75"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R96" s="25"/>
    </row>
    <row r="97" spans="7:44" ht="12.75"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R97" s="25"/>
    </row>
    <row r="98" spans="7:44" ht="12.75"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R98" s="25"/>
    </row>
    <row r="99" spans="7:44" ht="12.75"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R99" s="25"/>
    </row>
    <row r="100" spans="7:44" ht="12.75"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R100" s="25"/>
    </row>
    <row r="101" spans="7:44" ht="12.75"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R101" s="25"/>
    </row>
    <row r="102" spans="7:44" ht="12.75"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R102" s="25"/>
    </row>
    <row r="103" spans="1:44" ht="12.75">
      <c r="A103" s="20"/>
      <c r="G103" s="20"/>
      <c r="H103" s="20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R103" s="25"/>
    </row>
    <row r="104" spans="7:44" ht="12.75">
      <c r="G104" s="20"/>
      <c r="H104" s="20"/>
      <c r="I104" s="20"/>
      <c r="J104" s="20"/>
      <c r="K104" s="20"/>
      <c r="L104" s="20"/>
      <c r="M104" s="20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R104" s="25"/>
    </row>
    <row r="105" spans="14:44" ht="12.75"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R105" s="25"/>
    </row>
    <row r="106" spans="14:44" ht="12.75"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R106" s="25"/>
    </row>
    <row r="107" spans="14:44" ht="12.75"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R107" s="25"/>
    </row>
  </sheetData>
  <pageMargins left="0.75" right="0.75" top="1" bottom="1" header="0.5" footer="0.5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49"/>
  <sheetViews>
    <sheetView workbookViewId="0" topLeftCell="A1">
      <selection pane="topLeft" activeCell="F27" sqref="F27"/>
    </sheetView>
  </sheetViews>
  <sheetFormatPr defaultColWidth="11.4242857142857" defaultRowHeight="12.75"/>
  <cols>
    <col min="4" max="4" width="16.5714285714286" customWidth="1"/>
    <col min="11" max="11" width="14.7142857142857" customWidth="1"/>
    <col min="53" max="53" width="6.57142857142857" customWidth="1"/>
  </cols>
  <sheetData>
    <row r="1" spans="1:7" ht="12.75">
      <c r="A1" s="3" t="s">
        <v>444</v>
      </c>
      <c r="C1" s="69" t="s">
        <v>281</v>
      </c>
      <c r="E1" s="7"/>
      <c r="F1" s="7"/>
      <c r="G1" s="7"/>
    </row>
    <row r="2" spans="1:7" ht="12.75">
      <c r="A2" s="3"/>
      <c r="E2" s="7"/>
      <c r="F2" s="7"/>
      <c r="G2" s="7"/>
    </row>
    <row r="3" spans="1:57" ht="13.5" thickBot="1">
      <c r="A3" s="27" t="s">
        <v>85</v>
      </c>
      <c r="B3" s="5" t="s">
        <v>95</v>
      </c>
      <c r="C3" s="5" t="s">
        <v>4</v>
      </c>
      <c r="D3" s="5" t="s">
        <v>5</v>
      </c>
      <c r="E3" s="27" t="s">
        <v>86</v>
      </c>
      <c r="F3" s="27" t="s">
        <v>87</v>
      </c>
      <c r="G3" s="27" t="s">
        <v>88</v>
      </c>
      <c r="H3" s="27" t="s">
        <v>64</v>
      </c>
      <c r="I3" s="10" t="s">
        <v>8</v>
      </c>
      <c r="J3" s="11" t="s">
        <v>9</v>
      </c>
      <c r="K3" s="11" t="s">
        <v>61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1" t="s">
        <v>18</v>
      </c>
      <c r="U3" s="11" t="s">
        <v>294</v>
      </c>
      <c r="V3" s="11" t="s">
        <v>20</v>
      </c>
      <c r="W3" s="11" t="s">
        <v>21</v>
      </c>
      <c r="X3" s="11" t="s">
        <v>22</v>
      </c>
      <c r="Y3" s="11" t="s">
        <v>36</v>
      </c>
      <c r="Z3" s="11" t="s">
        <v>23</v>
      </c>
      <c r="AA3" s="11" t="s">
        <v>24</v>
      </c>
      <c r="AB3" s="11" t="s">
        <v>25</v>
      </c>
      <c r="AC3" s="11" t="s">
        <v>26</v>
      </c>
      <c r="AD3" s="11" t="s">
        <v>27</v>
      </c>
      <c r="AE3" s="11" t="s">
        <v>28</v>
      </c>
      <c r="AF3" s="11" t="s">
        <v>29</v>
      </c>
      <c r="AG3" s="11" t="s">
        <v>30</v>
      </c>
      <c r="AH3" s="11" t="s">
        <v>31</v>
      </c>
      <c r="AI3" s="11" t="s">
        <v>32</v>
      </c>
      <c r="AJ3" s="11" t="s">
        <v>33</v>
      </c>
      <c r="AK3" s="11" t="s">
        <v>34</v>
      </c>
      <c r="AL3" s="11" t="s">
        <v>35</v>
      </c>
      <c r="AM3" s="11" t="s">
        <v>169</v>
      </c>
      <c r="AN3" s="11" t="s">
        <v>252</v>
      </c>
      <c r="AO3" s="11" t="s">
        <v>62</v>
      </c>
      <c r="AP3" s="11" t="s">
        <v>253</v>
      </c>
      <c r="AQ3" s="11" t="s">
        <v>170</v>
      </c>
      <c r="AR3" s="11" t="s">
        <v>63</v>
      </c>
      <c r="AS3" s="11" t="s">
        <v>171</v>
      </c>
      <c r="AW3" t="s">
        <v>254</v>
      </c>
      <c r="AX3" s="56" t="s">
        <v>31</v>
      </c>
      <c r="AY3" s="11" t="s">
        <v>169</v>
      </c>
      <c r="AZ3" s="11" t="s">
        <v>252</v>
      </c>
      <c r="BA3" s="11" t="s">
        <v>62</v>
      </c>
      <c r="BB3" s="11" t="s">
        <v>253</v>
      </c>
      <c r="BC3" s="11" t="s">
        <v>170</v>
      </c>
      <c r="BD3" s="11" t="s">
        <v>63</v>
      </c>
      <c r="BE3" s="11" t="s">
        <v>171</v>
      </c>
    </row>
    <row r="4" spans="2:57" ht="12.75">
      <c r="B4" t="s">
        <v>77</v>
      </c>
      <c r="E4" t="s">
        <v>55</v>
      </c>
      <c r="F4" t="s">
        <v>54</v>
      </c>
      <c r="G4" s="22"/>
      <c r="H4" s="22">
        <v>0</v>
      </c>
      <c r="I4">
        <v>15000</v>
      </c>
      <c r="J4">
        <v>110000</v>
      </c>
      <c r="K4">
        <v>40000</v>
      </c>
      <c r="L4">
        <v>0</v>
      </c>
      <c r="M4">
        <v>0</v>
      </c>
      <c r="N4">
        <v>150000</v>
      </c>
      <c r="O4">
        <v>140000</v>
      </c>
      <c r="P4">
        <v>15000</v>
      </c>
      <c r="Q4">
        <v>5000</v>
      </c>
      <c r="R4">
        <v>120000</v>
      </c>
      <c r="S4">
        <v>30000</v>
      </c>
      <c r="T4">
        <v>30000</v>
      </c>
      <c r="U4">
        <v>30000</v>
      </c>
      <c r="V4">
        <v>20000</v>
      </c>
      <c r="W4">
        <v>15000</v>
      </c>
      <c r="X4">
        <v>5000</v>
      </c>
      <c r="Y4">
        <v>90000</v>
      </c>
      <c r="Z4">
        <v>4000</v>
      </c>
      <c r="AA4">
        <v>4000</v>
      </c>
      <c r="AB4">
        <v>4000</v>
      </c>
      <c r="AC4">
        <v>4000</v>
      </c>
      <c r="AD4">
        <v>70000</v>
      </c>
      <c r="AE4">
        <v>10000</v>
      </c>
      <c r="AF4">
        <v>70000</v>
      </c>
      <c r="AG4">
        <v>10000</v>
      </c>
      <c r="AH4">
        <v>40000</v>
      </c>
      <c r="AI4">
        <v>10000</v>
      </c>
      <c r="AJ4">
        <v>5000</v>
      </c>
      <c r="AK4">
        <v>10000</v>
      </c>
      <c r="AL4">
        <v>120000</v>
      </c>
      <c r="AM4" s="15">
        <f>$AH4*AY$5</f>
        <v>4845.8205217478853</v>
      </c>
      <c r="AN4" s="15">
        <f t="shared" si="0" ref="AN4:AS4">$AH4*AZ$5</f>
        <v>8579.0151473839196</v>
      </c>
      <c r="AO4" s="15">
        <f t="shared" si="0"/>
        <v>9495.9960736772791</v>
      </c>
      <c r="AP4" s="15">
        <f t="shared" si="0"/>
        <v>1826.7468151062749</v>
      </c>
      <c r="AQ4" s="15">
        <f t="shared" si="0"/>
        <v>2317.5371553456298</v>
      </c>
      <c r="AR4" s="15">
        <f t="shared" si="0"/>
        <v>4314.4246217348809</v>
      </c>
      <c r="AS4" s="15">
        <f t="shared" si="0"/>
        <v>12999.484040924362</v>
      </c>
      <c r="AW4" t="s">
        <v>255</v>
      </c>
      <c r="AX4" s="57">
        <v>238391</v>
      </c>
      <c r="AY4">
        <v>28880</v>
      </c>
      <c r="AZ4">
        <v>51129</v>
      </c>
      <c r="BA4">
        <v>56594</v>
      </c>
      <c r="BB4">
        <v>10887</v>
      </c>
      <c r="BC4">
        <v>13812</v>
      </c>
      <c r="BD4">
        <v>25713</v>
      </c>
      <c r="BE4">
        <v>77474</v>
      </c>
    </row>
    <row r="5" spans="2:57" ht="12.75">
      <c r="B5" t="s">
        <v>79</v>
      </c>
      <c r="E5" t="s">
        <v>55</v>
      </c>
      <c r="F5" t="s">
        <v>54</v>
      </c>
      <c r="G5" s="22"/>
      <c r="H5" s="22">
        <v>0</v>
      </c>
      <c r="I5">
        <v>5000</v>
      </c>
      <c r="J5">
        <v>15000</v>
      </c>
      <c r="K5">
        <v>10000</v>
      </c>
      <c r="L5">
        <v>0</v>
      </c>
      <c r="M5">
        <v>0</v>
      </c>
      <c r="N5">
        <v>15000</v>
      </c>
      <c r="O5">
        <v>40000</v>
      </c>
      <c r="P5">
        <v>4000</v>
      </c>
      <c r="Q5">
        <v>3000</v>
      </c>
      <c r="R5">
        <v>25000</v>
      </c>
      <c r="S5">
        <v>5000</v>
      </c>
      <c r="T5">
        <v>30000</v>
      </c>
      <c r="U5">
        <v>5000</v>
      </c>
      <c r="V5">
        <v>5000</v>
      </c>
      <c r="W5">
        <v>5000</v>
      </c>
      <c r="X5">
        <v>0</v>
      </c>
      <c r="Y5">
        <v>30000</v>
      </c>
      <c r="Z5">
        <v>2000</v>
      </c>
      <c r="AA5">
        <v>2000</v>
      </c>
      <c r="AB5">
        <v>2000</v>
      </c>
      <c r="AC5">
        <v>2000</v>
      </c>
      <c r="AD5">
        <v>10000</v>
      </c>
      <c r="AE5">
        <v>5000</v>
      </c>
      <c r="AF5">
        <v>20000</v>
      </c>
      <c r="AG5">
        <v>5000</v>
      </c>
      <c r="AH5">
        <v>10000</v>
      </c>
      <c r="AI5">
        <v>5000</v>
      </c>
      <c r="AJ5">
        <v>5000</v>
      </c>
      <c r="AK5">
        <v>5000</v>
      </c>
      <c r="AL5">
        <v>15000</v>
      </c>
      <c r="AM5" s="15">
        <f>$AH5*AY$5</f>
        <v>1211.4551304369713</v>
      </c>
      <c r="AN5" s="15">
        <f t="shared" si="1" ref="AN5:AS8">$AH5*AZ$5</f>
        <v>2144.7537868459799</v>
      </c>
      <c r="AO5" s="15">
        <f t="shared" si="1"/>
        <v>2373.9990184193198</v>
      </c>
      <c r="AP5" s="15">
        <f t="shared" si="1"/>
        <v>456.68670377656872</v>
      </c>
      <c r="AQ5" s="15">
        <f t="shared" si="1"/>
        <v>579.38428883640745</v>
      </c>
      <c r="AR5" s="15">
        <f t="shared" si="1"/>
        <v>1078.6061554337202</v>
      </c>
      <c r="AS5" s="15">
        <f t="shared" si="1"/>
        <v>3249.8710102310906</v>
      </c>
      <c r="AY5">
        <f>AY4/$AX$4</f>
        <v>0.12114551304369713</v>
      </c>
      <c r="AZ5">
        <f t="shared" si="2" ref="AZ5:BE5">AZ4/$AX$4</f>
        <v>0.21447537868459798</v>
      </c>
      <c r="BA5">
        <f t="shared" si="2"/>
        <v>0.23739990184193197</v>
      </c>
      <c r="BB5">
        <f t="shared" si="2"/>
        <v>0.045668670377656873</v>
      </c>
      <c r="BC5">
        <f t="shared" si="2"/>
        <v>0.057938428883640744</v>
      </c>
      <c r="BD5">
        <f t="shared" si="2"/>
        <v>0.10786061554337202</v>
      </c>
      <c r="BE5">
        <f t="shared" si="2"/>
        <v>0.32498710102310907</v>
      </c>
    </row>
    <row r="6" spans="2:45" ht="12.75">
      <c r="B6" t="s">
        <v>78</v>
      </c>
      <c r="E6" t="s">
        <v>55</v>
      </c>
      <c r="F6" t="s">
        <v>54</v>
      </c>
      <c r="G6" s="22"/>
      <c r="H6" s="22">
        <v>0</v>
      </c>
      <c r="I6">
        <v>0</v>
      </c>
      <c r="J6">
        <v>5000</v>
      </c>
      <c r="K6">
        <v>0</v>
      </c>
      <c r="L6">
        <v>0</v>
      </c>
      <c r="M6">
        <v>0</v>
      </c>
      <c r="N6">
        <v>5000</v>
      </c>
      <c r="O6">
        <v>40000</v>
      </c>
      <c r="P6">
        <v>5000</v>
      </c>
      <c r="Q6">
        <v>0</v>
      </c>
      <c r="R6">
        <v>10000</v>
      </c>
      <c r="S6">
        <v>5000</v>
      </c>
      <c r="T6">
        <v>10000</v>
      </c>
      <c r="U6">
        <v>5000</v>
      </c>
      <c r="V6">
        <v>5000</v>
      </c>
      <c r="W6">
        <v>5000</v>
      </c>
      <c r="X6">
        <v>0</v>
      </c>
      <c r="Y6">
        <v>20000</v>
      </c>
      <c r="Z6">
        <v>0</v>
      </c>
      <c r="AA6">
        <v>0</v>
      </c>
      <c r="AB6">
        <v>0</v>
      </c>
      <c r="AC6">
        <v>0</v>
      </c>
      <c r="AD6">
        <v>5000</v>
      </c>
      <c r="AE6">
        <v>5000</v>
      </c>
      <c r="AF6">
        <v>10000</v>
      </c>
      <c r="AG6">
        <v>0</v>
      </c>
      <c r="AH6">
        <v>5000</v>
      </c>
      <c r="AI6">
        <v>5000</v>
      </c>
      <c r="AJ6">
        <v>0</v>
      </c>
      <c r="AK6">
        <v>2000</v>
      </c>
      <c r="AL6">
        <v>10000</v>
      </c>
      <c r="AM6" s="15">
        <f>$AH6*AY$5</f>
        <v>605.72756521848567</v>
      </c>
      <c r="AN6" s="15">
        <f t="shared" si="1"/>
        <v>1072.37689342299</v>
      </c>
      <c r="AO6" s="15">
        <f t="shared" si="1"/>
        <v>1186.9995092096599</v>
      </c>
      <c r="AP6" s="15">
        <f t="shared" si="1"/>
        <v>228.34335188828436</v>
      </c>
      <c r="AQ6" s="15">
        <f t="shared" si="1"/>
        <v>289.69214441820372</v>
      </c>
      <c r="AR6" s="15">
        <f t="shared" si="1"/>
        <v>539.30307771686012</v>
      </c>
      <c r="AS6" s="15">
        <f t="shared" si="1"/>
        <v>1624.9355051155453</v>
      </c>
    </row>
    <row r="7" spans="2:45" ht="12.75">
      <c r="B7" t="s">
        <v>80</v>
      </c>
      <c r="E7" t="s">
        <v>55</v>
      </c>
      <c r="F7" t="s">
        <v>54</v>
      </c>
      <c r="G7" s="22"/>
      <c r="H7" s="22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 s="15">
        <f>$AH7*AY$5</f>
        <v>0</v>
      </c>
      <c r="AN7" s="15">
        <f t="shared" si="1"/>
        <v>0</v>
      </c>
      <c r="AO7" s="15">
        <f t="shared" si="1"/>
        <v>0</v>
      </c>
      <c r="AP7" s="15">
        <f t="shared" si="1"/>
        <v>0</v>
      </c>
      <c r="AQ7" s="15">
        <f t="shared" si="1"/>
        <v>0</v>
      </c>
      <c r="AR7" s="15">
        <f t="shared" si="1"/>
        <v>0</v>
      </c>
      <c r="AS7" s="15">
        <f t="shared" si="1"/>
        <v>0</v>
      </c>
    </row>
    <row r="8" spans="2:63" s="19" customFormat="1" ht="12.75">
      <c r="B8" s="19" t="s">
        <v>81</v>
      </c>
      <c r="E8" s="19" t="s">
        <v>55</v>
      </c>
      <c r="F8" s="19" t="s">
        <v>54</v>
      </c>
      <c r="G8" s="22"/>
      <c r="H8" s="22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5">
        <f>$AH8*AY$5</f>
        <v>0</v>
      </c>
      <c r="AN8" s="15">
        <f t="shared" si="1"/>
        <v>0</v>
      </c>
      <c r="AO8" s="15">
        <f t="shared" si="1"/>
        <v>0</v>
      </c>
      <c r="AP8" s="15">
        <f t="shared" si="1"/>
        <v>0</v>
      </c>
      <c r="AQ8" s="15">
        <f t="shared" si="1"/>
        <v>0</v>
      </c>
      <c r="AR8" s="15">
        <f t="shared" si="1"/>
        <v>0</v>
      </c>
      <c r="AS8" s="15">
        <f t="shared" si="1"/>
        <v>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</row>
    <row r="9" spans="2:8" ht="12.75">
      <c r="B9" t="s">
        <v>172</v>
      </c>
      <c r="E9" s="19" t="s">
        <v>55</v>
      </c>
      <c r="F9" s="19" t="s">
        <v>54</v>
      </c>
      <c r="G9" s="22">
        <v>0</v>
      </c>
      <c r="H9" s="22">
        <v>5</v>
      </c>
    </row>
    <row r="13" spans="1:1" ht="12.75">
      <c r="A13" s="20"/>
    </row>
    <row r="15" spans="52:52" ht="12.75">
      <c r="AZ15" s="20"/>
    </row>
    <row r="16" spans="52:54" ht="12.75">
      <c r="AZ16" s="20"/>
      <c r="BB16" s="49"/>
    </row>
    <row r="17" spans="52:54" ht="12.75">
      <c r="AZ17" s="20"/>
      <c r="BB17" s="49"/>
    </row>
    <row r="18" spans="52:54" ht="12.75">
      <c r="AZ18" s="20"/>
      <c r="BB18" s="49"/>
    </row>
    <row r="19" spans="52:54" ht="12.75">
      <c r="AZ19" s="20"/>
      <c r="BB19" s="49"/>
    </row>
    <row r="20" spans="52:54" ht="12.75">
      <c r="AZ20" s="20"/>
      <c r="BB20" s="49"/>
    </row>
    <row r="21" spans="52:54" ht="12.75">
      <c r="AZ21" s="20"/>
      <c r="BB21" s="49"/>
    </row>
    <row r="22" spans="52:54" ht="12.75">
      <c r="AZ22" s="20"/>
      <c r="BB22" s="49"/>
    </row>
    <row r="23" spans="52:54" ht="12.75">
      <c r="AZ23" s="20"/>
      <c r="BB23" s="49"/>
    </row>
    <row r="24" spans="52:54" ht="12.75">
      <c r="AZ24" s="20"/>
      <c r="BB24" s="49"/>
    </row>
    <row r="25" spans="52:54" ht="12.75">
      <c r="AZ25" s="20"/>
      <c r="BB25" s="49"/>
    </row>
    <row r="26" spans="52:54" ht="12.75">
      <c r="AZ26" s="20"/>
      <c r="BB26" s="49"/>
    </row>
    <row r="27" spans="52:54" ht="12.75">
      <c r="AZ27" s="20"/>
      <c r="BB27" s="49"/>
    </row>
    <row r="28" spans="52:54" ht="12.75">
      <c r="AZ28" s="20"/>
      <c r="BB28" s="49"/>
    </row>
    <row r="49" spans="1:1" ht="12.75">
      <c r="A49" s="20"/>
    </row>
    <row r="65" s="0" customFormat="1" ht="12.75"/>
    <row r="66" s="0" customFormat="1" ht="12.75"/>
    <row r="67" s="0" customFormat="1" ht="12.75"/>
    <row r="68" s="0" customFormat="1" ht="12.75"/>
  </sheetData>
  <pageMargins left="0.75" right="0.75" top="1" bottom="1" header="0.4921259845" footer="0.4921259845"/>
  <pageSetup horizontalDpi="1200" verticalDpi="1200" orientation="portrait" paperSize="9" r:id="rId3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7"/>
  <sheetViews>
    <sheetView workbookViewId="0" topLeftCell="A1">
      <selection pane="topLeft" activeCell="C25" sqref="C25"/>
    </sheetView>
  </sheetViews>
  <sheetFormatPr defaultRowHeight="12.75"/>
  <cols>
    <col min="2" max="2" width="9.85714285714286" bestFit="1" customWidth="1"/>
    <col min="3" max="3" width="10.4285714285714" bestFit="1" customWidth="1"/>
    <col min="4" max="4" width="20.5714285714286" customWidth="1"/>
    <col min="5" max="5" width="18.4285714285714" bestFit="1" customWidth="1"/>
    <col min="6" max="6" width="13.2857142857143" customWidth="1"/>
    <col min="7" max="7" width="10.1428571428571" bestFit="1" customWidth="1"/>
    <col min="8" max="8" width="10.1428571428571" customWidth="1"/>
    <col min="9" max="9" width="9.85714285714286" bestFit="1" customWidth="1"/>
  </cols>
  <sheetData>
    <row r="1" spans="1:1" ht="12.75">
      <c r="A1" t="s">
        <v>190</v>
      </c>
    </row>
    <row r="3" spans="2:2" ht="12.75">
      <c r="B3" s="58" t="s">
        <v>7</v>
      </c>
    </row>
    <row r="4" spans="2:11" ht="13.5" thickBot="1">
      <c r="B4" s="27" t="s">
        <v>87</v>
      </c>
      <c r="C4" s="27" t="s">
        <v>88</v>
      </c>
      <c r="D4" s="27" t="s">
        <v>192</v>
      </c>
      <c r="E4" s="27" t="s">
        <v>98</v>
      </c>
      <c r="F4" s="27" t="s">
        <v>89</v>
      </c>
      <c r="G4" s="27" t="s">
        <v>175</v>
      </c>
      <c r="H4" s="27" t="s">
        <v>91</v>
      </c>
      <c r="I4" s="10" t="s">
        <v>64</v>
      </c>
      <c r="K4" t="s">
        <v>464</v>
      </c>
    </row>
    <row r="5" spans="2:11" ht="12.75">
      <c r="B5" s="85" t="s">
        <v>191</v>
      </c>
      <c r="C5" s="81"/>
      <c r="D5" s="85" t="s">
        <v>465</v>
      </c>
      <c r="E5" s="85" t="str">
        <f t="shared" si="0" ref="E5:E10">D5</f>
        <v>ELCWOO</v>
      </c>
      <c r="F5" s="85" t="s">
        <v>462</v>
      </c>
      <c r="G5" s="85" t="s">
        <v>463</v>
      </c>
      <c r="H5" s="85" t="s">
        <v>193</v>
      </c>
      <c r="I5" s="86">
        <f>I7-I6</f>
        <v>-98.560000000000002</v>
      </c>
      <c r="K5" s="84"/>
    </row>
    <row r="6" spans="2:9" ht="12.75">
      <c r="B6" s="85" t="s">
        <v>191</v>
      </c>
      <c r="C6" s="84"/>
      <c r="D6" s="85" t="s">
        <v>465</v>
      </c>
      <c r="E6" s="85" t="str">
        <f t="shared" si="0"/>
        <v>ELCWOO</v>
      </c>
      <c r="F6" s="85" t="s">
        <v>462</v>
      </c>
      <c r="G6" s="85" t="s">
        <v>463</v>
      </c>
      <c r="H6" s="85" t="s">
        <v>469</v>
      </c>
      <c r="I6" s="86">
        <f>0.88*112</f>
        <v>98.560000000000002</v>
      </c>
    </row>
    <row r="7" spans="2:9" ht="12.75">
      <c r="B7" s="91" t="s">
        <v>191</v>
      </c>
      <c r="D7" s="91" t="s">
        <v>465</v>
      </c>
      <c r="E7" s="85" t="str">
        <f t="shared" si="0"/>
        <v>ELCWOO</v>
      </c>
      <c r="F7" s="85" t="s">
        <v>470</v>
      </c>
      <c r="G7" s="92" t="s">
        <v>471</v>
      </c>
      <c r="H7" s="91" t="s">
        <v>193</v>
      </c>
      <c r="I7" s="86">
        <v>0</v>
      </c>
    </row>
    <row r="8" spans="2:9" ht="12.75">
      <c r="B8" t="s">
        <v>191</v>
      </c>
      <c r="D8" t="s">
        <v>466</v>
      </c>
      <c r="E8" s="87" t="str">
        <f t="shared" si="0"/>
        <v>ELCBGS</v>
      </c>
      <c r="F8" s="87" t="s">
        <v>470</v>
      </c>
      <c r="G8" s="89" t="s">
        <v>471</v>
      </c>
      <c r="H8" t="s">
        <v>193</v>
      </c>
      <c r="I8" s="90">
        <v>0</v>
      </c>
    </row>
    <row r="9" spans="2:9" ht="12.75">
      <c r="B9" t="s">
        <v>191</v>
      </c>
      <c r="D9" t="s">
        <v>467</v>
      </c>
      <c r="E9" s="87" t="str">
        <f t="shared" si="0"/>
        <v>ELCMUN</v>
      </c>
      <c r="F9" s="87" t="s">
        <v>470</v>
      </c>
      <c r="G9" s="89" t="s">
        <v>471</v>
      </c>
      <c r="H9" t="s">
        <v>193</v>
      </c>
      <c r="I9" s="90">
        <v>85.85</v>
      </c>
    </row>
    <row r="10" spans="2:9" ht="12.75">
      <c r="B10" t="s">
        <v>191</v>
      </c>
      <c r="D10" t="s">
        <v>468</v>
      </c>
      <c r="E10" s="87" t="str">
        <f t="shared" si="0"/>
        <v>ELCSLU</v>
      </c>
      <c r="F10" s="87" t="s">
        <v>470</v>
      </c>
      <c r="G10" s="89" t="s">
        <v>471</v>
      </c>
      <c r="H10" t="s">
        <v>193</v>
      </c>
      <c r="I10" s="90">
        <v>85.85</v>
      </c>
    </row>
    <row r="12" spans="2:9" ht="12.75">
      <c r="B12" s="82" t="s">
        <v>461</v>
      </c>
      <c r="C12" s="81"/>
      <c r="D12" s="82" t="s">
        <v>466</v>
      </c>
      <c r="E12" s="82" t="str">
        <f t="shared" si="1" ref="E12:E17">D12</f>
        <v>ELCBGS</v>
      </c>
      <c r="F12" s="82" t="s">
        <v>462</v>
      </c>
      <c r="G12" s="82" t="s">
        <v>463</v>
      </c>
      <c r="H12" s="82" t="s">
        <v>193</v>
      </c>
      <c r="I12" s="83">
        <f>I8-I15</f>
        <v>-50.399999999999999</v>
      </c>
    </row>
    <row r="13" spans="2:9" ht="12.75">
      <c r="B13" s="82" t="s">
        <v>461</v>
      </c>
      <c r="C13" s="81"/>
      <c r="D13" s="82" t="s">
        <v>467</v>
      </c>
      <c r="E13" s="82" t="str">
        <f t="shared" si="1"/>
        <v>ELCMUN</v>
      </c>
      <c r="F13" s="82" t="s">
        <v>462</v>
      </c>
      <c r="G13" s="82" t="s">
        <v>463</v>
      </c>
      <c r="H13" s="82" t="s">
        <v>193</v>
      </c>
      <c r="I13" s="83">
        <f>0.12*I9</f>
        <v>10.302</v>
      </c>
    </row>
    <row r="14" spans="2:9" ht="12.75">
      <c r="B14" s="82" t="s">
        <v>461</v>
      </c>
      <c r="C14" s="81"/>
      <c r="D14" s="82" t="s">
        <v>468</v>
      </c>
      <c r="E14" s="82" t="str">
        <f t="shared" si="1"/>
        <v>ELCSLU</v>
      </c>
      <c r="F14" s="82" t="s">
        <v>462</v>
      </c>
      <c r="G14" s="82" t="s">
        <v>463</v>
      </c>
      <c r="H14" s="82" t="s">
        <v>193</v>
      </c>
      <c r="I14" s="83">
        <f>0.12*I10</f>
        <v>10.302</v>
      </c>
    </row>
    <row r="15" spans="2:9" ht="12.75">
      <c r="B15" s="87" t="s">
        <v>461</v>
      </c>
      <c r="C15" s="84"/>
      <c r="D15" s="87" t="s">
        <v>466</v>
      </c>
      <c r="E15" s="87" t="str">
        <f t="shared" si="1"/>
        <v>ELCBGS</v>
      </c>
      <c r="F15" s="87" t="s">
        <v>462</v>
      </c>
      <c r="G15" s="87" t="s">
        <v>463</v>
      </c>
      <c r="H15" s="87" t="s">
        <v>469</v>
      </c>
      <c r="I15" s="88">
        <f>0.9*56</f>
        <v>50.399999999999999</v>
      </c>
    </row>
    <row r="16" spans="2:9" ht="12.75">
      <c r="B16" s="87" t="s">
        <v>461</v>
      </c>
      <c r="C16" s="84"/>
      <c r="D16" s="87" t="s">
        <v>467</v>
      </c>
      <c r="E16" s="87" t="str">
        <f t="shared" si="1"/>
        <v>ELCMUN</v>
      </c>
      <c r="F16" s="87" t="s">
        <v>462</v>
      </c>
      <c r="G16" s="87" t="s">
        <v>463</v>
      </c>
      <c r="H16" s="87" t="s">
        <v>469</v>
      </c>
      <c r="I16" s="88">
        <f>0.88*I9</f>
        <v>75.548000000000002</v>
      </c>
    </row>
    <row r="17" spans="2:9" ht="12.75">
      <c r="B17" s="87" t="s">
        <v>461</v>
      </c>
      <c r="C17" s="84"/>
      <c r="D17" s="87" t="s">
        <v>468</v>
      </c>
      <c r="E17" s="87" t="str">
        <f t="shared" si="1"/>
        <v>ELCSLU</v>
      </c>
      <c r="F17" s="87" t="s">
        <v>462</v>
      </c>
      <c r="G17" s="87" t="s">
        <v>463</v>
      </c>
      <c r="H17" s="87" t="s">
        <v>469</v>
      </c>
      <c r="I17" s="88">
        <f>0.88*I10</f>
        <v>75.548000000000002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0"/>
  <sheetViews>
    <sheetView workbookViewId="0" topLeftCell="A1"/>
  </sheetViews>
  <sheetFormatPr defaultRowHeight="12.75"/>
  <cols>
    <col min="1" max="1" width="9.28571428571429" bestFit="1" customWidth="1"/>
    <col min="2" max="2" width="14.4285714285714" bestFit="1" customWidth="1"/>
    <col min="3" max="3" width="36.7142857142857" customWidth="1"/>
    <col min="4" max="4" width="8" customWidth="1"/>
    <col min="5" max="5" width="7.71428571428571" bestFit="1" customWidth="1"/>
    <col min="6" max="6" width="17.5714285714286" bestFit="1" customWidth="1"/>
    <col min="7" max="7" width="18.2857142857143" bestFit="1" customWidth="1"/>
    <col min="8" max="8" width="18.1428571428571" customWidth="1"/>
    <col min="9" max="9" width="19.8571428571429" bestFit="1" customWidth="1"/>
    <col min="10" max="10" width="12.8571428571429" customWidth="1"/>
    <col min="11" max="27" width="9.28571428571429" bestFit="1" customWidth="1"/>
  </cols>
  <sheetData>
    <row r="1" spans="1:1" ht="12.75">
      <c r="A1" s="20" t="s">
        <v>242</v>
      </c>
    </row>
    <row r="2" spans="1:1" ht="12.75">
      <c r="A2" t="s">
        <v>240</v>
      </c>
    </row>
    <row r="3" spans="1:1" ht="12.75">
      <c r="A3" t="s">
        <v>241</v>
      </c>
    </row>
    <row r="5" spans="1:1" ht="12.75">
      <c r="A5" s="20" t="s">
        <v>243</v>
      </c>
    </row>
    <row r="6" spans="1:10" ht="12.75">
      <c r="A6" s="20" t="s">
        <v>196</v>
      </c>
      <c r="B6" s="20" t="s">
        <v>197</v>
      </c>
      <c r="C6" s="20" t="s">
        <v>198</v>
      </c>
      <c r="D6" s="20" t="s">
        <v>199</v>
      </c>
      <c r="G6" s="20" t="s">
        <v>200</v>
      </c>
      <c r="H6" s="20" t="s">
        <v>201</v>
      </c>
      <c r="I6" s="20" t="s">
        <v>202</v>
      </c>
      <c r="J6" s="20" t="s">
        <v>203</v>
      </c>
    </row>
    <row r="7" spans="3:9" ht="12.75">
      <c r="C7" s="20" t="s">
        <v>204</v>
      </c>
      <c r="D7" s="20" t="s">
        <v>205</v>
      </c>
      <c r="E7" s="20" t="s">
        <v>206</v>
      </c>
      <c r="F7" s="20" t="s">
        <v>207</v>
      </c>
      <c r="G7" s="20"/>
      <c r="H7" s="42">
        <v>0.15</v>
      </c>
      <c r="I7" s="20" t="s">
        <v>208</v>
      </c>
    </row>
    <row r="8" spans="3:11" ht="12.75">
      <c r="C8" t="s">
        <v>209</v>
      </c>
      <c r="D8" t="s">
        <v>210</v>
      </c>
      <c r="E8" t="s">
        <v>210</v>
      </c>
      <c r="F8" t="s">
        <v>210</v>
      </c>
      <c r="G8" t="s">
        <v>210</v>
      </c>
      <c r="H8" t="s">
        <v>211</v>
      </c>
      <c r="J8" t="s">
        <v>211</v>
      </c>
      <c r="K8" t="s">
        <v>212</v>
      </c>
    </row>
    <row r="9" spans="1:11" ht="12.75">
      <c r="A9" t="s">
        <v>8</v>
      </c>
      <c r="B9" t="s">
        <v>213</v>
      </c>
      <c r="C9" s="15">
        <v>0</v>
      </c>
      <c r="D9" s="15">
        <v>8.0666099324249991</v>
      </c>
      <c r="E9" s="15">
        <v>0</v>
      </c>
      <c r="F9" s="15">
        <v>0</v>
      </c>
      <c r="G9" s="15">
        <f>MIN(D9,E9+F9)</f>
        <v>0</v>
      </c>
      <c r="H9" s="43">
        <f>IF(C9=0,0,C9*$H$7/G9)</f>
        <v>0</v>
      </c>
      <c r="I9" t="s">
        <v>214</v>
      </c>
      <c r="J9" s="43">
        <f>IF(ISERROR(H9),INDEX($H$9:$H$35,MATCH(I9,$B$9:$B$35,0)),H9)</f>
        <v>0</v>
      </c>
      <c r="K9" s="44">
        <f>J9/1000</f>
        <v>0</v>
      </c>
    </row>
    <row r="10" spans="1:11" ht="12.75">
      <c r="A10" t="s">
        <v>9</v>
      </c>
      <c r="B10" t="s">
        <v>215</v>
      </c>
      <c r="C10" s="15">
        <v>0</v>
      </c>
      <c r="D10" s="15">
        <v>30.247875727652417</v>
      </c>
      <c r="E10" s="15">
        <v>0</v>
      </c>
      <c r="F10" s="15">
        <v>0</v>
      </c>
      <c r="G10" s="15">
        <f t="shared" si="0" ref="G10:G35">MIN(D10,E10+F10)</f>
        <v>0</v>
      </c>
      <c r="H10" s="43">
        <f t="shared" si="1" ref="H10:H35">IF(C10=0,0,C10*$H$7/G10)</f>
        <v>0</v>
      </c>
      <c r="I10" t="s">
        <v>216</v>
      </c>
      <c r="J10" s="43">
        <f t="shared" si="2" ref="J10:J35">IF(ISERROR(H10),INDEX($H$9:$H$35,MATCH(I10,$B$9:$B$35,0)),H10)</f>
        <v>0</v>
      </c>
      <c r="K10" s="44">
        <f t="shared" si="3" ref="K10:K35">J10/1000</f>
        <v>0</v>
      </c>
    </row>
    <row r="11" spans="1:11" ht="12.75">
      <c r="A11" t="s">
        <v>61</v>
      </c>
      <c r="B11" t="s">
        <v>217</v>
      </c>
      <c r="C11" s="15">
        <v>0</v>
      </c>
      <c r="D11" s="15">
        <v>24.835728431758426</v>
      </c>
      <c r="E11" s="15">
        <v>0</v>
      </c>
      <c r="F11" s="15">
        <v>0</v>
      </c>
      <c r="G11" s="15">
        <f t="shared" si="0"/>
        <v>0</v>
      </c>
      <c r="H11" s="43">
        <f t="shared" si="1"/>
        <v>0</v>
      </c>
      <c r="I11" t="s">
        <v>218</v>
      </c>
      <c r="J11" s="43">
        <f t="shared" si="2"/>
        <v>0</v>
      </c>
      <c r="K11" s="44">
        <f t="shared" si="3"/>
        <v>0</v>
      </c>
    </row>
    <row r="12" spans="1:11" ht="12.75">
      <c r="A12" t="s">
        <v>11</v>
      </c>
      <c r="B12" t="s">
        <v>219</v>
      </c>
      <c r="C12" s="15">
        <v>0</v>
      </c>
      <c r="D12" s="15">
        <v>0</v>
      </c>
      <c r="E12" s="15">
        <v>0</v>
      </c>
      <c r="F12" s="15">
        <v>0</v>
      </c>
      <c r="G12" s="15">
        <f t="shared" si="0"/>
        <v>0</v>
      </c>
      <c r="H12" s="43">
        <f t="shared" si="1"/>
        <v>0</v>
      </c>
      <c r="I12" t="s">
        <v>220</v>
      </c>
      <c r="J12" s="43">
        <f t="shared" si="2"/>
        <v>0</v>
      </c>
      <c r="K12" s="44">
        <f t="shared" si="3"/>
        <v>0</v>
      </c>
    </row>
    <row r="13" spans="1:11" ht="12.75">
      <c r="A13" t="s">
        <v>12</v>
      </c>
      <c r="B13" t="s">
        <v>221</v>
      </c>
      <c r="C13" s="15">
        <v>0</v>
      </c>
      <c r="D13" s="15">
        <v>62.134985142994573</v>
      </c>
      <c r="E13" s="15">
        <v>0</v>
      </c>
      <c r="F13" s="15">
        <v>0</v>
      </c>
      <c r="G13" s="15">
        <f t="shared" si="0"/>
        <v>0</v>
      </c>
      <c r="H13" s="43">
        <f t="shared" si="1"/>
        <v>0</v>
      </c>
      <c r="I13" t="s">
        <v>214</v>
      </c>
      <c r="J13" s="43">
        <f t="shared" si="2"/>
        <v>0</v>
      </c>
      <c r="K13" s="44">
        <f t="shared" si="3"/>
        <v>0</v>
      </c>
    </row>
    <row r="14" spans="1:11" ht="12.75">
      <c r="A14" t="s">
        <v>13</v>
      </c>
      <c r="B14" t="s">
        <v>222</v>
      </c>
      <c r="C14" s="15">
        <v>981.14792864999993</v>
      </c>
      <c r="D14" s="15">
        <v>336.70046849221433</v>
      </c>
      <c r="E14" s="15">
        <v>63.479212251203492</v>
      </c>
      <c r="F14" s="15">
        <v>47.702407003413562</v>
      </c>
      <c r="G14" s="15">
        <f t="shared" si="0"/>
        <v>111.18161925461706</v>
      </c>
      <c r="H14" s="43">
        <f t="shared" si="1"/>
        <v>1.3237097128479565</v>
      </c>
      <c r="J14" s="43">
        <f t="shared" si="2"/>
        <v>1.3237097128479565</v>
      </c>
      <c r="K14" s="44">
        <f t="shared" si="3"/>
        <v>0.0013237097128479564</v>
      </c>
    </row>
    <row r="15" spans="1:11" ht="12.75">
      <c r="A15" t="s">
        <v>14</v>
      </c>
      <c r="B15" t="s">
        <v>220</v>
      </c>
      <c r="C15" s="15">
        <v>586.21074210000006</v>
      </c>
      <c r="D15" s="15">
        <v>15.288753274767805</v>
      </c>
      <c r="E15" s="15">
        <v>9.2247185492341348</v>
      </c>
      <c r="F15" s="15">
        <v>4.4420131291466083</v>
      </c>
      <c r="G15" s="15">
        <f t="shared" si="0"/>
        <v>13.666731678380742</v>
      </c>
      <c r="H15" s="43">
        <f t="shared" si="1"/>
        <v>6.4339897339243217</v>
      </c>
      <c r="J15" s="43">
        <f t="shared" si="2"/>
        <v>6.4339897339243217</v>
      </c>
      <c r="K15" s="44">
        <f t="shared" si="3"/>
        <v>0.0064339897339243217</v>
      </c>
    </row>
    <row r="16" spans="1:11" ht="12.75">
      <c r="A16" t="s">
        <v>15</v>
      </c>
      <c r="B16" t="s">
        <v>223</v>
      </c>
      <c r="C16" s="15">
        <v>0</v>
      </c>
      <c r="D16" s="15">
        <v>0</v>
      </c>
      <c r="E16" s="15">
        <v>0</v>
      </c>
      <c r="F16" s="15">
        <v>0</v>
      </c>
      <c r="G16" s="15">
        <f t="shared" si="0"/>
        <v>0</v>
      </c>
      <c r="H16" s="43">
        <f t="shared" si="1"/>
        <v>0</v>
      </c>
      <c r="I16" t="s">
        <v>220</v>
      </c>
      <c r="J16" s="43">
        <f t="shared" si="2"/>
        <v>0</v>
      </c>
      <c r="K16" s="44">
        <f t="shared" si="3"/>
        <v>0</v>
      </c>
    </row>
    <row r="17" spans="1:11" ht="12.75">
      <c r="A17" t="s">
        <v>16</v>
      </c>
      <c r="B17" t="s">
        <v>224</v>
      </c>
      <c r="C17" s="15">
        <v>1068.9723754600002</v>
      </c>
      <c r="D17" s="15">
        <v>79.627507366125769</v>
      </c>
      <c r="E17" s="15">
        <v>107.84599991247264</v>
      </c>
      <c r="F17" s="15">
        <v>0</v>
      </c>
      <c r="G17" s="15">
        <f t="shared" si="0"/>
        <v>79.627507366125769</v>
      </c>
      <c r="H17" s="43">
        <f t="shared" si="1"/>
        <v>2.013699305966377</v>
      </c>
      <c r="J17" s="43">
        <f t="shared" si="2"/>
        <v>2.013699305966377</v>
      </c>
      <c r="K17" s="44">
        <f t="shared" si="3"/>
        <v>0.0020136993059663771</v>
      </c>
    </row>
    <row r="18" spans="1:11" ht="12.75">
      <c r="A18" t="s">
        <v>17</v>
      </c>
      <c r="B18" t="s">
        <v>225</v>
      </c>
      <c r="C18" s="15">
        <v>0</v>
      </c>
      <c r="D18" s="15">
        <v>0</v>
      </c>
      <c r="E18" s="15">
        <v>0</v>
      </c>
      <c r="F18" s="15">
        <v>0</v>
      </c>
      <c r="G18" s="15">
        <f t="shared" si="0"/>
        <v>0</v>
      </c>
      <c r="H18" s="43">
        <f t="shared" si="1"/>
        <v>0</v>
      </c>
      <c r="I18" t="s">
        <v>220</v>
      </c>
      <c r="J18" s="43">
        <f t="shared" si="2"/>
        <v>0</v>
      </c>
      <c r="K18" s="44">
        <f t="shared" si="3"/>
        <v>0</v>
      </c>
    </row>
    <row r="19" spans="1:11" ht="12.75">
      <c r="A19" t="s">
        <v>18</v>
      </c>
      <c r="B19" t="s">
        <v>226</v>
      </c>
      <c r="C19" s="15">
        <v>513.66915833000007</v>
      </c>
      <c r="D19" s="15">
        <v>27.251038809629335</v>
      </c>
      <c r="E19" s="15">
        <v>0</v>
      </c>
      <c r="F19" s="15">
        <v>16.8456709321663</v>
      </c>
      <c r="G19" s="15">
        <f t="shared" si="0"/>
        <v>16.8456709321663</v>
      </c>
      <c r="H19" s="43">
        <f t="shared" si="1"/>
        <v>4.5738975942106679</v>
      </c>
      <c r="J19" s="43">
        <f t="shared" si="2"/>
        <v>4.5738975942106679</v>
      </c>
      <c r="K19" s="44">
        <f t="shared" si="3"/>
        <v>0.004573897594210668</v>
      </c>
    </row>
    <row r="20" spans="1:11" ht="12.75">
      <c r="A20" t="s">
        <v>19</v>
      </c>
      <c r="B20" t="s">
        <v>227</v>
      </c>
      <c r="C20" s="15">
        <v>0</v>
      </c>
      <c r="D20" s="15">
        <v>0</v>
      </c>
      <c r="E20" s="15">
        <v>0</v>
      </c>
      <c r="F20" s="15">
        <v>1.5317286652078774</v>
      </c>
      <c r="G20" s="15">
        <f t="shared" si="0"/>
        <v>0</v>
      </c>
      <c r="H20" s="43">
        <f t="shared" si="1"/>
        <v>0</v>
      </c>
      <c r="I20" t="s">
        <v>216</v>
      </c>
      <c r="J20" s="43">
        <f t="shared" si="2"/>
        <v>0</v>
      </c>
      <c r="K20" s="44">
        <f t="shared" si="3"/>
        <v>0</v>
      </c>
    </row>
    <row r="21" spans="1:11" ht="12.75">
      <c r="A21" t="s">
        <v>20</v>
      </c>
      <c r="B21" t="s">
        <v>228</v>
      </c>
      <c r="C21" s="15">
        <v>56.219604101999998</v>
      </c>
      <c r="D21" s="15">
        <v>17.427105797138921</v>
      </c>
      <c r="E21" s="15">
        <v>0</v>
      </c>
      <c r="F21" s="15">
        <v>8.5120350109190372</v>
      </c>
      <c r="G21" s="15">
        <f t="shared" si="0"/>
        <v>8.5120350109190372</v>
      </c>
      <c r="H21" s="43">
        <f t="shared" si="1"/>
        <v>0.99070793347095298</v>
      </c>
      <c r="J21" s="43">
        <f t="shared" si="2"/>
        <v>0.99070793347095298</v>
      </c>
      <c r="K21" s="44">
        <f t="shared" si="3"/>
        <v>0.00099070793347095305</v>
      </c>
    </row>
    <row r="22" spans="1:11" ht="12.75">
      <c r="A22" t="s">
        <v>21</v>
      </c>
      <c r="B22" t="s">
        <v>229</v>
      </c>
      <c r="C22" s="15">
        <v>0</v>
      </c>
      <c r="D22" s="15">
        <v>0</v>
      </c>
      <c r="E22" s="15">
        <v>0</v>
      </c>
      <c r="F22" s="15">
        <v>0</v>
      </c>
      <c r="G22" s="15">
        <f t="shared" si="0"/>
        <v>0</v>
      </c>
      <c r="H22" s="43">
        <f t="shared" si="1"/>
        <v>0</v>
      </c>
      <c r="I22" t="s">
        <v>230</v>
      </c>
      <c r="J22" s="43">
        <f t="shared" si="2"/>
        <v>0</v>
      </c>
      <c r="K22" s="44">
        <f t="shared" si="3"/>
        <v>0</v>
      </c>
    </row>
    <row r="23" spans="1:11" ht="12.75">
      <c r="A23" t="s">
        <v>36</v>
      </c>
      <c r="B23" t="s">
        <v>231</v>
      </c>
      <c r="C23" s="15">
        <v>594.38914815200008</v>
      </c>
      <c r="D23" s="15">
        <v>89.16386297344232</v>
      </c>
      <c r="E23" s="15">
        <v>21.892778993435449</v>
      </c>
      <c r="F23" s="15">
        <v>39.606126914792121</v>
      </c>
      <c r="G23" s="15">
        <f t="shared" si="0"/>
        <v>61.49890590822757</v>
      </c>
      <c r="H23" s="43">
        <f t="shared" si="1"/>
        <v>1.4497554209476116</v>
      </c>
      <c r="J23" s="43">
        <f t="shared" si="2"/>
        <v>1.4497554209476116</v>
      </c>
      <c r="K23" s="44">
        <f t="shared" si="3"/>
        <v>0.0014497554209476115</v>
      </c>
    </row>
    <row r="24" spans="1:11" ht="12.75">
      <c r="A24" t="s">
        <v>23</v>
      </c>
      <c r="B24" t="s">
        <v>232</v>
      </c>
      <c r="C24" s="15">
        <v>0</v>
      </c>
      <c r="D24" s="15">
        <v>0</v>
      </c>
      <c r="E24" s="15">
        <v>0</v>
      </c>
      <c r="F24" s="15">
        <v>0</v>
      </c>
      <c r="G24" s="15">
        <f t="shared" si="0"/>
        <v>0</v>
      </c>
      <c r="H24" s="43">
        <f t="shared" si="1"/>
        <v>0</v>
      </c>
      <c r="I24" t="s">
        <v>220</v>
      </c>
      <c r="J24" s="43">
        <f t="shared" si="2"/>
        <v>0</v>
      </c>
      <c r="K24" s="44">
        <f t="shared" si="3"/>
        <v>0</v>
      </c>
    </row>
    <row r="25" spans="1:11" ht="12.75">
      <c r="A25" t="s">
        <v>24</v>
      </c>
      <c r="B25" t="s">
        <v>233</v>
      </c>
      <c r="C25" s="15">
        <v>0</v>
      </c>
      <c r="D25" s="15">
        <v>0</v>
      </c>
      <c r="E25" s="15">
        <v>0</v>
      </c>
      <c r="F25" s="15">
        <v>0</v>
      </c>
      <c r="G25" s="15">
        <f t="shared" si="0"/>
        <v>0</v>
      </c>
      <c r="H25" s="43">
        <f t="shared" si="1"/>
        <v>0</v>
      </c>
      <c r="I25" t="s">
        <v>222</v>
      </c>
      <c r="J25" s="43">
        <f t="shared" si="2"/>
        <v>0</v>
      </c>
      <c r="K25" s="44">
        <f t="shared" si="3"/>
        <v>0</v>
      </c>
    </row>
    <row r="26" spans="1:11" ht="12.75">
      <c r="A26" t="s">
        <v>25</v>
      </c>
      <c r="B26" t="s">
        <v>234</v>
      </c>
      <c r="C26" s="15">
        <v>0</v>
      </c>
      <c r="D26" s="15">
        <v>0</v>
      </c>
      <c r="E26" s="15">
        <v>0</v>
      </c>
      <c r="F26" s="15">
        <v>0</v>
      </c>
      <c r="G26" s="15">
        <f t="shared" si="0"/>
        <v>0</v>
      </c>
      <c r="H26" s="43">
        <f t="shared" si="1"/>
        <v>0</v>
      </c>
      <c r="I26" t="s">
        <v>220</v>
      </c>
      <c r="J26" s="43">
        <f t="shared" si="2"/>
        <v>0</v>
      </c>
      <c r="K26" s="44">
        <f t="shared" si="3"/>
        <v>0</v>
      </c>
    </row>
    <row r="27" spans="1:11" ht="12.75">
      <c r="A27" t="s">
        <v>26</v>
      </c>
      <c r="B27" t="s">
        <v>235</v>
      </c>
      <c r="C27" s="15">
        <v>0</v>
      </c>
      <c r="D27" s="15">
        <v>0</v>
      </c>
      <c r="E27" s="15">
        <v>0</v>
      </c>
      <c r="F27" s="15">
        <v>0</v>
      </c>
      <c r="G27" s="15">
        <f t="shared" si="0"/>
        <v>0</v>
      </c>
      <c r="H27" s="43">
        <f t="shared" si="1"/>
        <v>0</v>
      </c>
      <c r="I27" t="s">
        <v>220</v>
      </c>
      <c r="J27" s="43">
        <f t="shared" si="2"/>
        <v>0</v>
      </c>
      <c r="K27" s="44">
        <f t="shared" si="3"/>
        <v>0</v>
      </c>
    </row>
    <row r="28" spans="1:11" ht="12.75">
      <c r="A28" t="s">
        <v>27</v>
      </c>
      <c r="B28" t="s">
        <v>216</v>
      </c>
      <c r="C28" s="15">
        <v>453.21612384000008</v>
      </c>
      <c r="D28" s="15">
        <v>51.772428571035228</v>
      </c>
      <c r="E28" s="15">
        <v>3.2326740580306343</v>
      </c>
      <c r="F28" s="15">
        <v>37.199124727921202</v>
      </c>
      <c r="G28" s="15">
        <f t="shared" si="0"/>
        <v>40.431798785951834</v>
      </c>
      <c r="H28" s="43">
        <f t="shared" si="1"/>
        <v>1.6814096977456452</v>
      </c>
      <c r="J28" s="43">
        <f t="shared" si="2"/>
        <v>1.6814096977456452</v>
      </c>
      <c r="K28" s="44">
        <f t="shared" si="3"/>
        <v>0.0016814096977456451</v>
      </c>
    </row>
    <row r="29" spans="1:11" ht="12.75">
      <c r="A29" t="s">
        <v>29</v>
      </c>
      <c r="B29" t="s">
        <v>214</v>
      </c>
      <c r="C29" s="15">
        <v>288.87536163999999</v>
      </c>
      <c r="D29" s="15">
        <v>147.19290543045375</v>
      </c>
      <c r="E29" s="15">
        <v>0</v>
      </c>
      <c r="F29" s="15">
        <v>16.571772430196937</v>
      </c>
      <c r="G29" s="15">
        <f t="shared" si="0"/>
        <v>16.571772430196937</v>
      </c>
      <c r="H29" s="43">
        <f t="shared" si="1"/>
        <v>2.6147658271629459</v>
      </c>
      <c r="J29" s="43">
        <f t="shared" si="2"/>
        <v>2.6147658271629459</v>
      </c>
      <c r="K29" s="44">
        <f t="shared" si="3"/>
        <v>0.002614765827162946</v>
      </c>
    </row>
    <row r="30" spans="1:11" ht="12.75">
      <c r="A30" t="s">
        <v>30</v>
      </c>
      <c r="B30" t="s">
        <v>236</v>
      </c>
      <c r="C30" s="15">
        <v>0</v>
      </c>
      <c r="D30" s="15">
        <v>17.106395396981949</v>
      </c>
      <c r="E30" s="15">
        <v>0</v>
      </c>
      <c r="F30" s="15">
        <v>0</v>
      </c>
      <c r="G30" s="15">
        <f t="shared" si="0"/>
        <v>0</v>
      </c>
      <c r="H30" s="43">
        <f t="shared" si="1"/>
        <v>0</v>
      </c>
      <c r="I30" t="s">
        <v>224</v>
      </c>
      <c r="J30" s="43">
        <f t="shared" si="2"/>
        <v>0</v>
      </c>
      <c r="K30" s="44">
        <f t="shared" si="3"/>
        <v>0</v>
      </c>
    </row>
    <row r="31" spans="1:11" ht="12.75">
      <c r="A31" t="s">
        <v>31</v>
      </c>
      <c r="B31" t="s">
        <v>218</v>
      </c>
      <c r="C31" s="15">
        <v>280.11736473999997</v>
      </c>
      <c r="D31" s="15">
        <v>43.216469789629009</v>
      </c>
      <c r="E31" s="15">
        <v>0</v>
      </c>
      <c r="F31" s="15">
        <v>87.527352298752731</v>
      </c>
      <c r="G31" s="15">
        <f t="shared" si="0"/>
        <v>43.216469789629009</v>
      </c>
      <c r="H31" s="43">
        <f t="shared" si="1"/>
        <v>0.97225906964486231</v>
      </c>
      <c r="J31" s="43">
        <f t="shared" si="2"/>
        <v>0.97225906964486231</v>
      </c>
      <c r="K31" s="44">
        <f t="shared" si="3"/>
        <v>0.00097225906964486231</v>
      </c>
    </row>
    <row r="32" spans="1:11" ht="12.75">
      <c r="A32" t="s">
        <v>32</v>
      </c>
      <c r="B32" t="s">
        <v>237</v>
      </c>
      <c r="C32" s="15">
        <v>0</v>
      </c>
      <c r="D32" s="15">
        <v>0</v>
      </c>
      <c r="E32" s="15">
        <v>0</v>
      </c>
      <c r="F32" s="15">
        <v>0</v>
      </c>
      <c r="G32" s="15">
        <f t="shared" si="0"/>
        <v>0</v>
      </c>
      <c r="H32" s="43">
        <f t="shared" si="1"/>
        <v>0</v>
      </c>
      <c r="I32" t="s">
        <v>220</v>
      </c>
      <c r="J32" s="43">
        <f t="shared" si="2"/>
        <v>0</v>
      </c>
      <c r="K32" s="44">
        <f t="shared" si="3"/>
        <v>0</v>
      </c>
    </row>
    <row r="33" spans="1:11" ht="12.75">
      <c r="A33" t="s">
        <v>33</v>
      </c>
      <c r="B33" t="s">
        <v>238</v>
      </c>
      <c r="C33" s="15">
        <v>0</v>
      </c>
      <c r="D33" s="15">
        <v>5.6767864737718652</v>
      </c>
      <c r="E33" s="15">
        <v>0</v>
      </c>
      <c r="F33" s="15">
        <v>0</v>
      </c>
      <c r="G33" s="15">
        <f t="shared" si="0"/>
        <v>0</v>
      </c>
      <c r="H33" s="43">
        <f t="shared" si="1"/>
        <v>0</v>
      </c>
      <c r="I33" t="s">
        <v>214</v>
      </c>
      <c r="J33" s="43">
        <f t="shared" si="2"/>
        <v>0</v>
      </c>
      <c r="K33" s="44">
        <f t="shared" si="3"/>
        <v>0</v>
      </c>
    </row>
    <row r="34" spans="1:11" ht="12.75">
      <c r="A34" t="s">
        <v>34</v>
      </c>
      <c r="B34" t="s">
        <v>239</v>
      </c>
      <c r="C34" s="15">
        <v>0</v>
      </c>
      <c r="D34" s="15">
        <v>16.205008020646726</v>
      </c>
      <c r="E34" s="15">
        <v>0</v>
      </c>
      <c r="F34" s="15">
        <v>0</v>
      </c>
      <c r="G34" s="15">
        <f t="shared" si="0"/>
        <v>0</v>
      </c>
      <c r="H34" s="43">
        <f t="shared" si="1"/>
        <v>0</v>
      </c>
      <c r="I34" t="s">
        <v>214</v>
      </c>
      <c r="J34" s="43">
        <f t="shared" si="2"/>
        <v>0</v>
      </c>
      <c r="K34" s="44">
        <f t="shared" si="3"/>
        <v>0</v>
      </c>
    </row>
    <row r="35" spans="1:11" ht="12.75">
      <c r="A35" t="s">
        <v>35</v>
      </c>
      <c r="B35" t="s">
        <v>230</v>
      </c>
      <c r="C35" s="15">
        <v>1617.9977248800001</v>
      </c>
      <c r="D35" s="15">
        <v>173.18106739284246</v>
      </c>
      <c r="E35" s="15">
        <v>155.3610503238512</v>
      </c>
      <c r="F35" s="15">
        <v>159.73741794253829</v>
      </c>
      <c r="G35" s="15">
        <f t="shared" si="0"/>
        <v>173.18106739284246</v>
      </c>
      <c r="H35" s="43">
        <f t="shared" si="1"/>
        <v>1.4014214277907304</v>
      </c>
      <c r="J35" s="43">
        <f t="shared" si="2"/>
        <v>1.4014214277907304</v>
      </c>
      <c r="K35" s="44">
        <f t="shared" si="3"/>
        <v>0.0014014214277907305</v>
      </c>
    </row>
    <row r="39" spans="1:27" ht="12.75">
      <c r="A39" t="str">
        <f t="array" ref="A39:AA39">TRANSPOSE(A9:A35)</f>
        <v>AT</v>
      </c>
      <c r="B39" t="str">
        <v>BE</v>
      </c>
      <c r="C39" t="str">
        <v>BG</v>
      </c>
      <c r="D39" t="str">
        <v>CY</v>
      </c>
      <c r="E39" t="str">
        <v>CZ</v>
      </c>
      <c r="F39" t="str">
        <v>DE</v>
      </c>
      <c r="G39" t="str">
        <v>DK</v>
      </c>
      <c r="H39" t="str">
        <v>EE</v>
      </c>
      <c r="I39" t="str">
        <v>ES</v>
      </c>
      <c r="J39" t="str">
        <v>FI</v>
      </c>
      <c r="K39" t="str">
        <v>FR</v>
      </c>
      <c r="L39" t="str">
        <v>GR</v>
      </c>
      <c r="M39" t="str">
        <v>HU</v>
      </c>
      <c r="N39" t="str">
        <v>IE</v>
      </c>
      <c r="O39" t="str">
        <v>IT</v>
      </c>
      <c r="P39" t="str">
        <v>LT</v>
      </c>
      <c r="Q39" t="str">
        <v>LU</v>
      </c>
      <c r="R39" t="str">
        <v>LV</v>
      </c>
      <c r="S39" t="str">
        <v>MT</v>
      </c>
      <c r="T39" t="str">
        <v>NL</v>
      </c>
      <c r="U39" t="str">
        <v>PL</v>
      </c>
      <c r="V39" t="str">
        <v>PT</v>
      </c>
      <c r="W39" t="str">
        <v>RO</v>
      </c>
      <c r="X39" t="str">
        <v>SE</v>
      </c>
      <c r="Y39" t="str">
        <v>SI</v>
      </c>
      <c r="Z39" t="str">
        <v>SK</v>
      </c>
      <c r="AA39" t="str">
        <v>UK</v>
      </c>
    </row>
    <row r="40" spans="1:27" ht="12.75">
      <c r="A40" s="45">
        <f t="array" ref="A40:AA40">TRANSPOSE(K9:K35)</f>
        <v>0</v>
      </c>
      <c r="B40" s="45">
        <v>0</v>
      </c>
      <c r="C40" s="45">
        <v>0</v>
      </c>
      <c r="D40" s="45">
        <v>0</v>
      </c>
      <c r="E40" s="45">
        <v>0</v>
      </c>
      <c r="F40" s="45">
        <v>0.0013237097128479564</v>
      </c>
      <c r="G40" s="45">
        <v>0.0064339897339243217</v>
      </c>
      <c r="H40" s="45">
        <v>0</v>
      </c>
      <c r="I40" s="45">
        <v>0.0020136993059663771</v>
      </c>
      <c r="J40" s="45">
        <v>0</v>
      </c>
      <c r="K40" s="45">
        <v>0.004573897594210668</v>
      </c>
      <c r="L40" s="45">
        <v>0</v>
      </c>
      <c r="M40" s="45">
        <v>0.00099070793347095305</v>
      </c>
      <c r="N40" s="45">
        <v>0</v>
      </c>
      <c r="O40" s="45">
        <v>0.0014497554209476115</v>
      </c>
      <c r="P40" s="45">
        <v>0</v>
      </c>
      <c r="Q40" s="45">
        <v>0</v>
      </c>
      <c r="R40" s="45">
        <v>0</v>
      </c>
      <c r="S40" s="45">
        <v>0</v>
      </c>
      <c r="T40" s="45">
        <v>0.0016814096977456451</v>
      </c>
      <c r="U40" s="45">
        <v>0.002614765827162946</v>
      </c>
      <c r="V40" s="45">
        <v>0</v>
      </c>
      <c r="W40" s="45">
        <v>0.00097225906964486231</v>
      </c>
      <c r="X40" s="45">
        <v>0</v>
      </c>
      <c r="Y40" s="45">
        <v>0</v>
      </c>
      <c r="Z40" s="45">
        <v>0</v>
      </c>
      <c r="AA40" s="45">
        <v>0.0014014214277907305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2:J9"/>
  <sheetViews>
    <sheetView workbookViewId="0" topLeftCell="A1">
      <selection pane="topLeft" activeCell="C7" sqref="C7"/>
    </sheetView>
  </sheetViews>
  <sheetFormatPr defaultRowHeight="12.75"/>
  <sheetData>
    <row r="2" spans="2:2" ht="12.75">
      <c r="B2" t="s">
        <v>442</v>
      </c>
    </row>
    <row r="3" spans="2:10" ht="12.75">
      <c r="B3" t="s">
        <v>85</v>
      </c>
      <c r="C3" t="s">
        <v>86</v>
      </c>
      <c r="D3" t="s">
        <v>87</v>
      </c>
      <c r="E3" t="s">
        <v>88</v>
      </c>
      <c r="F3" t="s">
        <v>64</v>
      </c>
      <c r="G3" t="s">
        <v>90</v>
      </c>
      <c r="H3" t="s">
        <v>89</v>
      </c>
      <c r="I3" t="s">
        <v>174</v>
      </c>
      <c r="J3" t="s">
        <v>91</v>
      </c>
    </row>
    <row r="4" spans="4:10" ht="12.75">
      <c r="D4" t="s">
        <v>289</v>
      </c>
      <c r="F4">
        <v>1</v>
      </c>
      <c r="G4" t="s">
        <v>290</v>
      </c>
      <c r="J4" t="s">
        <v>456</v>
      </c>
    </row>
    <row r="7" spans="2:2" ht="12.75">
      <c r="B7" t="s">
        <v>443</v>
      </c>
    </row>
    <row r="8" spans="2:10" ht="12.75">
      <c r="B8" t="s">
        <v>85</v>
      </c>
      <c r="C8" t="s">
        <v>86</v>
      </c>
      <c r="D8" t="s">
        <v>87</v>
      </c>
      <c r="E8" t="s">
        <v>88</v>
      </c>
      <c r="F8" t="s">
        <v>64</v>
      </c>
      <c r="G8" t="s">
        <v>90</v>
      </c>
      <c r="H8" t="s">
        <v>89</v>
      </c>
      <c r="I8" t="s">
        <v>174</v>
      </c>
      <c r="J8" t="s">
        <v>91</v>
      </c>
    </row>
    <row r="9" spans="4:10" ht="12.75">
      <c r="D9" t="s">
        <v>291</v>
      </c>
      <c r="F9">
        <v>1</v>
      </c>
      <c r="G9" t="s">
        <v>290</v>
      </c>
      <c r="J9" t="s">
        <v>292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AW345"/>
  <sheetViews>
    <sheetView workbookViewId="0" topLeftCell="A52"/>
  </sheetViews>
  <sheetFormatPr defaultRowHeight="12.75"/>
  <cols>
    <col min="1" max="1" width="11.4285714285714" bestFit="1" customWidth="1"/>
    <col min="3" max="3" width="13.7142857142857" bestFit="1" customWidth="1"/>
  </cols>
  <sheetData>
    <row r="1" spans="1:49" ht="12.7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  <c r="K1" t="s">
        <v>455</v>
      </c>
      <c r="L1" t="s">
        <v>169</v>
      </c>
      <c r="M1" t="s">
        <v>8</v>
      </c>
      <c r="N1" t="s">
        <v>252</v>
      </c>
      <c r="O1" t="s">
        <v>9</v>
      </c>
      <c r="P1" t="s">
        <v>61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294</v>
      </c>
      <c r="X1" t="s">
        <v>16</v>
      </c>
      <c r="Y1" t="s">
        <v>17</v>
      </c>
      <c r="Z1" t="s">
        <v>18</v>
      </c>
      <c r="AA1" t="s">
        <v>62</v>
      </c>
      <c r="AB1" t="s">
        <v>20</v>
      </c>
      <c r="AC1" t="s">
        <v>21</v>
      </c>
      <c r="AD1" t="s">
        <v>22</v>
      </c>
      <c r="AE1" t="s">
        <v>36</v>
      </c>
      <c r="AF1" t="s">
        <v>253</v>
      </c>
      <c r="AG1" t="s">
        <v>23</v>
      </c>
      <c r="AH1" t="s">
        <v>24</v>
      </c>
      <c r="AI1" t="s">
        <v>25</v>
      </c>
      <c r="AJ1" t="s">
        <v>170</v>
      </c>
      <c r="AK1" t="s">
        <v>63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171</v>
      </c>
      <c r="AS1" t="s">
        <v>32</v>
      </c>
      <c r="AT1" t="s">
        <v>33</v>
      </c>
      <c r="AU1" t="s">
        <v>34</v>
      </c>
      <c r="AV1" t="s">
        <v>35</v>
      </c>
      <c r="AW1" t="s">
        <v>473</v>
      </c>
    </row>
    <row r="2" spans="1:49" ht="12.75">
      <c r="A2" t="s">
        <v>295</v>
      </c>
      <c r="B2" t="s">
        <v>289</v>
      </c>
      <c r="C2" t="s">
        <v>105</v>
      </c>
      <c r="D2" t="s">
        <v>56</v>
      </c>
      <c r="E2" t="s">
        <v>296</v>
      </c>
      <c r="F2" t="s">
        <v>83</v>
      </c>
      <c r="G2" t="s">
        <v>474</v>
      </c>
      <c r="H2" t="s">
        <v>296</v>
      </c>
      <c r="I2" t="s">
        <v>296</v>
      </c>
      <c r="J2" t="s">
        <v>296</v>
      </c>
      <c r="K2" t="s">
        <v>296</v>
      </c>
      <c r="Y2">
        <v>5</v>
      </c>
      <c r="AW2" t="s">
        <v>296</v>
      </c>
    </row>
    <row r="3" spans="1:49" ht="12.75">
      <c r="A3" t="s">
        <v>295</v>
      </c>
      <c r="B3" t="s">
        <v>289</v>
      </c>
      <c r="C3" t="s">
        <v>105</v>
      </c>
      <c r="D3" t="s">
        <v>37</v>
      </c>
      <c r="E3" t="s">
        <v>296</v>
      </c>
      <c r="F3" t="s">
        <v>83</v>
      </c>
      <c r="G3" t="s">
        <v>474</v>
      </c>
      <c r="H3" t="s">
        <v>296</v>
      </c>
      <c r="I3" t="s">
        <v>296</v>
      </c>
      <c r="J3" t="s">
        <v>296</v>
      </c>
      <c r="K3" t="s">
        <v>296</v>
      </c>
      <c r="L3">
        <v>10</v>
      </c>
      <c r="M3">
        <v>1.14963933241062</v>
      </c>
      <c r="N3">
        <v>10</v>
      </c>
      <c r="O3">
        <v>10</v>
      </c>
      <c r="P3">
        <v>10</v>
      </c>
      <c r="Q3">
        <v>8.5623391942133402</v>
      </c>
      <c r="R3">
        <v>10</v>
      </c>
      <c r="S3">
        <v>10</v>
      </c>
      <c r="T3">
        <v>1.3680000000000001</v>
      </c>
      <c r="U3">
        <v>10</v>
      </c>
      <c r="V3">
        <v>10</v>
      </c>
      <c r="W3">
        <v>15</v>
      </c>
      <c r="X3">
        <v>10</v>
      </c>
      <c r="Y3">
        <v>10</v>
      </c>
      <c r="Z3">
        <v>0.021171843237011701</v>
      </c>
      <c r="AA3">
        <v>2.1800000000000002</v>
      </c>
      <c r="AB3">
        <v>10</v>
      </c>
      <c r="AC3">
        <v>10</v>
      </c>
      <c r="AD3">
        <v>10</v>
      </c>
      <c r="AE3">
        <v>4</v>
      </c>
      <c r="AF3">
        <v>10</v>
      </c>
      <c r="AG3">
        <v>10</v>
      </c>
      <c r="AH3">
        <v>10</v>
      </c>
      <c r="AI3">
        <v>10</v>
      </c>
      <c r="AJ3">
        <v>10</v>
      </c>
      <c r="AK3">
        <v>10</v>
      </c>
      <c r="AL3">
        <v>10</v>
      </c>
      <c r="AM3">
        <v>10</v>
      </c>
      <c r="AN3">
        <v>10</v>
      </c>
      <c r="AO3">
        <v>10</v>
      </c>
      <c r="AP3">
        <v>10</v>
      </c>
      <c r="AQ3">
        <v>10</v>
      </c>
      <c r="AR3">
        <v>10</v>
      </c>
      <c r="AS3">
        <v>14.9834969925596</v>
      </c>
      <c r="AT3">
        <v>10</v>
      </c>
      <c r="AU3">
        <v>10</v>
      </c>
      <c r="AV3">
        <v>10</v>
      </c>
      <c r="AW3" t="s">
        <v>296</v>
      </c>
    </row>
    <row r="4" spans="1:49" ht="12.75">
      <c r="A4" t="s">
        <v>295</v>
      </c>
      <c r="B4" t="s">
        <v>289</v>
      </c>
      <c r="C4" t="s">
        <v>105</v>
      </c>
      <c r="D4" t="s">
        <v>38</v>
      </c>
      <c r="E4" t="s">
        <v>296</v>
      </c>
      <c r="F4" t="s">
        <v>83</v>
      </c>
      <c r="G4" t="s">
        <v>474</v>
      </c>
      <c r="H4" t="s">
        <v>296</v>
      </c>
      <c r="I4" t="s">
        <v>296</v>
      </c>
      <c r="J4" t="s">
        <v>296</v>
      </c>
      <c r="K4" t="s">
        <v>296</v>
      </c>
      <c r="L4">
        <v>4.9834969925596297</v>
      </c>
      <c r="M4">
        <v>4.2645620193199498</v>
      </c>
      <c r="N4">
        <v>0</v>
      </c>
      <c r="O4">
        <v>4.9834969925596297</v>
      </c>
      <c r="P4">
        <v>4.9834969925596297</v>
      </c>
      <c r="Q4">
        <v>5.4402263705140097</v>
      </c>
      <c r="R4">
        <v>4.9834969925596297</v>
      </c>
      <c r="S4">
        <v>8.1611957920487601</v>
      </c>
      <c r="T4">
        <v>6.0999999999999996</v>
      </c>
      <c r="U4">
        <v>4.9834969925596297</v>
      </c>
      <c r="V4">
        <v>4.9834969925596297</v>
      </c>
      <c r="W4">
        <v>10</v>
      </c>
      <c r="X4">
        <v>4.9834969925596297</v>
      </c>
      <c r="Y4">
        <v>0</v>
      </c>
      <c r="Z4">
        <v>0.101969732973252</v>
      </c>
      <c r="AA4">
        <v>0</v>
      </c>
      <c r="AB4">
        <v>4.9834969925596297</v>
      </c>
      <c r="AC4">
        <v>4.9834969925596297</v>
      </c>
      <c r="AD4">
        <v>0</v>
      </c>
      <c r="AE4">
        <v>4.4422104714547697</v>
      </c>
      <c r="AF4">
        <v>4.9834969925596297</v>
      </c>
      <c r="AG4">
        <v>4.9834969925596297</v>
      </c>
      <c r="AH4">
        <v>4.9834969925596297</v>
      </c>
      <c r="AI4">
        <v>4.9834969925596297</v>
      </c>
      <c r="AJ4">
        <v>0</v>
      </c>
      <c r="AK4">
        <v>4.9834969925596297</v>
      </c>
      <c r="AL4">
        <v>4.9834969925596297</v>
      </c>
      <c r="AM4">
        <v>4.9834969925596297</v>
      </c>
      <c r="AN4">
        <v>0</v>
      </c>
      <c r="AO4">
        <v>4.9834969925596297</v>
      </c>
      <c r="AP4">
        <v>4.9834969925596297</v>
      </c>
      <c r="AQ4">
        <v>4.9834969925596297</v>
      </c>
      <c r="AR4">
        <v>4.9834969925596297</v>
      </c>
      <c r="AS4">
        <v>0</v>
      </c>
      <c r="AT4">
        <v>4.9834969925596297</v>
      </c>
      <c r="AU4">
        <v>3</v>
      </c>
      <c r="AV4">
        <v>4.9834969925596297</v>
      </c>
      <c r="AW4" t="s">
        <v>296</v>
      </c>
    </row>
    <row r="5" spans="1:49" ht="12.75">
      <c r="A5" t="s">
        <v>295</v>
      </c>
      <c r="B5" t="s">
        <v>289</v>
      </c>
      <c r="C5" t="s">
        <v>105</v>
      </c>
      <c r="D5" t="s">
        <v>39</v>
      </c>
      <c r="E5" t="s">
        <v>296</v>
      </c>
      <c r="F5" t="s">
        <v>83</v>
      </c>
      <c r="G5" t="s">
        <v>474</v>
      </c>
      <c r="H5" t="s">
        <v>296</v>
      </c>
      <c r="I5" t="s">
        <v>296</v>
      </c>
      <c r="J5" t="s">
        <v>296</v>
      </c>
      <c r="K5" t="s">
        <v>296</v>
      </c>
      <c r="L5">
        <v>0.034000000000000002</v>
      </c>
      <c r="M5">
        <v>0</v>
      </c>
      <c r="N5">
        <v>0.034000000000000002</v>
      </c>
      <c r="O5">
        <v>0.034000000000000002</v>
      </c>
      <c r="P5">
        <v>0.034000000000000002</v>
      </c>
      <c r="Q5">
        <v>0.034000000000000002</v>
      </c>
      <c r="R5">
        <v>0.034000000000000002</v>
      </c>
      <c r="S5">
        <v>0.034000000000000002</v>
      </c>
      <c r="T5">
        <v>0.034000000000000002</v>
      </c>
      <c r="U5">
        <v>0.034000000000000002</v>
      </c>
      <c r="V5">
        <v>0.034000000000000002</v>
      </c>
      <c r="W5">
        <v>0.034000000000000002</v>
      </c>
      <c r="X5">
        <v>0.034000000000000002</v>
      </c>
      <c r="Y5">
        <v>0.034000000000000002</v>
      </c>
      <c r="Z5">
        <v>0.0342713796905188</v>
      </c>
      <c r="AA5">
        <v>0.034000000000000002</v>
      </c>
      <c r="AB5">
        <v>0.034000000000000002</v>
      </c>
      <c r="AC5">
        <v>0.034000000000000002</v>
      </c>
      <c r="AD5">
        <v>0.034000000000000002</v>
      </c>
      <c r="AE5">
        <v>0.034000000000000002</v>
      </c>
      <c r="AF5">
        <v>0.034000000000000002</v>
      </c>
      <c r="AG5">
        <v>0.034000000000000002</v>
      </c>
      <c r="AH5">
        <v>0.034000000000000002</v>
      </c>
      <c r="AI5">
        <v>0.034000000000000002</v>
      </c>
      <c r="AJ5">
        <v>0.034000000000000002</v>
      </c>
      <c r="AK5">
        <v>0.034000000000000002</v>
      </c>
      <c r="AL5">
        <v>0.034000000000000002</v>
      </c>
      <c r="AM5">
        <v>0</v>
      </c>
      <c r="AN5">
        <v>0.034000000000000002</v>
      </c>
      <c r="AO5">
        <v>0.034000000000000002</v>
      </c>
      <c r="AP5">
        <v>0.034000000000000002</v>
      </c>
      <c r="AQ5">
        <v>0.034000000000000002</v>
      </c>
      <c r="AR5">
        <v>0.034000000000000002</v>
      </c>
      <c r="AS5">
        <v>0.034000000000000002</v>
      </c>
      <c r="AT5">
        <v>0.034000000000000002</v>
      </c>
      <c r="AU5">
        <v>0</v>
      </c>
      <c r="AV5">
        <v>0.034000000000000002</v>
      </c>
      <c r="AW5" t="s">
        <v>296</v>
      </c>
    </row>
    <row r="6" spans="1:49" ht="12.75">
      <c r="A6" t="s">
        <v>295</v>
      </c>
      <c r="B6" t="s">
        <v>289</v>
      </c>
      <c r="C6" t="s">
        <v>105</v>
      </c>
      <c r="D6" t="s">
        <v>40</v>
      </c>
      <c r="E6" t="s">
        <v>296</v>
      </c>
      <c r="F6" t="s">
        <v>83</v>
      </c>
      <c r="G6" t="s">
        <v>474</v>
      </c>
      <c r="H6" t="s">
        <v>296</v>
      </c>
      <c r="I6" t="s">
        <v>296</v>
      </c>
      <c r="J6" t="s">
        <v>296</v>
      </c>
      <c r="K6" t="s">
        <v>296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 t="s">
        <v>296</v>
      </c>
    </row>
    <row r="7" spans="1:49" ht="12.75">
      <c r="A7" t="s">
        <v>295</v>
      </c>
      <c r="B7" t="s">
        <v>289</v>
      </c>
      <c r="C7" t="s">
        <v>106</v>
      </c>
      <c r="D7" t="s">
        <v>37</v>
      </c>
      <c r="E7" t="s">
        <v>296</v>
      </c>
      <c r="F7" t="s">
        <v>83</v>
      </c>
      <c r="G7" t="s">
        <v>474</v>
      </c>
      <c r="H7" t="s">
        <v>296</v>
      </c>
      <c r="I7" t="s">
        <v>296</v>
      </c>
      <c r="J7" t="s">
        <v>296</v>
      </c>
      <c r="K7" t="s">
        <v>296</v>
      </c>
      <c r="L7">
        <v>35.200000000000003</v>
      </c>
      <c r="M7">
        <v>35.200000000000003</v>
      </c>
      <c r="N7">
        <v>35.200000000000003</v>
      </c>
      <c r="O7">
        <v>35.200000000000003</v>
      </c>
      <c r="P7">
        <v>35.200000000000003</v>
      </c>
      <c r="Q7">
        <v>35.200000000000003</v>
      </c>
      <c r="R7">
        <v>35.200000000000003</v>
      </c>
      <c r="S7">
        <v>35.200000000000003</v>
      </c>
      <c r="T7">
        <v>35.200000000000003</v>
      </c>
      <c r="U7">
        <v>35.200000000000003</v>
      </c>
      <c r="V7">
        <v>35.200000000000003</v>
      </c>
      <c r="W7">
        <v>35.200000000000003</v>
      </c>
      <c r="X7">
        <v>35.200000000000003</v>
      </c>
      <c r="Y7">
        <v>35.200000000000003</v>
      </c>
      <c r="Z7">
        <v>35.200000000000003</v>
      </c>
      <c r="AA7">
        <v>35.200000000000003</v>
      </c>
      <c r="AB7">
        <v>35.200000000000003</v>
      </c>
      <c r="AC7">
        <v>35.200000000000003</v>
      </c>
      <c r="AD7">
        <v>35.200000000000003</v>
      </c>
      <c r="AE7">
        <v>35.200000000000003</v>
      </c>
      <c r="AF7">
        <v>35.200000000000003</v>
      </c>
      <c r="AG7">
        <v>35.200000000000003</v>
      </c>
      <c r="AH7">
        <v>35.200000000000003</v>
      </c>
      <c r="AI7">
        <v>35.200000000000003</v>
      </c>
      <c r="AJ7">
        <v>35.200000000000003</v>
      </c>
      <c r="AK7">
        <v>35.200000000000003</v>
      </c>
      <c r="AL7">
        <v>35.200000000000003</v>
      </c>
      <c r="AM7">
        <v>35.200000000000003</v>
      </c>
      <c r="AN7">
        <v>35.200000000000003</v>
      </c>
      <c r="AO7">
        <v>35.200000000000003</v>
      </c>
      <c r="AP7">
        <v>35.200000000000003</v>
      </c>
      <c r="AQ7">
        <v>35.200000000000003</v>
      </c>
      <c r="AR7">
        <v>35.200000000000003</v>
      </c>
      <c r="AS7">
        <v>35.536000000000001</v>
      </c>
      <c r="AT7">
        <v>35.200000000000003</v>
      </c>
      <c r="AU7">
        <v>35.200000000000003</v>
      </c>
      <c r="AV7">
        <v>35.200000000000003</v>
      </c>
      <c r="AW7" t="s">
        <v>296</v>
      </c>
    </row>
    <row r="8" spans="1:49" ht="12.75">
      <c r="A8" t="s">
        <v>295</v>
      </c>
      <c r="B8" t="s">
        <v>289</v>
      </c>
      <c r="C8" t="s">
        <v>106</v>
      </c>
      <c r="D8" t="s">
        <v>38</v>
      </c>
      <c r="E8" t="s">
        <v>296</v>
      </c>
      <c r="F8" t="s">
        <v>83</v>
      </c>
      <c r="G8" t="s">
        <v>474</v>
      </c>
      <c r="H8" t="s">
        <v>296</v>
      </c>
      <c r="I8" t="s">
        <v>296</v>
      </c>
      <c r="J8" t="s">
        <v>296</v>
      </c>
      <c r="K8" t="s">
        <v>296</v>
      </c>
      <c r="L8">
        <v>3.3599999999999999</v>
      </c>
      <c r="M8">
        <v>3.3599999999999999</v>
      </c>
      <c r="N8">
        <v>3.3599999999999999</v>
      </c>
      <c r="O8">
        <v>3.3599999999999999</v>
      </c>
      <c r="P8">
        <v>3.3599999999999999</v>
      </c>
      <c r="Q8">
        <v>3.3599999999999999</v>
      </c>
      <c r="R8">
        <v>3.3599999999999999</v>
      </c>
      <c r="S8">
        <v>3.3599999999999999</v>
      </c>
      <c r="T8">
        <v>3.3599999999999999</v>
      </c>
      <c r="U8">
        <v>3.3599999999999999</v>
      </c>
      <c r="V8">
        <v>3.3599999999999999</v>
      </c>
      <c r="W8">
        <v>3.3599999999999999</v>
      </c>
      <c r="X8">
        <v>3.3599999999999999</v>
      </c>
      <c r="Y8">
        <v>3.3599999999999999</v>
      </c>
      <c r="Z8">
        <v>3.3599999999999999</v>
      </c>
      <c r="AA8">
        <v>3.3599999999999999</v>
      </c>
      <c r="AB8">
        <v>3.3599999999999999</v>
      </c>
      <c r="AC8">
        <v>3.3599999999999999</v>
      </c>
      <c r="AD8">
        <v>3.3599999999999999</v>
      </c>
      <c r="AE8">
        <v>3.3599999999999999</v>
      </c>
      <c r="AF8">
        <v>3.3599999999999999</v>
      </c>
      <c r="AG8">
        <v>3.3599999999999999</v>
      </c>
      <c r="AH8">
        <v>3.3599999999999999</v>
      </c>
      <c r="AI8">
        <v>3.3599999999999999</v>
      </c>
      <c r="AJ8">
        <v>3.3599999999999999</v>
      </c>
      <c r="AK8">
        <v>3.3599999999999999</v>
      </c>
      <c r="AL8">
        <v>3.3599999999999999</v>
      </c>
      <c r="AM8">
        <v>3.3599999999999999</v>
      </c>
      <c r="AN8">
        <v>3.3599999999999999</v>
      </c>
      <c r="AO8">
        <v>3.3599999999999999</v>
      </c>
      <c r="AP8">
        <v>3.3599999999999999</v>
      </c>
      <c r="AQ8">
        <v>3.3599999999999999</v>
      </c>
      <c r="AR8">
        <v>3.3599999999999999</v>
      </c>
      <c r="AS8">
        <v>3.024</v>
      </c>
      <c r="AT8">
        <v>3.3599999999999999</v>
      </c>
      <c r="AU8">
        <v>3.3599999999999999</v>
      </c>
      <c r="AV8">
        <v>3.3599999999999999</v>
      </c>
      <c r="AW8" t="s">
        <v>296</v>
      </c>
    </row>
    <row r="9" spans="1:49" ht="12.75">
      <c r="A9" t="s">
        <v>295</v>
      </c>
      <c r="B9" t="s">
        <v>289</v>
      </c>
      <c r="C9" t="s">
        <v>106</v>
      </c>
      <c r="D9" t="s">
        <v>39</v>
      </c>
      <c r="E9" t="s">
        <v>296</v>
      </c>
      <c r="F9" t="s">
        <v>83</v>
      </c>
      <c r="G9" t="s">
        <v>474</v>
      </c>
      <c r="H9" t="s">
        <v>296</v>
      </c>
      <c r="I9" t="s">
        <v>296</v>
      </c>
      <c r="J9" t="s">
        <v>296</v>
      </c>
      <c r="K9" t="s">
        <v>296</v>
      </c>
      <c r="L9">
        <v>8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 t="s">
        <v>296</v>
      </c>
    </row>
    <row r="10" spans="1:49" ht="12.75">
      <c r="A10" t="s">
        <v>295</v>
      </c>
      <c r="B10" t="s">
        <v>289</v>
      </c>
      <c r="C10" t="s">
        <v>106</v>
      </c>
      <c r="D10" t="s">
        <v>107</v>
      </c>
      <c r="E10" t="s">
        <v>296</v>
      </c>
      <c r="F10" t="s">
        <v>83</v>
      </c>
      <c r="G10" t="s">
        <v>474</v>
      </c>
      <c r="H10" t="s">
        <v>296</v>
      </c>
      <c r="I10" t="s">
        <v>296</v>
      </c>
      <c r="J10" t="s">
        <v>296</v>
      </c>
      <c r="K10" t="s">
        <v>296</v>
      </c>
      <c r="L10">
        <v>1.6000000000000001</v>
      </c>
      <c r="M10">
        <v>1.6000000000000001</v>
      </c>
      <c r="N10">
        <v>1.6000000000000001</v>
      </c>
      <c r="O10">
        <v>1.6000000000000001</v>
      </c>
      <c r="P10">
        <v>1.6000000000000001</v>
      </c>
      <c r="Q10">
        <v>1.6000000000000001</v>
      </c>
      <c r="R10">
        <v>1.6000000000000001</v>
      </c>
      <c r="S10">
        <v>1.6000000000000001</v>
      </c>
      <c r="T10">
        <v>1.6000000000000001</v>
      </c>
      <c r="U10">
        <v>1.6000000000000001</v>
      </c>
      <c r="V10">
        <v>1.6000000000000001</v>
      </c>
      <c r="W10">
        <v>1.6000000000000001</v>
      </c>
      <c r="X10">
        <v>1.6000000000000001</v>
      </c>
      <c r="Y10">
        <v>1.6000000000000001</v>
      </c>
      <c r="Z10">
        <v>1.6000000000000001</v>
      </c>
      <c r="AA10">
        <v>1.6000000000000001</v>
      </c>
      <c r="AB10">
        <v>1.6000000000000001</v>
      </c>
      <c r="AC10">
        <v>1.6000000000000001</v>
      </c>
      <c r="AD10">
        <v>1.6000000000000001</v>
      </c>
      <c r="AE10">
        <v>1.6000000000000001</v>
      </c>
      <c r="AF10">
        <v>1.6000000000000001</v>
      </c>
      <c r="AG10">
        <v>1.6000000000000001</v>
      </c>
      <c r="AH10">
        <v>1.6000000000000001</v>
      </c>
      <c r="AI10">
        <v>1.6000000000000001</v>
      </c>
      <c r="AJ10">
        <v>1.6000000000000001</v>
      </c>
      <c r="AK10">
        <v>1.6000000000000001</v>
      </c>
      <c r="AL10">
        <v>1.6000000000000001</v>
      </c>
      <c r="AM10">
        <v>1.6000000000000001</v>
      </c>
      <c r="AN10">
        <v>1.6000000000000001</v>
      </c>
      <c r="AO10">
        <v>1.6000000000000001</v>
      </c>
      <c r="AP10">
        <v>1.6000000000000001</v>
      </c>
      <c r="AQ10">
        <v>1.6000000000000001</v>
      </c>
      <c r="AR10">
        <v>1.6000000000000001</v>
      </c>
      <c r="AS10">
        <v>1.6000000000000001</v>
      </c>
      <c r="AT10">
        <v>1.6000000000000001</v>
      </c>
      <c r="AU10">
        <v>1.6000000000000001</v>
      </c>
      <c r="AV10">
        <v>1.6000000000000001</v>
      </c>
      <c r="AW10" t="s">
        <v>296</v>
      </c>
    </row>
    <row r="11" spans="1:49" ht="12.75">
      <c r="A11" t="s">
        <v>295</v>
      </c>
      <c r="B11" t="s">
        <v>289</v>
      </c>
      <c r="C11" t="s">
        <v>106</v>
      </c>
      <c r="D11" t="s">
        <v>40</v>
      </c>
      <c r="E11" t="s">
        <v>296</v>
      </c>
      <c r="F11" t="s">
        <v>83</v>
      </c>
      <c r="G11" t="s">
        <v>474</v>
      </c>
      <c r="H11" t="s">
        <v>296</v>
      </c>
      <c r="I11" t="s">
        <v>296</v>
      </c>
      <c r="J11" t="s">
        <v>296</v>
      </c>
      <c r="K11" t="s">
        <v>296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 t="s">
        <v>296</v>
      </c>
    </row>
    <row r="12" spans="1:49" ht="12.75">
      <c r="A12" t="s">
        <v>295</v>
      </c>
      <c r="B12" t="s">
        <v>289</v>
      </c>
      <c r="C12" t="s">
        <v>108</v>
      </c>
      <c r="D12" t="s">
        <v>37</v>
      </c>
      <c r="E12" t="s">
        <v>296</v>
      </c>
      <c r="F12" t="s">
        <v>83</v>
      </c>
      <c r="G12" t="s">
        <v>474</v>
      </c>
      <c r="H12" t="s">
        <v>296</v>
      </c>
      <c r="I12" t="s">
        <v>296</v>
      </c>
      <c r="J12" t="s">
        <v>296</v>
      </c>
      <c r="K12" t="s">
        <v>296</v>
      </c>
      <c r="L12">
        <v>39.840000000000003</v>
      </c>
      <c r="M12">
        <v>39.840000000000003</v>
      </c>
      <c r="N12">
        <v>39.840000000000003</v>
      </c>
      <c r="O12">
        <v>39.840000000000003</v>
      </c>
      <c r="P12">
        <v>39.840000000000003</v>
      </c>
      <c r="Q12">
        <v>39.840000000000003</v>
      </c>
      <c r="R12">
        <v>39.840000000000003</v>
      </c>
      <c r="S12">
        <v>39.840000000000003</v>
      </c>
      <c r="T12">
        <v>39.840000000000003</v>
      </c>
      <c r="U12">
        <v>39.840000000000003</v>
      </c>
      <c r="V12">
        <v>39.840000000000003</v>
      </c>
      <c r="W12">
        <v>39.840000000000003</v>
      </c>
      <c r="X12">
        <v>39.840000000000003</v>
      </c>
      <c r="Y12">
        <v>39.840000000000003</v>
      </c>
      <c r="Z12">
        <v>39.840000000000003</v>
      </c>
      <c r="AA12">
        <v>39.840000000000003</v>
      </c>
      <c r="AB12">
        <v>39.840000000000003</v>
      </c>
      <c r="AC12">
        <v>39.840000000000003</v>
      </c>
      <c r="AD12">
        <v>39.840000000000003</v>
      </c>
      <c r="AE12">
        <v>39.840000000000003</v>
      </c>
      <c r="AF12">
        <v>39.840000000000003</v>
      </c>
      <c r="AG12">
        <v>39.840000000000003</v>
      </c>
      <c r="AH12">
        <v>39.840000000000003</v>
      </c>
      <c r="AI12">
        <v>39.840000000000003</v>
      </c>
      <c r="AJ12">
        <v>39.840000000000003</v>
      </c>
      <c r="AK12">
        <v>39.840000000000003</v>
      </c>
      <c r="AL12">
        <v>39.840000000000003</v>
      </c>
      <c r="AM12">
        <v>39.840000000000003</v>
      </c>
      <c r="AN12">
        <v>39.840000000000003</v>
      </c>
      <c r="AO12">
        <v>39.840000000000003</v>
      </c>
      <c r="AP12">
        <v>39.840000000000003</v>
      </c>
      <c r="AQ12">
        <v>39.840000000000003</v>
      </c>
      <c r="AR12">
        <v>39.840000000000003</v>
      </c>
      <c r="AS12">
        <v>40.176000000000002</v>
      </c>
      <c r="AT12">
        <v>39.840000000000003</v>
      </c>
      <c r="AU12">
        <v>39.840000000000003</v>
      </c>
      <c r="AV12">
        <v>39.840000000000003</v>
      </c>
      <c r="AW12" t="s">
        <v>296</v>
      </c>
    </row>
    <row r="13" spans="1:49" ht="12.75">
      <c r="A13" t="s">
        <v>295</v>
      </c>
      <c r="B13" t="s">
        <v>289</v>
      </c>
      <c r="C13" t="s">
        <v>108</v>
      </c>
      <c r="D13" t="s">
        <v>38</v>
      </c>
      <c r="E13" t="s">
        <v>296</v>
      </c>
      <c r="F13" t="s">
        <v>83</v>
      </c>
      <c r="G13" t="s">
        <v>474</v>
      </c>
      <c r="H13" t="s">
        <v>296</v>
      </c>
      <c r="I13" t="s">
        <v>296</v>
      </c>
      <c r="J13" t="s">
        <v>296</v>
      </c>
      <c r="K13" t="s">
        <v>296</v>
      </c>
      <c r="L13">
        <v>3.3599999999999999</v>
      </c>
      <c r="M13">
        <v>3.3599999999999999</v>
      </c>
      <c r="N13">
        <v>3.3599999999999999</v>
      </c>
      <c r="O13">
        <v>3.3599999999999999</v>
      </c>
      <c r="P13">
        <v>3.3599999999999999</v>
      </c>
      <c r="Q13">
        <v>3.3599999999999999</v>
      </c>
      <c r="R13">
        <v>3.3599999999999999</v>
      </c>
      <c r="S13">
        <v>3.3599999999999999</v>
      </c>
      <c r="T13">
        <v>3.3599999999999999</v>
      </c>
      <c r="U13">
        <v>3.3599999999999999</v>
      </c>
      <c r="V13">
        <v>3.3599999999999999</v>
      </c>
      <c r="W13">
        <v>3.3599999999999999</v>
      </c>
      <c r="X13">
        <v>3.3599999999999999</v>
      </c>
      <c r="Y13">
        <v>3.3599999999999999</v>
      </c>
      <c r="Z13">
        <v>3.3599999999999999</v>
      </c>
      <c r="AA13">
        <v>3.3599999999999999</v>
      </c>
      <c r="AB13">
        <v>3.3599999999999999</v>
      </c>
      <c r="AC13">
        <v>3.3599999999999999</v>
      </c>
      <c r="AD13">
        <v>3.3599999999999999</v>
      </c>
      <c r="AE13">
        <v>3.3599999999999999</v>
      </c>
      <c r="AF13">
        <v>3.3599999999999999</v>
      </c>
      <c r="AG13">
        <v>3.3599999999999999</v>
      </c>
      <c r="AH13">
        <v>3.3599999999999999</v>
      </c>
      <c r="AI13">
        <v>3.3599999999999999</v>
      </c>
      <c r="AJ13">
        <v>3.3599999999999999</v>
      </c>
      <c r="AK13">
        <v>3.3599999999999999</v>
      </c>
      <c r="AL13">
        <v>3.3599999999999999</v>
      </c>
      <c r="AM13">
        <v>13.68</v>
      </c>
      <c r="AN13">
        <v>3.3599999999999999</v>
      </c>
      <c r="AO13">
        <v>3.3599999999999999</v>
      </c>
      <c r="AP13">
        <v>3.3599999999999999</v>
      </c>
      <c r="AQ13">
        <v>3.3599999999999999</v>
      </c>
      <c r="AR13">
        <v>3.3599999999999999</v>
      </c>
      <c r="AS13">
        <v>3.024</v>
      </c>
      <c r="AT13">
        <v>3.3599999999999999</v>
      </c>
      <c r="AU13">
        <v>3.3599999999999999</v>
      </c>
      <c r="AV13">
        <v>3.3599999999999999</v>
      </c>
      <c r="AW13" t="s">
        <v>296</v>
      </c>
    </row>
    <row r="14" spans="1:49" ht="12.75">
      <c r="A14" t="s">
        <v>295</v>
      </c>
      <c r="B14" t="s">
        <v>289</v>
      </c>
      <c r="C14" t="s">
        <v>108</v>
      </c>
      <c r="D14" t="s">
        <v>39</v>
      </c>
      <c r="E14" t="s">
        <v>296</v>
      </c>
      <c r="F14" t="s">
        <v>83</v>
      </c>
      <c r="G14" t="s">
        <v>474</v>
      </c>
      <c r="H14" t="s">
        <v>296</v>
      </c>
      <c r="I14" t="s">
        <v>296</v>
      </c>
      <c r="J14" t="s">
        <v>296</v>
      </c>
      <c r="K14" t="s">
        <v>296</v>
      </c>
      <c r="L14">
        <v>10.32</v>
      </c>
      <c r="M14">
        <v>10.32</v>
      </c>
      <c r="N14">
        <v>10.32</v>
      </c>
      <c r="O14">
        <v>10.32</v>
      </c>
      <c r="P14">
        <v>10.32</v>
      </c>
      <c r="Q14">
        <v>10.32</v>
      </c>
      <c r="R14">
        <v>10.32</v>
      </c>
      <c r="S14">
        <v>10.32</v>
      </c>
      <c r="T14">
        <v>10.32</v>
      </c>
      <c r="U14">
        <v>10.32</v>
      </c>
      <c r="V14">
        <v>10.32</v>
      </c>
      <c r="W14">
        <v>10.32</v>
      </c>
      <c r="X14">
        <v>10.32</v>
      </c>
      <c r="Y14">
        <v>10.32</v>
      </c>
      <c r="Z14">
        <v>10.32</v>
      </c>
      <c r="AA14">
        <v>10.32</v>
      </c>
      <c r="AB14">
        <v>10.32</v>
      </c>
      <c r="AC14">
        <v>10.32</v>
      </c>
      <c r="AD14">
        <v>10.32</v>
      </c>
      <c r="AE14">
        <v>10.32</v>
      </c>
      <c r="AF14">
        <v>10.32</v>
      </c>
      <c r="AG14">
        <v>10.32</v>
      </c>
      <c r="AH14">
        <v>10.32</v>
      </c>
      <c r="AI14">
        <v>10.32</v>
      </c>
      <c r="AJ14">
        <v>10.32</v>
      </c>
      <c r="AK14">
        <v>10.32</v>
      </c>
      <c r="AL14">
        <v>10.32</v>
      </c>
      <c r="AM14">
        <v>0</v>
      </c>
      <c r="AN14">
        <v>10.32</v>
      </c>
      <c r="AO14">
        <v>10.32</v>
      </c>
      <c r="AP14">
        <v>10.32</v>
      </c>
      <c r="AQ14">
        <v>10.32</v>
      </c>
      <c r="AR14">
        <v>10.32</v>
      </c>
      <c r="AS14">
        <v>10.32</v>
      </c>
      <c r="AT14">
        <v>10.32</v>
      </c>
      <c r="AU14">
        <v>10.32</v>
      </c>
      <c r="AV14">
        <v>10.32</v>
      </c>
      <c r="AW14" t="s">
        <v>296</v>
      </c>
    </row>
    <row r="15" spans="1:49" ht="12.75">
      <c r="A15" t="s">
        <v>295</v>
      </c>
      <c r="B15" t="s">
        <v>289</v>
      </c>
      <c r="C15" t="s">
        <v>108</v>
      </c>
      <c r="D15" t="s">
        <v>107</v>
      </c>
      <c r="E15" t="s">
        <v>296</v>
      </c>
      <c r="F15" t="s">
        <v>83</v>
      </c>
      <c r="G15" t="s">
        <v>474</v>
      </c>
      <c r="H15" t="s">
        <v>296</v>
      </c>
      <c r="I15" t="s">
        <v>296</v>
      </c>
      <c r="J15" t="s">
        <v>296</v>
      </c>
      <c r="K15" t="s">
        <v>296</v>
      </c>
      <c r="L15">
        <v>1.6000000000000001</v>
      </c>
      <c r="M15">
        <v>1.6000000000000001</v>
      </c>
      <c r="N15">
        <v>1.6000000000000001</v>
      </c>
      <c r="O15">
        <v>1.6000000000000001</v>
      </c>
      <c r="P15">
        <v>1.6000000000000001</v>
      </c>
      <c r="Q15">
        <v>1.6000000000000001</v>
      </c>
      <c r="R15">
        <v>1.6000000000000001</v>
      </c>
      <c r="S15">
        <v>1.6000000000000001</v>
      </c>
      <c r="T15">
        <v>1.6000000000000001</v>
      </c>
      <c r="U15">
        <v>1.6000000000000001</v>
      </c>
      <c r="V15">
        <v>1.6000000000000001</v>
      </c>
      <c r="W15">
        <v>1.6000000000000001</v>
      </c>
      <c r="X15">
        <v>1.6000000000000001</v>
      </c>
      <c r="Y15">
        <v>1.6000000000000001</v>
      </c>
      <c r="Z15">
        <v>1.6000000000000001</v>
      </c>
      <c r="AA15">
        <v>1.6000000000000001</v>
      </c>
      <c r="AB15">
        <v>1.6000000000000001</v>
      </c>
      <c r="AC15">
        <v>1.6000000000000001</v>
      </c>
      <c r="AD15">
        <v>1.6000000000000001</v>
      </c>
      <c r="AE15">
        <v>1.6000000000000001</v>
      </c>
      <c r="AF15">
        <v>1.6000000000000001</v>
      </c>
      <c r="AG15">
        <v>1.6000000000000001</v>
      </c>
      <c r="AH15">
        <v>1.6000000000000001</v>
      </c>
      <c r="AI15">
        <v>1.6000000000000001</v>
      </c>
      <c r="AJ15">
        <v>1.6000000000000001</v>
      </c>
      <c r="AK15">
        <v>1.6000000000000001</v>
      </c>
      <c r="AL15">
        <v>1.6000000000000001</v>
      </c>
      <c r="AM15">
        <v>1.6000000000000001</v>
      </c>
      <c r="AN15">
        <v>1.6000000000000001</v>
      </c>
      <c r="AO15">
        <v>1.6000000000000001</v>
      </c>
      <c r="AP15">
        <v>1.6000000000000001</v>
      </c>
      <c r="AQ15">
        <v>1.6000000000000001</v>
      </c>
      <c r="AR15">
        <v>1.6000000000000001</v>
      </c>
      <c r="AS15">
        <v>1.6000000000000001</v>
      </c>
      <c r="AT15">
        <v>1.6000000000000001</v>
      </c>
      <c r="AU15">
        <v>1.6000000000000001</v>
      </c>
      <c r="AV15">
        <v>1.6000000000000001</v>
      </c>
      <c r="AW15" t="s">
        <v>296</v>
      </c>
    </row>
    <row r="16" spans="1:49" ht="12.75">
      <c r="A16" t="s">
        <v>295</v>
      </c>
      <c r="B16" t="s">
        <v>289</v>
      </c>
      <c r="C16" t="s">
        <v>108</v>
      </c>
      <c r="D16" t="s">
        <v>40</v>
      </c>
      <c r="E16" t="s">
        <v>296</v>
      </c>
      <c r="F16" t="s">
        <v>83</v>
      </c>
      <c r="G16" t="s">
        <v>474</v>
      </c>
      <c r="H16" t="s">
        <v>296</v>
      </c>
      <c r="I16" t="s">
        <v>296</v>
      </c>
      <c r="J16" t="s">
        <v>296</v>
      </c>
      <c r="K16" t="s">
        <v>296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 t="s">
        <v>296</v>
      </c>
    </row>
    <row r="17" spans="1:49" ht="12.75">
      <c r="A17" t="s">
        <v>295</v>
      </c>
      <c r="B17" t="s">
        <v>289</v>
      </c>
      <c r="C17" t="s">
        <v>109</v>
      </c>
      <c r="D17" t="s">
        <v>37</v>
      </c>
      <c r="E17" t="s">
        <v>296</v>
      </c>
      <c r="F17" t="s">
        <v>83</v>
      </c>
      <c r="G17" t="s">
        <v>474</v>
      </c>
      <c r="H17" t="s">
        <v>296</v>
      </c>
      <c r="I17" t="s">
        <v>296</v>
      </c>
      <c r="J17" t="s">
        <v>296</v>
      </c>
      <c r="K17" t="s">
        <v>296</v>
      </c>
      <c r="L17">
        <v>32</v>
      </c>
      <c r="M17">
        <v>32</v>
      </c>
      <c r="N17">
        <v>32</v>
      </c>
      <c r="O17">
        <v>32</v>
      </c>
      <c r="P17">
        <v>32</v>
      </c>
      <c r="Q17">
        <v>32</v>
      </c>
      <c r="R17">
        <v>32</v>
      </c>
      <c r="S17">
        <v>32</v>
      </c>
      <c r="T17">
        <v>32</v>
      </c>
      <c r="U17">
        <v>32</v>
      </c>
      <c r="V17">
        <v>32</v>
      </c>
      <c r="W17">
        <v>32</v>
      </c>
      <c r="X17">
        <v>32</v>
      </c>
      <c r="Y17">
        <v>32</v>
      </c>
      <c r="Z17">
        <v>32</v>
      </c>
      <c r="AA17">
        <v>32</v>
      </c>
      <c r="AB17">
        <v>32</v>
      </c>
      <c r="AC17">
        <v>32</v>
      </c>
      <c r="AD17">
        <v>32</v>
      </c>
      <c r="AE17">
        <v>32</v>
      </c>
      <c r="AF17">
        <v>32</v>
      </c>
      <c r="AG17">
        <v>32</v>
      </c>
      <c r="AH17">
        <v>32</v>
      </c>
      <c r="AI17">
        <v>32</v>
      </c>
      <c r="AJ17">
        <v>32</v>
      </c>
      <c r="AK17">
        <v>32</v>
      </c>
      <c r="AL17">
        <v>32</v>
      </c>
      <c r="AM17">
        <v>32</v>
      </c>
      <c r="AN17">
        <v>32</v>
      </c>
      <c r="AO17">
        <v>32</v>
      </c>
      <c r="AP17">
        <v>32</v>
      </c>
      <c r="AQ17">
        <v>32</v>
      </c>
      <c r="AR17">
        <v>32</v>
      </c>
      <c r="AS17">
        <v>32</v>
      </c>
      <c r="AT17">
        <v>32</v>
      </c>
      <c r="AU17">
        <v>32</v>
      </c>
      <c r="AV17">
        <v>32</v>
      </c>
      <c r="AW17" t="s">
        <v>296</v>
      </c>
    </row>
    <row r="18" spans="1:49" ht="12.75">
      <c r="A18" t="s">
        <v>295</v>
      </c>
      <c r="B18" t="s">
        <v>289</v>
      </c>
      <c r="C18" t="s">
        <v>109</v>
      </c>
      <c r="D18" t="s">
        <v>38</v>
      </c>
      <c r="E18" t="s">
        <v>296</v>
      </c>
      <c r="F18" t="s">
        <v>83</v>
      </c>
      <c r="G18" t="s">
        <v>474</v>
      </c>
      <c r="H18" t="s">
        <v>296</v>
      </c>
      <c r="I18" t="s">
        <v>296</v>
      </c>
      <c r="J18" t="s">
        <v>296</v>
      </c>
      <c r="K18" t="s">
        <v>296</v>
      </c>
      <c r="L18">
        <v>1.2</v>
      </c>
      <c r="M18">
        <v>1.2</v>
      </c>
      <c r="N18">
        <v>1.2</v>
      </c>
      <c r="O18">
        <v>1.2</v>
      </c>
      <c r="P18">
        <v>1.2</v>
      </c>
      <c r="Q18">
        <v>1.2</v>
      </c>
      <c r="R18">
        <v>1.2</v>
      </c>
      <c r="S18">
        <v>1.2</v>
      </c>
      <c r="T18">
        <v>1.2</v>
      </c>
      <c r="U18">
        <v>1.2</v>
      </c>
      <c r="V18">
        <v>1.2</v>
      </c>
      <c r="W18">
        <v>1.2</v>
      </c>
      <c r="X18">
        <v>1.2</v>
      </c>
      <c r="Y18">
        <v>1.2</v>
      </c>
      <c r="Z18">
        <v>1.2</v>
      </c>
      <c r="AA18">
        <v>1.2</v>
      </c>
      <c r="AB18">
        <v>1.2</v>
      </c>
      <c r="AC18">
        <v>1.2</v>
      </c>
      <c r="AD18">
        <v>1.2</v>
      </c>
      <c r="AE18">
        <v>1.2</v>
      </c>
      <c r="AF18">
        <v>1.2</v>
      </c>
      <c r="AG18">
        <v>1.2</v>
      </c>
      <c r="AH18">
        <v>1.2</v>
      </c>
      <c r="AI18">
        <v>1.2</v>
      </c>
      <c r="AJ18">
        <v>1.2</v>
      </c>
      <c r="AK18">
        <v>1.2</v>
      </c>
      <c r="AL18">
        <v>1.2</v>
      </c>
      <c r="AM18">
        <v>1.2</v>
      </c>
      <c r="AN18">
        <v>1.2</v>
      </c>
      <c r="AO18">
        <v>1.2</v>
      </c>
      <c r="AP18">
        <v>1.2</v>
      </c>
      <c r="AQ18">
        <v>1.2</v>
      </c>
      <c r="AR18">
        <v>1.2</v>
      </c>
      <c r="AS18">
        <v>1.2</v>
      </c>
      <c r="AT18">
        <v>1.2</v>
      </c>
      <c r="AU18">
        <v>1.2</v>
      </c>
      <c r="AV18">
        <v>1.2</v>
      </c>
      <c r="AW18" t="s">
        <v>296</v>
      </c>
    </row>
    <row r="19" spans="1:49" ht="12.75">
      <c r="A19" t="s">
        <v>295</v>
      </c>
      <c r="B19" t="s">
        <v>289</v>
      </c>
      <c r="C19" t="s">
        <v>109</v>
      </c>
      <c r="D19" t="s">
        <v>107</v>
      </c>
      <c r="E19" t="s">
        <v>296</v>
      </c>
      <c r="F19" t="s">
        <v>83</v>
      </c>
      <c r="G19" t="s">
        <v>474</v>
      </c>
      <c r="H19" t="s">
        <v>296</v>
      </c>
      <c r="I19" t="s">
        <v>296</v>
      </c>
      <c r="J19" t="s">
        <v>296</v>
      </c>
      <c r="K19" t="s">
        <v>296</v>
      </c>
      <c r="L19">
        <v>1.6000000000000001</v>
      </c>
      <c r="M19">
        <v>1.6000000000000001</v>
      </c>
      <c r="N19">
        <v>1.6000000000000001</v>
      </c>
      <c r="O19">
        <v>1.6000000000000001</v>
      </c>
      <c r="P19">
        <v>1.6000000000000001</v>
      </c>
      <c r="Q19">
        <v>1.6000000000000001</v>
      </c>
      <c r="R19">
        <v>1.6000000000000001</v>
      </c>
      <c r="S19">
        <v>1.6000000000000001</v>
      </c>
      <c r="T19">
        <v>1.6000000000000001</v>
      </c>
      <c r="U19">
        <v>1.6000000000000001</v>
      </c>
      <c r="V19">
        <v>1.6000000000000001</v>
      </c>
      <c r="W19">
        <v>1.6000000000000001</v>
      </c>
      <c r="X19">
        <v>1.6000000000000001</v>
      </c>
      <c r="Y19">
        <v>1.6000000000000001</v>
      </c>
      <c r="Z19">
        <v>1.6000000000000001</v>
      </c>
      <c r="AA19">
        <v>1.6000000000000001</v>
      </c>
      <c r="AB19">
        <v>1.6000000000000001</v>
      </c>
      <c r="AC19">
        <v>1.6000000000000001</v>
      </c>
      <c r="AD19">
        <v>1.6000000000000001</v>
      </c>
      <c r="AE19">
        <v>1.6000000000000001</v>
      </c>
      <c r="AF19">
        <v>1.6000000000000001</v>
      </c>
      <c r="AG19">
        <v>1.6000000000000001</v>
      </c>
      <c r="AH19">
        <v>1.6000000000000001</v>
      </c>
      <c r="AI19">
        <v>1.6000000000000001</v>
      </c>
      <c r="AJ19">
        <v>1.6000000000000001</v>
      </c>
      <c r="AK19">
        <v>1.6000000000000001</v>
      </c>
      <c r="AL19">
        <v>1.6000000000000001</v>
      </c>
      <c r="AM19">
        <v>1.6000000000000001</v>
      </c>
      <c r="AN19">
        <v>1.6000000000000001</v>
      </c>
      <c r="AO19">
        <v>1.6000000000000001</v>
      </c>
      <c r="AP19">
        <v>1.6000000000000001</v>
      </c>
      <c r="AQ19">
        <v>1.6000000000000001</v>
      </c>
      <c r="AR19">
        <v>1.6000000000000001</v>
      </c>
      <c r="AS19">
        <v>1.6000000000000001</v>
      </c>
      <c r="AT19">
        <v>1.6000000000000001</v>
      </c>
      <c r="AU19">
        <v>1.6000000000000001</v>
      </c>
      <c r="AV19">
        <v>1.6000000000000001</v>
      </c>
      <c r="AW19" t="s">
        <v>296</v>
      </c>
    </row>
    <row r="20" spans="1:49" ht="12.75">
      <c r="A20" t="s">
        <v>295</v>
      </c>
      <c r="B20" t="s">
        <v>289</v>
      </c>
      <c r="C20" t="s">
        <v>109</v>
      </c>
      <c r="D20" t="s">
        <v>40</v>
      </c>
      <c r="E20" t="s">
        <v>296</v>
      </c>
      <c r="F20" t="s">
        <v>83</v>
      </c>
      <c r="G20" t="s">
        <v>474</v>
      </c>
      <c r="H20" t="s">
        <v>296</v>
      </c>
      <c r="I20" t="s">
        <v>296</v>
      </c>
      <c r="J20" t="s">
        <v>296</v>
      </c>
      <c r="K20" t="s">
        <v>296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 t="s">
        <v>296</v>
      </c>
    </row>
    <row r="21" spans="1:49" ht="12.75">
      <c r="A21" t="s">
        <v>295</v>
      </c>
      <c r="B21" t="s">
        <v>289</v>
      </c>
      <c r="C21" t="s">
        <v>110</v>
      </c>
      <c r="D21" t="s">
        <v>37</v>
      </c>
      <c r="E21" t="s">
        <v>296</v>
      </c>
      <c r="F21" t="s">
        <v>83</v>
      </c>
      <c r="G21" t="s">
        <v>474</v>
      </c>
      <c r="H21" t="s">
        <v>296</v>
      </c>
      <c r="I21" t="s">
        <v>296</v>
      </c>
      <c r="J21" t="s">
        <v>296</v>
      </c>
      <c r="K21" t="s">
        <v>296</v>
      </c>
      <c r="L21">
        <v>1.4399999999999999</v>
      </c>
      <c r="M21">
        <v>1.4399999999999999</v>
      </c>
      <c r="N21">
        <v>1.4399999999999999</v>
      </c>
      <c r="O21">
        <v>1.4399999999999999</v>
      </c>
      <c r="P21">
        <v>1.4399999999999999</v>
      </c>
      <c r="Q21">
        <v>1.4399999999999999</v>
      </c>
      <c r="R21">
        <v>1.4399999999999999</v>
      </c>
      <c r="S21">
        <v>1.4399999999999999</v>
      </c>
      <c r="T21">
        <v>1.4399999999999999</v>
      </c>
      <c r="U21">
        <v>1.4399999999999999</v>
      </c>
      <c r="V21">
        <v>1.4399999999999999</v>
      </c>
      <c r="W21">
        <v>1.4399999999999999</v>
      </c>
      <c r="X21">
        <v>1.4399999999999999</v>
      </c>
      <c r="Y21">
        <v>1.4399999999999999</v>
      </c>
      <c r="Z21">
        <v>1.4399999999999999</v>
      </c>
      <c r="AA21">
        <v>1.4399999999999999</v>
      </c>
      <c r="AB21">
        <v>1.4399999999999999</v>
      </c>
      <c r="AC21">
        <v>1.4399999999999999</v>
      </c>
      <c r="AD21">
        <v>1.4399999999999999</v>
      </c>
      <c r="AE21">
        <v>1.4399999999999999</v>
      </c>
      <c r="AF21">
        <v>1.4399999999999999</v>
      </c>
      <c r="AG21">
        <v>1.4399999999999999</v>
      </c>
      <c r="AH21">
        <v>1.4399999999999999</v>
      </c>
      <c r="AI21">
        <v>1.4399999999999999</v>
      </c>
      <c r="AJ21">
        <v>1.4399999999999999</v>
      </c>
      <c r="AK21">
        <v>1.4399999999999999</v>
      </c>
      <c r="AL21">
        <v>1.4399999999999999</v>
      </c>
      <c r="AM21">
        <v>1.4399999999999999</v>
      </c>
      <c r="AN21">
        <v>6.04</v>
      </c>
      <c r="AO21">
        <v>1.4399999999999999</v>
      </c>
      <c r="AP21">
        <v>1.4399999999999999</v>
      </c>
      <c r="AQ21">
        <v>1.4399999999999999</v>
      </c>
      <c r="AR21">
        <v>1.4399999999999999</v>
      </c>
      <c r="AS21">
        <v>6.3399999999999999</v>
      </c>
      <c r="AT21">
        <v>1.4399999999999999</v>
      </c>
      <c r="AU21">
        <v>1.4399999999999999</v>
      </c>
      <c r="AV21">
        <v>1.4399999999999999</v>
      </c>
      <c r="AW21" t="s">
        <v>296</v>
      </c>
    </row>
    <row r="22" spans="1:49" ht="12.75">
      <c r="A22" t="s">
        <v>295</v>
      </c>
      <c r="B22" t="s">
        <v>289</v>
      </c>
      <c r="C22" t="s">
        <v>110</v>
      </c>
      <c r="D22" t="s">
        <v>38</v>
      </c>
      <c r="E22" t="s">
        <v>296</v>
      </c>
      <c r="F22" t="s">
        <v>83</v>
      </c>
      <c r="G22" t="s">
        <v>474</v>
      </c>
      <c r="H22" t="s">
        <v>296</v>
      </c>
      <c r="I22" t="s">
        <v>296</v>
      </c>
      <c r="J22" t="s">
        <v>296</v>
      </c>
      <c r="K22" t="s">
        <v>296</v>
      </c>
      <c r="L22">
        <v>6.7999999999999998</v>
      </c>
      <c r="M22">
        <v>6.7999999999999998</v>
      </c>
      <c r="N22">
        <v>6.7999999999999998</v>
      </c>
      <c r="O22">
        <v>6.7999999999999998</v>
      </c>
      <c r="P22">
        <v>6.7999999999999998</v>
      </c>
      <c r="Q22">
        <v>6.7999999999999998</v>
      </c>
      <c r="R22">
        <v>6.7999999999999998</v>
      </c>
      <c r="S22">
        <v>6.7999999999999998</v>
      </c>
      <c r="T22">
        <v>6.7999999999999998</v>
      </c>
      <c r="U22">
        <v>6.7999999999999998</v>
      </c>
      <c r="V22">
        <v>6.7999999999999998</v>
      </c>
      <c r="W22">
        <v>6.7999999999999998</v>
      </c>
      <c r="X22">
        <v>6.7999999999999998</v>
      </c>
      <c r="Y22">
        <v>6.7999999999999998</v>
      </c>
      <c r="Z22">
        <v>6.7999999999999998</v>
      </c>
      <c r="AA22">
        <v>6.7999999999999998</v>
      </c>
      <c r="AB22">
        <v>6.7999999999999998</v>
      </c>
      <c r="AC22">
        <v>6.7999999999999998</v>
      </c>
      <c r="AD22">
        <v>6.7999999999999998</v>
      </c>
      <c r="AE22">
        <v>6.7999999999999998</v>
      </c>
      <c r="AF22">
        <v>6.7999999999999998</v>
      </c>
      <c r="AG22">
        <v>6.7999999999999998</v>
      </c>
      <c r="AH22">
        <v>6.7999999999999998</v>
      </c>
      <c r="AI22">
        <v>6.7999999999999998</v>
      </c>
      <c r="AJ22">
        <v>6.7999999999999998</v>
      </c>
      <c r="AK22">
        <v>6.7999999999999998</v>
      </c>
      <c r="AL22">
        <v>6.7999999999999998</v>
      </c>
      <c r="AM22">
        <v>6.7999999999999998</v>
      </c>
      <c r="AN22">
        <v>2.2000000000000002</v>
      </c>
      <c r="AO22">
        <v>6.7999999999999998</v>
      </c>
      <c r="AP22">
        <v>6.7999999999999998</v>
      </c>
      <c r="AQ22">
        <v>6.7999999999999998</v>
      </c>
      <c r="AR22">
        <v>6.7999999999999998</v>
      </c>
      <c r="AS22">
        <v>1.8999999999999999</v>
      </c>
      <c r="AT22">
        <v>6.7999999999999998</v>
      </c>
      <c r="AU22">
        <v>6.7999999999999998</v>
      </c>
      <c r="AV22">
        <v>6.7999999999999998</v>
      </c>
      <c r="AW22" t="s">
        <v>296</v>
      </c>
    </row>
    <row r="23" spans="1:49" ht="12.75">
      <c r="A23" t="s">
        <v>295</v>
      </c>
      <c r="B23" t="s">
        <v>289</v>
      </c>
      <c r="C23" t="s">
        <v>110</v>
      </c>
      <c r="D23" t="s">
        <v>107</v>
      </c>
      <c r="E23" t="s">
        <v>296</v>
      </c>
      <c r="F23" t="s">
        <v>83</v>
      </c>
      <c r="G23" t="s">
        <v>474</v>
      </c>
      <c r="H23" t="s">
        <v>296</v>
      </c>
      <c r="I23" t="s">
        <v>296</v>
      </c>
      <c r="J23" t="s">
        <v>296</v>
      </c>
      <c r="K23" t="s">
        <v>296</v>
      </c>
      <c r="L23">
        <v>1.6000000000000001</v>
      </c>
      <c r="M23">
        <v>1.6000000000000001</v>
      </c>
      <c r="N23">
        <v>1.6000000000000001</v>
      </c>
      <c r="O23">
        <v>1.6000000000000001</v>
      </c>
      <c r="P23">
        <v>1.6000000000000001</v>
      </c>
      <c r="Q23">
        <v>1.6000000000000001</v>
      </c>
      <c r="R23">
        <v>1.6000000000000001</v>
      </c>
      <c r="S23">
        <v>1.6000000000000001</v>
      </c>
      <c r="T23">
        <v>1.6000000000000001</v>
      </c>
      <c r="U23">
        <v>1.6000000000000001</v>
      </c>
      <c r="V23">
        <v>1.6000000000000001</v>
      </c>
      <c r="W23">
        <v>1.6000000000000001</v>
      </c>
      <c r="X23">
        <v>1.6000000000000001</v>
      </c>
      <c r="Y23">
        <v>1.6000000000000001</v>
      </c>
      <c r="Z23">
        <v>1.6000000000000001</v>
      </c>
      <c r="AA23">
        <v>1.6000000000000001</v>
      </c>
      <c r="AB23">
        <v>1.6000000000000001</v>
      </c>
      <c r="AC23">
        <v>1.6000000000000001</v>
      </c>
      <c r="AD23">
        <v>1.6000000000000001</v>
      </c>
      <c r="AE23">
        <v>1.6000000000000001</v>
      </c>
      <c r="AF23">
        <v>1.6000000000000001</v>
      </c>
      <c r="AG23">
        <v>1.6000000000000001</v>
      </c>
      <c r="AH23">
        <v>1.6000000000000001</v>
      </c>
      <c r="AI23">
        <v>1.6000000000000001</v>
      </c>
      <c r="AJ23">
        <v>1.6000000000000001</v>
      </c>
      <c r="AK23">
        <v>1.6000000000000001</v>
      </c>
      <c r="AL23">
        <v>1.6000000000000001</v>
      </c>
      <c r="AM23">
        <v>1.6000000000000001</v>
      </c>
      <c r="AN23">
        <v>1.6000000000000001</v>
      </c>
      <c r="AO23">
        <v>1.6000000000000001</v>
      </c>
      <c r="AP23">
        <v>1.6000000000000001</v>
      </c>
      <c r="AQ23">
        <v>1.6000000000000001</v>
      </c>
      <c r="AR23">
        <v>1.6000000000000001</v>
      </c>
      <c r="AS23">
        <v>1.6000000000000001</v>
      </c>
      <c r="AT23">
        <v>1.6000000000000001</v>
      </c>
      <c r="AU23">
        <v>1.6000000000000001</v>
      </c>
      <c r="AV23">
        <v>1.6000000000000001</v>
      </c>
      <c r="AW23" t="s">
        <v>296</v>
      </c>
    </row>
    <row r="24" spans="1:49" ht="12.75">
      <c r="A24" t="s">
        <v>295</v>
      </c>
      <c r="B24" t="s">
        <v>289</v>
      </c>
      <c r="C24" t="s">
        <v>110</v>
      </c>
      <c r="D24" t="s">
        <v>40</v>
      </c>
      <c r="E24" t="s">
        <v>296</v>
      </c>
      <c r="F24" t="s">
        <v>83</v>
      </c>
      <c r="G24" t="s">
        <v>474</v>
      </c>
      <c r="H24" t="s">
        <v>296</v>
      </c>
      <c r="I24" t="s">
        <v>296</v>
      </c>
      <c r="J24" t="s">
        <v>296</v>
      </c>
      <c r="K24" t="s">
        <v>296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 t="s">
        <v>296</v>
      </c>
    </row>
    <row r="25" spans="1:49" ht="12.75">
      <c r="A25" t="s">
        <v>295</v>
      </c>
      <c r="B25" t="s">
        <v>289</v>
      </c>
      <c r="C25" t="s">
        <v>110</v>
      </c>
      <c r="D25" t="s">
        <v>111</v>
      </c>
      <c r="E25" t="s">
        <v>296</v>
      </c>
      <c r="F25" t="s">
        <v>83</v>
      </c>
      <c r="G25" t="s">
        <v>474</v>
      </c>
      <c r="H25" t="s">
        <v>296</v>
      </c>
      <c r="I25" t="s">
        <v>296</v>
      </c>
      <c r="J25" t="s">
        <v>296</v>
      </c>
      <c r="K25" t="s">
        <v>296</v>
      </c>
      <c r="L25">
        <v>0.83999999999999997</v>
      </c>
      <c r="M25">
        <v>0.83999999999999997</v>
      </c>
      <c r="N25">
        <v>0.83999999999999997</v>
      </c>
      <c r="O25">
        <v>0.83999999999999997</v>
      </c>
      <c r="P25">
        <v>0.83999999999999997</v>
      </c>
      <c r="Q25">
        <v>0.83999999999999997</v>
      </c>
      <c r="R25">
        <v>0.83999999999999997</v>
      </c>
      <c r="S25">
        <v>0.83999999999999997</v>
      </c>
      <c r="T25">
        <v>0.83999999999999997</v>
      </c>
      <c r="U25">
        <v>0.83999999999999997</v>
      </c>
      <c r="V25">
        <v>0.83999999999999997</v>
      </c>
      <c r="W25">
        <v>0.83999999999999997</v>
      </c>
      <c r="X25">
        <v>0.83999999999999997</v>
      </c>
      <c r="Y25">
        <v>0.83999999999999997</v>
      </c>
      <c r="Z25">
        <v>0.83999999999999997</v>
      </c>
      <c r="AA25">
        <v>0.83999999999999997</v>
      </c>
      <c r="AB25">
        <v>0.83999999999999997</v>
      </c>
      <c r="AC25">
        <v>0.83999999999999997</v>
      </c>
      <c r="AD25">
        <v>0.83999999999999997</v>
      </c>
      <c r="AE25">
        <v>0.83999999999999997</v>
      </c>
      <c r="AF25">
        <v>0.83999999999999997</v>
      </c>
      <c r="AG25">
        <v>0.83999999999999997</v>
      </c>
      <c r="AH25">
        <v>0.83999999999999997</v>
      </c>
      <c r="AI25">
        <v>0.83999999999999997</v>
      </c>
      <c r="AJ25">
        <v>0.83999999999999997</v>
      </c>
      <c r="AK25">
        <v>0.83999999999999997</v>
      </c>
      <c r="AL25">
        <v>0.83999999999999997</v>
      </c>
      <c r="AM25">
        <v>0.83999999999999997</v>
      </c>
      <c r="AN25">
        <v>0.83999999999999997</v>
      </c>
      <c r="AO25">
        <v>0.83999999999999997</v>
      </c>
      <c r="AP25">
        <v>0.83999999999999997</v>
      </c>
      <c r="AQ25">
        <v>0.83999999999999997</v>
      </c>
      <c r="AR25">
        <v>0.83999999999999997</v>
      </c>
      <c r="AS25">
        <v>0.83999999999999997</v>
      </c>
      <c r="AT25">
        <v>0.83999999999999997</v>
      </c>
      <c r="AU25">
        <v>0.83999999999999997</v>
      </c>
      <c r="AV25">
        <v>0.83999999999999997</v>
      </c>
      <c r="AW25" t="s">
        <v>296</v>
      </c>
    </row>
    <row r="26" spans="1:49" ht="12.75">
      <c r="A26" t="s">
        <v>295</v>
      </c>
      <c r="B26" t="s">
        <v>289</v>
      </c>
      <c r="C26" t="s">
        <v>112</v>
      </c>
      <c r="D26" t="s">
        <v>37</v>
      </c>
      <c r="E26" t="s">
        <v>296</v>
      </c>
      <c r="F26" t="s">
        <v>83</v>
      </c>
      <c r="G26" t="s">
        <v>474</v>
      </c>
      <c r="H26" t="s">
        <v>296</v>
      </c>
      <c r="I26" t="s">
        <v>296</v>
      </c>
      <c r="J26" t="s">
        <v>296</v>
      </c>
      <c r="K26" t="s">
        <v>296</v>
      </c>
      <c r="L26">
        <v>1.03</v>
      </c>
      <c r="M26">
        <v>1.03</v>
      </c>
      <c r="N26">
        <v>1.03</v>
      </c>
      <c r="O26">
        <v>1.03</v>
      </c>
      <c r="P26">
        <v>1.03</v>
      </c>
      <c r="Q26">
        <v>1.03</v>
      </c>
      <c r="R26">
        <v>1.03</v>
      </c>
      <c r="S26">
        <v>1.03</v>
      </c>
      <c r="T26">
        <v>1.03</v>
      </c>
      <c r="U26">
        <v>1.03</v>
      </c>
      <c r="V26">
        <v>1.03</v>
      </c>
      <c r="W26">
        <v>1.03</v>
      </c>
      <c r="X26">
        <v>1.03</v>
      </c>
      <c r="Y26">
        <v>1.03</v>
      </c>
      <c r="Z26">
        <v>1.03</v>
      </c>
      <c r="AA26">
        <v>1.03</v>
      </c>
      <c r="AB26">
        <v>1.03</v>
      </c>
      <c r="AC26">
        <v>1.03</v>
      </c>
      <c r="AD26">
        <v>1.03</v>
      </c>
      <c r="AE26">
        <v>1.03</v>
      </c>
      <c r="AF26">
        <v>1.03</v>
      </c>
      <c r="AG26">
        <v>1.03</v>
      </c>
      <c r="AH26">
        <v>1.03</v>
      </c>
      <c r="AI26">
        <v>1.03</v>
      </c>
      <c r="AJ26">
        <v>1.03</v>
      </c>
      <c r="AK26">
        <v>1.03</v>
      </c>
      <c r="AL26">
        <v>1.03</v>
      </c>
      <c r="AM26">
        <v>1.03</v>
      </c>
      <c r="AN26">
        <v>1.03</v>
      </c>
      <c r="AO26">
        <v>1.03</v>
      </c>
      <c r="AP26">
        <v>1.03</v>
      </c>
      <c r="AQ26">
        <v>1.03</v>
      </c>
      <c r="AR26">
        <v>1.03</v>
      </c>
      <c r="AS26">
        <v>1.03</v>
      </c>
      <c r="AT26">
        <v>1.03</v>
      </c>
      <c r="AU26">
        <v>1.03</v>
      </c>
      <c r="AV26">
        <v>1.03</v>
      </c>
      <c r="AW26" t="s">
        <v>296</v>
      </c>
    </row>
    <row r="27" spans="1:49" ht="12.75">
      <c r="A27" t="s">
        <v>295</v>
      </c>
      <c r="B27" t="s">
        <v>289</v>
      </c>
      <c r="C27" t="s">
        <v>112</v>
      </c>
      <c r="D27" t="s">
        <v>38</v>
      </c>
      <c r="E27" t="s">
        <v>296</v>
      </c>
      <c r="F27" t="s">
        <v>83</v>
      </c>
      <c r="G27" t="s">
        <v>474</v>
      </c>
      <c r="H27" t="s">
        <v>296</v>
      </c>
      <c r="I27" t="s">
        <v>296</v>
      </c>
      <c r="J27" t="s">
        <v>296</v>
      </c>
      <c r="K27" t="s">
        <v>296</v>
      </c>
      <c r="L27">
        <v>15.300000000000001</v>
      </c>
      <c r="M27">
        <v>15.300000000000001</v>
      </c>
      <c r="N27">
        <v>15.300000000000001</v>
      </c>
      <c r="O27">
        <v>15.300000000000001</v>
      </c>
      <c r="P27">
        <v>15.300000000000001</v>
      </c>
      <c r="Q27">
        <v>15.300000000000001</v>
      </c>
      <c r="R27">
        <v>15.300000000000001</v>
      </c>
      <c r="S27">
        <v>15.300000000000001</v>
      </c>
      <c r="T27">
        <v>15.300000000000001</v>
      </c>
      <c r="U27">
        <v>15.300000000000001</v>
      </c>
      <c r="V27">
        <v>15.300000000000001</v>
      </c>
      <c r="W27">
        <v>15.300000000000001</v>
      </c>
      <c r="X27">
        <v>15.300000000000001</v>
      </c>
      <c r="Y27">
        <v>15.300000000000001</v>
      </c>
      <c r="Z27">
        <v>15.300000000000001</v>
      </c>
      <c r="AA27">
        <v>15.300000000000001</v>
      </c>
      <c r="AB27">
        <v>15.300000000000001</v>
      </c>
      <c r="AC27">
        <v>15.300000000000001</v>
      </c>
      <c r="AD27">
        <v>15.300000000000001</v>
      </c>
      <c r="AE27">
        <v>15.300000000000001</v>
      </c>
      <c r="AF27">
        <v>15.300000000000001</v>
      </c>
      <c r="AG27">
        <v>15.300000000000001</v>
      </c>
      <c r="AH27">
        <v>15.300000000000001</v>
      </c>
      <c r="AI27">
        <v>15.300000000000001</v>
      </c>
      <c r="AJ27">
        <v>15.300000000000001</v>
      </c>
      <c r="AK27">
        <v>15.300000000000001</v>
      </c>
      <c r="AL27">
        <v>15.300000000000001</v>
      </c>
      <c r="AM27">
        <v>15.300000000000001</v>
      </c>
      <c r="AN27">
        <v>15.300000000000001</v>
      </c>
      <c r="AO27">
        <v>15.300000000000001</v>
      </c>
      <c r="AP27">
        <v>15.300000000000001</v>
      </c>
      <c r="AQ27">
        <v>15.300000000000001</v>
      </c>
      <c r="AR27">
        <v>15.300000000000001</v>
      </c>
      <c r="AS27">
        <v>15.300000000000001</v>
      </c>
      <c r="AT27">
        <v>15.300000000000001</v>
      </c>
      <c r="AU27">
        <v>15.300000000000001</v>
      </c>
      <c r="AV27">
        <v>15.300000000000001</v>
      </c>
      <c r="AW27" t="s">
        <v>296</v>
      </c>
    </row>
    <row r="28" spans="1:49" ht="12.75">
      <c r="A28" t="s">
        <v>295</v>
      </c>
      <c r="B28" t="s">
        <v>289</v>
      </c>
      <c r="C28" t="s">
        <v>113</v>
      </c>
      <c r="D28" t="s">
        <v>37</v>
      </c>
      <c r="E28" t="s">
        <v>296</v>
      </c>
      <c r="F28" t="s">
        <v>83</v>
      </c>
      <c r="G28" t="s">
        <v>474</v>
      </c>
      <c r="H28" t="s">
        <v>296</v>
      </c>
      <c r="I28" t="s">
        <v>296</v>
      </c>
      <c r="J28" t="s">
        <v>296</v>
      </c>
      <c r="K28" t="s">
        <v>296</v>
      </c>
      <c r="L28">
        <v>0.5</v>
      </c>
      <c r="M28">
        <v>0.5</v>
      </c>
      <c r="N28">
        <v>0.5</v>
      </c>
      <c r="O28">
        <v>0.5</v>
      </c>
      <c r="P28">
        <v>0.5</v>
      </c>
      <c r="Q28">
        <v>0.5</v>
      </c>
      <c r="R28">
        <v>0.5</v>
      </c>
      <c r="S28">
        <v>0.5</v>
      </c>
      <c r="T28">
        <v>0.5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0.5</v>
      </c>
      <c r="AI28">
        <v>0.5</v>
      </c>
      <c r="AJ28">
        <v>0.5</v>
      </c>
      <c r="AK28">
        <v>0.5</v>
      </c>
      <c r="AL28">
        <v>0.5</v>
      </c>
      <c r="AM28">
        <v>0.5</v>
      </c>
      <c r="AN28">
        <v>0.5</v>
      </c>
      <c r="AO28">
        <v>0.5</v>
      </c>
      <c r="AP28">
        <v>0.5</v>
      </c>
      <c r="AQ28">
        <v>0.5</v>
      </c>
      <c r="AR28">
        <v>0.5</v>
      </c>
      <c r="AS28">
        <v>0.5</v>
      </c>
      <c r="AT28">
        <v>0.5</v>
      </c>
      <c r="AU28">
        <v>0.5</v>
      </c>
      <c r="AV28">
        <v>0.5</v>
      </c>
      <c r="AW28" t="s">
        <v>296</v>
      </c>
    </row>
    <row r="29" spans="1:49" ht="12.75">
      <c r="A29" t="s">
        <v>295</v>
      </c>
      <c r="B29" t="s">
        <v>289</v>
      </c>
      <c r="C29" t="s">
        <v>113</v>
      </c>
      <c r="D29" t="s">
        <v>38</v>
      </c>
      <c r="E29" t="s">
        <v>296</v>
      </c>
      <c r="F29" t="s">
        <v>83</v>
      </c>
      <c r="G29" t="s">
        <v>474</v>
      </c>
      <c r="H29" t="s">
        <v>296</v>
      </c>
      <c r="I29" t="s">
        <v>296</v>
      </c>
      <c r="J29" t="s">
        <v>296</v>
      </c>
      <c r="K29" t="s">
        <v>296</v>
      </c>
      <c r="L29">
        <v>15.300000000000001</v>
      </c>
      <c r="M29">
        <v>15.300000000000001</v>
      </c>
      <c r="N29">
        <v>15.300000000000001</v>
      </c>
      <c r="O29">
        <v>15.300000000000001</v>
      </c>
      <c r="P29">
        <v>15.300000000000001</v>
      </c>
      <c r="Q29">
        <v>15.300000000000001</v>
      </c>
      <c r="R29">
        <v>15.300000000000001</v>
      </c>
      <c r="S29">
        <v>15.300000000000001</v>
      </c>
      <c r="T29">
        <v>15.300000000000001</v>
      </c>
      <c r="U29">
        <v>15.300000000000001</v>
      </c>
      <c r="V29">
        <v>14.535</v>
      </c>
      <c r="W29">
        <v>10.098000000000001</v>
      </c>
      <c r="X29">
        <v>15.300000000000001</v>
      </c>
      <c r="Y29">
        <v>15.300000000000001</v>
      </c>
      <c r="Z29">
        <v>15.300000000000001</v>
      </c>
      <c r="AA29">
        <v>15.300000000000001</v>
      </c>
      <c r="AB29">
        <v>13.77</v>
      </c>
      <c r="AC29">
        <v>15.300000000000001</v>
      </c>
      <c r="AD29">
        <v>15.300000000000001</v>
      </c>
      <c r="AE29">
        <v>15.300000000000001</v>
      </c>
      <c r="AF29">
        <v>15.300000000000001</v>
      </c>
      <c r="AG29">
        <v>14.535</v>
      </c>
      <c r="AH29">
        <v>15.300000000000001</v>
      </c>
      <c r="AI29">
        <v>15.300000000000001</v>
      </c>
      <c r="AJ29">
        <v>15.300000000000001</v>
      </c>
      <c r="AK29">
        <v>15.300000000000001</v>
      </c>
      <c r="AL29">
        <v>15.300000000000001</v>
      </c>
      <c r="AM29">
        <v>15.300000000000001</v>
      </c>
      <c r="AN29">
        <v>15.300000000000001</v>
      </c>
      <c r="AO29">
        <v>15.300000000000001</v>
      </c>
      <c r="AP29">
        <v>15.300000000000001</v>
      </c>
      <c r="AQ29">
        <v>15.300000000000001</v>
      </c>
      <c r="AR29">
        <v>9.9450000000000003</v>
      </c>
      <c r="AS29">
        <v>15.300000000000001</v>
      </c>
      <c r="AT29">
        <v>15.300000000000001</v>
      </c>
      <c r="AU29">
        <v>15.300000000000001</v>
      </c>
      <c r="AV29">
        <v>15.300000000000001</v>
      </c>
      <c r="AW29" t="s">
        <v>296</v>
      </c>
    </row>
    <row r="30" spans="1:49" ht="12.75">
      <c r="A30" t="s">
        <v>295</v>
      </c>
      <c r="B30" t="s">
        <v>289</v>
      </c>
      <c r="C30" t="s">
        <v>115</v>
      </c>
      <c r="D30" t="s">
        <v>37</v>
      </c>
      <c r="E30" t="s">
        <v>296</v>
      </c>
      <c r="F30" t="s">
        <v>83</v>
      </c>
      <c r="G30" t="s">
        <v>474</v>
      </c>
      <c r="H30" t="s">
        <v>296</v>
      </c>
      <c r="I30" t="s">
        <v>296</v>
      </c>
      <c r="J30" t="s">
        <v>296</v>
      </c>
      <c r="K30" t="s">
        <v>296</v>
      </c>
      <c r="L30">
        <v>0.5</v>
      </c>
      <c r="M30">
        <v>0.5</v>
      </c>
      <c r="N30">
        <v>0.5</v>
      </c>
      <c r="O30">
        <v>0.5</v>
      </c>
      <c r="P30">
        <v>0.5</v>
      </c>
      <c r="Q30">
        <v>0.5</v>
      </c>
      <c r="R30">
        <v>0.5</v>
      </c>
      <c r="S30">
        <v>0.5</v>
      </c>
      <c r="T30">
        <v>0.5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0.5</v>
      </c>
      <c r="AI30">
        <v>0.5</v>
      </c>
      <c r="AJ30">
        <v>0.5</v>
      </c>
      <c r="AK30">
        <v>0.5</v>
      </c>
      <c r="AL30">
        <v>0.5</v>
      </c>
      <c r="AM30">
        <v>0.5</v>
      </c>
      <c r="AN30">
        <v>0.5</v>
      </c>
      <c r="AO30">
        <v>0.5</v>
      </c>
      <c r="AP30">
        <v>0.5</v>
      </c>
      <c r="AQ30">
        <v>0.5</v>
      </c>
      <c r="AR30">
        <v>0.5</v>
      </c>
      <c r="AS30">
        <v>0.5</v>
      </c>
      <c r="AT30">
        <v>0.5</v>
      </c>
      <c r="AU30">
        <v>0.5</v>
      </c>
      <c r="AV30">
        <v>0.5</v>
      </c>
      <c r="AW30" t="s">
        <v>296</v>
      </c>
    </row>
    <row r="31" spans="1:49" ht="12.75">
      <c r="A31" t="s">
        <v>295</v>
      </c>
      <c r="B31" t="s">
        <v>289</v>
      </c>
      <c r="C31" t="s">
        <v>115</v>
      </c>
      <c r="D31" t="s">
        <v>38</v>
      </c>
      <c r="E31" t="s">
        <v>296</v>
      </c>
      <c r="F31" t="s">
        <v>83</v>
      </c>
      <c r="G31" t="s">
        <v>474</v>
      </c>
      <c r="H31" t="s">
        <v>296</v>
      </c>
      <c r="I31" t="s">
        <v>296</v>
      </c>
      <c r="J31" t="s">
        <v>296</v>
      </c>
      <c r="K31" t="s">
        <v>296</v>
      </c>
      <c r="L31">
        <v>22.5</v>
      </c>
      <c r="M31">
        <v>22.5</v>
      </c>
      <c r="N31">
        <v>22.5</v>
      </c>
      <c r="O31">
        <v>22.5</v>
      </c>
      <c r="P31">
        <v>22.5</v>
      </c>
      <c r="Q31">
        <v>22.5</v>
      </c>
      <c r="R31">
        <v>22.5</v>
      </c>
      <c r="S31">
        <v>22.5</v>
      </c>
      <c r="T31">
        <v>22.5</v>
      </c>
      <c r="U31">
        <v>22.5</v>
      </c>
      <c r="V31">
        <v>22.5</v>
      </c>
      <c r="W31">
        <v>22.5</v>
      </c>
      <c r="X31">
        <v>22.5</v>
      </c>
      <c r="Y31">
        <v>22.5</v>
      </c>
      <c r="Z31">
        <v>14.625</v>
      </c>
      <c r="AA31">
        <v>22.5</v>
      </c>
      <c r="AB31">
        <v>14.625</v>
      </c>
      <c r="AC31">
        <v>22.5</v>
      </c>
      <c r="AD31">
        <v>22.5</v>
      </c>
      <c r="AE31">
        <v>22.5</v>
      </c>
      <c r="AF31">
        <v>22.5</v>
      </c>
      <c r="AG31">
        <v>22.5</v>
      </c>
      <c r="AH31">
        <v>22.5</v>
      </c>
      <c r="AI31">
        <v>22.5</v>
      </c>
      <c r="AJ31">
        <v>22.5</v>
      </c>
      <c r="AK31">
        <v>22.5</v>
      </c>
      <c r="AL31">
        <v>22.5</v>
      </c>
      <c r="AM31">
        <v>22.5</v>
      </c>
      <c r="AN31">
        <v>22.5</v>
      </c>
      <c r="AO31">
        <v>22.5</v>
      </c>
      <c r="AP31">
        <v>18.449999999999999</v>
      </c>
      <c r="AQ31">
        <v>22.5</v>
      </c>
      <c r="AR31">
        <v>22.5</v>
      </c>
      <c r="AS31">
        <v>22.5</v>
      </c>
      <c r="AT31">
        <v>22.5</v>
      </c>
      <c r="AU31">
        <v>22.5</v>
      </c>
      <c r="AV31">
        <v>22.5</v>
      </c>
      <c r="AW31" t="s">
        <v>296</v>
      </c>
    </row>
    <row r="32" spans="1:49" ht="12.75">
      <c r="A32" t="s">
        <v>295</v>
      </c>
      <c r="B32" t="s">
        <v>289</v>
      </c>
      <c r="C32" t="s">
        <v>297</v>
      </c>
      <c r="D32" t="s">
        <v>37</v>
      </c>
      <c r="E32" t="s">
        <v>296</v>
      </c>
      <c r="F32" t="s">
        <v>83</v>
      </c>
      <c r="G32" t="s">
        <v>474</v>
      </c>
      <c r="H32" t="s">
        <v>296</v>
      </c>
      <c r="I32" t="s">
        <v>296</v>
      </c>
      <c r="J32" t="s">
        <v>296</v>
      </c>
      <c r="K32" t="s">
        <v>296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 t="s">
        <v>296</v>
      </c>
    </row>
    <row r="33" spans="1:49" ht="12.75">
      <c r="A33" t="s">
        <v>295</v>
      </c>
      <c r="B33" t="s">
        <v>289</v>
      </c>
      <c r="C33" t="s">
        <v>298</v>
      </c>
      <c r="D33" t="s">
        <v>155</v>
      </c>
      <c r="E33" t="s">
        <v>296</v>
      </c>
      <c r="F33" t="s">
        <v>83</v>
      </c>
      <c r="G33" t="s">
        <v>474</v>
      </c>
      <c r="H33" t="s">
        <v>296</v>
      </c>
      <c r="I33" t="s">
        <v>296</v>
      </c>
      <c r="J33" t="s">
        <v>296</v>
      </c>
      <c r="K33" t="s">
        <v>296</v>
      </c>
      <c r="L33">
        <v>2</v>
      </c>
      <c r="M33">
        <v>2</v>
      </c>
      <c r="N33">
        <v>2</v>
      </c>
      <c r="O33">
        <v>2.8700000000000001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1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2</v>
      </c>
      <c r="AV33">
        <v>2</v>
      </c>
      <c r="AW33" t="s">
        <v>296</v>
      </c>
    </row>
    <row r="34" spans="1:49" ht="12.75">
      <c r="A34" t="s">
        <v>295</v>
      </c>
      <c r="B34" t="s">
        <v>289</v>
      </c>
      <c r="C34" t="s">
        <v>299</v>
      </c>
      <c r="D34" t="s">
        <v>49</v>
      </c>
      <c r="E34" t="s">
        <v>296</v>
      </c>
      <c r="F34" t="s">
        <v>83</v>
      </c>
      <c r="G34" t="s">
        <v>474</v>
      </c>
      <c r="H34" t="s">
        <v>296</v>
      </c>
      <c r="I34" t="s">
        <v>296</v>
      </c>
      <c r="J34" t="s">
        <v>296</v>
      </c>
      <c r="K34" t="s">
        <v>296</v>
      </c>
      <c r="L34">
        <v>2</v>
      </c>
      <c r="M34">
        <v>2</v>
      </c>
      <c r="N34">
        <v>2</v>
      </c>
      <c r="O34">
        <v>2.8700000000000001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1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2</v>
      </c>
      <c r="AU34">
        <v>2</v>
      </c>
      <c r="AV34">
        <v>2</v>
      </c>
      <c r="AW34" t="s">
        <v>296</v>
      </c>
    </row>
    <row r="35" spans="1:49" ht="12.75">
      <c r="A35" t="s">
        <v>295</v>
      </c>
      <c r="B35" t="s">
        <v>289</v>
      </c>
      <c r="C35" t="s">
        <v>300</v>
      </c>
      <c r="D35" t="s">
        <v>51</v>
      </c>
      <c r="E35" t="s">
        <v>296</v>
      </c>
      <c r="F35" t="s">
        <v>83</v>
      </c>
      <c r="G35" t="s">
        <v>474</v>
      </c>
      <c r="H35" t="s">
        <v>296</v>
      </c>
      <c r="I35" t="s">
        <v>296</v>
      </c>
      <c r="J35" t="s">
        <v>296</v>
      </c>
      <c r="K35" t="s">
        <v>296</v>
      </c>
      <c r="L35">
        <v>2</v>
      </c>
      <c r="M35">
        <v>2</v>
      </c>
      <c r="N35">
        <v>2</v>
      </c>
      <c r="O35">
        <v>2.8700000000000001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1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2</v>
      </c>
      <c r="AU35">
        <v>2</v>
      </c>
      <c r="AV35">
        <v>2</v>
      </c>
      <c r="AW35" t="s">
        <v>296</v>
      </c>
    </row>
    <row r="36" spans="1:49" ht="12.75">
      <c r="A36" t="s">
        <v>295</v>
      </c>
      <c r="B36" t="s">
        <v>289</v>
      </c>
      <c r="C36" t="s">
        <v>301</v>
      </c>
      <c r="D36" t="s">
        <v>37</v>
      </c>
      <c r="E36" t="s">
        <v>296</v>
      </c>
      <c r="F36" t="s">
        <v>83</v>
      </c>
      <c r="G36" t="s">
        <v>474</v>
      </c>
      <c r="H36" t="s">
        <v>296</v>
      </c>
      <c r="I36" t="s">
        <v>296</v>
      </c>
      <c r="J36" t="s">
        <v>296</v>
      </c>
      <c r="K36" t="s">
        <v>296</v>
      </c>
      <c r="L36">
        <v>1.0526315789473699</v>
      </c>
      <c r="M36">
        <v>1.0526315789473699</v>
      </c>
      <c r="N36">
        <v>1.0526315789473699</v>
      </c>
      <c r="O36">
        <v>1.06595744680851</v>
      </c>
      <c r="P36">
        <v>1.0526315789473699</v>
      </c>
      <c r="Q36">
        <v>1.1111111111111101</v>
      </c>
      <c r="R36">
        <v>1.0526315789473699</v>
      </c>
      <c r="S36">
        <v>1.0526315789473699</v>
      </c>
      <c r="T36">
        <v>1.0526315789473699</v>
      </c>
      <c r="U36">
        <v>1.0526315789473699</v>
      </c>
      <c r="V36">
        <v>1.1111111111111101</v>
      </c>
      <c r="W36">
        <v>1.0526315789473699</v>
      </c>
      <c r="X36">
        <v>1.1111111111111101</v>
      </c>
      <c r="Y36">
        <v>1.1111111111111101</v>
      </c>
      <c r="Z36">
        <v>1.0526315789473699</v>
      </c>
      <c r="AA36">
        <v>1.0526315789473699</v>
      </c>
      <c r="AB36">
        <v>1.0526315789473699</v>
      </c>
      <c r="AC36">
        <v>1.1100000000000001</v>
      </c>
      <c r="AD36">
        <v>1.0526315789473699</v>
      </c>
      <c r="AE36">
        <v>1.1111111111111101</v>
      </c>
      <c r="AF36">
        <v>1.0526315789473699</v>
      </c>
      <c r="AG36">
        <v>1.1111111111111101</v>
      </c>
      <c r="AH36">
        <v>1.0526315789473699</v>
      </c>
      <c r="AI36">
        <v>1.1111111111111101</v>
      </c>
      <c r="AJ36">
        <v>1.0526315789473699</v>
      </c>
      <c r="AK36">
        <v>1.0526315789473699</v>
      </c>
      <c r="AL36">
        <v>1.0526315789473699</v>
      </c>
      <c r="AM36">
        <v>1.1111111111111101</v>
      </c>
      <c r="AN36">
        <v>1</v>
      </c>
      <c r="AO36">
        <v>1.0526315789473699</v>
      </c>
      <c r="AP36">
        <v>1.1111111111111101</v>
      </c>
      <c r="AQ36">
        <v>1.1764705882352899</v>
      </c>
      <c r="AR36">
        <v>1.0526315789473699</v>
      </c>
      <c r="AS36">
        <v>1.1111111111111101</v>
      </c>
      <c r="AT36">
        <v>1.1111111111111101</v>
      </c>
      <c r="AU36">
        <v>1.0526315789473699</v>
      </c>
      <c r="AV36">
        <v>1</v>
      </c>
      <c r="AW36" t="s">
        <v>296</v>
      </c>
    </row>
    <row r="37" spans="1:49" ht="12.75">
      <c r="A37" t="s">
        <v>295</v>
      </c>
      <c r="B37" t="s">
        <v>289</v>
      </c>
      <c r="C37" t="s">
        <v>302</v>
      </c>
      <c r="D37" t="s">
        <v>38</v>
      </c>
      <c r="E37" t="s">
        <v>296</v>
      </c>
      <c r="F37" t="s">
        <v>83</v>
      </c>
      <c r="G37" t="s">
        <v>474</v>
      </c>
      <c r="H37" t="s">
        <v>296</v>
      </c>
      <c r="I37" t="s">
        <v>296</v>
      </c>
      <c r="J37" t="s">
        <v>296</v>
      </c>
      <c r="K37" t="s">
        <v>296</v>
      </c>
      <c r="L37">
        <v>2</v>
      </c>
      <c r="M37">
        <v>2</v>
      </c>
      <c r="N37">
        <v>2</v>
      </c>
      <c r="O37">
        <v>2.8700000000000001</v>
      </c>
      <c r="P37">
        <v>2</v>
      </c>
      <c r="Q37">
        <v>2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1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2</v>
      </c>
      <c r="AU37">
        <v>2</v>
      </c>
      <c r="AV37">
        <v>2</v>
      </c>
      <c r="AW37" t="s">
        <v>296</v>
      </c>
    </row>
    <row r="38" spans="1:49" ht="12.75">
      <c r="A38" t="s">
        <v>295</v>
      </c>
      <c r="B38" t="s">
        <v>289</v>
      </c>
      <c r="C38" t="s">
        <v>303</v>
      </c>
      <c r="D38" t="s">
        <v>43</v>
      </c>
      <c r="E38" t="s">
        <v>296</v>
      </c>
      <c r="F38" t="s">
        <v>83</v>
      </c>
      <c r="G38" t="s">
        <v>474</v>
      </c>
      <c r="H38" t="s">
        <v>296</v>
      </c>
      <c r="I38" t="s">
        <v>296</v>
      </c>
      <c r="J38" t="s">
        <v>296</v>
      </c>
      <c r="K38" t="s">
        <v>296</v>
      </c>
      <c r="L38">
        <v>2</v>
      </c>
      <c r="M38">
        <v>2</v>
      </c>
      <c r="N38">
        <v>2</v>
      </c>
      <c r="O38">
        <v>2.8700000000000001</v>
      </c>
      <c r="P38">
        <v>2</v>
      </c>
      <c r="Q38">
        <v>2</v>
      </c>
      <c r="R38">
        <v>2</v>
      </c>
      <c r="S38">
        <v>2</v>
      </c>
      <c r="T38">
        <v>2</v>
      </c>
      <c r="U38">
        <v>2</v>
      </c>
      <c r="V38">
        <v>2</v>
      </c>
      <c r="W38">
        <v>2</v>
      </c>
      <c r="X38">
        <v>2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1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2</v>
      </c>
      <c r="AU38">
        <v>2</v>
      </c>
      <c r="AV38">
        <v>2</v>
      </c>
      <c r="AW38" t="s">
        <v>296</v>
      </c>
    </row>
    <row r="39" spans="1:49" ht="12.75">
      <c r="A39" t="s">
        <v>295</v>
      </c>
      <c r="B39" t="s">
        <v>289</v>
      </c>
      <c r="C39" t="s">
        <v>304</v>
      </c>
      <c r="D39" t="s">
        <v>39</v>
      </c>
      <c r="E39" t="s">
        <v>296</v>
      </c>
      <c r="F39" t="s">
        <v>83</v>
      </c>
      <c r="G39" t="s">
        <v>474</v>
      </c>
      <c r="H39" t="s">
        <v>296</v>
      </c>
      <c r="I39" t="s">
        <v>296</v>
      </c>
      <c r="J39" t="s">
        <v>296</v>
      </c>
      <c r="K39" t="s">
        <v>296</v>
      </c>
      <c r="L39">
        <v>2</v>
      </c>
      <c r="M39">
        <v>2</v>
      </c>
      <c r="N39">
        <v>2</v>
      </c>
      <c r="O39">
        <v>2.8700000000000001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1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AW39" t="s">
        <v>296</v>
      </c>
    </row>
    <row r="40" spans="1:49" ht="12.75">
      <c r="A40" t="s">
        <v>295</v>
      </c>
      <c r="B40" t="s">
        <v>289</v>
      </c>
      <c r="C40" t="s">
        <v>305</v>
      </c>
      <c r="D40" t="s">
        <v>44</v>
      </c>
      <c r="E40" t="s">
        <v>296</v>
      </c>
      <c r="F40" t="s">
        <v>83</v>
      </c>
      <c r="G40" t="s">
        <v>474</v>
      </c>
      <c r="H40" t="s">
        <v>296</v>
      </c>
      <c r="I40" t="s">
        <v>296</v>
      </c>
      <c r="J40" t="s">
        <v>296</v>
      </c>
      <c r="K40" t="s">
        <v>296</v>
      </c>
      <c r="L40">
        <v>2</v>
      </c>
      <c r="M40">
        <v>2</v>
      </c>
      <c r="N40">
        <v>2</v>
      </c>
      <c r="O40">
        <v>2.8700000000000001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1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2</v>
      </c>
      <c r="AU40">
        <v>2</v>
      </c>
      <c r="AV40">
        <v>2</v>
      </c>
      <c r="AW40" t="s">
        <v>296</v>
      </c>
    </row>
    <row r="41" spans="1:49" ht="12.75">
      <c r="A41" t="s">
        <v>295</v>
      </c>
      <c r="B41" t="s">
        <v>289</v>
      </c>
      <c r="C41" t="s">
        <v>306</v>
      </c>
      <c r="D41" t="s">
        <v>155</v>
      </c>
      <c r="E41" t="s">
        <v>296</v>
      </c>
      <c r="F41" t="s">
        <v>83</v>
      </c>
      <c r="G41" t="s">
        <v>474</v>
      </c>
      <c r="H41" t="s">
        <v>296</v>
      </c>
      <c r="I41" t="s">
        <v>296</v>
      </c>
      <c r="J41" t="s">
        <v>296</v>
      </c>
      <c r="K41" t="s">
        <v>296</v>
      </c>
      <c r="L41">
        <v>1.25</v>
      </c>
      <c r="M41">
        <v>1.25</v>
      </c>
      <c r="N41">
        <v>1.25</v>
      </c>
      <c r="O41">
        <v>1.25</v>
      </c>
      <c r="P41">
        <v>1.25</v>
      </c>
      <c r="Q41">
        <v>1.25</v>
      </c>
      <c r="R41">
        <v>1.25</v>
      </c>
      <c r="S41">
        <v>1.25</v>
      </c>
      <c r="T41">
        <v>1.25</v>
      </c>
      <c r="U41">
        <v>1.25</v>
      </c>
      <c r="V41">
        <v>1.25</v>
      </c>
      <c r="W41">
        <v>1.25</v>
      </c>
      <c r="X41">
        <v>1.25</v>
      </c>
      <c r="Y41">
        <v>1.25</v>
      </c>
      <c r="Z41">
        <v>1.25</v>
      </c>
      <c r="AA41">
        <v>1.25</v>
      </c>
      <c r="AB41">
        <v>1.25</v>
      </c>
      <c r="AC41">
        <v>1.25</v>
      </c>
      <c r="AD41">
        <v>1.25</v>
      </c>
      <c r="AE41">
        <v>1.25</v>
      </c>
      <c r="AF41">
        <v>1.25</v>
      </c>
      <c r="AG41">
        <v>1.25</v>
      </c>
      <c r="AH41">
        <v>1.25</v>
      </c>
      <c r="AI41">
        <v>1.25</v>
      </c>
      <c r="AJ41">
        <v>1.25</v>
      </c>
      <c r="AK41">
        <v>1.25</v>
      </c>
      <c r="AL41">
        <v>1.25</v>
      </c>
      <c r="AM41">
        <v>1.25</v>
      </c>
      <c r="AN41">
        <v>1.25</v>
      </c>
      <c r="AO41">
        <v>1.25</v>
      </c>
      <c r="AP41">
        <v>1.25</v>
      </c>
      <c r="AQ41">
        <v>1.25</v>
      </c>
      <c r="AR41">
        <v>1.25</v>
      </c>
      <c r="AS41">
        <v>1.25</v>
      </c>
      <c r="AT41">
        <v>1.25</v>
      </c>
      <c r="AU41">
        <v>1.25</v>
      </c>
      <c r="AV41">
        <v>1.25</v>
      </c>
      <c r="AW41" t="s">
        <v>296</v>
      </c>
    </row>
    <row r="42" spans="1:49" ht="12.75">
      <c r="A42" t="s">
        <v>295</v>
      </c>
      <c r="B42" t="s">
        <v>289</v>
      </c>
      <c r="C42" t="s">
        <v>307</v>
      </c>
      <c r="D42" t="s">
        <v>49</v>
      </c>
      <c r="E42" t="s">
        <v>296</v>
      </c>
      <c r="F42" t="s">
        <v>83</v>
      </c>
      <c r="G42" t="s">
        <v>474</v>
      </c>
      <c r="H42" t="s">
        <v>296</v>
      </c>
      <c r="I42" t="s">
        <v>296</v>
      </c>
      <c r="J42" t="s">
        <v>296</v>
      </c>
      <c r="K42" t="s">
        <v>296</v>
      </c>
      <c r="L42">
        <v>1.25</v>
      </c>
      <c r="M42">
        <v>1.25</v>
      </c>
      <c r="N42">
        <v>1.25</v>
      </c>
      <c r="O42">
        <v>1.25</v>
      </c>
      <c r="P42">
        <v>1.25</v>
      </c>
      <c r="Q42">
        <v>1.25</v>
      </c>
      <c r="R42">
        <v>1.25</v>
      </c>
      <c r="S42">
        <v>1.25</v>
      </c>
      <c r="T42">
        <v>1.25</v>
      </c>
      <c r="U42">
        <v>1.25</v>
      </c>
      <c r="V42">
        <v>1.25</v>
      </c>
      <c r="W42">
        <v>1.25</v>
      </c>
      <c r="X42">
        <v>1.25</v>
      </c>
      <c r="Y42">
        <v>1.25</v>
      </c>
      <c r="Z42">
        <v>1.25</v>
      </c>
      <c r="AA42">
        <v>1.25</v>
      </c>
      <c r="AB42">
        <v>1.25</v>
      </c>
      <c r="AC42">
        <v>1.25</v>
      </c>
      <c r="AD42">
        <v>1.25</v>
      </c>
      <c r="AE42">
        <v>1.25</v>
      </c>
      <c r="AF42">
        <v>1.25</v>
      </c>
      <c r="AG42">
        <v>1.25</v>
      </c>
      <c r="AH42">
        <v>1.25</v>
      </c>
      <c r="AI42">
        <v>1.25</v>
      </c>
      <c r="AJ42">
        <v>1.25</v>
      </c>
      <c r="AK42">
        <v>1.25</v>
      </c>
      <c r="AL42">
        <v>1.25</v>
      </c>
      <c r="AM42">
        <v>1.25</v>
      </c>
      <c r="AN42">
        <v>1</v>
      </c>
      <c r="AO42">
        <v>1.25</v>
      </c>
      <c r="AP42">
        <v>1.25</v>
      </c>
      <c r="AQ42">
        <v>1.25</v>
      </c>
      <c r="AR42">
        <v>1.25</v>
      </c>
      <c r="AS42">
        <v>1.25</v>
      </c>
      <c r="AT42">
        <v>1.25</v>
      </c>
      <c r="AU42">
        <v>1.25</v>
      </c>
      <c r="AV42">
        <v>1.25</v>
      </c>
      <c r="AW42" t="s">
        <v>296</v>
      </c>
    </row>
    <row r="43" spans="1:49" ht="12.75">
      <c r="A43" t="s">
        <v>295</v>
      </c>
      <c r="B43" t="s">
        <v>289</v>
      </c>
      <c r="C43" t="s">
        <v>308</v>
      </c>
      <c r="D43" t="s">
        <v>51</v>
      </c>
      <c r="E43" t="s">
        <v>296</v>
      </c>
      <c r="F43" t="s">
        <v>83</v>
      </c>
      <c r="G43" t="s">
        <v>474</v>
      </c>
      <c r="H43" t="s">
        <v>296</v>
      </c>
      <c r="I43" t="s">
        <v>296</v>
      </c>
      <c r="J43" t="s">
        <v>296</v>
      </c>
      <c r="K43" t="s">
        <v>296</v>
      </c>
      <c r="L43">
        <v>1.25</v>
      </c>
      <c r="M43">
        <v>1.25</v>
      </c>
      <c r="N43">
        <v>1.25</v>
      </c>
      <c r="O43">
        <v>1.25</v>
      </c>
      <c r="P43">
        <v>1.25</v>
      </c>
      <c r="Q43">
        <v>1.25</v>
      </c>
      <c r="R43">
        <v>1.25</v>
      </c>
      <c r="S43">
        <v>1.25</v>
      </c>
      <c r="T43">
        <v>1.25</v>
      </c>
      <c r="U43">
        <v>1.25</v>
      </c>
      <c r="V43">
        <v>1.25</v>
      </c>
      <c r="W43">
        <v>1.25</v>
      </c>
      <c r="X43">
        <v>1.25</v>
      </c>
      <c r="Y43">
        <v>1.25</v>
      </c>
      <c r="Z43">
        <v>1.25</v>
      </c>
      <c r="AA43">
        <v>1.25</v>
      </c>
      <c r="AB43">
        <v>1.25</v>
      </c>
      <c r="AC43">
        <v>1.25</v>
      </c>
      <c r="AD43">
        <v>1.25</v>
      </c>
      <c r="AE43">
        <v>1.25</v>
      </c>
      <c r="AF43">
        <v>1.25</v>
      </c>
      <c r="AG43">
        <v>1.25</v>
      </c>
      <c r="AH43">
        <v>1.25</v>
      </c>
      <c r="AI43">
        <v>1.25</v>
      </c>
      <c r="AJ43">
        <v>1.25</v>
      </c>
      <c r="AK43">
        <v>1.25</v>
      </c>
      <c r="AL43">
        <v>1.25</v>
      </c>
      <c r="AM43">
        <v>1.25</v>
      </c>
      <c r="AN43">
        <v>1</v>
      </c>
      <c r="AO43">
        <v>1.25</v>
      </c>
      <c r="AP43">
        <v>1.25</v>
      </c>
      <c r="AQ43">
        <v>1.25</v>
      </c>
      <c r="AR43">
        <v>1.25</v>
      </c>
      <c r="AS43">
        <v>1.25</v>
      </c>
      <c r="AT43">
        <v>1.25</v>
      </c>
      <c r="AU43">
        <v>1.25</v>
      </c>
      <c r="AV43">
        <v>1.2987012987013</v>
      </c>
      <c r="AW43" t="s">
        <v>296</v>
      </c>
    </row>
    <row r="44" spans="1:49" ht="12.75">
      <c r="A44" t="s">
        <v>295</v>
      </c>
      <c r="B44" t="s">
        <v>289</v>
      </c>
      <c r="C44" t="s">
        <v>309</v>
      </c>
      <c r="D44" t="s">
        <v>37</v>
      </c>
      <c r="E44" t="s">
        <v>296</v>
      </c>
      <c r="F44" t="s">
        <v>83</v>
      </c>
      <c r="G44" t="s">
        <v>474</v>
      </c>
      <c r="H44" t="s">
        <v>296</v>
      </c>
      <c r="I44" t="s">
        <v>296</v>
      </c>
      <c r="J44" t="s">
        <v>296</v>
      </c>
      <c r="K44" t="s">
        <v>296</v>
      </c>
      <c r="L44">
        <v>1</v>
      </c>
      <c r="M44">
        <v>1</v>
      </c>
      <c r="N44">
        <v>1</v>
      </c>
      <c r="O44">
        <v>1.1764705882352899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1.13636363636364</v>
      </c>
      <c r="AW44" t="s">
        <v>296</v>
      </c>
    </row>
    <row r="45" spans="1:49" ht="12.75">
      <c r="A45" t="s">
        <v>295</v>
      </c>
      <c r="B45" t="s">
        <v>289</v>
      </c>
      <c r="C45" t="s">
        <v>310</v>
      </c>
      <c r="D45" t="s">
        <v>38</v>
      </c>
      <c r="E45" t="s">
        <v>296</v>
      </c>
      <c r="F45" t="s">
        <v>83</v>
      </c>
      <c r="G45" t="s">
        <v>474</v>
      </c>
      <c r="H45" t="s">
        <v>296</v>
      </c>
      <c r="I45" t="s">
        <v>296</v>
      </c>
      <c r="J45" t="s">
        <v>296</v>
      </c>
      <c r="K45" t="s">
        <v>296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</v>
      </c>
      <c r="AO45">
        <v>1.25</v>
      </c>
      <c r="AP45">
        <v>1.25</v>
      </c>
      <c r="AQ45">
        <v>1.25</v>
      </c>
      <c r="AR45">
        <v>1.25</v>
      </c>
      <c r="AS45">
        <v>1.25</v>
      </c>
      <c r="AT45">
        <v>1.25</v>
      </c>
      <c r="AU45">
        <v>1.25</v>
      </c>
      <c r="AV45">
        <v>1.14942528735632</v>
      </c>
      <c r="AW45" t="s">
        <v>296</v>
      </c>
    </row>
    <row r="46" spans="1:49" ht="12.75">
      <c r="A46" t="s">
        <v>295</v>
      </c>
      <c r="B46" t="s">
        <v>289</v>
      </c>
      <c r="C46" t="s">
        <v>311</v>
      </c>
      <c r="D46" t="s">
        <v>43</v>
      </c>
      <c r="E46" t="s">
        <v>296</v>
      </c>
      <c r="F46" t="s">
        <v>83</v>
      </c>
      <c r="G46" t="s">
        <v>474</v>
      </c>
      <c r="H46" t="s">
        <v>296</v>
      </c>
      <c r="I46" t="s">
        <v>296</v>
      </c>
      <c r="J46" t="s">
        <v>296</v>
      </c>
      <c r="K46" t="s">
        <v>296</v>
      </c>
      <c r="L46">
        <v>1.25</v>
      </c>
      <c r="M46">
        <v>1.25</v>
      </c>
      <c r="N46">
        <v>1.25</v>
      </c>
      <c r="O46">
        <v>1.2195121951219501</v>
      </c>
      <c r="P46">
        <v>1.25</v>
      </c>
      <c r="Q46">
        <v>1.25</v>
      </c>
      <c r="R46">
        <v>1.25</v>
      </c>
      <c r="S46">
        <v>1.25</v>
      </c>
      <c r="T46">
        <v>1.25</v>
      </c>
      <c r="U46">
        <v>1.25</v>
      </c>
      <c r="V46">
        <v>1.25</v>
      </c>
      <c r="W46">
        <v>1.25</v>
      </c>
      <c r="X46">
        <v>1.25</v>
      </c>
      <c r="Y46">
        <v>1.25</v>
      </c>
      <c r="Z46">
        <v>1.25</v>
      </c>
      <c r="AA46">
        <v>1.25</v>
      </c>
      <c r="AB46">
        <v>1.25</v>
      </c>
      <c r="AC46">
        <v>1.25</v>
      </c>
      <c r="AD46">
        <v>1.25</v>
      </c>
      <c r="AE46">
        <v>1.25</v>
      </c>
      <c r="AF46">
        <v>1.25</v>
      </c>
      <c r="AG46">
        <v>1.25</v>
      </c>
      <c r="AH46">
        <v>1.25</v>
      </c>
      <c r="AI46">
        <v>1.25</v>
      </c>
      <c r="AJ46">
        <v>1.25</v>
      </c>
      <c r="AK46">
        <v>1.25</v>
      </c>
      <c r="AL46">
        <v>1.25</v>
      </c>
      <c r="AM46">
        <v>1.25</v>
      </c>
      <c r="AN46">
        <v>1</v>
      </c>
      <c r="AO46">
        <v>1.25</v>
      </c>
      <c r="AP46">
        <v>1.25</v>
      </c>
      <c r="AQ46">
        <v>1.25</v>
      </c>
      <c r="AR46">
        <v>1.25</v>
      </c>
      <c r="AS46">
        <v>1.25</v>
      </c>
      <c r="AT46">
        <v>1.25</v>
      </c>
      <c r="AU46">
        <v>1.25</v>
      </c>
      <c r="AV46">
        <v>1.1764705882352899</v>
      </c>
      <c r="AW46" t="s">
        <v>296</v>
      </c>
    </row>
    <row r="47" spans="1:49" ht="12.75">
      <c r="A47" t="s">
        <v>295</v>
      </c>
      <c r="B47" t="s">
        <v>289</v>
      </c>
      <c r="C47" t="s">
        <v>312</v>
      </c>
      <c r="D47" t="s">
        <v>39</v>
      </c>
      <c r="E47" t="s">
        <v>296</v>
      </c>
      <c r="F47" t="s">
        <v>83</v>
      </c>
      <c r="G47" t="s">
        <v>474</v>
      </c>
      <c r="H47" t="s">
        <v>296</v>
      </c>
      <c r="I47" t="s">
        <v>296</v>
      </c>
      <c r="J47" t="s">
        <v>296</v>
      </c>
      <c r="K47" t="s">
        <v>296</v>
      </c>
      <c r="L47">
        <v>1.25</v>
      </c>
      <c r="M47">
        <v>1.25</v>
      </c>
      <c r="N47">
        <v>1.25</v>
      </c>
      <c r="O47">
        <v>1.2195121951219501</v>
      </c>
      <c r="P47">
        <v>1.25</v>
      </c>
      <c r="Q47">
        <v>1.25</v>
      </c>
      <c r="R47">
        <v>1.25</v>
      </c>
      <c r="S47">
        <v>1.25</v>
      </c>
      <c r="T47">
        <v>1.25</v>
      </c>
      <c r="U47">
        <v>1.25</v>
      </c>
      <c r="V47">
        <v>1.25</v>
      </c>
      <c r="W47">
        <v>1.25</v>
      </c>
      <c r="X47">
        <v>1.25</v>
      </c>
      <c r="Y47">
        <v>1.25</v>
      </c>
      <c r="Z47">
        <v>1.25</v>
      </c>
      <c r="AA47">
        <v>1.25</v>
      </c>
      <c r="AB47">
        <v>1.25</v>
      </c>
      <c r="AC47">
        <v>1.25</v>
      </c>
      <c r="AD47">
        <v>1.25</v>
      </c>
      <c r="AE47">
        <v>1.25</v>
      </c>
      <c r="AF47">
        <v>1.25</v>
      </c>
      <c r="AG47">
        <v>1.25</v>
      </c>
      <c r="AH47">
        <v>1.25</v>
      </c>
      <c r="AI47">
        <v>1.25</v>
      </c>
      <c r="AJ47">
        <v>1.25</v>
      </c>
      <c r="AK47">
        <v>1.25</v>
      </c>
      <c r="AL47">
        <v>1.25</v>
      </c>
      <c r="AM47">
        <v>1.25</v>
      </c>
      <c r="AN47">
        <v>1</v>
      </c>
      <c r="AO47">
        <v>1.25</v>
      </c>
      <c r="AP47">
        <v>1.25</v>
      </c>
      <c r="AQ47">
        <v>1.25</v>
      </c>
      <c r="AR47">
        <v>1.25</v>
      </c>
      <c r="AS47">
        <v>1.25</v>
      </c>
      <c r="AT47">
        <v>1.25</v>
      </c>
      <c r="AU47">
        <v>1.25</v>
      </c>
      <c r="AV47">
        <v>1.2195121951219501</v>
      </c>
      <c r="AW47" t="s">
        <v>296</v>
      </c>
    </row>
    <row r="48" spans="1:49" ht="12.75">
      <c r="A48" t="s">
        <v>295</v>
      </c>
      <c r="B48" t="s">
        <v>289</v>
      </c>
      <c r="C48" t="s">
        <v>313</v>
      </c>
      <c r="D48" t="s">
        <v>44</v>
      </c>
      <c r="E48" t="s">
        <v>296</v>
      </c>
      <c r="F48" t="s">
        <v>83</v>
      </c>
      <c r="G48" t="s">
        <v>474</v>
      </c>
      <c r="H48" t="s">
        <v>296</v>
      </c>
      <c r="I48" t="s">
        <v>296</v>
      </c>
      <c r="J48" t="s">
        <v>296</v>
      </c>
      <c r="K48" t="s">
        <v>296</v>
      </c>
      <c r="L48">
        <v>1.25</v>
      </c>
      <c r="M48">
        <v>1.25</v>
      </c>
      <c r="N48">
        <v>1.25</v>
      </c>
      <c r="O48">
        <v>1.2195121951219501</v>
      </c>
      <c r="P48">
        <v>1.25</v>
      </c>
      <c r="Q48">
        <v>1.25</v>
      </c>
      <c r="R48">
        <v>1.25</v>
      </c>
      <c r="S48">
        <v>1.25</v>
      </c>
      <c r="T48">
        <v>1.25</v>
      </c>
      <c r="U48">
        <v>1.25</v>
      </c>
      <c r="V48">
        <v>1.25</v>
      </c>
      <c r="W48">
        <v>1.25</v>
      </c>
      <c r="X48">
        <v>1.25</v>
      </c>
      <c r="Y48">
        <v>1.25</v>
      </c>
      <c r="Z48">
        <v>1.25</v>
      </c>
      <c r="AA48">
        <v>1.25</v>
      </c>
      <c r="AB48">
        <v>1.25</v>
      </c>
      <c r="AC48">
        <v>1.25</v>
      </c>
      <c r="AD48">
        <v>1.25</v>
      </c>
      <c r="AE48">
        <v>1.25</v>
      </c>
      <c r="AF48">
        <v>1.25</v>
      </c>
      <c r="AG48">
        <v>1.25</v>
      </c>
      <c r="AH48">
        <v>1.25</v>
      </c>
      <c r="AI48">
        <v>1.25</v>
      </c>
      <c r="AJ48">
        <v>1.25</v>
      </c>
      <c r="AK48">
        <v>1.25</v>
      </c>
      <c r="AL48">
        <v>1.25</v>
      </c>
      <c r="AM48">
        <v>1.25</v>
      </c>
      <c r="AN48">
        <v>1</v>
      </c>
      <c r="AO48">
        <v>1.25</v>
      </c>
      <c r="AP48">
        <v>1.25</v>
      </c>
      <c r="AQ48">
        <v>1.25</v>
      </c>
      <c r="AR48">
        <v>1.25</v>
      </c>
      <c r="AS48">
        <v>1.25</v>
      </c>
      <c r="AT48">
        <v>1.25</v>
      </c>
      <c r="AU48">
        <v>1.25</v>
      </c>
      <c r="AV48">
        <v>1.2195121951219501</v>
      </c>
      <c r="AW48" t="s">
        <v>296</v>
      </c>
    </row>
    <row r="49" spans="1:49" ht="12.75">
      <c r="A49" t="s">
        <v>295</v>
      </c>
      <c r="B49" t="s">
        <v>289</v>
      </c>
      <c r="C49" t="s">
        <v>314</v>
      </c>
      <c r="D49" t="s">
        <v>410</v>
      </c>
      <c r="E49" t="s">
        <v>296</v>
      </c>
      <c r="F49" t="s">
        <v>83</v>
      </c>
      <c r="G49" t="s">
        <v>474</v>
      </c>
      <c r="H49" t="s">
        <v>296</v>
      </c>
      <c r="I49" t="s">
        <v>296</v>
      </c>
      <c r="J49" t="s">
        <v>296</v>
      </c>
      <c r="K49" t="s">
        <v>296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 t="s">
        <v>296</v>
      </c>
    </row>
    <row r="50" spans="1:49" ht="12.75">
      <c r="A50" t="s">
        <v>295</v>
      </c>
      <c r="B50" t="s">
        <v>289</v>
      </c>
      <c r="C50" t="s">
        <v>314</v>
      </c>
      <c r="D50" t="s">
        <v>155</v>
      </c>
      <c r="E50" t="s">
        <v>296</v>
      </c>
      <c r="F50" t="s">
        <v>83</v>
      </c>
      <c r="G50" t="s">
        <v>474</v>
      </c>
      <c r="H50" t="s">
        <v>296</v>
      </c>
      <c r="I50" t="s">
        <v>296</v>
      </c>
      <c r="J50" t="s">
        <v>296</v>
      </c>
      <c r="K50" t="s">
        <v>296</v>
      </c>
      <c r="L50">
        <v>1.25</v>
      </c>
      <c r="M50">
        <v>1.25</v>
      </c>
      <c r="N50">
        <v>1.25</v>
      </c>
      <c r="O50">
        <v>1.25</v>
      </c>
      <c r="P50">
        <v>1.25</v>
      </c>
      <c r="Q50">
        <v>1.25</v>
      </c>
      <c r="R50">
        <v>1.25</v>
      </c>
      <c r="S50">
        <v>1.25</v>
      </c>
      <c r="T50">
        <v>1.25</v>
      </c>
      <c r="U50">
        <v>1.25</v>
      </c>
      <c r="V50">
        <v>1.25</v>
      </c>
      <c r="W50">
        <v>1.25</v>
      </c>
      <c r="X50">
        <v>1.25</v>
      </c>
      <c r="Y50">
        <v>1.25</v>
      </c>
      <c r="Z50">
        <v>1.25</v>
      </c>
      <c r="AA50">
        <v>1.25</v>
      </c>
      <c r="AB50">
        <v>1.25</v>
      </c>
      <c r="AC50">
        <v>1.25</v>
      </c>
      <c r="AD50">
        <v>1.25</v>
      </c>
      <c r="AE50">
        <v>1.25</v>
      </c>
      <c r="AF50">
        <v>1.25</v>
      </c>
      <c r="AG50">
        <v>1.25</v>
      </c>
      <c r="AH50">
        <v>1.25</v>
      </c>
      <c r="AI50">
        <v>1.25</v>
      </c>
      <c r="AJ50">
        <v>1.25</v>
      </c>
      <c r="AK50">
        <v>1.25</v>
      </c>
      <c r="AL50">
        <v>1.25</v>
      </c>
      <c r="AM50">
        <v>1.25</v>
      </c>
      <c r="AN50">
        <v>1.25</v>
      </c>
      <c r="AO50">
        <v>1.25</v>
      </c>
      <c r="AP50">
        <v>1.25</v>
      </c>
      <c r="AQ50">
        <v>1.25</v>
      </c>
      <c r="AR50">
        <v>1.25</v>
      </c>
      <c r="AS50">
        <v>1.25</v>
      </c>
      <c r="AT50">
        <v>1.25</v>
      </c>
      <c r="AU50">
        <v>1.25</v>
      </c>
      <c r="AV50">
        <v>1.25</v>
      </c>
      <c r="AW50" t="s">
        <v>296</v>
      </c>
    </row>
    <row r="51" spans="1:49" ht="12.75">
      <c r="A51" t="s">
        <v>295</v>
      </c>
      <c r="B51" t="s">
        <v>289</v>
      </c>
      <c r="C51" t="s">
        <v>315</v>
      </c>
      <c r="D51" t="s">
        <v>410</v>
      </c>
      <c r="E51" t="s">
        <v>296</v>
      </c>
      <c r="F51" t="s">
        <v>83</v>
      </c>
      <c r="G51" t="s">
        <v>474</v>
      </c>
      <c r="H51" t="s">
        <v>296</v>
      </c>
      <c r="I51" t="s">
        <v>296</v>
      </c>
      <c r="J51" t="s">
        <v>296</v>
      </c>
      <c r="K51" t="s">
        <v>296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 t="s">
        <v>296</v>
      </c>
    </row>
    <row r="52" spans="1:49" ht="12.75">
      <c r="A52" t="s">
        <v>295</v>
      </c>
      <c r="B52" t="s">
        <v>289</v>
      </c>
      <c r="C52" t="s">
        <v>315</v>
      </c>
      <c r="D52" t="s">
        <v>49</v>
      </c>
      <c r="E52" t="s">
        <v>296</v>
      </c>
      <c r="F52" t="s">
        <v>83</v>
      </c>
      <c r="G52" t="s">
        <v>474</v>
      </c>
      <c r="H52" t="s">
        <v>296</v>
      </c>
      <c r="I52" t="s">
        <v>296</v>
      </c>
      <c r="J52" t="s">
        <v>296</v>
      </c>
      <c r="K52" t="s">
        <v>296</v>
      </c>
      <c r="L52">
        <v>1.25</v>
      </c>
      <c r="M52">
        <v>1.25</v>
      </c>
      <c r="N52">
        <v>1.25</v>
      </c>
      <c r="O52">
        <v>1.25</v>
      </c>
      <c r="P52">
        <v>1.25</v>
      </c>
      <c r="Q52">
        <v>1.25</v>
      </c>
      <c r="R52">
        <v>1.25</v>
      </c>
      <c r="S52">
        <v>1.25</v>
      </c>
      <c r="T52">
        <v>1.25</v>
      </c>
      <c r="U52">
        <v>1.25</v>
      </c>
      <c r="V52">
        <v>1.25</v>
      </c>
      <c r="W52">
        <v>1.25</v>
      </c>
      <c r="X52">
        <v>1.25</v>
      </c>
      <c r="Y52">
        <v>1.25</v>
      </c>
      <c r="Z52">
        <v>1.25</v>
      </c>
      <c r="AA52">
        <v>1.25</v>
      </c>
      <c r="AB52">
        <v>1.25</v>
      </c>
      <c r="AC52">
        <v>1.25</v>
      </c>
      <c r="AD52">
        <v>1.25</v>
      </c>
      <c r="AE52">
        <v>1.25</v>
      </c>
      <c r="AF52">
        <v>1.25</v>
      </c>
      <c r="AG52">
        <v>1.25</v>
      </c>
      <c r="AH52">
        <v>1.25</v>
      </c>
      <c r="AI52">
        <v>1.25</v>
      </c>
      <c r="AJ52">
        <v>1.25</v>
      </c>
      <c r="AK52">
        <v>1.25</v>
      </c>
      <c r="AL52">
        <v>1.25</v>
      </c>
      <c r="AM52">
        <v>1.25</v>
      </c>
      <c r="AN52">
        <v>1.25</v>
      </c>
      <c r="AO52">
        <v>1.25</v>
      </c>
      <c r="AP52">
        <v>1.25</v>
      </c>
      <c r="AQ52">
        <v>1.25</v>
      </c>
      <c r="AR52">
        <v>1.25</v>
      </c>
      <c r="AS52">
        <v>1.25</v>
      </c>
      <c r="AT52">
        <v>1.25</v>
      </c>
      <c r="AU52">
        <v>1.25</v>
      </c>
      <c r="AV52">
        <v>1.25</v>
      </c>
      <c r="AW52" t="s">
        <v>296</v>
      </c>
    </row>
    <row r="53" spans="1:49" ht="12.75">
      <c r="A53" t="s">
        <v>295</v>
      </c>
      <c r="B53" t="s">
        <v>289</v>
      </c>
      <c r="C53" t="s">
        <v>316</v>
      </c>
      <c r="D53" t="s">
        <v>410</v>
      </c>
      <c r="E53" t="s">
        <v>296</v>
      </c>
      <c r="F53" t="s">
        <v>83</v>
      </c>
      <c r="G53" t="s">
        <v>474</v>
      </c>
      <c r="H53" t="s">
        <v>296</v>
      </c>
      <c r="I53" t="s">
        <v>296</v>
      </c>
      <c r="J53" t="s">
        <v>296</v>
      </c>
      <c r="K53" t="s">
        <v>296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 t="s">
        <v>296</v>
      </c>
    </row>
    <row r="54" spans="1:49" ht="12.75">
      <c r="A54" t="s">
        <v>295</v>
      </c>
      <c r="B54" t="s">
        <v>289</v>
      </c>
      <c r="C54" t="s">
        <v>316</v>
      </c>
      <c r="D54" t="s">
        <v>51</v>
      </c>
      <c r="E54" t="s">
        <v>296</v>
      </c>
      <c r="F54" t="s">
        <v>83</v>
      </c>
      <c r="G54" t="s">
        <v>474</v>
      </c>
      <c r="H54" t="s">
        <v>296</v>
      </c>
      <c r="I54" t="s">
        <v>296</v>
      </c>
      <c r="J54" t="s">
        <v>296</v>
      </c>
      <c r="K54" t="s">
        <v>296</v>
      </c>
      <c r="L54">
        <v>1.25</v>
      </c>
      <c r="M54">
        <v>1.25</v>
      </c>
      <c r="N54">
        <v>1.25</v>
      </c>
      <c r="O54">
        <v>1.25</v>
      </c>
      <c r="P54">
        <v>1.25</v>
      </c>
      <c r="Q54">
        <v>1.25</v>
      </c>
      <c r="R54">
        <v>1.25</v>
      </c>
      <c r="S54">
        <v>1.25</v>
      </c>
      <c r="T54">
        <v>1.25</v>
      </c>
      <c r="U54">
        <v>1.25</v>
      </c>
      <c r="V54">
        <v>1.25</v>
      </c>
      <c r="W54">
        <v>1.25</v>
      </c>
      <c r="X54">
        <v>1.25</v>
      </c>
      <c r="Y54">
        <v>1.25</v>
      </c>
      <c r="Z54">
        <v>1.25</v>
      </c>
      <c r="AA54">
        <v>1.25</v>
      </c>
      <c r="AB54">
        <v>1.25</v>
      </c>
      <c r="AC54">
        <v>1.25</v>
      </c>
      <c r="AD54">
        <v>1.25</v>
      </c>
      <c r="AE54">
        <v>1.25</v>
      </c>
      <c r="AF54">
        <v>1.25</v>
      </c>
      <c r="AG54">
        <v>1.25</v>
      </c>
      <c r="AH54">
        <v>1.25</v>
      </c>
      <c r="AI54">
        <v>1.25</v>
      </c>
      <c r="AJ54">
        <v>1.25</v>
      </c>
      <c r="AK54">
        <v>1.25</v>
      </c>
      <c r="AL54">
        <v>1.25</v>
      </c>
      <c r="AM54">
        <v>1.25</v>
      </c>
      <c r="AN54">
        <v>1.25</v>
      </c>
      <c r="AO54">
        <v>1.25</v>
      </c>
      <c r="AP54">
        <v>1.25</v>
      </c>
      <c r="AQ54">
        <v>1.25</v>
      </c>
      <c r="AR54">
        <v>1.25</v>
      </c>
      <c r="AS54">
        <v>1.25</v>
      </c>
      <c r="AT54">
        <v>1.25</v>
      </c>
      <c r="AU54">
        <v>1.25</v>
      </c>
      <c r="AV54">
        <v>1.25</v>
      </c>
      <c r="AW54" t="s">
        <v>296</v>
      </c>
    </row>
    <row r="55" spans="1:49" ht="12.75">
      <c r="A55" t="s">
        <v>295</v>
      </c>
      <c r="B55" t="s">
        <v>289</v>
      </c>
      <c r="C55" t="s">
        <v>317</v>
      </c>
      <c r="D55" t="s">
        <v>410</v>
      </c>
      <c r="E55" t="s">
        <v>296</v>
      </c>
      <c r="F55" t="s">
        <v>83</v>
      </c>
      <c r="G55" t="s">
        <v>474</v>
      </c>
      <c r="H55" t="s">
        <v>296</v>
      </c>
      <c r="I55" t="s">
        <v>296</v>
      </c>
      <c r="J55" t="s">
        <v>296</v>
      </c>
      <c r="K55" t="s">
        <v>296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 t="s">
        <v>296</v>
      </c>
    </row>
    <row r="56" spans="1:49" ht="12.75">
      <c r="A56" t="s">
        <v>295</v>
      </c>
      <c r="B56" t="s">
        <v>289</v>
      </c>
      <c r="C56" t="s">
        <v>317</v>
      </c>
      <c r="D56" t="s">
        <v>37</v>
      </c>
      <c r="E56" t="s">
        <v>296</v>
      </c>
      <c r="F56" t="s">
        <v>83</v>
      </c>
      <c r="G56" t="s">
        <v>474</v>
      </c>
      <c r="H56" t="s">
        <v>296</v>
      </c>
      <c r="I56" t="s">
        <v>296</v>
      </c>
      <c r="J56" t="s">
        <v>296</v>
      </c>
      <c r="K56" t="s">
        <v>296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 t="s">
        <v>296</v>
      </c>
    </row>
    <row r="57" spans="1:49" ht="12.75">
      <c r="A57" t="s">
        <v>295</v>
      </c>
      <c r="B57" t="s">
        <v>289</v>
      </c>
      <c r="C57" t="s">
        <v>318</v>
      </c>
      <c r="D57" t="s">
        <v>410</v>
      </c>
      <c r="E57" t="s">
        <v>296</v>
      </c>
      <c r="F57" t="s">
        <v>83</v>
      </c>
      <c r="G57" t="s">
        <v>474</v>
      </c>
      <c r="H57" t="s">
        <v>296</v>
      </c>
      <c r="I57" t="s">
        <v>296</v>
      </c>
      <c r="J57" t="s">
        <v>296</v>
      </c>
      <c r="K57" t="s">
        <v>296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 t="s">
        <v>296</v>
      </c>
    </row>
    <row r="58" spans="1:49" ht="12.75">
      <c r="A58" t="s">
        <v>295</v>
      </c>
      <c r="B58" t="s">
        <v>289</v>
      </c>
      <c r="C58" t="s">
        <v>318</v>
      </c>
      <c r="D58" t="s">
        <v>38</v>
      </c>
      <c r="E58" t="s">
        <v>296</v>
      </c>
      <c r="F58" t="s">
        <v>83</v>
      </c>
      <c r="G58" t="s">
        <v>474</v>
      </c>
      <c r="H58" t="s">
        <v>296</v>
      </c>
      <c r="I58" t="s">
        <v>296</v>
      </c>
      <c r="J58" t="s">
        <v>296</v>
      </c>
      <c r="K58" t="s">
        <v>296</v>
      </c>
      <c r="L58">
        <v>1.25</v>
      </c>
      <c r="M58">
        <v>1.25</v>
      </c>
      <c r="N58">
        <v>1.25</v>
      </c>
      <c r="O58">
        <v>1.25</v>
      </c>
      <c r="P58">
        <v>1.25</v>
      </c>
      <c r="Q58">
        <v>1.25</v>
      </c>
      <c r="R58">
        <v>1.25</v>
      </c>
      <c r="S58">
        <v>1.25</v>
      </c>
      <c r="T58">
        <v>1.25</v>
      </c>
      <c r="U58">
        <v>1.25</v>
      </c>
      <c r="V58">
        <v>1.25</v>
      </c>
      <c r="W58">
        <v>1.25</v>
      </c>
      <c r="X58">
        <v>1.25</v>
      </c>
      <c r="Y58">
        <v>1.25</v>
      </c>
      <c r="Z58">
        <v>1.25</v>
      </c>
      <c r="AA58">
        <v>1.25</v>
      </c>
      <c r="AB58">
        <v>1.25</v>
      </c>
      <c r="AC58">
        <v>1.25</v>
      </c>
      <c r="AD58">
        <v>1.25</v>
      </c>
      <c r="AE58">
        <v>1.25</v>
      </c>
      <c r="AF58">
        <v>1.25</v>
      </c>
      <c r="AG58">
        <v>1.25</v>
      </c>
      <c r="AH58">
        <v>1.25</v>
      </c>
      <c r="AI58">
        <v>1.25</v>
      </c>
      <c r="AJ58">
        <v>1.25</v>
      </c>
      <c r="AK58">
        <v>1.25</v>
      </c>
      <c r="AL58">
        <v>1.25</v>
      </c>
      <c r="AM58">
        <v>1.25</v>
      </c>
      <c r="AN58">
        <v>1.2345679012345701</v>
      </c>
      <c r="AO58">
        <v>1.25</v>
      </c>
      <c r="AP58">
        <v>1.25</v>
      </c>
      <c r="AQ58">
        <v>1.25</v>
      </c>
      <c r="AR58">
        <v>1.25</v>
      </c>
      <c r="AS58">
        <v>1.25</v>
      </c>
      <c r="AT58">
        <v>1.25</v>
      </c>
      <c r="AU58">
        <v>1.25</v>
      </c>
      <c r="AV58">
        <v>1.0869565217391299</v>
      </c>
      <c r="AW58" t="s">
        <v>296</v>
      </c>
    </row>
    <row r="59" spans="1:49" ht="12.75">
      <c r="A59" t="s">
        <v>295</v>
      </c>
      <c r="B59" t="s">
        <v>289</v>
      </c>
      <c r="C59" t="s">
        <v>319</v>
      </c>
      <c r="D59" t="s">
        <v>410</v>
      </c>
      <c r="E59" t="s">
        <v>296</v>
      </c>
      <c r="F59" t="s">
        <v>83</v>
      </c>
      <c r="G59" t="s">
        <v>474</v>
      </c>
      <c r="H59" t="s">
        <v>296</v>
      </c>
      <c r="I59" t="s">
        <v>296</v>
      </c>
      <c r="J59" t="s">
        <v>296</v>
      </c>
      <c r="K59" t="s">
        <v>296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 t="s">
        <v>296</v>
      </c>
    </row>
    <row r="60" spans="1:49" ht="12.75">
      <c r="A60" t="s">
        <v>295</v>
      </c>
      <c r="B60" t="s">
        <v>289</v>
      </c>
      <c r="C60" t="s">
        <v>319</v>
      </c>
      <c r="D60" t="s">
        <v>43</v>
      </c>
      <c r="E60" t="s">
        <v>296</v>
      </c>
      <c r="F60" t="s">
        <v>83</v>
      </c>
      <c r="G60" t="s">
        <v>474</v>
      </c>
      <c r="H60" t="s">
        <v>296</v>
      </c>
      <c r="I60" t="s">
        <v>296</v>
      </c>
      <c r="J60" t="s">
        <v>296</v>
      </c>
      <c r="K60" t="s">
        <v>296</v>
      </c>
      <c r="L60">
        <v>1.25</v>
      </c>
      <c r="M60">
        <v>1.25</v>
      </c>
      <c r="N60">
        <v>1.25</v>
      </c>
      <c r="O60">
        <v>1.25</v>
      </c>
      <c r="P60">
        <v>1.25</v>
      </c>
      <c r="Q60">
        <v>1.25</v>
      </c>
      <c r="R60">
        <v>1.25</v>
      </c>
      <c r="S60">
        <v>1.25</v>
      </c>
      <c r="T60">
        <v>1.25</v>
      </c>
      <c r="U60">
        <v>1.25</v>
      </c>
      <c r="V60">
        <v>1.25</v>
      </c>
      <c r="W60">
        <v>1.25</v>
      </c>
      <c r="X60">
        <v>1.25</v>
      </c>
      <c r="Y60">
        <v>1.25</v>
      </c>
      <c r="Z60">
        <v>1.25</v>
      </c>
      <c r="AA60">
        <v>1.25</v>
      </c>
      <c r="AB60">
        <v>1.25</v>
      </c>
      <c r="AC60">
        <v>1.25</v>
      </c>
      <c r="AD60">
        <v>1.25</v>
      </c>
      <c r="AE60">
        <v>1.25</v>
      </c>
      <c r="AF60">
        <v>1.25</v>
      </c>
      <c r="AG60">
        <v>1.25</v>
      </c>
      <c r="AH60">
        <v>1.25</v>
      </c>
      <c r="AI60">
        <v>1.25</v>
      </c>
      <c r="AJ60">
        <v>1.25</v>
      </c>
      <c r="AK60">
        <v>1.25</v>
      </c>
      <c r="AL60">
        <v>1.25</v>
      </c>
      <c r="AM60">
        <v>1.25</v>
      </c>
      <c r="AN60">
        <v>1.2345679012345701</v>
      </c>
      <c r="AO60">
        <v>1.25</v>
      </c>
      <c r="AP60">
        <v>1.25</v>
      </c>
      <c r="AQ60">
        <v>1.25</v>
      </c>
      <c r="AR60">
        <v>1.25</v>
      </c>
      <c r="AS60">
        <v>1.25</v>
      </c>
      <c r="AT60">
        <v>1.25</v>
      </c>
      <c r="AU60">
        <v>1.25</v>
      </c>
      <c r="AV60">
        <v>1.13636363636364</v>
      </c>
      <c r="AW60" t="s">
        <v>296</v>
      </c>
    </row>
    <row r="61" spans="1:49" ht="12.75">
      <c r="A61" t="s">
        <v>295</v>
      </c>
      <c r="B61" t="s">
        <v>289</v>
      </c>
      <c r="C61" t="s">
        <v>320</v>
      </c>
      <c r="D61" t="s">
        <v>410</v>
      </c>
      <c r="E61" t="s">
        <v>296</v>
      </c>
      <c r="F61" t="s">
        <v>83</v>
      </c>
      <c r="G61" t="s">
        <v>474</v>
      </c>
      <c r="H61" t="s">
        <v>296</v>
      </c>
      <c r="I61" t="s">
        <v>296</v>
      </c>
      <c r="J61" t="s">
        <v>296</v>
      </c>
      <c r="K61" t="s">
        <v>296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 t="s">
        <v>296</v>
      </c>
    </row>
    <row r="62" spans="1:49" ht="12.75">
      <c r="A62" t="s">
        <v>295</v>
      </c>
      <c r="B62" t="s">
        <v>289</v>
      </c>
      <c r="C62" t="s">
        <v>320</v>
      </c>
      <c r="D62" t="s">
        <v>114</v>
      </c>
      <c r="E62" t="s">
        <v>296</v>
      </c>
      <c r="F62" t="s">
        <v>83</v>
      </c>
      <c r="G62" t="s">
        <v>474</v>
      </c>
      <c r="H62" t="s">
        <v>296</v>
      </c>
      <c r="I62" t="s">
        <v>296</v>
      </c>
      <c r="J62" t="s">
        <v>296</v>
      </c>
      <c r="K62" t="s">
        <v>296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 t="s">
        <v>296</v>
      </c>
    </row>
    <row r="63" spans="1:49" ht="12.75">
      <c r="A63" t="s">
        <v>295</v>
      </c>
      <c r="B63" t="s">
        <v>289</v>
      </c>
      <c r="C63" t="s">
        <v>321</v>
      </c>
      <c r="D63" t="s">
        <v>410</v>
      </c>
      <c r="E63" t="s">
        <v>296</v>
      </c>
      <c r="F63" t="s">
        <v>83</v>
      </c>
      <c r="G63" t="s">
        <v>474</v>
      </c>
      <c r="H63" t="s">
        <v>296</v>
      </c>
      <c r="I63" t="s">
        <v>296</v>
      </c>
      <c r="J63" t="s">
        <v>296</v>
      </c>
      <c r="K63" t="s">
        <v>296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 t="s">
        <v>296</v>
      </c>
    </row>
    <row r="64" spans="1:49" ht="12.75">
      <c r="A64" t="s">
        <v>295</v>
      </c>
      <c r="B64" t="s">
        <v>289</v>
      </c>
      <c r="C64" t="s">
        <v>321</v>
      </c>
      <c r="D64" t="s">
        <v>39</v>
      </c>
      <c r="E64" t="s">
        <v>296</v>
      </c>
      <c r="F64" t="s">
        <v>83</v>
      </c>
      <c r="G64" t="s">
        <v>474</v>
      </c>
      <c r="H64" t="s">
        <v>296</v>
      </c>
      <c r="I64" t="s">
        <v>296</v>
      </c>
      <c r="J64" t="s">
        <v>296</v>
      </c>
      <c r="K64" t="s">
        <v>296</v>
      </c>
      <c r="L64">
        <v>1.25</v>
      </c>
      <c r="M64">
        <v>1.25</v>
      </c>
      <c r="N64">
        <v>1.25</v>
      </c>
      <c r="O64">
        <v>1.25</v>
      </c>
      <c r="P64">
        <v>1.25</v>
      </c>
      <c r="Q64">
        <v>1.25</v>
      </c>
      <c r="R64">
        <v>1.25</v>
      </c>
      <c r="S64">
        <v>1.25</v>
      </c>
      <c r="T64">
        <v>1.25</v>
      </c>
      <c r="U64">
        <v>1.25</v>
      </c>
      <c r="V64">
        <v>1.25</v>
      </c>
      <c r="W64">
        <v>1.25</v>
      </c>
      <c r="X64">
        <v>1.25</v>
      </c>
      <c r="Y64">
        <v>1.25</v>
      </c>
      <c r="Z64">
        <v>1.25</v>
      </c>
      <c r="AA64">
        <v>1.25</v>
      </c>
      <c r="AB64">
        <v>1.25</v>
      </c>
      <c r="AC64">
        <v>1.25</v>
      </c>
      <c r="AD64">
        <v>1.25</v>
      </c>
      <c r="AE64">
        <v>1.25</v>
      </c>
      <c r="AF64">
        <v>1.25</v>
      </c>
      <c r="AG64">
        <v>1.25</v>
      </c>
      <c r="AH64">
        <v>1.25</v>
      </c>
      <c r="AI64">
        <v>1.25</v>
      </c>
      <c r="AJ64">
        <v>1.25</v>
      </c>
      <c r="AK64">
        <v>1.25</v>
      </c>
      <c r="AL64">
        <v>1.25</v>
      </c>
      <c r="AM64">
        <v>1.25</v>
      </c>
      <c r="AN64">
        <v>1.2345679012345701</v>
      </c>
      <c r="AO64">
        <v>1.25</v>
      </c>
      <c r="AP64">
        <v>1.25</v>
      </c>
      <c r="AQ64">
        <v>1.25</v>
      </c>
      <c r="AR64">
        <v>1.25</v>
      </c>
      <c r="AS64">
        <v>1.25</v>
      </c>
      <c r="AT64">
        <v>1.25</v>
      </c>
      <c r="AU64">
        <v>1.25</v>
      </c>
      <c r="AV64">
        <v>1.1111111111111101</v>
      </c>
      <c r="AW64" t="s">
        <v>296</v>
      </c>
    </row>
    <row r="65" spans="1:49" ht="12.75">
      <c r="A65" t="s">
        <v>295</v>
      </c>
      <c r="B65" t="s">
        <v>289</v>
      </c>
      <c r="C65" t="s">
        <v>322</v>
      </c>
      <c r="D65" t="s">
        <v>410</v>
      </c>
      <c r="E65" t="s">
        <v>296</v>
      </c>
      <c r="F65" t="s">
        <v>83</v>
      </c>
      <c r="G65" t="s">
        <v>474</v>
      </c>
      <c r="H65" t="s">
        <v>296</v>
      </c>
      <c r="I65" t="s">
        <v>296</v>
      </c>
      <c r="J65" t="s">
        <v>296</v>
      </c>
      <c r="K65" t="s">
        <v>296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 t="s">
        <v>296</v>
      </c>
    </row>
    <row r="66" spans="1:49" ht="12.75">
      <c r="A66" t="s">
        <v>295</v>
      </c>
      <c r="B66" t="s">
        <v>289</v>
      </c>
      <c r="C66" t="s">
        <v>322</v>
      </c>
      <c r="D66" t="s">
        <v>44</v>
      </c>
      <c r="E66" t="s">
        <v>296</v>
      </c>
      <c r="F66" t="s">
        <v>83</v>
      </c>
      <c r="G66" t="s">
        <v>474</v>
      </c>
      <c r="H66" t="s">
        <v>296</v>
      </c>
      <c r="I66" t="s">
        <v>296</v>
      </c>
      <c r="J66" t="s">
        <v>296</v>
      </c>
      <c r="K66" t="s">
        <v>296</v>
      </c>
      <c r="L66">
        <v>1.25</v>
      </c>
      <c r="M66">
        <v>1.25</v>
      </c>
      <c r="N66">
        <v>1.25</v>
      </c>
      <c r="O66">
        <v>1.25</v>
      </c>
      <c r="P66">
        <v>1.25</v>
      </c>
      <c r="Q66">
        <v>1.25</v>
      </c>
      <c r="R66">
        <v>1.25</v>
      </c>
      <c r="S66">
        <v>1.25</v>
      </c>
      <c r="T66">
        <v>1.25</v>
      </c>
      <c r="U66">
        <v>1.25</v>
      </c>
      <c r="V66">
        <v>1.25</v>
      </c>
      <c r="W66">
        <v>1.25</v>
      </c>
      <c r="X66">
        <v>1.25</v>
      </c>
      <c r="Y66">
        <v>1.25</v>
      </c>
      <c r="Z66">
        <v>1.25</v>
      </c>
      <c r="AA66">
        <v>1.25</v>
      </c>
      <c r="AB66">
        <v>1.25</v>
      </c>
      <c r="AC66">
        <v>1.25</v>
      </c>
      <c r="AD66">
        <v>1.25</v>
      </c>
      <c r="AE66">
        <v>1.25</v>
      </c>
      <c r="AF66">
        <v>1.25</v>
      </c>
      <c r="AG66">
        <v>1.25</v>
      </c>
      <c r="AH66">
        <v>1.25</v>
      </c>
      <c r="AI66">
        <v>1.25</v>
      </c>
      <c r="AJ66">
        <v>1.25</v>
      </c>
      <c r="AK66">
        <v>1.25</v>
      </c>
      <c r="AL66">
        <v>1.25</v>
      </c>
      <c r="AM66">
        <v>1.25</v>
      </c>
      <c r="AN66">
        <v>1.2345679012345701</v>
      </c>
      <c r="AO66">
        <v>1.25</v>
      </c>
      <c r="AP66">
        <v>1.25</v>
      </c>
      <c r="AQ66">
        <v>1.25</v>
      </c>
      <c r="AR66">
        <v>1.25</v>
      </c>
      <c r="AS66">
        <v>1.25</v>
      </c>
      <c r="AT66">
        <v>1.25</v>
      </c>
      <c r="AU66">
        <v>1.25</v>
      </c>
      <c r="AV66">
        <v>1.1111111111111101</v>
      </c>
      <c r="AW66" t="s">
        <v>296</v>
      </c>
    </row>
    <row r="67" spans="1:49" ht="12.75">
      <c r="A67" t="s">
        <v>295</v>
      </c>
      <c r="B67" t="s">
        <v>289</v>
      </c>
      <c r="C67" t="s">
        <v>323</v>
      </c>
      <c r="D67" t="s">
        <v>37</v>
      </c>
      <c r="E67" t="s">
        <v>296</v>
      </c>
      <c r="F67" t="s">
        <v>83</v>
      </c>
      <c r="G67" t="s">
        <v>474</v>
      </c>
      <c r="H67" t="s">
        <v>296</v>
      </c>
      <c r="I67" t="s">
        <v>296</v>
      </c>
      <c r="J67" t="s">
        <v>296</v>
      </c>
      <c r="K67" t="s">
        <v>296</v>
      </c>
      <c r="L67">
        <v>7.5</v>
      </c>
      <c r="M67">
        <v>7.5</v>
      </c>
      <c r="N67">
        <v>7.5</v>
      </c>
      <c r="O67">
        <v>10.044</v>
      </c>
      <c r="P67">
        <v>7.5</v>
      </c>
      <c r="Q67">
        <v>7.5</v>
      </c>
      <c r="R67">
        <v>7.5</v>
      </c>
      <c r="S67">
        <v>7.5</v>
      </c>
      <c r="T67">
        <v>7.5</v>
      </c>
      <c r="U67">
        <v>7.5</v>
      </c>
      <c r="V67">
        <v>7.5</v>
      </c>
      <c r="W67">
        <v>7.5</v>
      </c>
      <c r="X67">
        <v>7.5</v>
      </c>
      <c r="Y67">
        <v>7.5</v>
      </c>
      <c r="Z67">
        <v>7.5</v>
      </c>
      <c r="AA67">
        <v>7.5</v>
      </c>
      <c r="AB67">
        <v>7.5</v>
      </c>
      <c r="AC67">
        <v>7.5</v>
      </c>
      <c r="AD67">
        <v>7.5</v>
      </c>
      <c r="AE67">
        <v>7.5</v>
      </c>
      <c r="AF67">
        <v>7.5</v>
      </c>
      <c r="AG67">
        <v>7.5</v>
      </c>
      <c r="AH67">
        <v>7.5</v>
      </c>
      <c r="AI67">
        <v>7.5</v>
      </c>
      <c r="AJ67">
        <v>7.5</v>
      </c>
      <c r="AK67">
        <v>7.5</v>
      </c>
      <c r="AL67">
        <v>7.5</v>
      </c>
      <c r="AM67">
        <v>7.5</v>
      </c>
      <c r="AN67">
        <v>7.5</v>
      </c>
      <c r="AO67">
        <v>7.5</v>
      </c>
      <c r="AP67">
        <v>7.9199999999999999</v>
      </c>
      <c r="AQ67">
        <v>7.5</v>
      </c>
      <c r="AR67">
        <v>7.5</v>
      </c>
      <c r="AS67">
        <v>7.5</v>
      </c>
      <c r="AT67">
        <v>7.5</v>
      </c>
      <c r="AU67">
        <v>7.5</v>
      </c>
      <c r="AV67">
        <v>7.5</v>
      </c>
      <c r="AW67" t="s">
        <v>296</v>
      </c>
    </row>
    <row r="68" spans="1:49" ht="12.75">
      <c r="A68" t="s">
        <v>295</v>
      </c>
      <c r="B68" t="s">
        <v>289</v>
      </c>
      <c r="C68" t="s">
        <v>323</v>
      </c>
      <c r="D68" t="s">
        <v>324</v>
      </c>
      <c r="E68" t="s">
        <v>296</v>
      </c>
      <c r="F68" t="s">
        <v>83</v>
      </c>
      <c r="G68" t="s">
        <v>474</v>
      </c>
      <c r="H68" t="s">
        <v>296</v>
      </c>
      <c r="I68" t="s">
        <v>296</v>
      </c>
      <c r="J68" t="s">
        <v>296</v>
      </c>
      <c r="K68" t="s">
        <v>296</v>
      </c>
      <c r="L68">
        <v>3.3799999999999999</v>
      </c>
      <c r="M68">
        <v>3.3799999999999999</v>
      </c>
      <c r="N68">
        <v>3.3799999999999999</v>
      </c>
      <c r="O68">
        <v>3.3799999999999999</v>
      </c>
      <c r="P68">
        <v>3.3799999999999999</v>
      </c>
      <c r="Q68">
        <v>3.3799999999999999</v>
      </c>
      <c r="R68">
        <v>3.3799999999999999</v>
      </c>
      <c r="S68">
        <v>3.3799999999999999</v>
      </c>
      <c r="T68">
        <v>3.3799999999999999</v>
      </c>
      <c r="U68">
        <v>3.3799999999999999</v>
      </c>
      <c r="V68">
        <v>3.3799999999999999</v>
      </c>
      <c r="W68">
        <v>3.3799999999999999</v>
      </c>
      <c r="X68">
        <v>3.3799999999999999</v>
      </c>
      <c r="Y68">
        <v>3.3799999999999999</v>
      </c>
      <c r="Z68">
        <v>3.3799999999999999</v>
      </c>
      <c r="AA68">
        <v>3.3799999999999999</v>
      </c>
      <c r="AB68">
        <v>3.3799999999999999</v>
      </c>
      <c r="AC68">
        <v>3.3799999999999999</v>
      </c>
      <c r="AD68">
        <v>3.3799999999999999</v>
      </c>
      <c r="AE68">
        <v>3.3799999999999999</v>
      </c>
      <c r="AF68">
        <v>3.3799999999999999</v>
      </c>
      <c r="AG68">
        <v>3.3799999999999999</v>
      </c>
      <c r="AH68">
        <v>3.3799999999999999</v>
      </c>
      <c r="AI68">
        <v>3.3799999999999999</v>
      </c>
      <c r="AJ68">
        <v>3.3799999999999999</v>
      </c>
      <c r="AK68">
        <v>3.3799999999999999</v>
      </c>
      <c r="AL68">
        <v>3.3799999999999999</v>
      </c>
      <c r="AM68">
        <v>3.3799999999999999</v>
      </c>
      <c r="AN68">
        <v>3.3799999999999999</v>
      </c>
      <c r="AO68">
        <v>3.3799999999999999</v>
      </c>
      <c r="AP68">
        <v>3.3799999999999999</v>
      </c>
      <c r="AQ68">
        <v>3.3799999999999999</v>
      </c>
      <c r="AR68">
        <v>3.3799999999999999</v>
      </c>
      <c r="AS68">
        <v>3.3799999999999999</v>
      </c>
      <c r="AT68">
        <v>3.3799999999999999</v>
      </c>
      <c r="AU68">
        <v>3.3799999999999999</v>
      </c>
      <c r="AV68">
        <v>3.3799999999999999</v>
      </c>
      <c r="AW68" t="s">
        <v>296</v>
      </c>
    </row>
    <row r="69" spans="1:49" ht="12.75">
      <c r="A69" t="s">
        <v>295</v>
      </c>
      <c r="B69" t="s">
        <v>289</v>
      </c>
      <c r="C69" t="s">
        <v>325</v>
      </c>
      <c r="D69" t="s">
        <v>412</v>
      </c>
      <c r="E69" t="s">
        <v>296</v>
      </c>
      <c r="F69" t="s">
        <v>83</v>
      </c>
      <c r="G69" t="s">
        <v>474</v>
      </c>
      <c r="H69" t="s">
        <v>296</v>
      </c>
      <c r="I69" t="s">
        <v>296</v>
      </c>
      <c r="J69" t="s">
        <v>296</v>
      </c>
      <c r="K69" t="s">
        <v>296</v>
      </c>
      <c r="L69">
        <v>1.2</v>
      </c>
      <c r="M69">
        <v>1.2</v>
      </c>
      <c r="N69">
        <v>1.2</v>
      </c>
      <c r="O69">
        <v>0</v>
      </c>
      <c r="P69">
        <v>1.2</v>
      </c>
      <c r="Q69">
        <v>1.2</v>
      </c>
      <c r="R69">
        <v>1.2</v>
      </c>
      <c r="S69">
        <v>1.2</v>
      </c>
      <c r="T69">
        <v>1.2</v>
      </c>
      <c r="U69">
        <v>1.2</v>
      </c>
      <c r="V69">
        <v>1.2</v>
      </c>
      <c r="W69">
        <v>1.2</v>
      </c>
      <c r="X69">
        <v>1.2</v>
      </c>
      <c r="Y69">
        <v>1.2</v>
      </c>
      <c r="Z69">
        <v>1.2</v>
      </c>
      <c r="AA69">
        <v>1.2</v>
      </c>
      <c r="AB69">
        <v>1.2</v>
      </c>
      <c r="AC69">
        <v>1.2</v>
      </c>
      <c r="AD69">
        <v>1.2</v>
      </c>
      <c r="AE69">
        <v>1.2</v>
      </c>
      <c r="AF69">
        <v>1.2</v>
      </c>
      <c r="AG69">
        <v>1.2</v>
      </c>
      <c r="AH69">
        <v>1.2</v>
      </c>
      <c r="AI69">
        <v>1.2</v>
      </c>
      <c r="AJ69">
        <v>1.2</v>
      </c>
      <c r="AK69">
        <v>0.78000000000000003</v>
      </c>
      <c r="AL69">
        <v>1.2</v>
      </c>
      <c r="AM69">
        <v>1.2</v>
      </c>
      <c r="AN69">
        <v>1.2</v>
      </c>
      <c r="AO69">
        <v>1.2</v>
      </c>
      <c r="AP69">
        <v>3</v>
      </c>
      <c r="AQ69">
        <v>1.2</v>
      </c>
      <c r="AR69">
        <v>1.2</v>
      </c>
      <c r="AS69">
        <v>1.2</v>
      </c>
      <c r="AT69">
        <v>1.2</v>
      </c>
      <c r="AU69">
        <v>1.2</v>
      </c>
      <c r="AV69">
        <v>1.2</v>
      </c>
      <c r="AW69" t="s">
        <v>296</v>
      </c>
    </row>
    <row r="70" spans="1:49" ht="12.75">
      <c r="A70" t="s">
        <v>295</v>
      </c>
      <c r="B70" t="s">
        <v>289</v>
      </c>
      <c r="C70" t="s">
        <v>325</v>
      </c>
      <c r="D70" t="s">
        <v>37</v>
      </c>
      <c r="E70" t="s">
        <v>296</v>
      </c>
      <c r="F70" t="s">
        <v>83</v>
      </c>
      <c r="G70" t="s">
        <v>474</v>
      </c>
      <c r="H70" t="s">
        <v>296</v>
      </c>
      <c r="I70" t="s">
        <v>296</v>
      </c>
      <c r="J70" t="s">
        <v>296</v>
      </c>
      <c r="K70" t="s">
        <v>296</v>
      </c>
      <c r="L70">
        <v>9.9000000000000004</v>
      </c>
      <c r="M70">
        <v>9.9000000000000004</v>
      </c>
      <c r="N70">
        <v>9.9000000000000004</v>
      </c>
      <c r="O70">
        <v>12.816000000000001</v>
      </c>
      <c r="P70">
        <v>9.9000000000000004</v>
      </c>
      <c r="Q70">
        <v>9.9000000000000004</v>
      </c>
      <c r="R70">
        <v>9.9000000000000004</v>
      </c>
      <c r="S70">
        <v>9.9000000000000004</v>
      </c>
      <c r="T70">
        <v>9.9000000000000004</v>
      </c>
      <c r="U70">
        <v>9.9000000000000004</v>
      </c>
      <c r="V70">
        <v>9.9000000000000004</v>
      </c>
      <c r="W70">
        <v>9.9000000000000004</v>
      </c>
      <c r="X70">
        <v>9.9000000000000004</v>
      </c>
      <c r="Y70">
        <v>9.9000000000000004</v>
      </c>
      <c r="Z70">
        <v>9.9000000000000004</v>
      </c>
      <c r="AA70">
        <v>9.9000000000000004</v>
      </c>
      <c r="AB70">
        <v>9.9000000000000004</v>
      </c>
      <c r="AC70">
        <v>9.9000000000000004</v>
      </c>
      <c r="AD70">
        <v>9.9000000000000004</v>
      </c>
      <c r="AE70">
        <v>9.9000000000000004</v>
      </c>
      <c r="AF70">
        <v>9.9000000000000004</v>
      </c>
      <c r="AG70">
        <v>9.9000000000000004</v>
      </c>
      <c r="AH70">
        <v>9.9000000000000004</v>
      </c>
      <c r="AI70">
        <v>9.9000000000000004</v>
      </c>
      <c r="AJ70">
        <v>9.9000000000000004</v>
      </c>
      <c r="AK70">
        <v>9.9000000000000004</v>
      </c>
      <c r="AL70">
        <v>9.9000000000000004</v>
      </c>
      <c r="AM70">
        <v>9.9000000000000004</v>
      </c>
      <c r="AN70">
        <v>9.9000000000000004</v>
      </c>
      <c r="AO70">
        <v>9.9000000000000004</v>
      </c>
      <c r="AP70">
        <v>9.8287999999999993</v>
      </c>
      <c r="AQ70">
        <v>9.9000000000000004</v>
      </c>
      <c r="AR70">
        <v>9.9000000000000004</v>
      </c>
      <c r="AS70">
        <v>9.9000000000000004</v>
      </c>
      <c r="AT70">
        <v>9.9000000000000004</v>
      </c>
      <c r="AU70">
        <v>9.9000000000000004</v>
      </c>
      <c r="AV70">
        <v>9.9000000000000004</v>
      </c>
      <c r="AW70" t="s">
        <v>296</v>
      </c>
    </row>
    <row r="71" spans="1:49" ht="12.75">
      <c r="A71" t="s">
        <v>295</v>
      </c>
      <c r="B71" t="s">
        <v>289</v>
      </c>
      <c r="C71" t="s">
        <v>325</v>
      </c>
      <c r="D71" t="s">
        <v>324</v>
      </c>
      <c r="E71" t="s">
        <v>296</v>
      </c>
      <c r="F71" t="s">
        <v>83</v>
      </c>
      <c r="G71" t="s">
        <v>474</v>
      </c>
      <c r="H71" t="s">
        <v>296</v>
      </c>
      <c r="I71" t="s">
        <v>296</v>
      </c>
      <c r="J71" t="s">
        <v>296</v>
      </c>
      <c r="K71" t="s">
        <v>296</v>
      </c>
      <c r="L71">
        <v>3.3799999999999999</v>
      </c>
      <c r="M71">
        <v>3.3799999999999999</v>
      </c>
      <c r="N71">
        <v>3.3799999999999999</v>
      </c>
      <c r="O71">
        <v>3.3799999999999999</v>
      </c>
      <c r="P71">
        <v>3.3799999999999999</v>
      </c>
      <c r="Q71">
        <v>3.3799999999999999</v>
      </c>
      <c r="R71">
        <v>3.3799999999999999</v>
      </c>
      <c r="S71">
        <v>3.3799999999999999</v>
      </c>
      <c r="T71">
        <v>3.3799999999999999</v>
      </c>
      <c r="U71">
        <v>3.3799999999999999</v>
      </c>
      <c r="V71">
        <v>3.3799999999999999</v>
      </c>
      <c r="W71">
        <v>3.3799999999999999</v>
      </c>
      <c r="X71">
        <v>3.3799999999999999</v>
      </c>
      <c r="Y71">
        <v>3.3799999999999999</v>
      </c>
      <c r="Z71">
        <v>3.3799999999999999</v>
      </c>
      <c r="AA71">
        <v>3.3799999999999999</v>
      </c>
      <c r="AB71">
        <v>3.3799999999999999</v>
      </c>
      <c r="AC71">
        <v>3.3799999999999999</v>
      </c>
      <c r="AD71">
        <v>3.3799999999999999</v>
      </c>
      <c r="AE71">
        <v>3.3799999999999999</v>
      </c>
      <c r="AF71">
        <v>3.3799999999999999</v>
      </c>
      <c r="AG71">
        <v>3.3799999999999999</v>
      </c>
      <c r="AH71">
        <v>3.3799999999999999</v>
      </c>
      <c r="AI71">
        <v>3.3799999999999999</v>
      </c>
      <c r="AJ71">
        <v>3.3799999999999999</v>
      </c>
      <c r="AK71">
        <v>3.3799999999999999</v>
      </c>
      <c r="AL71">
        <v>3.3799999999999999</v>
      </c>
      <c r="AM71">
        <v>3.3799999999999999</v>
      </c>
      <c r="AN71">
        <v>3.3799999999999999</v>
      </c>
      <c r="AO71">
        <v>3.3799999999999999</v>
      </c>
      <c r="AP71">
        <v>3.3799999999999999</v>
      </c>
      <c r="AQ71">
        <v>3.3799999999999999</v>
      </c>
      <c r="AR71">
        <v>3.3799999999999999</v>
      </c>
      <c r="AS71">
        <v>3.3799999999999999</v>
      </c>
      <c r="AT71">
        <v>3.3799999999999999</v>
      </c>
      <c r="AU71">
        <v>3.3799999999999999</v>
      </c>
      <c r="AV71">
        <v>3.3799999999999999</v>
      </c>
      <c r="AW71" t="s">
        <v>296</v>
      </c>
    </row>
    <row r="72" spans="1:49" ht="12.75">
      <c r="A72" t="s">
        <v>295</v>
      </c>
      <c r="B72" t="s">
        <v>289</v>
      </c>
      <c r="C72" t="s">
        <v>167</v>
      </c>
      <c r="D72" t="s">
        <v>37</v>
      </c>
      <c r="E72" t="s">
        <v>296</v>
      </c>
      <c r="F72" t="s">
        <v>83</v>
      </c>
      <c r="G72" t="s">
        <v>474</v>
      </c>
      <c r="H72" t="s">
        <v>296</v>
      </c>
      <c r="I72" t="s">
        <v>296</v>
      </c>
      <c r="J72" t="s">
        <v>296</v>
      </c>
      <c r="K72" t="s">
        <v>296</v>
      </c>
      <c r="L72">
        <v>12.82</v>
      </c>
      <c r="M72">
        <v>12.82</v>
      </c>
      <c r="N72">
        <v>12.82</v>
      </c>
      <c r="O72">
        <v>12.82</v>
      </c>
      <c r="P72">
        <v>12.82</v>
      </c>
      <c r="Q72">
        <v>12.82</v>
      </c>
      <c r="R72">
        <v>12.82</v>
      </c>
      <c r="S72">
        <v>12.82</v>
      </c>
      <c r="T72">
        <v>12.82</v>
      </c>
      <c r="U72">
        <v>12.82</v>
      </c>
      <c r="V72">
        <v>12.82</v>
      </c>
      <c r="W72">
        <v>12.82</v>
      </c>
      <c r="X72">
        <v>12.82</v>
      </c>
      <c r="Y72">
        <v>12.82</v>
      </c>
      <c r="Z72">
        <v>12.82</v>
      </c>
      <c r="AA72">
        <v>12.82</v>
      </c>
      <c r="AB72">
        <v>12.82</v>
      </c>
      <c r="AC72">
        <v>12.82</v>
      </c>
      <c r="AD72">
        <v>12.82</v>
      </c>
      <c r="AE72">
        <v>12.82</v>
      </c>
      <c r="AF72">
        <v>12.82</v>
      </c>
      <c r="AG72">
        <v>12.82</v>
      </c>
      <c r="AH72">
        <v>12.82</v>
      </c>
      <c r="AI72">
        <v>12.82</v>
      </c>
      <c r="AJ72">
        <v>12.82</v>
      </c>
      <c r="AK72">
        <v>12.82</v>
      </c>
      <c r="AL72">
        <v>12.82</v>
      </c>
      <c r="AM72">
        <v>12.82</v>
      </c>
      <c r="AN72">
        <v>12.82</v>
      </c>
      <c r="AO72">
        <v>12.82</v>
      </c>
      <c r="AP72">
        <v>12.82</v>
      </c>
      <c r="AQ72">
        <v>12.82</v>
      </c>
      <c r="AR72">
        <v>12.82</v>
      </c>
      <c r="AS72">
        <v>12.82</v>
      </c>
      <c r="AT72">
        <v>12.82</v>
      </c>
      <c r="AU72">
        <v>12.82</v>
      </c>
      <c r="AV72">
        <v>12.82</v>
      </c>
      <c r="AW72" t="s">
        <v>296</v>
      </c>
    </row>
    <row r="73" spans="1:49" ht="12.75">
      <c r="A73" t="s">
        <v>295</v>
      </c>
      <c r="B73" t="s">
        <v>289</v>
      </c>
      <c r="C73" t="s">
        <v>167</v>
      </c>
      <c r="D73" t="s">
        <v>324</v>
      </c>
      <c r="E73" t="s">
        <v>296</v>
      </c>
      <c r="F73" t="s">
        <v>83</v>
      </c>
      <c r="G73" t="s">
        <v>474</v>
      </c>
      <c r="H73" t="s">
        <v>296</v>
      </c>
      <c r="I73" t="s">
        <v>296</v>
      </c>
      <c r="J73" t="s">
        <v>296</v>
      </c>
      <c r="K73" t="s">
        <v>296</v>
      </c>
      <c r="L73">
        <v>3.3799999999999999</v>
      </c>
      <c r="M73">
        <v>3.3799999999999999</v>
      </c>
      <c r="N73">
        <v>3.3799999999999999</v>
      </c>
      <c r="O73">
        <v>3.3799999999999999</v>
      </c>
      <c r="P73">
        <v>3.3799999999999999</v>
      </c>
      <c r="Q73">
        <v>3.3799999999999999</v>
      </c>
      <c r="R73">
        <v>3.3799999999999999</v>
      </c>
      <c r="S73">
        <v>3.3799999999999999</v>
      </c>
      <c r="T73">
        <v>3.3799999999999999</v>
      </c>
      <c r="U73">
        <v>3.3799999999999999</v>
      </c>
      <c r="V73">
        <v>3.3799999999999999</v>
      </c>
      <c r="W73">
        <v>3.3799999999999999</v>
      </c>
      <c r="X73">
        <v>3.3799999999999999</v>
      </c>
      <c r="Y73">
        <v>3.3799999999999999</v>
      </c>
      <c r="Z73">
        <v>3.3799999999999999</v>
      </c>
      <c r="AA73">
        <v>3.3799999999999999</v>
      </c>
      <c r="AB73">
        <v>3.3799999999999999</v>
      </c>
      <c r="AC73">
        <v>3.3799999999999999</v>
      </c>
      <c r="AD73">
        <v>3.3799999999999999</v>
      </c>
      <c r="AE73">
        <v>3.3799999999999999</v>
      </c>
      <c r="AF73">
        <v>3.3799999999999999</v>
      </c>
      <c r="AG73">
        <v>3.3799999999999999</v>
      </c>
      <c r="AH73">
        <v>3.3799999999999999</v>
      </c>
      <c r="AI73">
        <v>3.3799999999999999</v>
      </c>
      <c r="AJ73">
        <v>3.3799999999999999</v>
      </c>
      <c r="AK73">
        <v>3.3799999999999999</v>
      </c>
      <c r="AL73">
        <v>3.3799999999999999</v>
      </c>
      <c r="AM73">
        <v>3.3799999999999999</v>
      </c>
      <c r="AN73">
        <v>3.3799999999999999</v>
      </c>
      <c r="AO73">
        <v>3.3799999999999999</v>
      </c>
      <c r="AP73">
        <v>3.3799999999999999</v>
      </c>
      <c r="AQ73">
        <v>3.3799999999999999</v>
      </c>
      <c r="AR73">
        <v>3.3799999999999999</v>
      </c>
      <c r="AS73">
        <v>3.3799999999999999</v>
      </c>
      <c r="AT73">
        <v>3.3799999999999999</v>
      </c>
      <c r="AU73">
        <v>3.3799999999999999</v>
      </c>
      <c r="AV73">
        <v>3.3799999999999999</v>
      </c>
      <c r="AW73" t="s">
        <v>296</v>
      </c>
    </row>
    <row r="74" spans="1:49" ht="12.75">
      <c r="A74" t="s">
        <v>295</v>
      </c>
      <c r="B74" t="s">
        <v>289</v>
      </c>
      <c r="C74" t="s">
        <v>326</v>
      </c>
      <c r="D74" t="s">
        <v>412</v>
      </c>
      <c r="E74" t="s">
        <v>296</v>
      </c>
      <c r="F74" t="s">
        <v>83</v>
      </c>
      <c r="G74" t="s">
        <v>474</v>
      </c>
      <c r="H74" t="s">
        <v>296</v>
      </c>
      <c r="I74" t="s">
        <v>296</v>
      </c>
      <c r="J74" t="s">
        <v>296</v>
      </c>
      <c r="K74" t="s">
        <v>296</v>
      </c>
      <c r="L74">
        <v>2.1899999999999999</v>
      </c>
      <c r="M74">
        <v>2.1899999999999999</v>
      </c>
      <c r="N74">
        <v>2.1899999999999999</v>
      </c>
      <c r="O74">
        <v>2.1899999999999999</v>
      </c>
      <c r="P74">
        <v>2.1899999999999999</v>
      </c>
      <c r="Q74">
        <v>2.1899999999999999</v>
      </c>
      <c r="R74">
        <v>2.1899999999999999</v>
      </c>
      <c r="S74">
        <v>2.1899999999999999</v>
      </c>
      <c r="T74">
        <v>2.1899999999999999</v>
      </c>
      <c r="U74">
        <v>2.1899999999999999</v>
      </c>
      <c r="V74">
        <v>2.1899999999999999</v>
      </c>
      <c r="W74">
        <v>2.1899999999999999</v>
      </c>
      <c r="X74">
        <v>2.1899999999999999</v>
      </c>
      <c r="Y74">
        <v>2.1899999999999999</v>
      </c>
      <c r="Z74">
        <v>2.1899999999999999</v>
      </c>
      <c r="AA74">
        <v>2.1899999999999999</v>
      </c>
      <c r="AB74">
        <v>2.1899999999999999</v>
      </c>
      <c r="AC74">
        <v>2.1899999999999999</v>
      </c>
      <c r="AD74">
        <v>2.1899999999999999</v>
      </c>
      <c r="AE74">
        <v>2.1899999999999999</v>
      </c>
      <c r="AF74">
        <v>2.1899999999999999</v>
      </c>
      <c r="AG74">
        <v>2.1899999999999999</v>
      </c>
      <c r="AH74">
        <v>2.1899999999999999</v>
      </c>
      <c r="AI74">
        <v>2.1899999999999999</v>
      </c>
      <c r="AJ74">
        <v>2.1899999999999999</v>
      </c>
      <c r="AK74">
        <v>2.1899999999999999</v>
      </c>
      <c r="AL74">
        <v>2.1899999999999999</v>
      </c>
      <c r="AM74">
        <v>2.1899999999999999</v>
      </c>
      <c r="AN74">
        <v>2.1899999999999999</v>
      </c>
      <c r="AO74">
        <v>2.1899999999999999</v>
      </c>
      <c r="AP74">
        <v>2.1899999999999999</v>
      </c>
      <c r="AQ74">
        <v>2.1899999999999999</v>
      </c>
      <c r="AR74">
        <v>2.1899999999999999</v>
      </c>
      <c r="AS74">
        <v>2.1899999999999999</v>
      </c>
      <c r="AT74">
        <v>2.1899999999999999</v>
      </c>
      <c r="AU74">
        <v>2.1899999999999999</v>
      </c>
      <c r="AV74">
        <v>2.1899999999999999</v>
      </c>
      <c r="AW74" t="s">
        <v>296</v>
      </c>
    </row>
    <row r="75" spans="1:49" ht="12.75">
      <c r="A75" t="s">
        <v>295</v>
      </c>
      <c r="B75" t="s">
        <v>289</v>
      </c>
      <c r="C75" t="s">
        <v>326</v>
      </c>
      <c r="D75" t="s">
        <v>37</v>
      </c>
      <c r="E75" t="s">
        <v>296</v>
      </c>
      <c r="F75" t="s">
        <v>83</v>
      </c>
      <c r="G75" t="s">
        <v>474</v>
      </c>
      <c r="H75" t="s">
        <v>296</v>
      </c>
      <c r="I75" t="s">
        <v>296</v>
      </c>
      <c r="J75" t="s">
        <v>296</v>
      </c>
      <c r="K75" t="s">
        <v>296</v>
      </c>
      <c r="L75">
        <v>10.69</v>
      </c>
      <c r="M75">
        <v>10.69</v>
      </c>
      <c r="N75">
        <v>10.69</v>
      </c>
      <c r="O75">
        <v>10.69</v>
      </c>
      <c r="P75">
        <v>10.69</v>
      </c>
      <c r="Q75">
        <v>10.69</v>
      </c>
      <c r="R75">
        <v>10.69</v>
      </c>
      <c r="S75">
        <v>10.69</v>
      </c>
      <c r="T75">
        <v>10.69</v>
      </c>
      <c r="U75">
        <v>10.69</v>
      </c>
      <c r="V75">
        <v>10.69</v>
      </c>
      <c r="W75">
        <v>10.69</v>
      </c>
      <c r="X75">
        <v>10.69</v>
      </c>
      <c r="Y75">
        <v>10.69</v>
      </c>
      <c r="Z75">
        <v>10.69</v>
      </c>
      <c r="AA75">
        <v>10.69</v>
      </c>
      <c r="AB75">
        <v>10.69</v>
      </c>
      <c r="AC75">
        <v>10.69</v>
      </c>
      <c r="AD75">
        <v>10.69</v>
      </c>
      <c r="AE75">
        <v>10.69</v>
      </c>
      <c r="AF75">
        <v>10.69</v>
      </c>
      <c r="AG75">
        <v>10.69</v>
      </c>
      <c r="AH75">
        <v>10.69</v>
      </c>
      <c r="AI75">
        <v>10.69</v>
      </c>
      <c r="AJ75">
        <v>10.69</v>
      </c>
      <c r="AK75">
        <v>10.69</v>
      </c>
      <c r="AL75">
        <v>10.69</v>
      </c>
      <c r="AM75">
        <v>10.69</v>
      </c>
      <c r="AN75">
        <v>10.69</v>
      </c>
      <c r="AO75">
        <v>10.69</v>
      </c>
      <c r="AP75">
        <v>10.69</v>
      </c>
      <c r="AQ75">
        <v>10.69</v>
      </c>
      <c r="AR75">
        <v>10.69</v>
      </c>
      <c r="AS75">
        <v>10.69</v>
      </c>
      <c r="AT75">
        <v>10.69</v>
      </c>
      <c r="AU75">
        <v>10.69</v>
      </c>
      <c r="AV75">
        <v>10.69</v>
      </c>
      <c r="AW75" t="s">
        <v>296</v>
      </c>
    </row>
    <row r="76" spans="1:49" ht="12.75">
      <c r="A76" t="s">
        <v>295</v>
      </c>
      <c r="B76" t="s">
        <v>289</v>
      </c>
      <c r="C76" t="s">
        <v>326</v>
      </c>
      <c r="D76" t="s">
        <v>324</v>
      </c>
      <c r="E76" t="s">
        <v>296</v>
      </c>
      <c r="F76" t="s">
        <v>83</v>
      </c>
      <c r="G76" t="s">
        <v>474</v>
      </c>
      <c r="H76" t="s">
        <v>296</v>
      </c>
      <c r="I76" t="s">
        <v>296</v>
      </c>
      <c r="J76" t="s">
        <v>296</v>
      </c>
      <c r="K76" t="s">
        <v>296</v>
      </c>
      <c r="L76">
        <v>3.3799999999999999</v>
      </c>
      <c r="M76">
        <v>3.3799999999999999</v>
      </c>
      <c r="N76">
        <v>3.3799999999999999</v>
      </c>
      <c r="O76">
        <v>3.3799999999999999</v>
      </c>
      <c r="P76">
        <v>3.3799999999999999</v>
      </c>
      <c r="Q76">
        <v>3.3799999999999999</v>
      </c>
      <c r="R76">
        <v>3.3799999999999999</v>
      </c>
      <c r="S76">
        <v>3.3799999999999999</v>
      </c>
      <c r="T76">
        <v>3.3799999999999999</v>
      </c>
      <c r="U76">
        <v>3.3799999999999999</v>
      </c>
      <c r="V76">
        <v>3.3799999999999999</v>
      </c>
      <c r="W76">
        <v>3.3799999999999999</v>
      </c>
      <c r="X76">
        <v>3.3799999999999999</v>
      </c>
      <c r="Y76">
        <v>3.3799999999999999</v>
      </c>
      <c r="Z76">
        <v>3.3799999999999999</v>
      </c>
      <c r="AA76">
        <v>3.3799999999999999</v>
      </c>
      <c r="AB76">
        <v>3.3799999999999999</v>
      </c>
      <c r="AC76">
        <v>3.3799999999999999</v>
      </c>
      <c r="AD76">
        <v>3.3799999999999999</v>
      </c>
      <c r="AE76">
        <v>3.3799999999999999</v>
      </c>
      <c r="AF76">
        <v>3.3799999999999999</v>
      </c>
      <c r="AG76">
        <v>3.3799999999999999</v>
      </c>
      <c r="AH76">
        <v>3.3799999999999999</v>
      </c>
      <c r="AI76">
        <v>3.3799999999999999</v>
      </c>
      <c r="AJ76">
        <v>3.3799999999999999</v>
      </c>
      <c r="AK76">
        <v>3.3799999999999999</v>
      </c>
      <c r="AL76">
        <v>3.3799999999999999</v>
      </c>
      <c r="AM76">
        <v>3.3799999999999999</v>
      </c>
      <c r="AN76">
        <v>3.3799999999999999</v>
      </c>
      <c r="AO76">
        <v>3.3799999999999999</v>
      </c>
      <c r="AP76">
        <v>3.3799999999999999</v>
      </c>
      <c r="AQ76">
        <v>3.3799999999999999</v>
      </c>
      <c r="AR76">
        <v>3.3799999999999999</v>
      </c>
      <c r="AS76">
        <v>3.3799999999999999</v>
      </c>
      <c r="AT76">
        <v>3.3799999999999999</v>
      </c>
      <c r="AU76">
        <v>3.3799999999999999</v>
      </c>
      <c r="AV76">
        <v>3.3799999999999999</v>
      </c>
      <c r="AW76" t="s">
        <v>296</v>
      </c>
    </row>
    <row r="77" spans="1:49" ht="12.75">
      <c r="A77" t="s">
        <v>295</v>
      </c>
      <c r="B77" t="s">
        <v>289</v>
      </c>
      <c r="C77" t="s">
        <v>116</v>
      </c>
      <c r="D77" t="s">
        <v>37</v>
      </c>
      <c r="E77" t="s">
        <v>296</v>
      </c>
      <c r="F77" t="s">
        <v>83</v>
      </c>
      <c r="G77" t="s">
        <v>474</v>
      </c>
      <c r="H77" t="s">
        <v>296</v>
      </c>
      <c r="I77" t="s">
        <v>296</v>
      </c>
      <c r="J77" t="s">
        <v>296</v>
      </c>
      <c r="K77" t="s">
        <v>296</v>
      </c>
      <c r="L77">
        <v>0.108</v>
      </c>
      <c r="M77">
        <v>0.108</v>
      </c>
      <c r="N77">
        <v>0.108</v>
      </c>
      <c r="O77">
        <v>0.086400000000000005</v>
      </c>
      <c r="P77">
        <v>0.108</v>
      </c>
      <c r="Q77">
        <v>0.108</v>
      </c>
      <c r="R77">
        <v>0.108</v>
      </c>
      <c r="S77">
        <v>0.108</v>
      </c>
      <c r="T77">
        <v>0.108</v>
      </c>
      <c r="U77">
        <v>0.108</v>
      </c>
      <c r="V77">
        <v>0.108</v>
      </c>
      <c r="W77">
        <v>0.25685000000000002</v>
      </c>
      <c r="X77">
        <v>0.108</v>
      </c>
      <c r="Y77">
        <v>0.108</v>
      </c>
      <c r="Z77">
        <v>0.108</v>
      </c>
      <c r="AA77">
        <v>0.108</v>
      </c>
      <c r="AB77">
        <v>0.108</v>
      </c>
      <c r="AC77">
        <v>0.108</v>
      </c>
      <c r="AD77">
        <v>0.108</v>
      </c>
      <c r="AE77">
        <v>0.108</v>
      </c>
      <c r="AF77">
        <v>0.108</v>
      </c>
      <c r="AG77">
        <v>0.108</v>
      </c>
      <c r="AH77">
        <v>0.108</v>
      </c>
      <c r="AI77">
        <v>0.108</v>
      </c>
      <c r="AJ77">
        <v>0.108</v>
      </c>
      <c r="AK77">
        <v>0.108</v>
      </c>
      <c r="AL77">
        <v>0.108</v>
      </c>
      <c r="AM77">
        <v>0.25</v>
      </c>
      <c r="AN77">
        <v>0.108</v>
      </c>
      <c r="AO77">
        <v>0.108</v>
      </c>
      <c r="AP77">
        <v>0.108</v>
      </c>
      <c r="AQ77">
        <v>0.108</v>
      </c>
      <c r="AR77">
        <v>0.108</v>
      </c>
      <c r="AS77">
        <v>0.108</v>
      </c>
      <c r="AT77">
        <v>0.108</v>
      </c>
      <c r="AU77">
        <v>0.108</v>
      </c>
      <c r="AV77">
        <v>0.108</v>
      </c>
      <c r="AW77" t="s">
        <v>296</v>
      </c>
    </row>
    <row r="78" spans="1:49" ht="12.75">
      <c r="A78" t="s">
        <v>295</v>
      </c>
      <c r="B78" t="s">
        <v>289</v>
      </c>
      <c r="C78" t="s">
        <v>116</v>
      </c>
      <c r="D78" t="s">
        <v>41</v>
      </c>
      <c r="E78" t="s">
        <v>296</v>
      </c>
      <c r="F78" t="s">
        <v>83</v>
      </c>
      <c r="G78" t="s">
        <v>474</v>
      </c>
      <c r="H78" t="s">
        <v>296</v>
      </c>
      <c r="I78" t="s">
        <v>296</v>
      </c>
      <c r="J78" t="s">
        <v>296</v>
      </c>
      <c r="K78" t="s">
        <v>296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 t="s">
        <v>296</v>
      </c>
    </row>
    <row r="79" spans="1:49" ht="12.75">
      <c r="A79" t="s">
        <v>295</v>
      </c>
      <c r="B79" t="s">
        <v>289</v>
      </c>
      <c r="C79" t="s">
        <v>117</v>
      </c>
      <c r="D79" t="s">
        <v>37</v>
      </c>
      <c r="E79" t="s">
        <v>296</v>
      </c>
      <c r="F79" t="s">
        <v>83</v>
      </c>
      <c r="G79" t="s">
        <v>474</v>
      </c>
      <c r="H79" t="s">
        <v>296</v>
      </c>
      <c r="I79" t="s">
        <v>296</v>
      </c>
      <c r="J79" t="s">
        <v>296</v>
      </c>
      <c r="K79" t="s">
        <v>296</v>
      </c>
      <c r="L79">
        <v>0.23801652892562</v>
      </c>
      <c r="M79">
        <v>1.4786535677655701</v>
      </c>
      <c r="P79">
        <v>0.96248719999999999</v>
      </c>
      <c r="Q79">
        <v>1</v>
      </c>
      <c r="R79">
        <v>0.17651072961373401</v>
      </c>
      <c r="S79">
        <v>0.84664979386626404</v>
      </c>
      <c r="T79">
        <v>0.73540000000000005</v>
      </c>
      <c r="U79">
        <v>0.89981568611347396</v>
      </c>
      <c r="V79">
        <v>1</v>
      </c>
      <c r="W79">
        <v>0.121951414408024</v>
      </c>
      <c r="X79">
        <v>0.16500000000000001</v>
      </c>
      <c r="Y79">
        <v>2.3107824472573801</v>
      </c>
      <c r="Z79">
        <v>0.75328215349908301</v>
      </c>
      <c r="AA79">
        <v>0.17000000000000001</v>
      </c>
      <c r="AB79">
        <v>0.67049056139823604</v>
      </c>
      <c r="AC79">
        <v>0.34200000000000003</v>
      </c>
      <c r="AK79">
        <v>0.42499999999999999</v>
      </c>
      <c r="AN79">
        <v>1.5</v>
      </c>
      <c r="AP79">
        <v>0.23400000000000001</v>
      </c>
      <c r="AQ79">
        <v>0.814469</v>
      </c>
      <c r="AT79">
        <v>3.3999999999999999</v>
      </c>
      <c r="AU79">
        <v>0.53939018110355297</v>
      </c>
      <c r="AV79">
        <v>0.358648578901482</v>
      </c>
      <c r="AW79" t="s">
        <v>296</v>
      </c>
    </row>
    <row r="80" spans="1:49" ht="12.75">
      <c r="A80" t="s">
        <v>295</v>
      </c>
      <c r="B80" t="s">
        <v>289</v>
      </c>
      <c r="C80" t="s">
        <v>117</v>
      </c>
      <c r="D80" t="s">
        <v>39</v>
      </c>
      <c r="E80" t="s">
        <v>296</v>
      </c>
      <c r="F80" t="s">
        <v>83</v>
      </c>
      <c r="G80" t="s">
        <v>474</v>
      </c>
      <c r="H80" t="s">
        <v>296</v>
      </c>
      <c r="I80" t="s">
        <v>296</v>
      </c>
      <c r="J80" t="s">
        <v>296</v>
      </c>
      <c r="K80" t="s">
        <v>296</v>
      </c>
      <c r="S80">
        <v>0.047</v>
      </c>
      <c r="U80">
        <v>0.047577272727272697</v>
      </c>
      <c r="W80">
        <v>0.010048319999999999</v>
      </c>
      <c r="AB80">
        <v>0.059811428571428599</v>
      </c>
      <c r="AC80">
        <v>0.014276987999999999</v>
      </c>
      <c r="AK80">
        <v>0.097000000000000003</v>
      </c>
      <c r="AM80">
        <v>0.083333333333333301</v>
      </c>
      <c r="AN80">
        <v>0.5</v>
      </c>
      <c r="AP80">
        <v>0.13700000000000001</v>
      </c>
      <c r="AQ80">
        <v>0.049834351535836201</v>
      </c>
      <c r="AV80">
        <v>0.65375403661726195</v>
      </c>
      <c r="AW80" t="s">
        <v>296</v>
      </c>
    </row>
    <row r="81" spans="1:49" ht="12.75">
      <c r="A81" t="s">
        <v>295</v>
      </c>
      <c r="B81" t="s">
        <v>289</v>
      </c>
      <c r="C81" t="s">
        <v>117</v>
      </c>
      <c r="D81" t="s">
        <v>41</v>
      </c>
      <c r="E81" t="s">
        <v>296</v>
      </c>
      <c r="F81" t="s">
        <v>83</v>
      </c>
      <c r="G81" t="s">
        <v>474</v>
      </c>
      <c r="H81" t="s">
        <v>296</v>
      </c>
      <c r="I81" t="s">
        <v>296</v>
      </c>
      <c r="J81" t="s">
        <v>296</v>
      </c>
      <c r="K81" t="s">
        <v>296</v>
      </c>
      <c r="L81">
        <v>0.91632231404958697</v>
      </c>
      <c r="M81">
        <v>0.38807120879120899</v>
      </c>
      <c r="P81">
        <v>0.76685124163516605</v>
      </c>
      <c r="Q81">
        <v>0.76685124163516605</v>
      </c>
      <c r="R81">
        <v>0.76685124163516605</v>
      </c>
      <c r="S81">
        <v>0.72374473532307704</v>
      </c>
      <c r="T81">
        <v>0.77171384220855799</v>
      </c>
      <c r="U81">
        <v>0.76685124163516605</v>
      </c>
      <c r="V81">
        <v>0.76685124163516605</v>
      </c>
      <c r="W81">
        <v>0.76685124163516605</v>
      </c>
      <c r="X81">
        <v>0.76685124163516605</v>
      </c>
      <c r="Y81">
        <v>0.51906860050729298</v>
      </c>
      <c r="Z81">
        <v>0.76685124163516605</v>
      </c>
      <c r="AA81">
        <v>0.76685124163516605</v>
      </c>
      <c r="AB81">
        <v>0.90983417499999997</v>
      </c>
      <c r="AC81">
        <v>0.76685124163516605</v>
      </c>
      <c r="AK81">
        <v>0.76685124163516605</v>
      </c>
      <c r="AM81">
        <v>0.48295334892340303</v>
      </c>
      <c r="AN81">
        <v>0.76685124163516605</v>
      </c>
      <c r="AP81">
        <v>0.79494009760995898</v>
      </c>
      <c r="AQ81">
        <v>0.828999015625</v>
      </c>
      <c r="AT81">
        <v>0.76685124163516605</v>
      </c>
      <c r="AU81">
        <v>0.67243897551020404</v>
      </c>
      <c r="AV81">
        <v>0.82711066020650204</v>
      </c>
      <c r="AW81" t="s">
        <v>296</v>
      </c>
    </row>
    <row r="82" spans="1:49" ht="12.75">
      <c r="A82" t="s">
        <v>295</v>
      </c>
      <c r="B82" t="s">
        <v>289</v>
      </c>
      <c r="C82" t="s">
        <v>117</v>
      </c>
      <c r="D82" t="s">
        <v>42</v>
      </c>
      <c r="E82" t="s">
        <v>296</v>
      </c>
      <c r="F82" t="s">
        <v>83</v>
      </c>
      <c r="G82" t="s">
        <v>474</v>
      </c>
      <c r="H82" t="s">
        <v>296</v>
      </c>
      <c r="I82" t="s">
        <v>296</v>
      </c>
      <c r="J82" t="s">
        <v>296</v>
      </c>
      <c r="K82" t="s">
        <v>296</v>
      </c>
      <c r="L82">
        <v>0.083677685950413194</v>
      </c>
      <c r="M82">
        <v>0.61192879120879096</v>
      </c>
      <c r="P82">
        <v>0.23314875836483401</v>
      </c>
      <c r="Q82">
        <v>0.23314875836483401</v>
      </c>
      <c r="R82">
        <v>0.23314875836483401</v>
      </c>
      <c r="S82">
        <v>0.27625526467692302</v>
      </c>
      <c r="T82">
        <v>0.22828615779144201</v>
      </c>
      <c r="U82">
        <v>0.23314875836483401</v>
      </c>
      <c r="V82">
        <v>0.23314875836483401</v>
      </c>
      <c r="W82">
        <v>0.23314875836483401</v>
      </c>
      <c r="X82">
        <v>0.0154552758069855</v>
      </c>
      <c r="Y82">
        <v>0.48093139949270702</v>
      </c>
      <c r="Z82">
        <v>0.0081646922934941104</v>
      </c>
      <c r="AA82">
        <v>0.23314875836483401</v>
      </c>
      <c r="AB82">
        <v>0.090165825000000005</v>
      </c>
      <c r="AC82">
        <v>0.23314875836483401</v>
      </c>
      <c r="AK82">
        <v>0.23314875836483401</v>
      </c>
      <c r="AM82">
        <v>0.51704665107659697</v>
      </c>
      <c r="AN82">
        <v>0.034749000000000002</v>
      </c>
      <c r="AP82">
        <v>0.23314875836483401</v>
      </c>
      <c r="AQ82">
        <v>0.171000984375</v>
      </c>
      <c r="AT82">
        <v>0.23314875836483401</v>
      </c>
      <c r="AU82">
        <v>0.32756102448979602</v>
      </c>
      <c r="AV82">
        <v>0.17288933979349799</v>
      </c>
      <c r="AW82" t="s">
        <v>296</v>
      </c>
    </row>
    <row r="83" spans="1:49" ht="12.75">
      <c r="A83" t="s">
        <v>295</v>
      </c>
      <c r="B83" t="s">
        <v>289</v>
      </c>
      <c r="C83" t="s">
        <v>118</v>
      </c>
      <c r="D83" t="s">
        <v>37</v>
      </c>
      <c r="E83" t="s">
        <v>296</v>
      </c>
      <c r="F83" t="s">
        <v>83</v>
      </c>
      <c r="G83" t="s">
        <v>474</v>
      </c>
      <c r="H83" t="s">
        <v>296</v>
      </c>
      <c r="I83" t="s">
        <v>296</v>
      </c>
      <c r="J83" t="s">
        <v>296</v>
      </c>
      <c r="K83" t="s">
        <v>296</v>
      </c>
      <c r="L83">
        <v>0.29999999999999999</v>
      </c>
      <c r="M83">
        <v>0.29999999999999999</v>
      </c>
      <c r="N83">
        <v>0.29999999999999999</v>
      </c>
      <c r="O83">
        <v>0.23999999999999999</v>
      </c>
      <c r="P83">
        <v>0.29999999999999999</v>
      </c>
      <c r="Q83">
        <v>0.29999999999999999</v>
      </c>
      <c r="R83">
        <v>0.29999999999999999</v>
      </c>
      <c r="S83">
        <v>0.29999999999999999</v>
      </c>
      <c r="T83">
        <v>0.29999999999999999</v>
      </c>
      <c r="U83">
        <v>0.29999999999999999</v>
      </c>
      <c r="V83">
        <v>0.29999999999999999</v>
      </c>
      <c r="W83">
        <v>0.29999999999999999</v>
      </c>
      <c r="X83">
        <v>0.29999999999999999</v>
      </c>
      <c r="Y83">
        <v>0.29999999999999999</v>
      </c>
      <c r="Z83">
        <v>0.29999999999999999</v>
      </c>
      <c r="AA83">
        <v>0.29999999999999999</v>
      </c>
      <c r="AB83">
        <v>0.29999999999999999</v>
      </c>
      <c r="AC83">
        <v>0.29999999999999999</v>
      </c>
      <c r="AD83">
        <v>0.29999999999999999</v>
      </c>
      <c r="AE83">
        <v>0.29999999999999999</v>
      </c>
      <c r="AF83">
        <v>0.29999999999999999</v>
      </c>
      <c r="AG83">
        <v>0.29999999999999999</v>
      </c>
      <c r="AH83">
        <v>0.29999999999999999</v>
      </c>
      <c r="AI83">
        <v>0.29999999999999999</v>
      </c>
      <c r="AJ83">
        <v>0.29999999999999999</v>
      </c>
      <c r="AK83">
        <v>0.29999999999999999</v>
      </c>
      <c r="AL83">
        <v>0.29999999999999999</v>
      </c>
      <c r="AM83">
        <v>0.29999999999999999</v>
      </c>
      <c r="AN83">
        <v>0.29999999999999999</v>
      </c>
      <c r="AO83">
        <v>0.29999999999999999</v>
      </c>
      <c r="AP83">
        <v>0.29999999999999999</v>
      </c>
      <c r="AQ83">
        <v>0.29999999999999999</v>
      </c>
      <c r="AR83">
        <v>0.29999999999999999</v>
      </c>
      <c r="AS83">
        <v>0.29999999999999999</v>
      </c>
      <c r="AT83">
        <v>0.29999999999999999</v>
      </c>
      <c r="AU83">
        <v>0.29999999999999999</v>
      </c>
      <c r="AV83">
        <v>0.29999999999999999</v>
      </c>
      <c r="AW83" t="s">
        <v>296</v>
      </c>
    </row>
    <row r="84" spans="1:49" ht="12.75">
      <c r="A84" t="s">
        <v>295</v>
      </c>
      <c r="B84" t="s">
        <v>289</v>
      </c>
      <c r="C84" t="s">
        <v>118</v>
      </c>
      <c r="D84" t="s">
        <v>43</v>
      </c>
      <c r="E84" t="s">
        <v>296</v>
      </c>
      <c r="F84" t="s">
        <v>83</v>
      </c>
      <c r="G84" t="s">
        <v>474</v>
      </c>
      <c r="H84" t="s">
        <v>296</v>
      </c>
      <c r="I84" t="s">
        <v>296</v>
      </c>
      <c r="J84" t="s">
        <v>296</v>
      </c>
      <c r="K84" t="s">
        <v>296</v>
      </c>
      <c r="L84">
        <v>6</v>
      </c>
      <c r="M84">
        <v>6</v>
      </c>
      <c r="N84">
        <v>6</v>
      </c>
      <c r="O84">
        <v>4.7999999999999998</v>
      </c>
      <c r="P84">
        <v>6</v>
      </c>
      <c r="Q84">
        <v>6</v>
      </c>
      <c r="R84">
        <v>6</v>
      </c>
      <c r="S84">
        <v>6</v>
      </c>
      <c r="T84">
        <v>6</v>
      </c>
      <c r="U84">
        <v>6</v>
      </c>
      <c r="V84">
        <v>6</v>
      </c>
      <c r="W84">
        <v>6</v>
      </c>
      <c r="X84">
        <v>6</v>
      </c>
      <c r="Y84">
        <v>6</v>
      </c>
      <c r="Z84">
        <v>6</v>
      </c>
      <c r="AA84">
        <v>6</v>
      </c>
      <c r="AB84">
        <v>6</v>
      </c>
      <c r="AC84">
        <v>6</v>
      </c>
      <c r="AD84">
        <v>6</v>
      </c>
      <c r="AE84">
        <v>6</v>
      </c>
      <c r="AF84">
        <v>6</v>
      </c>
      <c r="AG84">
        <v>6</v>
      </c>
      <c r="AH84">
        <v>6</v>
      </c>
      <c r="AI84">
        <v>6</v>
      </c>
      <c r="AJ84">
        <v>6</v>
      </c>
      <c r="AK84">
        <v>6</v>
      </c>
      <c r="AL84">
        <v>6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 t="s">
        <v>296</v>
      </c>
    </row>
    <row r="85" spans="1:49" ht="12.75">
      <c r="A85" t="s">
        <v>295</v>
      </c>
      <c r="B85" t="s">
        <v>289</v>
      </c>
      <c r="C85" t="s">
        <v>118</v>
      </c>
      <c r="D85" t="s">
        <v>41</v>
      </c>
      <c r="E85" t="s">
        <v>296</v>
      </c>
      <c r="F85" t="s">
        <v>83</v>
      </c>
      <c r="G85" t="s">
        <v>474</v>
      </c>
      <c r="H85" t="s">
        <v>296</v>
      </c>
      <c r="I85" t="s">
        <v>296</v>
      </c>
      <c r="J85" t="s">
        <v>296</v>
      </c>
      <c r="K85" t="s">
        <v>296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 t="s">
        <v>296</v>
      </c>
    </row>
    <row r="86" spans="1:49" ht="12.75">
      <c r="A86" t="s">
        <v>295</v>
      </c>
      <c r="B86" t="s">
        <v>289</v>
      </c>
      <c r="C86" t="s">
        <v>119</v>
      </c>
      <c r="D86" t="s">
        <v>37</v>
      </c>
      <c r="E86" t="s">
        <v>296</v>
      </c>
      <c r="F86" t="s">
        <v>83</v>
      </c>
      <c r="G86" t="s">
        <v>474</v>
      </c>
      <c r="H86" t="s">
        <v>296</v>
      </c>
      <c r="I86" t="s">
        <v>296</v>
      </c>
      <c r="J86" t="s">
        <v>296</v>
      </c>
      <c r="K86" t="s">
        <v>296</v>
      </c>
      <c r="L86">
        <v>1.6000000000000001</v>
      </c>
      <c r="M86">
        <v>1.6000000000000001</v>
      </c>
      <c r="N86">
        <v>0</v>
      </c>
      <c r="O86">
        <v>1.6000000000000001</v>
      </c>
      <c r="P86">
        <v>1.6000000000000001</v>
      </c>
      <c r="Q86">
        <v>1.6000000000000001</v>
      </c>
      <c r="R86">
        <v>1.6000000000000001</v>
      </c>
      <c r="S86">
        <v>1.6000000000000001</v>
      </c>
      <c r="T86">
        <v>1.6000000000000001</v>
      </c>
      <c r="U86">
        <v>1.6000000000000001</v>
      </c>
      <c r="V86">
        <v>1.6000000000000001</v>
      </c>
      <c r="W86">
        <v>1.6000000000000001</v>
      </c>
      <c r="X86">
        <v>1.6000000000000001</v>
      </c>
      <c r="Y86">
        <v>1.6000000000000001</v>
      </c>
      <c r="Z86">
        <v>1.6000000000000001</v>
      </c>
      <c r="AA86">
        <v>1.6000000000000001</v>
      </c>
      <c r="AB86">
        <v>1.6000000000000001</v>
      </c>
      <c r="AC86">
        <v>1.6000000000000001</v>
      </c>
      <c r="AD86">
        <v>1.6000000000000001</v>
      </c>
      <c r="AE86">
        <v>1.6000000000000001</v>
      </c>
      <c r="AF86">
        <v>1.6000000000000001</v>
      </c>
      <c r="AG86">
        <v>1.6000000000000001</v>
      </c>
      <c r="AH86">
        <v>1.6000000000000001</v>
      </c>
      <c r="AI86">
        <v>1.6000000000000001</v>
      </c>
      <c r="AJ86">
        <v>1.6000000000000001</v>
      </c>
      <c r="AK86">
        <v>1.6000000000000001</v>
      </c>
      <c r="AL86">
        <v>1.6000000000000001</v>
      </c>
      <c r="AM86">
        <v>1.6000000000000001</v>
      </c>
      <c r="AN86">
        <v>0</v>
      </c>
      <c r="AO86">
        <v>1.6000000000000001</v>
      </c>
      <c r="AP86">
        <v>1.6000000000000001</v>
      </c>
      <c r="AQ86">
        <v>1.6000000000000001</v>
      </c>
      <c r="AR86">
        <v>1.6000000000000001</v>
      </c>
      <c r="AS86">
        <v>1.6000000000000001</v>
      </c>
      <c r="AT86">
        <v>1.6000000000000001</v>
      </c>
      <c r="AU86">
        <v>1.6000000000000001</v>
      </c>
      <c r="AV86">
        <v>1.6000000000000001</v>
      </c>
      <c r="AW86" t="s">
        <v>296</v>
      </c>
    </row>
    <row r="87" spans="1:49" ht="12.75">
      <c r="A87" t="s">
        <v>295</v>
      </c>
      <c r="B87" t="s">
        <v>289</v>
      </c>
      <c r="C87" t="s">
        <v>119</v>
      </c>
      <c r="D87" t="s">
        <v>43</v>
      </c>
      <c r="E87" t="s">
        <v>296</v>
      </c>
      <c r="F87" t="s">
        <v>83</v>
      </c>
      <c r="G87" t="s">
        <v>474</v>
      </c>
      <c r="H87" t="s">
        <v>296</v>
      </c>
      <c r="I87" t="s">
        <v>296</v>
      </c>
      <c r="J87" t="s">
        <v>296</v>
      </c>
      <c r="K87" t="s">
        <v>296</v>
      </c>
      <c r="L87">
        <v>2.7999999999999998</v>
      </c>
      <c r="M87">
        <v>2.7999999999999998</v>
      </c>
      <c r="N87">
        <v>2.7999999999999998</v>
      </c>
      <c r="O87">
        <v>2.7999999999999998</v>
      </c>
      <c r="P87">
        <v>2.7999999999999998</v>
      </c>
      <c r="Q87">
        <v>2.7999999999999998</v>
      </c>
      <c r="R87">
        <v>2.7999999999999998</v>
      </c>
      <c r="S87">
        <v>2.7999999999999998</v>
      </c>
      <c r="T87">
        <v>2.7999999999999998</v>
      </c>
      <c r="U87">
        <v>2.7999999999999998</v>
      </c>
      <c r="V87">
        <v>2.7999999999999998</v>
      </c>
      <c r="W87">
        <v>2.7999999999999998</v>
      </c>
      <c r="X87">
        <v>2.7999999999999998</v>
      </c>
      <c r="Y87">
        <v>2.7999999999999998</v>
      </c>
      <c r="Z87">
        <v>2.7999999999999998</v>
      </c>
      <c r="AA87">
        <v>2.7999999999999998</v>
      </c>
      <c r="AB87">
        <v>2.7999999999999998</v>
      </c>
      <c r="AC87">
        <v>2.7999999999999998</v>
      </c>
      <c r="AD87">
        <v>2.7999999999999998</v>
      </c>
      <c r="AE87">
        <v>2.7999999999999998</v>
      </c>
      <c r="AF87">
        <v>2.7999999999999998</v>
      </c>
      <c r="AG87">
        <v>2.7999999999999998</v>
      </c>
      <c r="AH87">
        <v>2.7999999999999998</v>
      </c>
      <c r="AI87">
        <v>2.7999999999999998</v>
      </c>
      <c r="AJ87">
        <v>2.7999999999999998</v>
      </c>
      <c r="AK87">
        <v>2.7999999999999998</v>
      </c>
      <c r="AL87">
        <v>2.7999999999999998</v>
      </c>
      <c r="AM87">
        <v>2.7999999999999998</v>
      </c>
      <c r="AN87">
        <v>2.7999999999999998</v>
      </c>
      <c r="AO87">
        <v>2.52</v>
      </c>
      <c r="AP87">
        <v>2.7999999999999998</v>
      </c>
      <c r="AQ87">
        <v>2.7999999999999998</v>
      </c>
      <c r="AR87">
        <v>2.7999999999999998</v>
      </c>
      <c r="AS87">
        <v>2.7999999999999998</v>
      </c>
      <c r="AT87">
        <v>2.7999999999999998</v>
      </c>
      <c r="AU87">
        <v>2.7999999999999998</v>
      </c>
      <c r="AV87">
        <v>2.7999999999999998</v>
      </c>
      <c r="AW87" t="s">
        <v>296</v>
      </c>
    </row>
    <row r="88" spans="1:49" ht="12.75">
      <c r="A88" t="s">
        <v>295</v>
      </c>
      <c r="B88" t="s">
        <v>289</v>
      </c>
      <c r="C88" t="s">
        <v>119</v>
      </c>
      <c r="D88" t="s">
        <v>44</v>
      </c>
      <c r="E88" t="s">
        <v>296</v>
      </c>
      <c r="F88" t="s">
        <v>83</v>
      </c>
      <c r="G88" t="s">
        <v>474</v>
      </c>
      <c r="H88" t="s">
        <v>296</v>
      </c>
      <c r="I88" t="s">
        <v>296</v>
      </c>
      <c r="J88" t="s">
        <v>296</v>
      </c>
      <c r="K88" t="s">
        <v>296</v>
      </c>
      <c r="L88">
        <v>2.7999999999999998</v>
      </c>
      <c r="M88">
        <v>2.7999999999999998</v>
      </c>
      <c r="N88">
        <v>2.7999999999999998</v>
      </c>
      <c r="O88">
        <v>2.7999999999999998</v>
      </c>
      <c r="P88">
        <v>2.7999999999999998</v>
      </c>
      <c r="Q88">
        <v>2.7999999999999998</v>
      </c>
      <c r="R88">
        <v>2.7999999999999998</v>
      </c>
      <c r="S88">
        <v>2.7999999999999998</v>
      </c>
      <c r="T88">
        <v>2.7999999999999998</v>
      </c>
      <c r="U88">
        <v>2.7999999999999998</v>
      </c>
      <c r="V88">
        <v>2.7999999999999998</v>
      </c>
      <c r="W88">
        <v>2.7999999999999998</v>
      </c>
      <c r="X88">
        <v>2.7999999999999998</v>
      </c>
      <c r="Y88">
        <v>2.7999999999999998</v>
      </c>
      <c r="Z88">
        <v>2.7999999999999998</v>
      </c>
      <c r="AA88">
        <v>2.7999999999999998</v>
      </c>
      <c r="AB88">
        <v>2.7999999999999998</v>
      </c>
      <c r="AC88">
        <v>2.7999999999999998</v>
      </c>
      <c r="AD88">
        <v>2.7999999999999998</v>
      </c>
      <c r="AE88">
        <v>2.7999999999999998</v>
      </c>
      <c r="AF88">
        <v>2.7999999999999998</v>
      </c>
      <c r="AG88">
        <v>2.7999999999999998</v>
      </c>
      <c r="AH88">
        <v>2.7999999999999998</v>
      </c>
      <c r="AI88">
        <v>2.7999999999999998</v>
      </c>
      <c r="AJ88">
        <v>2.7999999999999998</v>
      </c>
      <c r="AK88">
        <v>2.7999999999999998</v>
      </c>
      <c r="AL88">
        <v>2.7999999999999998</v>
      </c>
      <c r="AM88">
        <v>2.7999999999999998</v>
      </c>
      <c r="AN88">
        <v>2.7999999999999998</v>
      </c>
      <c r="AO88">
        <v>2.7999999999999998</v>
      </c>
      <c r="AP88">
        <v>2.7999999999999998</v>
      </c>
      <c r="AQ88">
        <v>2.7999999999999998</v>
      </c>
      <c r="AR88">
        <v>2.7999999999999998</v>
      </c>
      <c r="AS88">
        <v>2.7999999999999998</v>
      </c>
      <c r="AT88">
        <v>2.7999999999999998</v>
      </c>
      <c r="AU88">
        <v>2.7999999999999998</v>
      </c>
      <c r="AV88">
        <v>2.7999999999999998</v>
      </c>
      <c r="AW88" t="s">
        <v>296</v>
      </c>
    </row>
    <row r="89" spans="1:49" ht="12.75">
      <c r="A89" t="s">
        <v>295</v>
      </c>
      <c r="B89" t="s">
        <v>289</v>
      </c>
      <c r="C89" t="s">
        <v>119</v>
      </c>
      <c r="D89" t="s">
        <v>45</v>
      </c>
      <c r="E89" t="s">
        <v>296</v>
      </c>
      <c r="F89" t="s">
        <v>83</v>
      </c>
      <c r="G89" t="s">
        <v>474</v>
      </c>
      <c r="H89" t="s">
        <v>296</v>
      </c>
      <c r="I89" t="s">
        <v>296</v>
      </c>
      <c r="J89" t="s">
        <v>296</v>
      </c>
      <c r="K89" t="s">
        <v>296</v>
      </c>
      <c r="L89">
        <v>0.040000000000000001</v>
      </c>
      <c r="M89">
        <v>0.040000000000000001</v>
      </c>
      <c r="N89">
        <v>0.040000000000000001</v>
      </c>
      <c r="O89">
        <v>0.040000000000000001</v>
      </c>
      <c r="P89">
        <v>0.040000000000000001</v>
      </c>
      <c r="Q89">
        <v>0.040000000000000001</v>
      </c>
      <c r="R89">
        <v>0.040000000000000001</v>
      </c>
      <c r="S89">
        <v>0.040000000000000001</v>
      </c>
      <c r="T89">
        <v>0.040000000000000001</v>
      </c>
      <c r="U89">
        <v>0.040000000000000001</v>
      </c>
      <c r="V89">
        <v>0.040000000000000001</v>
      </c>
      <c r="W89">
        <v>0.040000000000000001</v>
      </c>
      <c r="X89">
        <v>0.040000000000000001</v>
      </c>
      <c r="Y89">
        <v>0.040000000000000001</v>
      </c>
      <c r="Z89">
        <v>0.040000000000000001</v>
      </c>
      <c r="AA89">
        <v>0.040000000000000001</v>
      </c>
      <c r="AB89">
        <v>0.040000000000000001</v>
      </c>
      <c r="AC89">
        <v>0.040000000000000001</v>
      </c>
      <c r="AD89">
        <v>0.040000000000000001</v>
      </c>
      <c r="AE89">
        <v>0.040000000000000001</v>
      </c>
      <c r="AF89">
        <v>0.040000000000000001</v>
      </c>
      <c r="AG89">
        <v>0.040000000000000001</v>
      </c>
      <c r="AH89">
        <v>0.040000000000000001</v>
      </c>
      <c r="AI89">
        <v>0.040000000000000001</v>
      </c>
      <c r="AJ89">
        <v>0.040000000000000001</v>
      </c>
      <c r="AK89">
        <v>0.040000000000000001</v>
      </c>
      <c r="AL89">
        <v>0.040000000000000001</v>
      </c>
      <c r="AM89">
        <v>0.040000000000000001</v>
      </c>
      <c r="AN89">
        <v>0.040000000000000001</v>
      </c>
      <c r="AO89">
        <v>0.040000000000000001</v>
      </c>
      <c r="AP89">
        <v>0.040000000000000001</v>
      </c>
      <c r="AQ89">
        <v>0.040000000000000001</v>
      </c>
      <c r="AR89">
        <v>0.040000000000000001</v>
      </c>
      <c r="AS89">
        <v>0.040000000000000001</v>
      </c>
      <c r="AT89">
        <v>0.040000000000000001</v>
      </c>
      <c r="AU89">
        <v>0.040000000000000001</v>
      </c>
      <c r="AV89">
        <v>0.040000000000000001</v>
      </c>
      <c r="AW89" t="s">
        <v>296</v>
      </c>
    </row>
    <row r="90" spans="1:49" ht="12.75">
      <c r="A90" t="s">
        <v>295</v>
      </c>
      <c r="B90" t="s">
        <v>289</v>
      </c>
      <c r="C90" t="s">
        <v>119</v>
      </c>
      <c r="D90" t="s">
        <v>46</v>
      </c>
      <c r="E90" t="s">
        <v>296</v>
      </c>
      <c r="F90" t="s">
        <v>83</v>
      </c>
      <c r="G90" t="s">
        <v>474</v>
      </c>
      <c r="H90" t="s">
        <v>296</v>
      </c>
      <c r="I90" t="s">
        <v>296</v>
      </c>
      <c r="J90" t="s">
        <v>296</v>
      </c>
      <c r="K90" t="s">
        <v>296</v>
      </c>
      <c r="L90">
        <v>0.83199999999999996</v>
      </c>
      <c r="M90">
        <v>0.83199999999999996</v>
      </c>
      <c r="N90">
        <v>0.83199999999999996</v>
      </c>
      <c r="O90">
        <v>0.83199999999999996</v>
      </c>
      <c r="P90">
        <v>0.83199999999999996</v>
      </c>
      <c r="Q90">
        <v>0.83199999999999996</v>
      </c>
      <c r="R90">
        <v>0.83199999999999996</v>
      </c>
      <c r="S90">
        <v>0.83199999999999996</v>
      </c>
      <c r="T90">
        <v>0.83199999999999996</v>
      </c>
      <c r="U90">
        <v>0.83199999999999996</v>
      </c>
      <c r="V90">
        <v>0.83199999999999996</v>
      </c>
      <c r="W90">
        <v>0.83199999999999996</v>
      </c>
      <c r="X90">
        <v>0.83199999999999996</v>
      </c>
      <c r="Y90">
        <v>0.83199999999999996</v>
      </c>
      <c r="Z90">
        <v>0.83199999999999996</v>
      </c>
      <c r="AA90">
        <v>0.83199999999999996</v>
      </c>
      <c r="AB90">
        <v>0.83199999999999996</v>
      </c>
      <c r="AC90">
        <v>0.83199999999999996</v>
      </c>
      <c r="AD90">
        <v>0.83199999999999996</v>
      </c>
      <c r="AE90">
        <v>0.83199999999999996</v>
      </c>
      <c r="AF90">
        <v>0.83199999999999996</v>
      </c>
      <c r="AG90">
        <v>0.83199999999999996</v>
      </c>
      <c r="AH90">
        <v>0.83199999999999996</v>
      </c>
      <c r="AI90">
        <v>0.83199999999999996</v>
      </c>
      <c r="AJ90">
        <v>0.83199999999999996</v>
      </c>
      <c r="AK90">
        <v>0.83199999999999996</v>
      </c>
      <c r="AL90">
        <v>0.83199999999999996</v>
      </c>
      <c r="AM90">
        <v>0.83199999999999996</v>
      </c>
      <c r="AN90">
        <v>0.83199999999999996</v>
      </c>
      <c r="AO90">
        <v>0.83199999999999996</v>
      </c>
      <c r="AP90">
        <v>0.83199999999999996</v>
      </c>
      <c r="AQ90">
        <v>0.83199999999999996</v>
      </c>
      <c r="AR90">
        <v>0.83199999999999996</v>
      </c>
      <c r="AS90">
        <v>0.83199999999999996</v>
      </c>
      <c r="AT90">
        <v>0.83199999999999996</v>
      </c>
      <c r="AU90">
        <v>0.83199999999999996</v>
      </c>
      <c r="AV90">
        <v>0.83199999999999996</v>
      </c>
      <c r="AW90" t="s">
        <v>296</v>
      </c>
    </row>
    <row r="91" spans="1:49" ht="12.75">
      <c r="A91" t="s">
        <v>295</v>
      </c>
      <c r="B91" t="s">
        <v>289</v>
      </c>
      <c r="C91" t="s">
        <v>120</v>
      </c>
      <c r="D91" t="s">
        <v>58</v>
      </c>
      <c r="E91" t="s">
        <v>296</v>
      </c>
      <c r="F91" t="s">
        <v>83</v>
      </c>
      <c r="G91" t="s">
        <v>474</v>
      </c>
      <c r="H91" t="s">
        <v>296</v>
      </c>
      <c r="I91" t="s">
        <v>296</v>
      </c>
      <c r="J91" t="s">
        <v>296</v>
      </c>
      <c r="K91" t="s">
        <v>296</v>
      </c>
      <c r="L91">
        <v>0.80000000000000004</v>
      </c>
      <c r="M91">
        <v>0.80000000000000004</v>
      </c>
      <c r="N91">
        <v>0.80000000000000004</v>
      </c>
      <c r="O91">
        <v>0.80000000000000004</v>
      </c>
      <c r="P91">
        <v>0.80000000000000004</v>
      </c>
      <c r="Q91">
        <v>0.80000000000000004</v>
      </c>
      <c r="R91">
        <v>0.80000000000000004</v>
      </c>
      <c r="S91">
        <v>0.80000000000000004</v>
      </c>
      <c r="T91">
        <v>0.80000000000000004</v>
      </c>
      <c r="U91">
        <v>0.80000000000000004</v>
      </c>
      <c r="V91">
        <v>0.80000000000000004</v>
      </c>
      <c r="W91">
        <v>0.80000000000000004</v>
      </c>
      <c r="X91">
        <v>0</v>
      </c>
      <c r="Y91">
        <v>3.3599999999999999</v>
      </c>
      <c r="Z91">
        <v>0.80000000000000004</v>
      </c>
      <c r="AA91">
        <v>0.80000000000000004</v>
      </c>
      <c r="AB91">
        <v>0.80000000000000004</v>
      </c>
      <c r="AC91">
        <v>0.80000000000000004</v>
      </c>
      <c r="AD91">
        <v>0.80000000000000004</v>
      </c>
      <c r="AE91">
        <v>0.80000000000000004</v>
      </c>
      <c r="AF91">
        <v>0.80000000000000004</v>
      </c>
      <c r="AG91">
        <v>0.80000000000000004</v>
      </c>
      <c r="AH91">
        <v>0.80000000000000004</v>
      </c>
      <c r="AI91">
        <v>0.80000000000000004</v>
      </c>
      <c r="AJ91">
        <v>0.80000000000000004</v>
      </c>
      <c r="AK91">
        <v>0.80000000000000004</v>
      </c>
      <c r="AL91">
        <v>0.80000000000000004</v>
      </c>
      <c r="AM91">
        <v>0.80000000000000004</v>
      </c>
      <c r="AN91">
        <v>0</v>
      </c>
      <c r="AO91">
        <v>0.80000000000000004</v>
      </c>
      <c r="AP91">
        <v>0.80000000000000004</v>
      </c>
      <c r="AQ91">
        <v>0.80000000000000004</v>
      </c>
      <c r="AR91">
        <v>0.80000000000000004</v>
      </c>
      <c r="AS91">
        <v>0.80000000000000004</v>
      </c>
      <c r="AT91">
        <v>0.80000000000000004</v>
      </c>
      <c r="AU91">
        <v>0.80000000000000004</v>
      </c>
      <c r="AV91">
        <v>0.80000000000000004</v>
      </c>
      <c r="AW91" t="s">
        <v>296</v>
      </c>
    </row>
    <row r="92" spans="1:49" ht="12.75">
      <c r="A92" t="s">
        <v>295</v>
      </c>
      <c r="B92" t="s">
        <v>289</v>
      </c>
      <c r="C92" t="s">
        <v>120</v>
      </c>
      <c r="D92" t="s">
        <v>51</v>
      </c>
      <c r="E92" t="s">
        <v>296</v>
      </c>
      <c r="F92" t="s">
        <v>83</v>
      </c>
      <c r="G92" t="s">
        <v>474</v>
      </c>
      <c r="H92" t="s">
        <v>296</v>
      </c>
      <c r="I92" t="s">
        <v>296</v>
      </c>
      <c r="J92" t="s">
        <v>296</v>
      </c>
      <c r="K92" t="s">
        <v>296</v>
      </c>
      <c r="L92">
        <v>1.52</v>
      </c>
      <c r="M92">
        <v>1.52</v>
      </c>
      <c r="N92">
        <v>1.52</v>
      </c>
      <c r="O92">
        <v>1.52</v>
      </c>
      <c r="P92">
        <v>1.52</v>
      </c>
      <c r="Q92">
        <v>1.52</v>
      </c>
      <c r="R92">
        <v>1.52</v>
      </c>
      <c r="S92">
        <v>1.52</v>
      </c>
      <c r="T92">
        <v>1.52</v>
      </c>
      <c r="U92">
        <v>1.52</v>
      </c>
      <c r="V92">
        <v>1.52</v>
      </c>
      <c r="W92">
        <v>1.52</v>
      </c>
      <c r="X92">
        <v>1.52</v>
      </c>
      <c r="Y92">
        <v>1.52</v>
      </c>
      <c r="Z92">
        <v>1.52</v>
      </c>
      <c r="AA92">
        <v>1.52</v>
      </c>
      <c r="AB92">
        <v>1.52</v>
      </c>
      <c r="AC92">
        <v>1.52</v>
      </c>
      <c r="AD92">
        <v>1.52</v>
      </c>
      <c r="AE92">
        <v>1.52</v>
      </c>
      <c r="AF92">
        <v>1.52</v>
      </c>
      <c r="AG92">
        <v>1.52</v>
      </c>
      <c r="AH92">
        <v>1.52</v>
      </c>
      <c r="AI92">
        <v>1.52</v>
      </c>
      <c r="AJ92">
        <v>1.52</v>
      </c>
      <c r="AK92">
        <v>1.52</v>
      </c>
      <c r="AL92">
        <v>1.52</v>
      </c>
      <c r="AM92">
        <v>1.52</v>
      </c>
      <c r="AN92">
        <v>1.52</v>
      </c>
      <c r="AO92">
        <v>1.52</v>
      </c>
      <c r="AP92">
        <v>1.52</v>
      </c>
      <c r="AQ92">
        <v>1.52</v>
      </c>
      <c r="AR92">
        <v>1.52</v>
      </c>
      <c r="AS92">
        <v>1.52</v>
      </c>
      <c r="AT92">
        <v>1.52</v>
      </c>
      <c r="AU92">
        <v>1.52</v>
      </c>
      <c r="AV92">
        <v>1.52</v>
      </c>
      <c r="AW92" t="s">
        <v>296</v>
      </c>
    </row>
    <row r="93" spans="1:49" ht="12.75">
      <c r="A93" t="s">
        <v>295</v>
      </c>
      <c r="B93" t="s">
        <v>289</v>
      </c>
      <c r="C93" t="s">
        <v>120</v>
      </c>
      <c r="D93" t="s">
        <v>37</v>
      </c>
      <c r="E93" t="s">
        <v>296</v>
      </c>
      <c r="F93" t="s">
        <v>83</v>
      </c>
      <c r="G93" t="s">
        <v>474</v>
      </c>
      <c r="H93" t="s">
        <v>296</v>
      </c>
      <c r="I93" t="s">
        <v>296</v>
      </c>
      <c r="J93" t="s">
        <v>296</v>
      </c>
      <c r="K93" t="s">
        <v>296</v>
      </c>
      <c r="L93">
        <v>8</v>
      </c>
      <c r="M93">
        <v>8</v>
      </c>
      <c r="N93">
        <v>8</v>
      </c>
      <c r="O93">
        <v>8</v>
      </c>
      <c r="P93">
        <v>8</v>
      </c>
      <c r="Q93">
        <v>8</v>
      </c>
      <c r="R93">
        <v>8</v>
      </c>
      <c r="S93">
        <v>8</v>
      </c>
      <c r="T93">
        <v>8</v>
      </c>
      <c r="U93">
        <v>8</v>
      </c>
      <c r="V93">
        <v>8</v>
      </c>
      <c r="W93">
        <v>8</v>
      </c>
      <c r="X93">
        <v>8</v>
      </c>
      <c r="Y93">
        <v>8</v>
      </c>
      <c r="Z93">
        <v>8</v>
      </c>
      <c r="AA93">
        <v>8</v>
      </c>
      <c r="AB93">
        <v>8</v>
      </c>
      <c r="AC93">
        <v>8</v>
      </c>
      <c r="AD93">
        <v>8</v>
      </c>
      <c r="AE93">
        <v>8</v>
      </c>
      <c r="AF93">
        <v>8</v>
      </c>
      <c r="AG93">
        <v>8</v>
      </c>
      <c r="AH93">
        <v>8</v>
      </c>
      <c r="AI93">
        <v>8</v>
      </c>
      <c r="AJ93">
        <v>8</v>
      </c>
      <c r="AK93">
        <v>8</v>
      </c>
      <c r="AL93">
        <v>8</v>
      </c>
      <c r="AM93">
        <v>8</v>
      </c>
      <c r="AN93">
        <v>8</v>
      </c>
      <c r="AO93">
        <v>8</v>
      </c>
      <c r="AP93">
        <v>8</v>
      </c>
      <c r="AQ93">
        <v>8</v>
      </c>
      <c r="AR93">
        <v>8</v>
      </c>
      <c r="AS93">
        <v>8</v>
      </c>
      <c r="AT93">
        <v>8</v>
      </c>
      <c r="AU93">
        <v>8</v>
      </c>
      <c r="AV93">
        <v>8</v>
      </c>
      <c r="AW93" t="s">
        <v>296</v>
      </c>
    </row>
    <row r="94" spans="1:49" ht="12.75">
      <c r="A94" t="s">
        <v>295</v>
      </c>
      <c r="B94" t="s">
        <v>289</v>
      </c>
      <c r="C94" t="s">
        <v>120</v>
      </c>
      <c r="D94" t="s">
        <v>38</v>
      </c>
      <c r="E94" t="s">
        <v>296</v>
      </c>
      <c r="F94" t="s">
        <v>83</v>
      </c>
      <c r="G94" t="s">
        <v>474</v>
      </c>
      <c r="H94" t="s">
        <v>296</v>
      </c>
      <c r="I94" t="s">
        <v>296</v>
      </c>
      <c r="J94" t="s">
        <v>296</v>
      </c>
      <c r="K94" t="s">
        <v>296</v>
      </c>
      <c r="L94">
        <v>2.5600000000000001</v>
      </c>
      <c r="M94">
        <v>2.5600000000000001</v>
      </c>
      <c r="N94">
        <v>2.5600000000000001</v>
      </c>
      <c r="O94">
        <v>2.5600000000000001</v>
      </c>
      <c r="P94">
        <v>2.5600000000000001</v>
      </c>
      <c r="Q94">
        <v>2.5600000000000001</v>
      </c>
      <c r="R94">
        <v>2.5600000000000001</v>
      </c>
      <c r="S94">
        <v>2.5600000000000001</v>
      </c>
      <c r="T94">
        <v>2.5600000000000001</v>
      </c>
      <c r="U94">
        <v>2.5600000000000001</v>
      </c>
      <c r="V94">
        <v>2.5600000000000001</v>
      </c>
      <c r="W94">
        <v>2.5600000000000001</v>
      </c>
      <c r="X94">
        <v>3.3599999999999999</v>
      </c>
      <c r="Y94">
        <v>0</v>
      </c>
      <c r="Z94">
        <v>2.5600000000000001</v>
      </c>
      <c r="AA94">
        <v>2.5600000000000001</v>
      </c>
      <c r="AB94">
        <v>2.5600000000000001</v>
      </c>
      <c r="AC94">
        <v>2.5600000000000001</v>
      </c>
      <c r="AD94">
        <v>2.5600000000000001</v>
      </c>
      <c r="AE94">
        <v>2.5600000000000001</v>
      </c>
      <c r="AF94">
        <v>2.5600000000000001</v>
      </c>
      <c r="AG94">
        <v>2.5600000000000001</v>
      </c>
      <c r="AH94">
        <v>2.5600000000000001</v>
      </c>
      <c r="AI94">
        <v>2.5600000000000001</v>
      </c>
      <c r="AJ94">
        <v>2.5600000000000001</v>
      </c>
      <c r="AK94">
        <v>2.5600000000000001</v>
      </c>
      <c r="AL94">
        <v>2.5600000000000001</v>
      </c>
      <c r="AM94">
        <v>2.5600000000000001</v>
      </c>
      <c r="AN94">
        <v>2.5600000000000001</v>
      </c>
      <c r="AO94">
        <v>2.5600000000000001</v>
      </c>
      <c r="AP94">
        <v>2.5600000000000001</v>
      </c>
      <c r="AQ94">
        <v>2.5600000000000001</v>
      </c>
      <c r="AR94">
        <v>2.5600000000000001</v>
      </c>
      <c r="AS94">
        <v>2.5600000000000001</v>
      </c>
      <c r="AT94">
        <v>2.5600000000000001</v>
      </c>
      <c r="AU94">
        <v>2.5600000000000001</v>
      </c>
      <c r="AV94">
        <v>2.5600000000000001</v>
      </c>
      <c r="AW94" t="s">
        <v>296</v>
      </c>
    </row>
    <row r="95" spans="1:49" ht="12.75">
      <c r="A95" t="s">
        <v>295</v>
      </c>
      <c r="B95" t="s">
        <v>289</v>
      </c>
      <c r="C95" t="s">
        <v>120</v>
      </c>
      <c r="D95" t="s">
        <v>43</v>
      </c>
      <c r="E95" t="s">
        <v>296</v>
      </c>
      <c r="F95" t="s">
        <v>83</v>
      </c>
      <c r="G95" t="s">
        <v>474</v>
      </c>
      <c r="H95" t="s">
        <v>296</v>
      </c>
      <c r="I95" t="s">
        <v>296</v>
      </c>
      <c r="J95" t="s">
        <v>296</v>
      </c>
      <c r="K95" t="s">
        <v>296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8</v>
      </c>
      <c r="Y95">
        <v>8</v>
      </c>
      <c r="Z95">
        <v>8</v>
      </c>
      <c r="AA95">
        <v>8</v>
      </c>
      <c r="AB95">
        <v>8</v>
      </c>
      <c r="AC95">
        <v>8</v>
      </c>
      <c r="AD95">
        <v>8</v>
      </c>
      <c r="AE95">
        <v>8</v>
      </c>
      <c r="AF95">
        <v>8</v>
      </c>
      <c r="AG95">
        <v>8</v>
      </c>
      <c r="AH95">
        <v>8</v>
      </c>
      <c r="AI95">
        <v>8</v>
      </c>
      <c r="AJ95">
        <v>8</v>
      </c>
      <c r="AK95">
        <v>8</v>
      </c>
      <c r="AL95">
        <v>8</v>
      </c>
      <c r="AM95">
        <v>8</v>
      </c>
      <c r="AN95">
        <v>8</v>
      </c>
      <c r="AO95">
        <v>7.2000000000000002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8</v>
      </c>
      <c r="AV95">
        <v>8</v>
      </c>
      <c r="AW95" t="s">
        <v>296</v>
      </c>
    </row>
    <row r="96" spans="1:49" ht="12.75">
      <c r="A96" t="s">
        <v>295</v>
      </c>
      <c r="B96" t="s">
        <v>289</v>
      </c>
      <c r="C96" t="s">
        <v>120</v>
      </c>
      <c r="D96" t="s">
        <v>39</v>
      </c>
      <c r="E96" t="s">
        <v>296</v>
      </c>
      <c r="F96" t="s">
        <v>83</v>
      </c>
      <c r="G96" t="s">
        <v>474</v>
      </c>
      <c r="H96" t="s">
        <v>296</v>
      </c>
      <c r="I96" t="s">
        <v>296</v>
      </c>
      <c r="J96" t="s">
        <v>296</v>
      </c>
      <c r="K96" t="s">
        <v>296</v>
      </c>
      <c r="L96">
        <v>0.80000000000000004</v>
      </c>
      <c r="M96">
        <v>0</v>
      </c>
      <c r="N96">
        <v>0.80000000000000004</v>
      </c>
      <c r="O96">
        <v>0.80000000000000004</v>
      </c>
      <c r="P96">
        <v>0.80000000000000004</v>
      </c>
      <c r="Q96">
        <v>0.80000000000000004</v>
      </c>
      <c r="R96">
        <v>0.80000000000000004</v>
      </c>
      <c r="S96">
        <v>0.80000000000000004</v>
      </c>
      <c r="T96">
        <v>0.80000000000000004</v>
      </c>
      <c r="U96">
        <v>0.80000000000000004</v>
      </c>
      <c r="V96">
        <v>0.80000000000000004</v>
      </c>
      <c r="W96">
        <v>0.80000000000000004</v>
      </c>
      <c r="X96">
        <v>0.80000000000000004</v>
      </c>
      <c r="Y96">
        <v>0.80000000000000004</v>
      </c>
      <c r="Z96">
        <v>0.80000000000000004</v>
      </c>
      <c r="AA96">
        <v>0.80000000000000004</v>
      </c>
      <c r="AB96">
        <v>0.80000000000000004</v>
      </c>
      <c r="AC96">
        <v>0.80000000000000004</v>
      </c>
      <c r="AD96">
        <v>0.80000000000000004</v>
      </c>
      <c r="AE96">
        <v>0.80000000000000004</v>
      </c>
      <c r="AF96">
        <v>0.80000000000000004</v>
      </c>
      <c r="AG96">
        <v>0.80000000000000004</v>
      </c>
      <c r="AH96">
        <v>0.80000000000000004</v>
      </c>
      <c r="AI96">
        <v>0.80000000000000004</v>
      </c>
      <c r="AJ96">
        <v>0.80000000000000004</v>
      </c>
      <c r="AK96">
        <v>0.80000000000000004</v>
      </c>
      <c r="AL96">
        <v>0.80000000000000004</v>
      </c>
      <c r="AM96">
        <v>0.80000000000000004</v>
      </c>
      <c r="AN96">
        <v>0.80000000000000004</v>
      </c>
      <c r="AO96">
        <v>0.80000000000000004</v>
      </c>
      <c r="AP96">
        <v>0.80000000000000004</v>
      </c>
      <c r="AQ96">
        <v>0.80000000000000004</v>
      </c>
      <c r="AR96">
        <v>0.80000000000000004</v>
      </c>
      <c r="AS96">
        <v>0.80000000000000004</v>
      </c>
      <c r="AT96">
        <v>0.80000000000000004</v>
      </c>
      <c r="AU96">
        <v>0.80000000000000004</v>
      </c>
      <c r="AV96">
        <v>0.80000000000000004</v>
      </c>
      <c r="AW96" t="s">
        <v>296</v>
      </c>
    </row>
    <row r="97" spans="1:49" ht="12.75">
      <c r="A97" t="s">
        <v>295</v>
      </c>
      <c r="B97" t="s">
        <v>289</v>
      </c>
      <c r="C97" t="s">
        <v>120</v>
      </c>
      <c r="D97" t="s">
        <v>121</v>
      </c>
      <c r="E97" t="s">
        <v>296</v>
      </c>
      <c r="F97" t="s">
        <v>83</v>
      </c>
      <c r="G97" t="s">
        <v>474</v>
      </c>
      <c r="H97" t="s">
        <v>296</v>
      </c>
      <c r="I97" t="s">
        <v>296</v>
      </c>
      <c r="J97" t="s">
        <v>296</v>
      </c>
      <c r="K97" t="s">
        <v>296</v>
      </c>
      <c r="L97">
        <v>2.6400000000000001</v>
      </c>
      <c r="M97">
        <v>2.6400000000000001</v>
      </c>
      <c r="N97">
        <v>2.6400000000000001</v>
      </c>
      <c r="O97">
        <v>2.6400000000000001</v>
      </c>
      <c r="P97">
        <v>2.6400000000000001</v>
      </c>
      <c r="Q97">
        <v>2.6400000000000001</v>
      </c>
      <c r="R97">
        <v>2.6400000000000001</v>
      </c>
      <c r="S97">
        <v>2.6400000000000001</v>
      </c>
      <c r="T97">
        <v>2.6400000000000001</v>
      </c>
      <c r="U97">
        <v>2.6400000000000001</v>
      </c>
      <c r="V97">
        <v>2.6400000000000001</v>
      </c>
      <c r="W97">
        <v>2.6400000000000001</v>
      </c>
      <c r="X97">
        <v>2.6400000000000001</v>
      </c>
      <c r="Y97">
        <v>2.6400000000000001</v>
      </c>
      <c r="Z97">
        <v>2.6400000000000001</v>
      </c>
      <c r="AA97">
        <v>2.6400000000000001</v>
      </c>
      <c r="AB97">
        <v>2.6400000000000001</v>
      </c>
      <c r="AC97">
        <v>2.6400000000000001</v>
      </c>
      <c r="AD97">
        <v>2.6400000000000001</v>
      </c>
      <c r="AE97">
        <v>2.6400000000000001</v>
      </c>
      <c r="AF97">
        <v>2.6400000000000001</v>
      </c>
      <c r="AG97">
        <v>2.6400000000000001</v>
      </c>
      <c r="AH97">
        <v>2.6400000000000001</v>
      </c>
      <c r="AI97">
        <v>2.6400000000000001</v>
      </c>
      <c r="AJ97">
        <v>2.6400000000000001</v>
      </c>
      <c r="AK97">
        <v>2.6400000000000001</v>
      </c>
      <c r="AL97">
        <v>2.6400000000000001</v>
      </c>
      <c r="AM97">
        <v>2.6400000000000001</v>
      </c>
      <c r="AN97">
        <v>2.6400000000000001</v>
      </c>
      <c r="AO97">
        <v>2.6400000000000001</v>
      </c>
      <c r="AP97">
        <v>2.6400000000000001</v>
      </c>
      <c r="AQ97">
        <v>2.6400000000000001</v>
      </c>
      <c r="AR97">
        <v>2.6400000000000001</v>
      </c>
      <c r="AS97">
        <v>2.6400000000000001</v>
      </c>
      <c r="AT97">
        <v>2.6400000000000001</v>
      </c>
      <c r="AU97">
        <v>2.6400000000000001</v>
      </c>
      <c r="AV97">
        <v>2.6400000000000001</v>
      </c>
      <c r="AW97" t="s">
        <v>296</v>
      </c>
    </row>
    <row r="98" spans="1:49" ht="12.75">
      <c r="A98" t="s">
        <v>295</v>
      </c>
      <c r="B98" t="s">
        <v>289</v>
      </c>
      <c r="C98" t="s">
        <v>120</v>
      </c>
      <c r="D98" t="s">
        <v>46</v>
      </c>
      <c r="E98" t="s">
        <v>296</v>
      </c>
      <c r="F98" t="s">
        <v>83</v>
      </c>
      <c r="G98" t="s">
        <v>474</v>
      </c>
      <c r="H98" t="s">
        <v>296</v>
      </c>
      <c r="I98" t="s">
        <v>296</v>
      </c>
      <c r="J98" t="s">
        <v>296</v>
      </c>
      <c r="K98" t="s">
        <v>296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 t="s">
        <v>296</v>
      </c>
    </row>
    <row r="99" spans="1:49" ht="12.75">
      <c r="A99" t="s">
        <v>295</v>
      </c>
      <c r="B99" t="s">
        <v>289</v>
      </c>
      <c r="C99" t="s">
        <v>122</v>
      </c>
      <c r="D99" t="s">
        <v>58</v>
      </c>
      <c r="E99" t="s">
        <v>296</v>
      </c>
      <c r="F99" t="s">
        <v>83</v>
      </c>
      <c r="G99" t="s">
        <v>474</v>
      </c>
      <c r="H99" t="s">
        <v>296</v>
      </c>
      <c r="I99" t="s">
        <v>296</v>
      </c>
      <c r="J99" t="s">
        <v>296</v>
      </c>
      <c r="K99" t="s">
        <v>296</v>
      </c>
      <c r="L99">
        <v>0.80000000000000004</v>
      </c>
      <c r="M99">
        <v>0.80000000000000004</v>
      </c>
      <c r="N99">
        <v>0.80000000000000004</v>
      </c>
      <c r="O99">
        <v>0.80000000000000004</v>
      </c>
      <c r="P99">
        <v>0.80000000000000004</v>
      </c>
      <c r="Q99">
        <v>0.80000000000000004</v>
      </c>
      <c r="R99">
        <v>0</v>
      </c>
      <c r="S99">
        <v>0.80000000000000004</v>
      </c>
      <c r="T99">
        <v>0.80000000000000004</v>
      </c>
      <c r="U99">
        <v>0.80000000000000004</v>
      </c>
      <c r="V99">
        <v>0.80000000000000004</v>
      </c>
      <c r="W99">
        <v>0.80000000000000004</v>
      </c>
      <c r="X99">
        <v>0</v>
      </c>
      <c r="Y99">
        <v>0.80000000000000004</v>
      </c>
      <c r="Z99">
        <v>0.80000000000000004</v>
      </c>
      <c r="AA99">
        <v>0.80000000000000004</v>
      </c>
      <c r="AB99">
        <v>0.80000000000000004</v>
      </c>
      <c r="AC99">
        <v>0.80000000000000004</v>
      </c>
      <c r="AD99">
        <v>0.80000000000000004</v>
      </c>
      <c r="AE99">
        <v>0.80000000000000004</v>
      </c>
      <c r="AF99">
        <v>0.80000000000000004</v>
      </c>
      <c r="AG99">
        <v>0.80000000000000004</v>
      </c>
      <c r="AH99">
        <v>0.80000000000000004</v>
      </c>
      <c r="AI99">
        <v>0.80000000000000004</v>
      </c>
      <c r="AJ99">
        <v>0.80000000000000004</v>
      </c>
      <c r="AK99">
        <v>0.80000000000000004</v>
      </c>
      <c r="AL99">
        <v>0.80000000000000004</v>
      </c>
      <c r="AM99">
        <v>0.80000000000000004</v>
      </c>
      <c r="AN99">
        <v>0</v>
      </c>
      <c r="AO99">
        <v>0.80000000000000004</v>
      </c>
      <c r="AP99">
        <v>0.80000000000000004</v>
      </c>
      <c r="AQ99">
        <v>0.80000000000000004</v>
      </c>
      <c r="AR99">
        <v>0.80000000000000004</v>
      </c>
      <c r="AS99">
        <v>0.80000000000000004</v>
      </c>
      <c r="AT99">
        <v>0.80000000000000004</v>
      </c>
      <c r="AU99">
        <v>0.80000000000000004</v>
      </c>
      <c r="AV99">
        <v>0.80000000000000004</v>
      </c>
      <c r="AW99" t="s">
        <v>296</v>
      </c>
    </row>
    <row r="100" spans="1:49" ht="12.75">
      <c r="A100" t="s">
        <v>295</v>
      </c>
      <c r="B100" t="s">
        <v>289</v>
      </c>
      <c r="C100" t="s">
        <v>122</v>
      </c>
      <c r="D100" t="s">
        <v>49</v>
      </c>
      <c r="E100" t="s">
        <v>296</v>
      </c>
      <c r="F100" t="s">
        <v>83</v>
      </c>
      <c r="G100" t="s">
        <v>474</v>
      </c>
      <c r="H100" t="s">
        <v>296</v>
      </c>
      <c r="I100" t="s">
        <v>296</v>
      </c>
      <c r="J100" t="s">
        <v>296</v>
      </c>
      <c r="K100" t="s">
        <v>296</v>
      </c>
      <c r="L100">
        <v>1.28</v>
      </c>
      <c r="M100">
        <v>1.28</v>
      </c>
      <c r="N100">
        <v>1.28</v>
      </c>
      <c r="O100">
        <v>0</v>
      </c>
      <c r="P100">
        <v>1.28</v>
      </c>
      <c r="Q100">
        <v>1.28</v>
      </c>
      <c r="R100">
        <v>1.28</v>
      </c>
      <c r="S100">
        <v>1.28</v>
      </c>
      <c r="T100">
        <v>1.28</v>
      </c>
      <c r="U100">
        <v>1.28</v>
      </c>
      <c r="V100">
        <v>1.28</v>
      </c>
      <c r="W100">
        <v>1.28</v>
      </c>
      <c r="X100">
        <v>0</v>
      </c>
      <c r="Y100">
        <v>1.28</v>
      </c>
      <c r="Z100">
        <v>1.28</v>
      </c>
      <c r="AA100">
        <v>1.28</v>
      </c>
      <c r="AB100">
        <v>1.28</v>
      </c>
      <c r="AC100">
        <v>1.28</v>
      </c>
      <c r="AD100">
        <v>1.28</v>
      </c>
      <c r="AE100">
        <v>1.28</v>
      </c>
      <c r="AF100">
        <v>1.28</v>
      </c>
      <c r="AG100">
        <v>1.28</v>
      </c>
      <c r="AH100">
        <v>1.28</v>
      </c>
      <c r="AI100">
        <v>1.28</v>
      </c>
      <c r="AJ100">
        <v>1.28</v>
      </c>
      <c r="AK100">
        <v>1.28</v>
      </c>
      <c r="AL100">
        <v>1.28</v>
      </c>
      <c r="AM100">
        <v>1.28</v>
      </c>
      <c r="AN100">
        <v>0</v>
      </c>
      <c r="AO100">
        <v>1.28</v>
      </c>
      <c r="AP100">
        <v>1.28</v>
      </c>
      <c r="AQ100">
        <v>1.28</v>
      </c>
      <c r="AR100">
        <v>1.28</v>
      </c>
      <c r="AS100">
        <v>1.28</v>
      </c>
      <c r="AT100">
        <v>1.28</v>
      </c>
      <c r="AU100">
        <v>1.28</v>
      </c>
      <c r="AV100">
        <v>1.28</v>
      </c>
      <c r="AW100" t="s">
        <v>296</v>
      </c>
    </row>
    <row r="101" spans="1:49" ht="12.75">
      <c r="A101" t="s">
        <v>295</v>
      </c>
      <c r="B101" t="s">
        <v>289</v>
      </c>
      <c r="C101" t="s">
        <v>122</v>
      </c>
      <c r="D101" t="s">
        <v>37</v>
      </c>
      <c r="E101" t="s">
        <v>296</v>
      </c>
      <c r="F101" t="s">
        <v>83</v>
      </c>
      <c r="G101" t="s">
        <v>474</v>
      </c>
      <c r="H101" t="s">
        <v>296</v>
      </c>
      <c r="I101" t="s">
        <v>296</v>
      </c>
      <c r="J101" t="s">
        <v>296</v>
      </c>
      <c r="K101" t="s">
        <v>296</v>
      </c>
      <c r="L101">
        <v>1.0800000000000001</v>
      </c>
      <c r="M101">
        <v>1.0800000000000001</v>
      </c>
      <c r="N101">
        <v>1.0800000000000001</v>
      </c>
      <c r="O101">
        <v>1.0800000000000001</v>
      </c>
      <c r="P101">
        <v>1.0800000000000001</v>
      </c>
      <c r="Q101">
        <v>1.0800000000000001</v>
      </c>
      <c r="R101">
        <v>1.0800000000000001</v>
      </c>
      <c r="S101">
        <v>1.0800000000000001</v>
      </c>
      <c r="T101">
        <v>1.0800000000000001</v>
      </c>
      <c r="U101">
        <v>1.0800000000000001</v>
      </c>
      <c r="V101">
        <v>1.0800000000000001</v>
      </c>
      <c r="W101">
        <v>1.0800000000000001</v>
      </c>
      <c r="X101">
        <v>1.0800000000000001</v>
      </c>
      <c r="Y101">
        <v>1.0800000000000001</v>
      </c>
      <c r="Z101">
        <v>1.0800000000000001</v>
      </c>
      <c r="AA101">
        <v>1.0800000000000001</v>
      </c>
      <c r="AB101">
        <v>1.0800000000000001</v>
      </c>
      <c r="AC101">
        <v>1.0800000000000001</v>
      </c>
      <c r="AD101">
        <v>1.0800000000000001</v>
      </c>
      <c r="AE101">
        <v>1.0800000000000001</v>
      </c>
      <c r="AF101">
        <v>1.0800000000000001</v>
      </c>
      <c r="AG101">
        <v>1.0800000000000001</v>
      </c>
      <c r="AH101">
        <v>1.0800000000000001</v>
      </c>
      <c r="AI101">
        <v>1.0800000000000001</v>
      </c>
      <c r="AJ101">
        <v>1.0800000000000001</v>
      </c>
      <c r="AK101">
        <v>1.0800000000000001</v>
      </c>
      <c r="AL101">
        <v>1.0800000000000001</v>
      </c>
      <c r="AM101">
        <v>1.0800000000000001</v>
      </c>
      <c r="AN101">
        <v>1.0800000000000001</v>
      </c>
      <c r="AO101">
        <v>1.0800000000000001</v>
      </c>
      <c r="AP101">
        <v>1.0800000000000001</v>
      </c>
      <c r="AQ101">
        <v>1.0800000000000001</v>
      </c>
      <c r="AR101">
        <v>1.0800000000000001</v>
      </c>
      <c r="AS101">
        <v>1.0800000000000001</v>
      </c>
      <c r="AT101">
        <v>1.0800000000000001</v>
      </c>
      <c r="AU101">
        <v>1.0800000000000001</v>
      </c>
      <c r="AV101">
        <v>1.0800000000000001</v>
      </c>
      <c r="AW101" t="s">
        <v>296</v>
      </c>
    </row>
    <row r="102" spans="1:49" ht="12.75">
      <c r="A102" t="s">
        <v>295</v>
      </c>
      <c r="B102" t="s">
        <v>289</v>
      </c>
      <c r="C102" t="s">
        <v>122</v>
      </c>
      <c r="D102" t="s">
        <v>38</v>
      </c>
      <c r="E102" t="s">
        <v>296</v>
      </c>
      <c r="F102" t="s">
        <v>83</v>
      </c>
      <c r="G102" t="s">
        <v>474</v>
      </c>
      <c r="H102" t="s">
        <v>296</v>
      </c>
      <c r="I102" t="s">
        <v>296</v>
      </c>
      <c r="J102" t="s">
        <v>296</v>
      </c>
      <c r="K102" t="s">
        <v>296</v>
      </c>
      <c r="L102">
        <v>1.4399999999999999</v>
      </c>
      <c r="M102">
        <v>1.4399999999999999</v>
      </c>
      <c r="N102">
        <v>1.4399999999999999</v>
      </c>
      <c r="O102">
        <v>2.7200000000000002</v>
      </c>
      <c r="P102">
        <v>1.4399999999999999</v>
      </c>
      <c r="Q102">
        <v>1.4399999999999999</v>
      </c>
      <c r="R102">
        <v>1.4399999999999999</v>
      </c>
      <c r="S102">
        <v>1.4399999999999999</v>
      </c>
      <c r="T102">
        <v>1.4399999999999999</v>
      </c>
      <c r="U102">
        <v>1.4399999999999999</v>
      </c>
      <c r="V102">
        <v>1.4399999999999999</v>
      </c>
      <c r="W102">
        <v>1.4399999999999999</v>
      </c>
      <c r="X102">
        <v>3.52</v>
      </c>
      <c r="Y102">
        <v>1.4399999999999999</v>
      </c>
      <c r="Z102">
        <v>1.4399999999999999</v>
      </c>
      <c r="AA102">
        <v>1.4399999999999999</v>
      </c>
      <c r="AB102">
        <v>1.4399999999999999</v>
      </c>
      <c r="AC102">
        <v>1.4399999999999999</v>
      </c>
      <c r="AD102">
        <v>1.4399999999999999</v>
      </c>
      <c r="AE102">
        <v>1.4399999999999999</v>
      </c>
      <c r="AF102">
        <v>1.4399999999999999</v>
      </c>
      <c r="AG102">
        <v>1.4399999999999999</v>
      </c>
      <c r="AH102">
        <v>1.4399999999999999</v>
      </c>
      <c r="AI102">
        <v>1.4399999999999999</v>
      </c>
      <c r="AJ102">
        <v>1.4399999999999999</v>
      </c>
      <c r="AK102">
        <v>1.4399999999999999</v>
      </c>
      <c r="AL102">
        <v>1.4399999999999999</v>
      </c>
      <c r="AM102">
        <v>1.4399999999999999</v>
      </c>
      <c r="AN102">
        <v>3.6088888888888899</v>
      </c>
      <c r="AO102">
        <v>1.4399999999999999</v>
      </c>
      <c r="AP102">
        <v>1.4399999999999999</v>
      </c>
      <c r="AQ102">
        <v>1.4399999999999999</v>
      </c>
      <c r="AR102">
        <v>1.4399999999999999</v>
      </c>
      <c r="AS102">
        <v>1.4399999999999999</v>
      </c>
      <c r="AT102">
        <v>1.4399999999999999</v>
      </c>
      <c r="AU102">
        <v>1.4399999999999999</v>
      </c>
      <c r="AV102">
        <v>1.4399999999999999</v>
      </c>
      <c r="AW102" t="s">
        <v>296</v>
      </c>
    </row>
    <row r="103" spans="1:49" ht="12.75">
      <c r="A103" t="s">
        <v>295</v>
      </c>
      <c r="B103" t="s">
        <v>289</v>
      </c>
      <c r="C103" t="s">
        <v>122</v>
      </c>
      <c r="D103" t="s">
        <v>43</v>
      </c>
      <c r="E103" t="s">
        <v>296</v>
      </c>
      <c r="F103" t="s">
        <v>83</v>
      </c>
      <c r="G103" t="s">
        <v>474</v>
      </c>
      <c r="H103" t="s">
        <v>296</v>
      </c>
      <c r="I103" t="s">
        <v>296</v>
      </c>
      <c r="J103" t="s">
        <v>296</v>
      </c>
      <c r="K103" t="s">
        <v>296</v>
      </c>
      <c r="L103">
        <v>2.7999999999999998</v>
      </c>
      <c r="M103">
        <v>2.7999999999999998</v>
      </c>
      <c r="N103">
        <v>2.7999999999999998</v>
      </c>
      <c r="O103">
        <v>2.7999999999999998</v>
      </c>
      <c r="P103">
        <v>2.7999999999999998</v>
      </c>
      <c r="Q103">
        <v>2.7999999999999998</v>
      </c>
      <c r="R103">
        <v>3.68888888888889</v>
      </c>
      <c r="S103">
        <v>2.7999999999999998</v>
      </c>
      <c r="T103">
        <v>2.7999999999999998</v>
      </c>
      <c r="U103">
        <v>2.7999999999999998</v>
      </c>
      <c r="V103">
        <v>2.7999999999999998</v>
      </c>
      <c r="W103">
        <v>2.7999999999999998</v>
      </c>
      <c r="X103">
        <v>2.7999999999999998</v>
      </c>
      <c r="Y103">
        <v>2.7999999999999998</v>
      </c>
      <c r="Z103">
        <v>2.7999999999999998</v>
      </c>
      <c r="AA103">
        <v>2.7999999999999998</v>
      </c>
      <c r="AB103">
        <v>2.7999999999999998</v>
      </c>
      <c r="AC103">
        <v>2.7999999999999998</v>
      </c>
      <c r="AD103">
        <v>2.7999999999999998</v>
      </c>
      <c r="AE103">
        <v>2.7999999999999998</v>
      </c>
      <c r="AF103">
        <v>2.7999999999999998</v>
      </c>
      <c r="AG103">
        <v>2.7999999999999998</v>
      </c>
      <c r="AH103">
        <v>2.7999999999999998</v>
      </c>
      <c r="AI103">
        <v>2.7999999999999998</v>
      </c>
      <c r="AJ103">
        <v>2.7999999999999998</v>
      </c>
      <c r="AK103">
        <v>2.7999999999999998</v>
      </c>
      <c r="AL103">
        <v>2.7999999999999998</v>
      </c>
      <c r="AM103">
        <v>2.7999999999999998</v>
      </c>
      <c r="AN103">
        <v>2.7999999999999998</v>
      </c>
      <c r="AO103">
        <v>2.52</v>
      </c>
      <c r="AP103">
        <v>2.7999999999999998</v>
      </c>
      <c r="AQ103">
        <v>2.7999999999999998</v>
      </c>
      <c r="AR103">
        <v>2.7999999999999998</v>
      </c>
      <c r="AS103">
        <v>2.7999999999999998</v>
      </c>
      <c r="AT103">
        <v>2.7999999999999998</v>
      </c>
      <c r="AU103">
        <v>2.7999999999999998</v>
      </c>
      <c r="AV103">
        <v>2.7999999999999998</v>
      </c>
      <c r="AW103" t="s">
        <v>296</v>
      </c>
    </row>
    <row r="104" spans="1:49" ht="12.75">
      <c r="A104" t="s">
        <v>295</v>
      </c>
      <c r="B104" t="s">
        <v>289</v>
      </c>
      <c r="C104" t="s">
        <v>122</v>
      </c>
      <c r="D104" t="s">
        <v>45</v>
      </c>
      <c r="E104" t="s">
        <v>296</v>
      </c>
      <c r="F104" t="s">
        <v>83</v>
      </c>
      <c r="G104" t="s">
        <v>474</v>
      </c>
      <c r="H104" t="s">
        <v>296</v>
      </c>
      <c r="I104" t="s">
        <v>296</v>
      </c>
      <c r="J104" t="s">
        <v>296</v>
      </c>
      <c r="K104" t="s">
        <v>296</v>
      </c>
      <c r="L104">
        <v>0.83199999999999996</v>
      </c>
      <c r="M104">
        <v>0.83199999999999996</v>
      </c>
      <c r="N104">
        <v>0.83199999999999996</v>
      </c>
      <c r="O104">
        <v>0.83199999999999996</v>
      </c>
      <c r="P104">
        <v>0.83199999999999996</v>
      </c>
      <c r="Q104">
        <v>0.83199999999999996</v>
      </c>
      <c r="R104">
        <v>0.83199999999999996</v>
      </c>
      <c r="S104">
        <v>0.83199999999999996</v>
      </c>
      <c r="T104">
        <v>0.83199999999999996</v>
      </c>
      <c r="U104">
        <v>0.83199999999999996</v>
      </c>
      <c r="V104">
        <v>0.83199999999999996</v>
      </c>
      <c r="W104">
        <v>0.83199999999999996</v>
      </c>
      <c r="X104">
        <v>0.83199999999999996</v>
      </c>
      <c r="Y104">
        <v>0.83199999999999996</v>
      </c>
      <c r="Z104">
        <v>0.83199999999999996</v>
      </c>
      <c r="AA104">
        <v>0.83199999999999996</v>
      </c>
      <c r="AB104">
        <v>0.83199999999999996</v>
      </c>
      <c r="AC104">
        <v>0.83199999999999996</v>
      </c>
      <c r="AD104">
        <v>0.83199999999999996</v>
      </c>
      <c r="AE104">
        <v>0.83199999999999996</v>
      </c>
      <c r="AF104">
        <v>0.83199999999999996</v>
      </c>
      <c r="AG104">
        <v>0.83199999999999996</v>
      </c>
      <c r="AH104">
        <v>0.83199999999999996</v>
      </c>
      <c r="AI104">
        <v>0.83199999999999996</v>
      </c>
      <c r="AJ104">
        <v>0.83199999999999996</v>
      </c>
      <c r="AK104">
        <v>0.83199999999999996</v>
      </c>
      <c r="AL104">
        <v>0.83199999999999996</v>
      </c>
      <c r="AM104">
        <v>0.83199999999999996</v>
      </c>
      <c r="AN104">
        <v>0.83199999999999996</v>
      </c>
      <c r="AO104">
        <v>0.83199999999999996</v>
      </c>
      <c r="AP104">
        <v>0.83199999999999996</v>
      </c>
      <c r="AQ104">
        <v>0.83199999999999996</v>
      </c>
      <c r="AR104">
        <v>0.83199999999999996</v>
      </c>
      <c r="AS104">
        <v>0.83199999999999996</v>
      </c>
      <c r="AT104">
        <v>0.83199999999999996</v>
      </c>
      <c r="AU104">
        <v>0.83199999999999996</v>
      </c>
      <c r="AV104">
        <v>0.83199999999999996</v>
      </c>
      <c r="AW104" t="s">
        <v>296</v>
      </c>
    </row>
    <row r="105" spans="1:49" ht="12.75">
      <c r="A105" t="s">
        <v>295</v>
      </c>
      <c r="B105" t="s">
        <v>289</v>
      </c>
      <c r="C105" t="s">
        <v>122</v>
      </c>
      <c r="D105" t="s">
        <v>46</v>
      </c>
      <c r="E105" t="s">
        <v>296</v>
      </c>
      <c r="F105" t="s">
        <v>83</v>
      </c>
      <c r="G105" t="s">
        <v>474</v>
      </c>
      <c r="H105" t="s">
        <v>296</v>
      </c>
      <c r="I105" t="s">
        <v>296</v>
      </c>
      <c r="J105" t="s">
        <v>296</v>
      </c>
      <c r="K105" t="s">
        <v>296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 t="s">
        <v>296</v>
      </c>
    </row>
    <row r="106" spans="1:49" ht="12.75">
      <c r="A106" t="s">
        <v>295</v>
      </c>
      <c r="B106" t="s">
        <v>289</v>
      </c>
      <c r="C106" t="s">
        <v>123</v>
      </c>
      <c r="D106" t="s">
        <v>37</v>
      </c>
      <c r="E106" t="s">
        <v>296</v>
      </c>
      <c r="F106" t="s">
        <v>83</v>
      </c>
      <c r="G106" t="s">
        <v>474</v>
      </c>
      <c r="H106" t="s">
        <v>296</v>
      </c>
      <c r="I106" t="s">
        <v>296</v>
      </c>
      <c r="J106" t="s">
        <v>296</v>
      </c>
      <c r="K106" t="s">
        <v>296</v>
      </c>
      <c r="L106">
        <v>5</v>
      </c>
      <c r="M106">
        <v>5</v>
      </c>
      <c r="N106">
        <v>5</v>
      </c>
      <c r="O106">
        <v>4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5</v>
      </c>
      <c r="AG106">
        <v>5</v>
      </c>
      <c r="AH106">
        <v>4</v>
      </c>
      <c r="AI106">
        <v>5</v>
      </c>
      <c r="AJ106">
        <v>5</v>
      </c>
      <c r="AK106">
        <v>5</v>
      </c>
      <c r="AL106">
        <v>5</v>
      </c>
      <c r="AM106">
        <v>2.5</v>
      </c>
      <c r="AN106">
        <v>5</v>
      </c>
      <c r="AO106">
        <v>5</v>
      </c>
      <c r="AP106">
        <v>1.1259999999999999</v>
      </c>
      <c r="AQ106">
        <v>5</v>
      </c>
      <c r="AR106">
        <v>5</v>
      </c>
      <c r="AS106">
        <v>5</v>
      </c>
      <c r="AT106">
        <v>5</v>
      </c>
      <c r="AU106">
        <v>5</v>
      </c>
      <c r="AV106">
        <v>5</v>
      </c>
      <c r="AW106" t="s">
        <v>296</v>
      </c>
    </row>
    <row r="107" spans="1:49" ht="12.75">
      <c r="A107" t="s">
        <v>295</v>
      </c>
      <c r="B107" t="s">
        <v>289</v>
      </c>
      <c r="C107" t="s">
        <v>123</v>
      </c>
      <c r="D107" t="s">
        <v>38</v>
      </c>
      <c r="E107" t="s">
        <v>296</v>
      </c>
      <c r="F107" t="s">
        <v>83</v>
      </c>
      <c r="G107" t="s">
        <v>474</v>
      </c>
      <c r="H107" t="s">
        <v>296</v>
      </c>
      <c r="I107" t="s">
        <v>296</v>
      </c>
      <c r="J107" t="s">
        <v>296</v>
      </c>
      <c r="K107" t="s">
        <v>296</v>
      </c>
      <c r="L107">
        <v>0.41999999999999998</v>
      </c>
      <c r="M107">
        <v>0.41999999999999998</v>
      </c>
      <c r="N107">
        <v>0.41999999999999998</v>
      </c>
      <c r="O107">
        <v>0.33600000000000002</v>
      </c>
      <c r="P107">
        <v>0.41999999999999998</v>
      </c>
      <c r="Q107">
        <v>0.41999999999999998</v>
      </c>
      <c r="R107">
        <v>0.41999999999999998</v>
      </c>
      <c r="S107">
        <v>0.41999999999999998</v>
      </c>
      <c r="T107">
        <v>0.41999999999999998</v>
      </c>
      <c r="U107">
        <v>0.41999999999999998</v>
      </c>
      <c r="V107">
        <v>0.41999999999999998</v>
      </c>
      <c r="W107">
        <v>0.41999999999999998</v>
      </c>
      <c r="X107">
        <v>0.41999999999999998</v>
      </c>
      <c r="Y107">
        <v>0.41999999999999998</v>
      </c>
      <c r="Z107">
        <v>0.41999999999999998</v>
      </c>
      <c r="AA107">
        <v>0.41999999999999998</v>
      </c>
      <c r="AB107">
        <v>0.41999999999999998</v>
      </c>
      <c r="AC107">
        <v>0.41999999999999998</v>
      </c>
      <c r="AD107">
        <v>0.41999999999999998</v>
      </c>
      <c r="AE107">
        <v>0.41999999999999998</v>
      </c>
      <c r="AF107">
        <v>0.41999999999999998</v>
      </c>
      <c r="AG107">
        <v>0.41999999999999998</v>
      </c>
      <c r="AH107">
        <v>1.3999999999999999</v>
      </c>
      <c r="AI107">
        <v>0.41999999999999998</v>
      </c>
      <c r="AJ107">
        <v>0.41999999999999998</v>
      </c>
      <c r="AK107">
        <v>0.41999999999999998</v>
      </c>
      <c r="AL107">
        <v>0.41999999999999998</v>
      </c>
      <c r="AM107">
        <v>3</v>
      </c>
      <c r="AN107">
        <v>0.41999999999999998</v>
      </c>
      <c r="AO107">
        <v>0.41999999999999998</v>
      </c>
      <c r="AP107">
        <v>0.71999999999999997</v>
      </c>
      <c r="AQ107">
        <v>0.41999999999999998</v>
      </c>
      <c r="AR107">
        <v>0.41999999999999998</v>
      </c>
      <c r="AS107">
        <v>0.41999999999999998</v>
      </c>
      <c r="AT107">
        <v>0.41999999999999998</v>
      </c>
      <c r="AU107">
        <v>0.41999999999999998</v>
      </c>
      <c r="AV107">
        <v>0.41999999999999998</v>
      </c>
      <c r="AW107" t="s">
        <v>296</v>
      </c>
    </row>
    <row r="108" spans="1:49" ht="12.75">
      <c r="A108" t="s">
        <v>295</v>
      </c>
      <c r="B108" t="s">
        <v>289</v>
      </c>
      <c r="C108" t="s">
        <v>126</v>
      </c>
      <c r="D108" t="s">
        <v>37</v>
      </c>
      <c r="E108" t="s">
        <v>296</v>
      </c>
      <c r="F108" t="s">
        <v>83</v>
      </c>
      <c r="G108" t="s">
        <v>474</v>
      </c>
      <c r="H108" t="s">
        <v>296</v>
      </c>
      <c r="I108" t="s">
        <v>296</v>
      </c>
      <c r="J108" t="s">
        <v>296</v>
      </c>
      <c r="K108" t="s">
        <v>296</v>
      </c>
      <c r="L108">
        <v>0.52000000000000002</v>
      </c>
      <c r="M108">
        <v>0.52000000000000002</v>
      </c>
      <c r="N108">
        <v>0.52000000000000002</v>
      </c>
      <c r="O108">
        <v>0.41599999999999998</v>
      </c>
      <c r="P108">
        <v>0.52000000000000002</v>
      </c>
      <c r="Q108">
        <v>0.52000000000000002</v>
      </c>
      <c r="R108">
        <v>0.52000000000000002</v>
      </c>
      <c r="S108">
        <v>0.52000000000000002</v>
      </c>
      <c r="T108">
        <v>0.52000000000000002</v>
      </c>
      <c r="U108">
        <v>0.52000000000000002</v>
      </c>
      <c r="V108">
        <v>0.52000000000000002</v>
      </c>
      <c r="W108">
        <v>0.52000000000000002</v>
      </c>
      <c r="X108">
        <v>0.52000000000000002</v>
      </c>
      <c r="Y108">
        <v>0.52000000000000002</v>
      </c>
      <c r="Z108">
        <v>0.52000000000000002</v>
      </c>
      <c r="AA108">
        <v>0.52000000000000002</v>
      </c>
      <c r="AB108">
        <v>0.52000000000000002</v>
      </c>
      <c r="AC108">
        <v>0.52000000000000002</v>
      </c>
      <c r="AD108">
        <v>0.52000000000000002</v>
      </c>
      <c r="AE108">
        <v>0.52000000000000002</v>
      </c>
      <c r="AF108">
        <v>0.52000000000000002</v>
      </c>
      <c r="AG108">
        <v>0.52000000000000002</v>
      </c>
      <c r="AH108">
        <v>0.40000000000000002</v>
      </c>
      <c r="AI108">
        <v>0.52000000000000002</v>
      </c>
      <c r="AJ108">
        <v>0.52000000000000002</v>
      </c>
      <c r="AK108">
        <v>0.52000000000000002</v>
      </c>
      <c r="AL108">
        <v>0.52000000000000002</v>
      </c>
      <c r="AM108">
        <v>0.52000000000000002</v>
      </c>
      <c r="AN108">
        <v>0.52000000000000002</v>
      </c>
      <c r="AO108">
        <v>0.52000000000000002</v>
      </c>
      <c r="AP108">
        <v>0.94499999999999995</v>
      </c>
      <c r="AQ108">
        <v>0.52000000000000002</v>
      </c>
      <c r="AR108">
        <v>0.52000000000000002</v>
      </c>
      <c r="AS108">
        <v>0.52000000000000002</v>
      </c>
      <c r="AT108">
        <v>0.52000000000000002</v>
      </c>
      <c r="AU108">
        <v>0.52000000000000002</v>
      </c>
      <c r="AV108">
        <v>0.52000000000000002</v>
      </c>
      <c r="AW108" t="s">
        <v>296</v>
      </c>
    </row>
    <row r="109" spans="1:49" ht="12.75">
      <c r="A109" t="s">
        <v>295</v>
      </c>
      <c r="B109" t="s">
        <v>289</v>
      </c>
      <c r="C109" t="s">
        <v>126</v>
      </c>
      <c r="D109" t="s">
        <v>38</v>
      </c>
      <c r="E109" t="s">
        <v>296</v>
      </c>
      <c r="F109" t="s">
        <v>83</v>
      </c>
      <c r="G109" t="s">
        <v>474</v>
      </c>
      <c r="H109" t="s">
        <v>296</v>
      </c>
      <c r="I109" t="s">
        <v>296</v>
      </c>
      <c r="J109" t="s">
        <v>296</v>
      </c>
      <c r="K109" t="s">
        <v>296</v>
      </c>
      <c r="L109">
        <v>3.8999999999999999</v>
      </c>
      <c r="M109">
        <v>3.8999999999999999</v>
      </c>
      <c r="N109">
        <v>5.9000000000000004</v>
      </c>
      <c r="O109">
        <v>3.1200000000000001</v>
      </c>
      <c r="P109">
        <v>3.8999999999999999</v>
      </c>
      <c r="Q109">
        <v>3.8999999999999999</v>
      </c>
      <c r="R109">
        <v>3.8999999999999999</v>
      </c>
      <c r="S109">
        <v>3.8999999999999999</v>
      </c>
      <c r="T109">
        <v>3.8999999999999999</v>
      </c>
      <c r="U109">
        <v>3.8999999999999999</v>
      </c>
      <c r="V109">
        <v>3.8999999999999999</v>
      </c>
      <c r="W109">
        <v>3.8999999999999999</v>
      </c>
      <c r="X109">
        <v>3.8999999999999999</v>
      </c>
      <c r="Y109">
        <v>3.8999999999999999</v>
      </c>
      <c r="Z109">
        <v>3.8999999999999999</v>
      </c>
      <c r="AA109">
        <v>3.8999999999999999</v>
      </c>
      <c r="AB109">
        <v>3.8999999999999999</v>
      </c>
      <c r="AC109">
        <v>3.8999999999999999</v>
      </c>
      <c r="AD109">
        <v>3.8999999999999999</v>
      </c>
      <c r="AE109">
        <v>3.8999999999999999</v>
      </c>
      <c r="AF109">
        <v>3.8999999999999999</v>
      </c>
      <c r="AG109">
        <v>3.8999999999999999</v>
      </c>
      <c r="AH109">
        <v>5.9000000000000004</v>
      </c>
      <c r="AI109">
        <v>3.8999999999999999</v>
      </c>
      <c r="AJ109">
        <v>3.8999999999999999</v>
      </c>
      <c r="AK109">
        <v>3.8999999999999999</v>
      </c>
      <c r="AL109">
        <v>3.8999999999999999</v>
      </c>
      <c r="AM109">
        <v>5</v>
      </c>
      <c r="AN109">
        <v>3.8999999999999999</v>
      </c>
      <c r="AO109">
        <v>4.5999999999999996</v>
      </c>
      <c r="AP109">
        <v>6.3167999999999997</v>
      </c>
      <c r="AQ109">
        <v>3.8999999999999999</v>
      </c>
      <c r="AR109">
        <v>3.8999999999999999</v>
      </c>
      <c r="AS109">
        <v>3.8999999999999999</v>
      </c>
      <c r="AT109">
        <v>3.8999999999999999</v>
      </c>
      <c r="AU109">
        <v>5.5</v>
      </c>
      <c r="AV109">
        <v>5.9000000000000004</v>
      </c>
      <c r="AW109" t="s">
        <v>296</v>
      </c>
    </row>
    <row r="110" spans="1:49" ht="12.75">
      <c r="A110" t="s">
        <v>295</v>
      </c>
      <c r="B110" t="s">
        <v>289</v>
      </c>
      <c r="C110" t="s">
        <v>126</v>
      </c>
      <c r="D110" t="s">
        <v>43</v>
      </c>
      <c r="E110" t="s">
        <v>296</v>
      </c>
      <c r="F110" t="s">
        <v>83</v>
      </c>
      <c r="G110" t="s">
        <v>474</v>
      </c>
      <c r="H110" t="s">
        <v>296</v>
      </c>
      <c r="I110" t="s">
        <v>296</v>
      </c>
      <c r="J110" t="s">
        <v>296</v>
      </c>
      <c r="K110" t="s">
        <v>296</v>
      </c>
      <c r="L110">
        <v>2</v>
      </c>
      <c r="M110">
        <v>2</v>
      </c>
      <c r="N110">
        <v>0</v>
      </c>
      <c r="O110">
        <v>1.6000000000000001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2</v>
      </c>
      <c r="AH110">
        <v>0</v>
      </c>
      <c r="AI110">
        <v>2</v>
      </c>
      <c r="AJ110">
        <v>2</v>
      </c>
      <c r="AK110">
        <v>2</v>
      </c>
      <c r="AL110">
        <v>2</v>
      </c>
      <c r="AM110">
        <v>1</v>
      </c>
      <c r="AN110">
        <v>2</v>
      </c>
      <c r="AO110">
        <v>1.3</v>
      </c>
      <c r="AP110">
        <v>0.98499999999999999</v>
      </c>
      <c r="AQ110">
        <v>2</v>
      </c>
      <c r="AR110">
        <v>2</v>
      </c>
      <c r="AS110">
        <v>2</v>
      </c>
      <c r="AT110">
        <v>2</v>
      </c>
      <c r="AU110">
        <v>2</v>
      </c>
      <c r="AV110">
        <v>0</v>
      </c>
      <c r="AW110" t="s">
        <v>296</v>
      </c>
    </row>
    <row r="111" spans="1:49" ht="12.75">
      <c r="A111" t="s">
        <v>295</v>
      </c>
      <c r="B111" t="s">
        <v>289</v>
      </c>
      <c r="C111" t="s">
        <v>127</v>
      </c>
      <c r="D111" t="s">
        <v>37</v>
      </c>
      <c r="E111" t="s">
        <v>296</v>
      </c>
      <c r="F111" t="s">
        <v>83</v>
      </c>
      <c r="G111" t="s">
        <v>474</v>
      </c>
      <c r="H111" t="s">
        <v>296</v>
      </c>
      <c r="I111" t="s">
        <v>296</v>
      </c>
      <c r="J111" t="s">
        <v>296</v>
      </c>
      <c r="K111" t="s">
        <v>296</v>
      </c>
      <c r="L111">
        <v>0.52000000000000002</v>
      </c>
      <c r="M111">
        <v>0.52000000000000002</v>
      </c>
      <c r="N111">
        <v>0.52000000000000002</v>
      </c>
      <c r="O111">
        <v>0.41599999999999998</v>
      </c>
      <c r="P111">
        <v>0.52000000000000002</v>
      </c>
      <c r="Q111">
        <v>0.52000000000000002</v>
      </c>
      <c r="R111">
        <v>0.52000000000000002</v>
      </c>
      <c r="S111">
        <v>0.52000000000000002</v>
      </c>
      <c r="T111">
        <v>0.52000000000000002</v>
      </c>
      <c r="U111">
        <v>0.52000000000000002</v>
      </c>
      <c r="V111">
        <v>0.52000000000000002</v>
      </c>
      <c r="W111">
        <v>0.52000000000000002</v>
      </c>
      <c r="X111">
        <v>0.52000000000000002</v>
      </c>
      <c r="Y111">
        <v>0.52000000000000002</v>
      </c>
      <c r="Z111">
        <v>0.52000000000000002</v>
      </c>
      <c r="AA111">
        <v>0.52000000000000002</v>
      </c>
      <c r="AB111">
        <v>0.52000000000000002</v>
      </c>
      <c r="AC111">
        <v>0.52000000000000002</v>
      </c>
      <c r="AD111">
        <v>0.52000000000000002</v>
      </c>
      <c r="AE111">
        <v>0.52000000000000002</v>
      </c>
      <c r="AF111">
        <v>0.52000000000000002</v>
      </c>
      <c r="AG111">
        <v>0.52000000000000002</v>
      </c>
      <c r="AH111">
        <v>0.40000000000000002</v>
      </c>
      <c r="AI111">
        <v>0.52000000000000002</v>
      </c>
      <c r="AJ111">
        <v>0.52000000000000002</v>
      </c>
      <c r="AK111">
        <v>0.52000000000000002</v>
      </c>
      <c r="AL111">
        <v>0.52000000000000002</v>
      </c>
      <c r="AM111">
        <v>0.52000000000000002</v>
      </c>
      <c r="AN111">
        <v>0.52000000000000002</v>
      </c>
      <c r="AO111">
        <v>0.52000000000000002</v>
      </c>
      <c r="AP111">
        <v>0.52000000000000002</v>
      </c>
      <c r="AQ111">
        <v>0.52000000000000002</v>
      </c>
      <c r="AR111">
        <v>0.52000000000000002</v>
      </c>
      <c r="AS111">
        <v>0.52000000000000002</v>
      </c>
      <c r="AT111">
        <v>0.52000000000000002</v>
      </c>
      <c r="AU111">
        <v>0.52000000000000002</v>
      </c>
      <c r="AV111">
        <v>0.52000000000000002</v>
      </c>
      <c r="AW111" t="s">
        <v>296</v>
      </c>
    </row>
    <row r="112" spans="1:49" ht="12.75">
      <c r="A112" t="s">
        <v>295</v>
      </c>
      <c r="B112" t="s">
        <v>289</v>
      </c>
      <c r="C112" t="s">
        <v>127</v>
      </c>
      <c r="D112" t="s">
        <v>38</v>
      </c>
      <c r="E112" t="s">
        <v>296</v>
      </c>
      <c r="F112" t="s">
        <v>83</v>
      </c>
      <c r="G112" t="s">
        <v>474</v>
      </c>
      <c r="H112" t="s">
        <v>296</v>
      </c>
      <c r="I112" t="s">
        <v>296</v>
      </c>
      <c r="J112" t="s">
        <v>296</v>
      </c>
      <c r="K112" t="s">
        <v>296</v>
      </c>
      <c r="L112">
        <v>3.8999999999999999</v>
      </c>
      <c r="M112">
        <v>3.8999999999999999</v>
      </c>
      <c r="N112">
        <v>5.4000000000000004</v>
      </c>
      <c r="O112">
        <v>3.1200000000000001</v>
      </c>
      <c r="P112">
        <v>3.8999999999999999</v>
      </c>
      <c r="Q112">
        <v>3.8999999999999999</v>
      </c>
      <c r="R112">
        <v>3.8999999999999999</v>
      </c>
      <c r="S112">
        <v>3.8999999999999999</v>
      </c>
      <c r="T112">
        <v>3.8999999999999999</v>
      </c>
      <c r="U112">
        <v>3.8999999999999999</v>
      </c>
      <c r="V112">
        <v>3.8999999999999999</v>
      </c>
      <c r="W112">
        <v>3.8999999999999999</v>
      </c>
      <c r="X112">
        <v>3.8999999999999999</v>
      </c>
      <c r="Y112">
        <v>3.8999999999999999</v>
      </c>
      <c r="Z112">
        <v>3.8999999999999999</v>
      </c>
      <c r="AA112">
        <v>3.8999999999999999</v>
      </c>
      <c r="AB112">
        <v>3.8999999999999999</v>
      </c>
      <c r="AC112">
        <v>3.8999999999999999</v>
      </c>
      <c r="AD112">
        <v>3.8999999999999999</v>
      </c>
      <c r="AE112">
        <v>3.8999999999999999</v>
      </c>
      <c r="AF112">
        <v>3.8999999999999999</v>
      </c>
      <c r="AG112">
        <v>3.8999999999999999</v>
      </c>
      <c r="AH112">
        <v>5.4000000000000004</v>
      </c>
      <c r="AI112">
        <v>3.8999999999999999</v>
      </c>
      <c r="AJ112">
        <v>3.8999999999999999</v>
      </c>
      <c r="AK112">
        <v>3.8999999999999999</v>
      </c>
      <c r="AL112">
        <v>3.8999999999999999</v>
      </c>
      <c r="AM112">
        <v>3</v>
      </c>
      <c r="AN112">
        <v>3.8999999999999999</v>
      </c>
      <c r="AO112">
        <v>4.4249999999999998</v>
      </c>
      <c r="AP112">
        <v>5.46</v>
      </c>
      <c r="AQ112">
        <v>3.8999999999999999</v>
      </c>
      <c r="AR112">
        <v>3.8999999999999999</v>
      </c>
      <c r="AS112">
        <v>3.8999999999999999</v>
      </c>
      <c r="AT112">
        <v>3.8999999999999999</v>
      </c>
      <c r="AU112">
        <v>5.4000000000000004</v>
      </c>
      <c r="AV112">
        <v>5.4000000000000004</v>
      </c>
      <c r="AW112" t="s">
        <v>296</v>
      </c>
    </row>
    <row r="113" spans="1:49" ht="12.75">
      <c r="A113" t="s">
        <v>295</v>
      </c>
      <c r="B113" t="s">
        <v>289</v>
      </c>
      <c r="C113" t="s">
        <v>127</v>
      </c>
      <c r="D113" t="s">
        <v>43</v>
      </c>
      <c r="E113" t="s">
        <v>296</v>
      </c>
      <c r="F113" t="s">
        <v>83</v>
      </c>
      <c r="G113" t="s">
        <v>474</v>
      </c>
      <c r="H113" t="s">
        <v>296</v>
      </c>
      <c r="I113" t="s">
        <v>296</v>
      </c>
      <c r="J113" t="s">
        <v>296</v>
      </c>
      <c r="K113" t="s">
        <v>296</v>
      </c>
      <c r="L113">
        <v>1.5</v>
      </c>
      <c r="M113">
        <v>1.5</v>
      </c>
      <c r="N113">
        <v>0</v>
      </c>
      <c r="O113">
        <v>1.2</v>
      </c>
      <c r="P113">
        <v>1.5</v>
      </c>
      <c r="Q113">
        <v>1.5</v>
      </c>
      <c r="R113">
        <v>1.5</v>
      </c>
      <c r="S113">
        <v>1.5</v>
      </c>
      <c r="T113">
        <v>1.5</v>
      </c>
      <c r="U113">
        <v>1.5</v>
      </c>
      <c r="V113">
        <v>1.5</v>
      </c>
      <c r="W113">
        <v>1.5</v>
      </c>
      <c r="X113">
        <v>1.5</v>
      </c>
      <c r="Y113">
        <v>1.5</v>
      </c>
      <c r="Z113">
        <v>1.5</v>
      </c>
      <c r="AA113">
        <v>1.5</v>
      </c>
      <c r="AB113">
        <v>1.5</v>
      </c>
      <c r="AC113">
        <v>1.5</v>
      </c>
      <c r="AD113">
        <v>1.5</v>
      </c>
      <c r="AE113">
        <v>1.5</v>
      </c>
      <c r="AF113">
        <v>1.5</v>
      </c>
      <c r="AG113">
        <v>1.5</v>
      </c>
      <c r="AH113">
        <v>0</v>
      </c>
      <c r="AI113">
        <v>1.5</v>
      </c>
      <c r="AJ113">
        <v>1.5</v>
      </c>
      <c r="AK113">
        <v>1.5</v>
      </c>
      <c r="AL113">
        <v>1.5</v>
      </c>
      <c r="AM113">
        <v>1</v>
      </c>
      <c r="AN113">
        <v>1.5</v>
      </c>
      <c r="AO113">
        <v>0.97499999999999998</v>
      </c>
      <c r="AP113">
        <v>0.98499999999999999</v>
      </c>
      <c r="AQ113">
        <v>1.5</v>
      </c>
      <c r="AR113">
        <v>1.5</v>
      </c>
      <c r="AS113">
        <v>1.5</v>
      </c>
      <c r="AT113">
        <v>1.5</v>
      </c>
      <c r="AU113">
        <v>1.5</v>
      </c>
      <c r="AV113">
        <v>0</v>
      </c>
      <c r="AW113" t="s">
        <v>296</v>
      </c>
    </row>
    <row r="114" spans="1:49" ht="12.75">
      <c r="A114" t="s">
        <v>295</v>
      </c>
      <c r="B114" t="s">
        <v>289</v>
      </c>
      <c r="C114" t="s">
        <v>127</v>
      </c>
      <c r="D114" t="s">
        <v>100</v>
      </c>
      <c r="E114" t="s">
        <v>296</v>
      </c>
      <c r="F114" t="s">
        <v>83</v>
      </c>
      <c r="G114" t="s">
        <v>474</v>
      </c>
      <c r="H114" t="s">
        <v>296</v>
      </c>
      <c r="I114" t="s">
        <v>296</v>
      </c>
      <c r="J114" t="s">
        <v>296</v>
      </c>
      <c r="K114" t="s">
        <v>296</v>
      </c>
      <c r="L114">
        <v>1.05</v>
      </c>
      <c r="M114">
        <v>1.05</v>
      </c>
      <c r="N114">
        <v>1.05</v>
      </c>
      <c r="O114">
        <v>1.05</v>
      </c>
      <c r="P114">
        <v>1.05</v>
      </c>
      <c r="Q114">
        <v>1.05</v>
      </c>
      <c r="R114">
        <v>1.05</v>
      </c>
      <c r="S114">
        <v>1.05</v>
      </c>
      <c r="T114">
        <v>1.05</v>
      </c>
      <c r="U114">
        <v>1.05</v>
      </c>
      <c r="V114">
        <v>1.05</v>
      </c>
      <c r="W114">
        <v>1.05</v>
      </c>
      <c r="X114">
        <v>1.05</v>
      </c>
      <c r="Y114">
        <v>1.05</v>
      </c>
      <c r="Z114">
        <v>1.05</v>
      </c>
      <c r="AA114">
        <v>1.05</v>
      </c>
      <c r="AB114">
        <v>1.05</v>
      </c>
      <c r="AC114">
        <v>1.05</v>
      </c>
      <c r="AD114">
        <v>1.05</v>
      </c>
      <c r="AE114">
        <v>1.05</v>
      </c>
      <c r="AF114">
        <v>1.05</v>
      </c>
      <c r="AG114">
        <v>1.05</v>
      </c>
      <c r="AH114">
        <v>1.05</v>
      </c>
      <c r="AI114">
        <v>1.05</v>
      </c>
      <c r="AJ114">
        <v>1.05</v>
      </c>
      <c r="AK114">
        <v>1.05</v>
      </c>
      <c r="AL114">
        <v>1.05</v>
      </c>
      <c r="AM114">
        <v>1.2</v>
      </c>
      <c r="AN114">
        <v>1.05</v>
      </c>
      <c r="AO114">
        <v>1.05</v>
      </c>
      <c r="AP114">
        <v>1.2</v>
      </c>
      <c r="AQ114">
        <v>1.05</v>
      </c>
      <c r="AR114">
        <v>1.05</v>
      </c>
      <c r="AS114">
        <v>1.05</v>
      </c>
      <c r="AT114">
        <v>1.05</v>
      </c>
      <c r="AU114">
        <v>1.05</v>
      </c>
      <c r="AV114">
        <v>1.05</v>
      </c>
      <c r="AW114" t="s">
        <v>296</v>
      </c>
    </row>
    <row r="115" spans="1:49" ht="12.75">
      <c r="A115" t="s">
        <v>295</v>
      </c>
      <c r="B115" t="s">
        <v>289</v>
      </c>
      <c r="C115" t="s">
        <v>128</v>
      </c>
      <c r="D115" t="s">
        <v>48</v>
      </c>
      <c r="E115" t="s">
        <v>296</v>
      </c>
      <c r="F115" t="s">
        <v>83</v>
      </c>
      <c r="G115" t="s">
        <v>474</v>
      </c>
      <c r="H115" t="s">
        <v>296</v>
      </c>
      <c r="I115" t="s">
        <v>296</v>
      </c>
      <c r="J115" t="s">
        <v>296</v>
      </c>
      <c r="K115" t="s">
        <v>296</v>
      </c>
      <c r="L115">
        <v>1.74</v>
      </c>
      <c r="M115">
        <v>1.24</v>
      </c>
      <c r="N115">
        <v>1.74</v>
      </c>
      <c r="O115">
        <v>1.74</v>
      </c>
      <c r="P115">
        <v>1.74</v>
      </c>
      <c r="Q115">
        <v>1.74</v>
      </c>
      <c r="R115">
        <v>1.74</v>
      </c>
      <c r="S115">
        <v>1.74</v>
      </c>
      <c r="T115">
        <v>1.5</v>
      </c>
      <c r="U115">
        <v>1.74</v>
      </c>
      <c r="V115">
        <v>1.74</v>
      </c>
      <c r="W115">
        <v>1.74</v>
      </c>
      <c r="X115">
        <v>1.74</v>
      </c>
      <c r="Y115">
        <v>1.74</v>
      </c>
      <c r="Z115">
        <v>1.74</v>
      </c>
      <c r="AA115">
        <v>1.5</v>
      </c>
      <c r="AB115">
        <v>1.74</v>
      </c>
      <c r="AC115">
        <v>1.74</v>
      </c>
      <c r="AD115">
        <v>1.74</v>
      </c>
      <c r="AE115">
        <v>0.14094000000000001</v>
      </c>
      <c r="AF115">
        <v>1.74</v>
      </c>
      <c r="AG115">
        <v>1.74</v>
      </c>
      <c r="AH115">
        <v>1.74</v>
      </c>
      <c r="AI115">
        <v>1.74</v>
      </c>
      <c r="AJ115">
        <v>1.74</v>
      </c>
      <c r="AK115">
        <v>1.74</v>
      </c>
      <c r="AL115">
        <v>1.74</v>
      </c>
      <c r="AM115">
        <v>1.74</v>
      </c>
      <c r="AN115">
        <v>1.74</v>
      </c>
      <c r="AO115">
        <v>1.74</v>
      </c>
      <c r="AP115">
        <v>1.74</v>
      </c>
      <c r="AQ115">
        <v>1.74</v>
      </c>
      <c r="AR115">
        <v>1.74</v>
      </c>
      <c r="AS115">
        <v>1.74</v>
      </c>
      <c r="AT115">
        <v>1.74</v>
      </c>
      <c r="AU115">
        <v>1.74</v>
      </c>
      <c r="AV115">
        <v>1.74</v>
      </c>
      <c r="AW115" t="s">
        <v>296</v>
      </c>
    </row>
    <row r="116" spans="1:49" ht="12.75">
      <c r="A116" t="s">
        <v>295</v>
      </c>
      <c r="B116" t="s">
        <v>289</v>
      </c>
      <c r="C116" t="s">
        <v>128</v>
      </c>
      <c r="D116" t="s">
        <v>51</v>
      </c>
      <c r="E116" t="s">
        <v>296</v>
      </c>
      <c r="F116" t="s">
        <v>83</v>
      </c>
      <c r="G116" t="s">
        <v>474</v>
      </c>
      <c r="H116" t="s">
        <v>296</v>
      </c>
      <c r="I116" t="s">
        <v>296</v>
      </c>
      <c r="J116" t="s">
        <v>296</v>
      </c>
      <c r="K116" t="s">
        <v>296</v>
      </c>
      <c r="L116">
        <v>0.20999999999999999</v>
      </c>
      <c r="M116">
        <v>0.20999999999999999</v>
      </c>
      <c r="N116">
        <v>0.20999999999999999</v>
      </c>
      <c r="O116">
        <v>0.20999999999999999</v>
      </c>
      <c r="P116">
        <v>0.20999999999999999</v>
      </c>
      <c r="Q116">
        <v>0.20999999999999999</v>
      </c>
      <c r="R116">
        <v>0.20999999999999999</v>
      </c>
      <c r="S116">
        <v>0.20999999999999999</v>
      </c>
      <c r="T116">
        <v>0.20999999999999999</v>
      </c>
      <c r="U116">
        <v>0.20999999999999999</v>
      </c>
      <c r="V116">
        <v>0.20999999999999999</v>
      </c>
      <c r="W116">
        <v>0.20999999999999999</v>
      </c>
      <c r="X116">
        <v>0.20999999999999999</v>
      </c>
      <c r="Y116">
        <v>0.20999999999999999</v>
      </c>
      <c r="Z116">
        <v>0.20999999999999999</v>
      </c>
      <c r="AA116">
        <v>0.20999999999999999</v>
      </c>
      <c r="AB116">
        <v>0.20999999999999999</v>
      </c>
      <c r="AC116">
        <v>0.20999999999999999</v>
      </c>
      <c r="AD116">
        <v>0.20999999999999999</v>
      </c>
      <c r="AE116">
        <v>0.20999999999999999</v>
      </c>
      <c r="AF116">
        <v>0.20999999999999999</v>
      </c>
      <c r="AG116">
        <v>0.20999999999999999</v>
      </c>
      <c r="AH116">
        <v>0.20999999999999999</v>
      </c>
      <c r="AI116">
        <v>0.20999999999999999</v>
      </c>
      <c r="AJ116">
        <v>0.20999999999999999</v>
      </c>
      <c r="AK116">
        <v>0.20999999999999999</v>
      </c>
      <c r="AL116">
        <v>0.20999999999999999</v>
      </c>
      <c r="AM116">
        <v>0.1827</v>
      </c>
      <c r="AN116">
        <v>0.20999999999999999</v>
      </c>
      <c r="AO116">
        <v>0.189</v>
      </c>
      <c r="AP116">
        <v>0.20999999999999999</v>
      </c>
      <c r="AQ116">
        <v>0.20999999999999999</v>
      </c>
      <c r="AR116">
        <v>0.20999999999999999</v>
      </c>
      <c r="AS116">
        <v>0.20999999999999999</v>
      </c>
      <c r="AT116">
        <v>0.20999999999999999</v>
      </c>
      <c r="AU116">
        <v>0.20999999999999999</v>
      </c>
      <c r="AV116">
        <v>0.20999999999999999</v>
      </c>
      <c r="AW116" t="s">
        <v>296</v>
      </c>
    </row>
    <row r="117" spans="1:49" ht="12.75">
      <c r="A117" t="s">
        <v>295</v>
      </c>
      <c r="B117" t="s">
        <v>289</v>
      </c>
      <c r="C117" t="s">
        <v>128</v>
      </c>
      <c r="D117" t="s">
        <v>37</v>
      </c>
      <c r="E117" t="s">
        <v>296</v>
      </c>
      <c r="F117" t="s">
        <v>83</v>
      </c>
      <c r="G117" t="s">
        <v>474</v>
      </c>
      <c r="H117" t="s">
        <v>296</v>
      </c>
      <c r="I117" t="s">
        <v>296</v>
      </c>
      <c r="J117" t="s">
        <v>296</v>
      </c>
      <c r="K117" t="s">
        <v>296</v>
      </c>
      <c r="L117">
        <v>2.2999999999999998</v>
      </c>
      <c r="M117">
        <v>0.11</v>
      </c>
      <c r="N117">
        <v>2.2999999999999998</v>
      </c>
      <c r="O117">
        <v>2.7999999999999998</v>
      </c>
      <c r="P117">
        <v>2.2999999999999998</v>
      </c>
      <c r="Q117">
        <v>2.2999999999999998</v>
      </c>
      <c r="R117">
        <v>2.2999999999999998</v>
      </c>
      <c r="S117">
        <v>2.2999999999999998</v>
      </c>
      <c r="T117">
        <v>1.3999999999999999</v>
      </c>
      <c r="U117">
        <v>2.2999999999999998</v>
      </c>
      <c r="V117">
        <v>2.2999999999999998</v>
      </c>
      <c r="W117">
        <v>2.2999999999999998</v>
      </c>
      <c r="X117">
        <v>2.2999999999999998</v>
      </c>
      <c r="Y117">
        <v>2.2999999999999998</v>
      </c>
      <c r="Z117">
        <v>2.2999999999999998</v>
      </c>
      <c r="AA117">
        <v>1.3999999999999999</v>
      </c>
      <c r="AB117">
        <v>1.3999999999999999</v>
      </c>
      <c r="AC117">
        <v>2.2999999999999998</v>
      </c>
      <c r="AD117">
        <v>2.2999999999999998</v>
      </c>
      <c r="AE117">
        <v>2.2999999999999998</v>
      </c>
      <c r="AF117">
        <v>2.2999999999999998</v>
      </c>
      <c r="AG117">
        <v>2.2999999999999998</v>
      </c>
      <c r="AH117">
        <v>2.2999999999999998</v>
      </c>
      <c r="AI117">
        <v>2.2999999999999998</v>
      </c>
      <c r="AJ117">
        <v>2.2999999999999998</v>
      </c>
      <c r="AK117">
        <v>2.2999999999999998</v>
      </c>
      <c r="AL117">
        <v>2.2999999999999998</v>
      </c>
      <c r="AM117">
        <v>2.0009999999999999</v>
      </c>
      <c r="AN117">
        <v>2.2999999999999998</v>
      </c>
      <c r="AO117">
        <v>2.2999999999999998</v>
      </c>
      <c r="AP117">
        <v>2.2999999999999998</v>
      </c>
      <c r="AQ117">
        <v>2.2999999999999998</v>
      </c>
      <c r="AR117">
        <v>2.2999999999999998</v>
      </c>
      <c r="AS117">
        <v>2.2999999999999998</v>
      </c>
      <c r="AT117">
        <v>2.2999999999999998</v>
      </c>
      <c r="AU117">
        <v>2.2999999999999998</v>
      </c>
      <c r="AV117">
        <v>2.1850000000000001</v>
      </c>
      <c r="AW117" t="s">
        <v>296</v>
      </c>
    </row>
    <row r="118" spans="1:49" ht="12.75">
      <c r="A118" t="s">
        <v>295</v>
      </c>
      <c r="B118" t="s">
        <v>289</v>
      </c>
      <c r="C118" t="s">
        <v>128</v>
      </c>
      <c r="D118" t="s">
        <v>44</v>
      </c>
      <c r="E118" t="s">
        <v>296</v>
      </c>
      <c r="F118" t="s">
        <v>83</v>
      </c>
      <c r="G118" t="s">
        <v>474</v>
      </c>
      <c r="H118" t="s">
        <v>296</v>
      </c>
      <c r="I118" t="s">
        <v>296</v>
      </c>
      <c r="J118" t="s">
        <v>296</v>
      </c>
      <c r="K118" t="s">
        <v>296</v>
      </c>
      <c r="L118">
        <v>0.5</v>
      </c>
      <c r="M118">
        <v>0</v>
      </c>
      <c r="N118">
        <v>0.5</v>
      </c>
      <c r="O118">
        <v>0</v>
      </c>
      <c r="P118">
        <v>0.5</v>
      </c>
      <c r="Q118">
        <v>0.5</v>
      </c>
      <c r="R118">
        <v>0.5</v>
      </c>
      <c r="S118">
        <v>0.5</v>
      </c>
      <c r="T118">
        <v>0.25</v>
      </c>
      <c r="U118">
        <v>0.5</v>
      </c>
      <c r="V118">
        <v>0.5</v>
      </c>
      <c r="W118">
        <v>0.5</v>
      </c>
      <c r="X118">
        <v>0.5</v>
      </c>
      <c r="Y118">
        <v>0.19</v>
      </c>
      <c r="Z118">
        <v>0.5</v>
      </c>
      <c r="AA118">
        <v>0.25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0.5</v>
      </c>
      <c r="AI118">
        <v>0.5</v>
      </c>
      <c r="AJ118">
        <v>0.5</v>
      </c>
      <c r="AK118">
        <v>0.5</v>
      </c>
      <c r="AL118">
        <v>0.5</v>
      </c>
      <c r="AM118">
        <v>0</v>
      </c>
      <c r="AN118">
        <v>0.5</v>
      </c>
      <c r="AO118">
        <v>0.10000000000000001</v>
      </c>
      <c r="AP118">
        <v>0.5</v>
      </c>
      <c r="AQ118">
        <v>0.5</v>
      </c>
      <c r="AR118">
        <v>0.5</v>
      </c>
      <c r="AS118">
        <v>0.5</v>
      </c>
      <c r="AT118">
        <v>0.5</v>
      </c>
      <c r="AU118">
        <v>0.5</v>
      </c>
      <c r="AV118">
        <v>0</v>
      </c>
      <c r="AW118" t="s">
        <v>296</v>
      </c>
    </row>
    <row r="119" spans="1:49" ht="12.75">
      <c r="A119" t="s">
        <v>295</v>
      </c>
      <c r="B119" t="s">
        <v>289</v>
      </c>
      <c r="C119" t="s">
        <v>128</v>
      </c>
      <c r="D119" t="s">
        <v>52</v>
      </c>
      <c r="E119" t="s">
        <v>296</v>
      </c>
      <c r="F119" t="s">
        <v>83</v>
      </c>
      <c r="G119" t="s">
        <v>474</v>
      </c>
      <c r="H119" t="s">
        <v>296</v>
      </c>
      <c r="I119" t="s">
        <v>296</v>
      </c>
      <c r="J119" t="s">
        <v>296</v>
      </c>
      <c r="K119" t="s">
        <v>296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 t="s">
        <v>296</v>
      </c>
    </row>
    <row r="120" spans="1:49" ht="12.75">
      <c r="A120" t="s">
        <v>295</v>
      </c>
      <c r="B120" t="s">
        <v>289</v>
      </c>
      <c r="C120" t="s">
        <v>128</v>
      </c>
      <c r="D120" t="s">
        <v>129</v>
      </c>
      <c r="E120" t="s">
        <v>296</v>
      </c>
      <c r="F120" t="s">
        <v>83</v>
      </c>
      <c r="G120" t="s">
        <v>474</v>
      </c>
      <c r="H120" t="s">
        <v>296</v>
      </c>
      <c r="I120" t="s">
        <v>296</v>
      </c>
      <c r="J120" t="s">
        <v>296</v>
      </c>
      <c r="K120" t="s">
        <v>296</v>
      </c>
      <c r="L120">
        <v>0.5</v>
      </c>
      <c r="M120">
        <v>0.5</v>
      </c>
      <c r="N120">
        <v>0.5</v>
      </c>
      <c r="O120">
        <v>0.5</v>
      </c>
      <c r="P120">
        <v>0.5</v>
      </c>
      <c r="Q120">
        <v>0.5</v>
      </c>
      <c r="R120">
        <v>0.5</v>
      </c>
      <c r="S120">
        <v>0.5</v>
      </c>
      <c r="T120">
        <v>0.5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0.5</v>
      </c>
      <c r="AI120">
        <v>0.5</v>
      </c>
      <c r="AJ120">
        <v>0.5</v>
      </c>
      <c r="AK120">
        <v>0.5</v>
      </c>
      <c r="AL120">
        <v>0.5</v>
      </c>
      <c r="AM120">
        <v>0.5</v>
      </c>
      <c r="AN120">
        <v>0.5</v>
      </c>
      <c r="AO120">
        <v>0.5</v>
      </c>
      <c r="AP120">
        <v>0.5</v>
      </c>
      <c r="AQ120">
        <v>0.5</v>
      </c>
      <c r="AR120">
        <v>0.5</v>
      </c>
      <c r="AS120">
        <v>0.5</v>
      </c>
      <c r="AT120">
        <v>0.5</v>
      </c>
      <c r="AU120">
        <v>0.5</v>
      </c>
      <c r="AV120">
        <v>0.5</v>
      </c>
      <c r="AW120" t="s">
        <v>296</v>
      </c>
    </row>
    <row r="121" spans="1:49" ht="12.75">
      <c r="A121" t="s">
        <v>295</v>
      </c>
      <c r="B121" t="s">
        <v>289</v>
      </c>
      <c r="C121" t="s">
        <v>128</v>
      </c>
      <c r="D121" t="s">
        <v>130</v>
      </c>
      <c r="E121" t="s">
        <v>296</v>
      </c>
      <c r="F121" t="s">
        <v>83</v>
      </c>
      <c r="G121" t="s">
        <v>474</v>
      </c>
      <c r="H121" t="s">
        <v>296</v>
      </c>
      <c r="I121" t="s">
        <v>296</v>
      </c>
      <c r="J121" t="s">
        <v>296</v>
      </c>
      <c r="K121" t="s">
        <v>296</v>
      </c>
      <c r="L121">
        <v>0.089999999999999997</v>
      </c>
      <c r="M121">
        <v>0.089999999999999997</v>
      </c>
      <c r="N121">
        <v>0.089999999999999997</v>
      </c>
      <c r="O121">
        <v>0.089999999999999997</v>
      </c>
      <c r="P121">
        <v>0.089999999999999997</v>
      </c>
      <c r="Q121">
        <v>0.089999999999999997</v>
      </c>
      <c r="R121">
        <v>0.089999999999999997</v>
      </c>
      <c r="S121">
        <v>0.089999999999999997</v>
      </c>
      <c r="T121">
        <v>0.089999999999999997</v>
      </c>
      <c r="U121">
        <v>0.089999999999999997</v>
      </c>
      <c r="V121">
        <v>0.089999999999999997</v>
      </c>
      <c r="W121">
        <v>0.089999999999999997</v>
      </c>
      <c r="X121">
        <v>0.089999999999999997</v>
      </c>
      <c r="Y121">
        <v>0.089999999999999997</v>
      </c>
      <c r="Z121">
        <v>0.089999999999999997</v>
      </c>
      <c r="AA121">
        <v>0.089999999999999997</v>
      </c>
      <c r="AB121">
        <v>0.089999999999999997</v>
      </c>
      <c r="AC121">
        <v>0.089999999999999997</v>
      </c>
      <c r="AD121">
        <v>0.089999999999999997</v>
      </c>
      <c r="AE121">
        <v>0.089999999999999997</v>
      </c>
      <c r="AF121">
        <v>0.089999999999999997</v>
      </c>
      <c r="AG121">
        <v>0.089999999999999997</v>
      </c>
      <c r="AH121">
        <v>0.089999999999999997</v>
      </c>
      <c r="AI121">
        <v>0.089999999999999997</v>
      </c>
      <c r="AJ121">
        <v>0.089999999999999997</v>
      </c>
      <c r="AK121">
        <v>0.089999999999999997</v>
      </c>
      <c r="AL121">
        <v>0.089999999999999997</v>
      </c>
      <c r="AM121">
        <v>0.089999999999999997</v>
      </c>
      <c r="AN121">
        <v>0.089999999999999997</v>
      </c>
      <c r="AO121">
        <v>0.089999999999999997</v>
      </c>
      <c r="AP121">
        <v>0.089999999999999997</v>
      </c>
      <c r="AQ121">
        <v>0.089999999999999997</v>
      </c>
      <c r="AR121">
        <v>0.089999999999999997</v>
      </c>
      <c r="AS121">
        <v>0.089999999999999997</v>
      </c>
      <c r="AT121">
        <v>0.089999999999999997</v>
      </c>
      <c r="AU121">
        <v>0.089999999999999997</v>
      </c>
      <c r="AV121">
        <v>0.089999999999999997</v>
      </c>
      <c r="AW121" t="s">
        <v>296</v>
      </c>
    </row>
    <row r="122" spans="1:49" ht="12.75">
      <c r="A122" t="s">
        <v>295</v>
      </c>
      <c r="B122" t="s">
        <v>289</v>
      </c>
      <c r="C122" t="s">
        <v>128</v>
      </c>
      <c r="D122" t="s">
        <v>131</v>
      </c>
      <c r="E122" t="s">
        <v>296</v>
      </c>
      <c r="F122" t="s">
        <v>83</v>
      </c>
      <c r="G122" t="s">
        <v>474</v>
      </c>
      <c r="H122" t="s">
        <v>296</v>
      </c>
      <c r="I122" t="s">
        <v>296</v>
      </c>
      <c r="J122" t="s">
        <v>296</v>
      </c>
      <c r="K122" t="s">
        <v>296</v>
      </c>
      <c r="L122">
        <v>0.22</v>
      </c>
      <c r="M122">
        <v>0.22</v>
      </c>
      <c r="N122">
        <v>0.22</v>
      </c>
      <c r="O122">
        <v>0.22</v>
      </c>
      <c r="P122">
        <v>0.22</v>
      </c>
      <c r="Q122">
        <v>0.22</v>
      </c>
      <c r="R122">
        <v>0.22</v>
      </c>
      <c r="S122">
        <v>0.22</v>
      </c>
      <c r="T122">
        <v>0.22</v>
      </c>
      <c r="U122">
        <v>0.22</v>
      </c>
      <c r="V122">
        <v>0.22</v>
      </c>
      <c r="W122">
        <v>0.22</v>
      </c>
      <c r="X122">
        <v>0.22</v>
      </c>
      <c r="Y122">
        <v>0.22</v>
      </c>
      <c r="Z122">
        <v>0.22</v>
      </c>
      <c r="AA122">
        <v>0.22</v>
      </c>
      <c r="AB122">
        <v>0.22</v>
      </c>
      <c r="AC122">
        <v>0.22</v>
      </c>
      <c r="AD122">
        <v>0.22</v>
      </c>
      <c r="AE122">
        <v>0.22</v>
      </c>
      <c r="AF122">
        <v>0.22</v>
      </c>
      <c r="AG122">
        <v>0.22</v>
      </c>
      <c r="AH122">
        <v>0.22</v>
      </c>
      <c r="AI122">
        <v>0.22</v>
      </c>
      <c r="AJ122">
        <v>0.22</v>
      </c>
      <c r="AK122">
        <v>0.22</v>
      </c>
      <c r="AL122">
        <v>0.22</v>
      </c>
      <c r="AM122">
        <v>0.22</v>
      </c>
      <c r="AN122">
        <v>0.22</v>
      </c>
      <c r="AO122">
        <v>0.22</v>
      </c>
      <c r="AP122">
        <v>0.22</v>
      </c>
      <c r="AQ122">
        <v>0.22</v>
      </c>
      <c r="AR122">
        <v>0.22</v>
      </c>
      <c r="AS122">
        <v>0.22</v>
      </c>
      <c r="AT122">
        <v>0.22</v>
      </c>
      <c r="AU122">
        <v>0.22</v>
      </c>
      <c r="AV122">
        <v>0.22</v>
      </c>
      <c r="AW122" t="s">
        <v>296</v>
      </c>
    </row>
    <row r="123" spans="1:49" ht="12.75">
      <c r="A123" t="s">
        <v>295</v>
      </c>
      <c r="B123" t="s">
        <v>289</v>
      </c>
      <c r="C123" t="s">
        <v>128</v>
      </c>
      <c r="D123" t="s">
        <v>132</v>
      </c>
      <c r="E123" t="s">
        <v>296</v>
      </c>
      <c r="F123" t="s">
        <v>83</v>
      </c>
      <c r="G123" t="s">
        <v>474</v>
      </c>
      <c r="H123" t="s">
        <v>296</v>
      </c>
      <c r="I123" t="s">
        <v>296</v>
      </c>
      <c r="J123" t="s">
        <v>296</v>
      </c>
      <c r="K123" t="s">
        <v>296</v>
      </c>
      <c r="L123">
        <v>0.89000000000000001</v>
      </c>
      <c r="M123">
        <v>0.89000000000000001</v>
      </c>
      <c r="N123">
        <v>0.89000000000000001</v>
      </c>
      <c r="O123">
        <v>0.89000000000000001</v>
      </c>
      <c r="P123">
        <v>0.89000000000000001</v>
      </c>
      <c r="Q123">
        <v>0.89000000000000001</v>
      </c>
      <c r="R123">
        <v>0.89000000000000001</v>
      </c>
      <c r="S123">
        <v>0.89000000000000001</v>
      </c>
      <c r="T123">
        <v>0.89000000000000001</v>
      </c>
      <c r="U123">
        <v>0.89000000000000001</v>
      </c>
      <c r="V123">
        <v>0.89000000000000001</v>
      </c>
      <c r="W123">
        <v>0.89000000000000001</v>
      </c>
      <c r="X123">
        <v>0.89000000000000001</v>
      </c>
      <c r="Y123">
        <v>0.89000000000000001</v>
      </c>
      <c r="Z123">
        <v>0.89000000000000001</v>
      </c>
      <c r="AA123">
        <v>0.89000000000000001</v>
      </c>
      <c r="AB123">
        <v>0.89000000000000001</v>
      </c>
      <c r="AC123">
        <v>0.89000000000000001</v>
      </c>
      <c r="AD123">
        <v>0.89000000000000001</v>
      </c>
      <c r="AE123">
        <v>0.89000000000000001</v>
      </c>
      <c r="AF123">
        <v>0.89000000000000001</v>
      </c>
      <c r="AG123">
        <v>0.89000000000000001</v>
      </c>
      <c r="AH123">
        <v>0.89000000000000001</v>
      </c>
      <c r="AI123">
        <v>0.89000000000000001</v>
      </c>
      <c r="AJ123">
        <v>0.89000000000000001</v>
      </c>
      <c r="AK123">
        <v>0.89000000000000001</v>
      </c>
      <c r="AL123">
        <v>0.89000000000000001</v>
      </c>
      <c r="AM123">
        <v>0.89000000000000001</v>
      </c>
      <c r="AN123">
        <v>0.89000000000000001</v>
      </c>
      <c r="AO123">
        <v>0.89000000000000001</v>
      </c>
      <c r="AP123">
        <v>0.89000000000000001</v>
      </c>
      <c r="AQ123">
        <v>0.89000000000000001</v>
      </c>
      <c r="AR123">
        <v>0.89000000000000001</v>
      </c>
      <c r="AS123">
        <v>0.89000000000000001</v>
      </c>
      <c r="AT123">
        <v>0.89000000000000001</v>
      </c>
      <c r="AU123">
        <v>0.89000000000000001</v>
      </c>
      <c r="AV123">
        <v>0.89000000000000001</v>
      </c>
      <c r="AW123" t="s">
        <v>296</v>
      </c>
    </row>
    <row r="124" spans="1:49" ht="12.75">
      <c r="A124" t="s">
        <v>295</v>
      </c>
      <c r="B124" t="s">
        <v>289</v>
      </c>
      <c r="C124" t="s">
        <v>133</v>
      </c>
      <c r="D124" t="s">
        <v>48</v>
      </c>
      <c r="E124" t="s">
        <v>296</v>
      </c>
      <c r="F124" t="s">
        <v>83</v>
      </c>
      <c r="G124" t="s">
        <v>474</v>
      </c>
      <c r="H124" t="s">
        <v>296</v>
      </c>
      <c r="I124" t="s">
        <v>296</v>
      </c>
      <c r="J124" t="s">
        <v>296</v>
      </c>
      <c r="K124" t="s">
        <v>296</v>
      </c>
      <c r="L124">
        <v>0.94999999999999996</v>
      </c>
      <c r="M124">
        <v>1.0449999999999999</v>
      </c>
      <c r="N124">
        <v>0.94999999999999996</v>
      </c>
      <c r="O124">
        <v>0.94999999999999996</v>
      </c>
      <c r="P124">
        <v>0.94999999999999996</v>
      </c>
      <c r="Q124">
        <v>0.94999999999999996</v>
      </c>
      <c r="R124">
        <v>0.94999999999999996</v>
      </c>
      <c r="S124">
        <v>0.78866666666666696</v>
      </c>
      <c r="T124">
        <v>1.3799999999999999</v>
      </c>
      <c r="U124">
        <v>0.94999999999999996</v>
      </c>
      <c r="V124">
        <v>0.94999999999999996</v>
      </c>
      <c r="W124">
        <v>0.94999999999999996</v>
      </c>
      <c r="X124">
        <v>0.94999999999999996</v>
      </c>
      <c r="Y124">
        <v>0.91010000000000002</v>
      </c>
      <c r="Z124">
        <v>2.1545999999999998</v>
      </c>
      <c r="AA124">
        <v>1.3799999999999999</v>
      </c>
      <c r="AB124">
        <v>0.94999999999999996</v>
      </c>
      <c r="AC124">
        <v>0.94999999999999996</v>
      </c>
      <c r="AD124">
        <v>2.1545999999999998</v>
      </c>
      <c r="AE124">
        <v>0.076950000000000005</v>
      </c>
      <c r="AF124">
        <v>0.94999999999999996</v>
      </c>
      <c r="AG124">
        <v>0.94999999999999996</v>
      </c>
      <c r="AH124">
        <v>0.94999999999999996</v>
      </c>
      <c r="AI124">
        <v>0.94999999999999996</v>
      </c>
      <c r="AJ124">
        <v>0.94999999999999996</v>
      </c>
      <c r="AK124">
        <v>0.94999999999999996</v>
      </c>
      <c r="AL124">
        <v>0.94999999999999996</v>
      </c>
      <c r="AM124">
        <v>1.5</v>
      </c>
      <c r="AN124">
        <v>0.94999999999999996</v>
      </c>
      <c r="AO124">
        <v>0.94999999999999996</v>
      </c>
      <c r="AP124">
        <v>0.94999999999999996</v>
      </c>
      <c r="AQ124">
        <v>0.94999999999999996</v>
      </c>
      <c r="AR124">
        <v>1.05</v>
      </c>
      <c r="AS124">
        <v>0.92625000000000002</v>
      </c>
      <c r="AT124">
        <v>0.94999999999999996</v>
      </c>
      <c r="AU124">
        <v>1.71</v>
      </c>
      <c r="AV124">
        <v>0.94999999999999996</v>
      </c>
      <c r="AW124" t="s">
        <v>296</v>
      </c>
    </row>
    <row r="125" spans="1:49" ht="12.75">
      <c r="A125" t="s">
        <v>295</v>
      </c>
      <c r="B125" t="s">
        <v>289</v>
      </c>
      <c r="C125" t="s">
        <v>133</v>
      </c>
      <c r="D125" t="s">
        <v>49</v>
      </c>
      <c r="E125" t="s">
        <v>296</v>
      </c>
      <c r="F125" t="s">
        <v>83</v>
      </c>
      <c r="G125" t="s">
        <v>474</v>
      </c>
      <c r="H125" t="s">
        <v>296</v>
      </c>
      <c r="I125" t="s">
        <v>296</v>
      </c>
      <c r="J125" t="s">
        <v>296</v>
      </c>
      <c r="K125" t="s">
        <v>296</v>
      </c>
      <c r="L125">
        <v>5.2000000000000002</v>
      </c>
      <c r="M125">
        <v>5.2000000000000002</v>
      </c>
      <c r="N125">
        <v>5.2000000000000002</v>
      </c>
      <c r="O125">
        <v>10</v>
      </c>
      <c r="P125">
        <v>5.2000000000000002</v>
      </c>
      <c r="Q125">
        <v>5.2000000000000002</v>
      </c>
      <c r="R125">
        <v>5.2000000000000002</v>
      </c>
      <c r="S125">
        <v>1.5</v>
      </c>
      <c r="T125">
        <v>9</v>
      </c>
      <c r="U125">
        <v>5.2000000000000002</v>
      </c>
      <c r="V125">
        <v>5.2000000000000002</v>
      </c>
      <c r="W125">
        <v>4</v>
      </c>
      <c r="X125">
        <v>5.2000000000000002</v>
      </c>
      <c r="Y125">
        <v>5.2000000000000002</v>
      </c>
      <c r="Z125">
        <v>5.2000000000000002</v>
      </c>
      <c r="AA125">
        <v>2.8199999999999998</v>
      </c>
      <c r="AB125">
        <v>0</v>
      </c>
      <c r="AC125">
        <v>5.2000000000000002</v>
      </c>
      <c r="AD125">
        <v>5.2000000000000002</v>
      </c>
      <c r="AE125">
        <v>5.2000000000000002</v>
      </c>
      <c r="AF125">
        <v>5.1740000000000004</v>
      </c>
      <c r="AG125">
        <v>5.2000000000000002</v>
      </c>
      <c r="AH125">
        <v>2.7999999999999998</v>
      </c>
      <c r="AI125">
        <v>5.2000000000000002</v>
      </c>
      <c r="AJ125">
        <v>5.2000000000000002</v>
      </c>
      <c r="AK125">
        <v>5.2000000000000002</v>
      </c>
      <c r="AL125">
        <v>5.2000000000000002</v>
      </c>
      <c r="AM125">
        <v>10</v>
      </c>
      <c r="AN125">
        <v>5.2000000000000002</v>
      </c>
      <c r="AO125">
        <v>0</v>
      </c>
      <c r="AP125">
        <v>5.2000000000000002</v>
      </c>
      <c r="AQ125">
        <v>3.5</v>
      </c>
      <c r="AR125">
        <v>0</v>
      </c>
      <c r="AS125">
        <v>5.2000000000000002</v>
      </c>
      <c r="AT125">
        <v>5.2000000000000002</v>
      </c>
      <c r="AU125">
        <v>5.2000000000000002</v>
      </c>
      <c r="AV125">
        <v>3.9780000000000002</v>
      </c>
      <c r="AW125" t="s">
        <v>296</v>
      </c>
    </row>
    <row r="126" spans="1:49" ht="12.75">
      <c r="A126" t="s">
        <v>295</v>
      </c>
      <c r="B126" t="s">
        <v>289</v>
      </c>
      <c r="C126" t="s">
        <v>133</v>
      </c>
      <c r="D126" t="s">
        <v>51</v>
      </c>
      <c r="E126" t="s">
        <v>296</v>
      </c>
      <c r="F126" t="s">
        <v>83</v>
      </c>
      <c r="G126" t="s">
        <v>474</v>
      </c>
      <c r="H126" t="s">
        <v>296</v>
      </c>
      <c r="I126" t="s">
        <v>296</v>
      </c>
      <c r="J126" t="s">
        <v>296</v>
      </c>
      <c r="K126" t="s">
        <v>296</v>
      </c>
      <c r="L126">
        <v>10</v>
      </c>
      <c r="M126">
        <v>10</v>
      </c>
      <c r="N126">
        <v>10</v>
      </c>
      <c r="O126">
        <v>13</v>
      </c>
      <c r="P126">
        <v>10</v>
      </c>
      <c r="Q126">
        <v>10</v>
      </c>
      <c r="R126">
        <v>10</v>
      </c>
      <c r="S126">
        <v>8</v>
      </c>
      <c r="T126">
        <v>7.2400000000000002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8</v>
      </c>
      <c r="AB126">
        <v>15.199999999999999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8.7799999999999994</v>
      </c>
      <c r="AN126">
        <v>10</v>
      </c>
      <c r="AO126">
        <v>15.124000000000001</v>
      </c>
      <c r="AP126">
        <v>10</v>
      </c>
      <c r="AQ126">
        <v>11.699999999999999</v>
      </c>
      <c r="AR126">
        <v>15.199999999999999</v>
      </c>
      <c r="AS126">
        <v>10</v>
      </c>
      <c r="AT126">
        <v>10</v>
      </c>
      <c r="AU126">
        <v>10</v>
      </c>
      <c r="AV126">
        <v>10</v>
      </c>
      <c r="AW126" t="s">
        <v>296</v>
      </c>
    </row>
    <row r="127" spans="1:49" ht="12.75">
      <c r="A127" t="s">
        <v>295</v>
      </c>
      <c r="B127" t="s">
        <v>289</v>
      </c>
      <c r="C127" t="s">
        <v>133</v>
      </c>
      <c r="D127" t="s">
        <v>37</v>
      </c>
      <c r="E127" t="s">
        <v>296</v>
      </c>
      <c r="F127" t="s">
        <v>83</v>
      </c>
      <c r="G127" t="s">
        <v>474</v>
      </c>
      <c r="H127" t="s">
        <v>296</v>
      </c>
      <c r="I127" t="s">
        <v>296</v>
      </c>
      <c r="J127" t="s">
        <v>296</v>
      </c>
      <c r="K127" t="s">
        <v>296</v>
      </c>
      <c r="L127">
        <v>0.51700000000000002</v>
      </c>
      <c r="M127">
        <v>0.55000000000000004</v>
      </c>
      <c r="N127">
        <v>0.55000000000000004</v>
      </c>
      <c r="O127">
        <v>0.55000000000000004</v>
      </c>
      <c r="P127">
        <v>0.55000000000000004</v>
      </c>
      <c r="Q127">
        <v>0.55000000000000004</v>
      </c>
      <c r="R127">
        <v>0.55000000000000004</v>
      </c>
      <c r="S127">
        <v>0.55000000000000004</v>
      </c>
      <c r="T127">
        <v>0.41499999999999998</v>
      </c>
      <c r="U127">
        <v>0.55000000000000004</v>
      </c>
      <c r="V127">
        <v>0.55000000000000004</v>
      </c>
      <c r="W127">
        <v>0.55000000000000004</v>
      </c>
      <c r="X127">
        <v>0.55000000000000004</v>
      </c>
      <c r="Y127">
        <v>0.55000000000000004</v>
      </c>
      <c r="Z127">
        <v>0.55000000000000004</v>
      </c>
      <c r="AA127">
        <v>0.41499999999999998</v>
      </c>
      <c r="AB127">
        <v>0.41499999999999998</v>
      </c>
      <c r="AC127">
        <v>0.55000000000000004</v>
      </c>
      <c r="AD127">
        <v>0.55000000000000004</v>
      </c>
      <c r="AE127">
        <v>0.55000000000000004</v>
      </c>
      <c r="AF127">
        <v>0.55000000000000004</v>
      </c>
      <c r="AG127">
        <v>0.55000000000000004</v>
      </c>
      <c r="AH127">
        <v>0.55000000000000004</v>
      </c>
      <c r="AI127">
        <v>0.55000000000000004</v>
      </c>
      <c r="AJ127">
        <v>0.55000000000000004</v>
      </c>
      <c r="AK127">
        <v>0.55000000000000004</v>
      </c>
      <c r="AL127">
        <v>0.55000000000000004</v>
      </c>
      <c r="AM127">
        <v>0.495</v>
      </c>
      <c r="AN127">
        <v>0.55000000000000004</v>
      </c>
      <c r="AO127">
        <v>0.55000000000000004</v>
      </c>
      <c r="AP127">
        <v>0.55000000000000004</v>
      </c>
      <c r="AQ127">
        <v>0.55000000000000004</v>
      </c>
      <c r="AR127">
        <v>0.55000000000000004</v>
      </c>
      <c r="AS127">
        <v>0.55000000000000004</v>
      </c>
      <c r="AT127">
        <v>0.55000000000000004</v>
      </c>
      <c r="AU127">
        <v>0.55000000000000004</v>
      </c>
      <c r="AV127">
        <v>0.51700000000000002</v>
      </c>
      <c r="AW127" t="s">
        <v>296</v>
      </c>
    </row>
    <row r="128" spans="1:49" ht="12.75">
      <c r="A128" t="s">
        <v>295</v>
      </c>
      <c r="B128" t="s">
        <v>289</v>
      </c>
      <c r="C128" t="s">
        <v>133</v>
      </c>
      <c r="D128" t="s">
        <v>43</v>
      </c>
      <c r="E128" t="s">
        <v>296</v>
      </c>
      <c r="F128" t="s">
        <v>83</v>
      </c>
      <c r="G128" t="s">
        <v>474</v>
      </c>
      <c r="H128" t="s">
        <v>296</v>
      </c>
      <c r="I128" t="s">
        <v>296</v>
      </c>
      <c r="J128" t="s">
        <v>296</v>
      </c>
      <c r="K128" t="s">
        <v>296</v>
      </c>
      <c r="L128">
        <v>0.10000000000000001</v>
      </c>
      <c r="M128">
        <v>0.10000000000000001</v>
      </c>
      <c r="N128">
        <v>0.10000000000000001</v>
      </c>
      <c r="O128">
        <v>0</v>
      </c>
      <c r="P128">
        <v>0.10000000000000001</v>
      </c>
      <c r="Q128">
        <v>0.10000000000000001</v>
      </c>
      <c r="R128">
        <v>0.10000000000000001</v>
      </c>
      <c r="S128">
        <v>0.10000000000000001</v>
      </c>
      <c r="T128">
        <v>0.5</v>
      </c>
      <c r="U128">
        <v>0.10000000000000001</v>
      </c>
      <c r="V128">
        <v>0.10000000000000001</v>
      </c>
      <c r="W128">
        <v>0.10000000000000001</v>
      </c>
      <c r="X128">
        <v>0.10000000000000001</v>
      </c>
      <c r="Y128">
        <v>0.0054999999999999997</v>
      </c>
      <c r="Z128">
        <v>0.10000000000000001</v>
      </c>
      <c r="AA128">
        <v>0.5</v>
      </c>
      <c r="AB128">
        <v>0.10000000000000001</v>
      </c>
      <c r="AC128">
        <v>0.10000000000000001</v>
      </c>
      <c r="AD128">
        <v>0.10000000000000001</v>
      </c>
      <c r="AE128">
        <v>0.10000000000000001</v>
      </c>
      <c r="AF128">
        <v>0.10000000000000001</v>
      </c>
      <c r="AG128">
        <v>0.10000000000000001</v>
      </c>
      <c r="AH128">
        <v>0.10000000000000001</v>
      </c>
      <c r="AI128">
        <v>0.10000000000000001</v>
      </c>
      <c r="AJ128">
        <v>0.10000000000000001</v>
      </c>
      <c r="AK128">
        <v>0.10000000000000001</v>
      </c>
      <c r="AL128">
        <v>0.10000000000000001</v>
      </c>
      <c r="AM128">
        <v>0</v>
      </c>
      <c r="AN128">
        <v>0.10000000000000001</v>
      </c>
      <c r="AO128">
        <v>0</v>
      </c>
      <c r="AP128">
        <v>0.10000000000000001</v>
      </c>
      <c r="AQ128">
        <v>0</v>
      </c>
      <c r="AR128">
        <v>0</v>
      </c>
      <c r="AS128">
        <v>0.10000000000000001</v>
      </c>
      <c r="AT128">
        <v>0.10000000000000001</v>
      </c>
      <c r="AU128">
        <v>0</v>
      </c>
      <c r="AV128">
        <v>0.035000000000000003</v>
      </c>
      <c r="AW128" t="s">
        <v>296</v>
      </c>
    </row>
    <row r="129" spans="1:49" ht="12.75">
      <c r="A129" t="s">
        <v>295</v>
      </c>
      <c r="B129" t="s">
        <v>289</v>
      </c>
      <c r="C129" t="s">
        <v>133</v>
      </c>
      <c r="D129" t="s">
        <v>42</v>
      </c>
      <c r="E129" t="s">
        <v>296</v>
      </c>
      <c r="F129" t="s">
        <v>83</v>
      </c>
      <c r="G129" t="s">
        <v>474</v>
      </c>
      <c r="H129" t="s">
        <v>296</v>
      </c>
      <c r="I129" t="s">
        <v>296</v>
      </c>
      <c r="J129" t="s">
        <v>296</v>
      </c>
      <c r="K129" t="s">
        <v>296</v>
      </c>
      <c r="L129">
        <v>0.25</v>
      </c>
      <c r="M129">
        <v>0.25</v>
      </c>
      <c r="N129">
        <v>0.25</v>
      </c>
      <c r="O129">
        <v>0.25</v>
      </c>
      <c r="P129">
        <v>0.25</v>
      </c>
      <c r="Q129">
        <v>0.25</v>
      </c>
      <c r="R129">
        <v>0.25</v>
      </c>
      <c r="S129">
        <v>0.25</v>
      </c>
      <c r="T129">
        <v>0.25</v>
      </c>
      <c r="U129">
        <v>0.25</v>
      </c>
      <c r="V129">
        <v>0.10000000000000001</v>
      </c>
      <c r="W129">
        <v>0.25</v>
      </c>
      <c r="X129">
        <v>0.25</v>
      </c>
      <c r="Y129">
        <v>0.25</v>
      </c>
      <c r="Z129">
        <v>0.25</v>
      </c>
      <c r="AA129">
        <v>0.25</v>
      </c>
      <c r="AB129">
        <v>0.25</v>
      </c>
      <c r="AC129">
        <v>0.25</v>
      </c>
      <c r="AD129">
        <v>0.25</v>
      </c>
      <c r="AE129">
        <v>0.25</v>
      </c>
      <c r="AF129">
        <v>0.25</v>
      </c>
      <c r="AG129">
        <v>0.25</v>
      </c>
      <c r="AH129">
        <v>0.25</v>
      </c>
      <c r="AI129">
        <v>0.25</v>
      </c>
      <c r="AJ129">
        <v>0.25</v>
      </c>
      <c r="AK129">
        <v>0.25</v>
      </c>
      <c r="AL129">
        <v>0.25</v>
      </c>
      <c r="AM129">
        <v>0.25</v>
      </c>
      <c r="AN129">
        <v>0.25</v>
      </c>
      <c r="AO129">
        <v>0.25</v>
      </c>
      <c r="AP129">
        <v>0.25</v>
      </c>
      <c r="AQ129">
        <v>0.25</v>
      </c>
      <c r="AR129">
        <v>0.25</v>
      </c>
      <c r="AS129">
        <v>0.25</v>
      </c>
      <c r="AT129">
        <v>0.25</v>
      </c>
      <c r="AU129">
        <v>0.25</v>
      </c>
      <c r="AV129">
        <v>0.25</v>
      </c>
      <c r="AW129" t="s">
        <v>296</v>
      </c>
    </row>
    <row r="130" spans="1:49" ht="12.75">
      <c r="A130" t="s">
        <v>295</v>
      </c>
      <c r="B130" t="s">
        <v>289</v>
      </c>
      <c r="C130" t="s">
        <v>133</v>
      </c>
      <c r="D130" t="s">
        <v>129</v>
      </c>
      <c r="E130" t="s">
        <v>296</v>
      </c>
      <c r="F130" t="s">
        <v>83</v>
      </c>
      <c r="G130" t="s">
        <v>474</v>
      </c>
      <c r="H130" t="s">
        <v>296</v>
      </c>
      <c r="I130" t="s">
        <v>296</v>
      </c>
      <c r="J130" t="s">
        <v>296</v>
      </c>
      <c r="K130" t="s">
        <v>296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 t="s">
        <v>296</v>
      </c>
    </row>
    <row r="131" spans="1:49" ht="12.75">
      <c r="A131" t="s">
        <v>295</v>
      </c>
      <c r="B131" t="s">
        <v>289</v>
      </c>
      <c r="C131" t="s">
        <v>133</v>
      </c>
      <c r="D131" t="s">
        <v>134</v>
      </c>
      <c r="E131" t="s">
        <v>296</v>
      </c>
      <c r="F131" t="s">
        <v>83</v>
      </c>
      <c r="G131" t="s">
        <v>474</v>
      </c>
      <c r="H131" t="s">
        <v>296</v>
      </c>
      <c r="I131" t="s">
        <v>296</v>
      </c>
      <c r="J131" t="s">
        <v>296</v>
      </c>
      <c r="K131" t="s">
        <v>296</v>
      </c>
      <c r="L131">
        <v>0.75</v>
      </c>
      <c r="M131">
        <v>0.75</v>
      </c>
      <c r="N131">
        <v>0.75</v>
      </c>
      <c r="O131">
        <v>0.75</v>
      </c>
      <c r="P131">
        <v>0.75</v>
      </c>
      <c r="Q131">
        <v>0.75</v>
      </c>
      <c r="R131">
        <v>0.75</v>
      </c>
      <c r="S131">
        <v>0.75</v>
      </c>
      <c r="T131">
        <v>0.75</v>
      </c>
      <c r="U131">
        <v>0.75</v>
      </c>
      <c r="V131">
        <v>0.75</v>
      </c>
      <c r="W131">
        <v>0.75</v>
      </c>
      <c r="X131">
        <v>0.75</v>
      </c>
      <c r="Y131">
        <v>0.75</v>
      </c>
      <c r="Z131">
        <v>0.75</v>
      </c>
      <c r="AA131">
        <v>0.75</v>
      </c>
      <c r="AB131">
        <v>0.75</v>
      </c>
      <c r="AC131">
        <v>0.75</v>
      </c>
      <c r="AD131">
        <v>0.75</v>
      </c>
      <c r="AE131">
        <v>0.75</v>
      </c>
      <c r="AF131">
        <v>0.75</v>
      </c>
      <c r="AG131">
        <v>0.75</v>
      </c>
      <c r="AH131">
        <v>0.75</v>
      </c>
      <c r="AI131">
        <v>0.75</v>
      </c>
      <c r="AJ131">
        <v>0.75</v>
      </c>
      <c r="AK131">
        <v>0.75</v>
      </c>
      <c r="AL131">
        <v>0.75</v>
      </c>
      <c r="AM131">
        <v>0.75</v>
      </c>
      <c r="AN131">
        <v>0.75</v>
      </c>
      <c r="AO131">
        <v>0.75</v>
      </c>
      <c r="AP131">
        <v>0.75</v>
      </c>
      <c r="AQ131">
        <v>0.75</v>
      </c>
      <c r="AR131">
        <v>0.75</v>
      </c>
      <c r="AS131">
        <v>0.75</v>
      </c>
      <c r="AT131">
        <v>0.75</v>
      </c>
      <c r="AU131">
        <v>0.75</v>
      </c>
      <c r="AV131">
        <v>0.75</v>
      </c>
      <c r="AW131" t="s">
        <v>296</v>
      </c>
    </row>
    <row r="132" spans="1:49" ht="12.75">
      <c r="A132" t="s">
        <v>295</v>
      </c>
      <c r="B132" t="s">
        <v>289</v>
      </c>
      <c r="C132" t="s">
        <v>133</v>
      </c>
      <c r="D132" t="s">
        <v>136</v>
      </c>
      <c r="E132" t="s">
        <v>296</v>
      </c>
      <c r="F132" t="s">
        <v>83</v>
      </c>
      <c r="G132" t="s">
        <v>474</v>
      </c>
      <c r="H132" t="s">
        <v>296</v>
      </c>
      <c r="I132" t="s">
        <v>296</v>
      </c>
      <c r="J132" t="s">
        <v>296</v>
      </c>
      <c r="K132" t="s">
        <v>296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 t="s">
        <v>296</v>
      </c>
    </row>
    <row r="133" spans="1:49" ht="12.75">
      <c r="A133" t="s">
        <v>295</v>
      </c>
      <c r="B133" t="s">
        <v>289</v>
      </c>
      <c r="C133" t="s">
        <v>133</v>
      </c>
      <c r="D133" t="s">
        <v>135</v>
      </c>
      <c r="E133" t="s">
        <v>296</v>
      </c>
      <c r="F133" t="s">
        <v>83</v>
      </c>
      <c r="G133" t="s">
        <v>474</v>
      </c>
      <c r="H133" t="s">
        <v>296</v>
      </c>
      <c r="I133" t="s">
        <v>296</v>
      </c>
      <c r="J133" t="s">
        <v>296</v>
      </c>
      <c r="K133" t="s">
        <v>296</v>
      </c>
      <c r="L133">
        <v>0.75</v>
      </c>
      <c r="M133">
        <v>0.75</v>
      </c>
      <c r="N133">
        <v>0.75</v>
      </c>
      <c r="O133">
        <v>0.75</v>
      </c>
      <c r="P133">
        <v>0.75</v>
      </c>
      <c r="Q133">
        <v>0.75</v>
      </c>
      <c r="R133">
        <v>0.75</v>
      </c>
      <c r="S133">
        <v>0.75</v>
      </c>
      <c r="T133">
        <v>0.75</v>
      </c>
      <c r="U133">
        <v>0.75</v>
      </c>
      <c r="V133">
        <v>0.75</v>
      </c>
      <c r="W133">
        <v>0.75</v>
      </c>
      <c r="X133">
        <v>0.75</v>
      </c>
      <c r="Y133">
        <v>1.5</v>
      </c>
      <c r="Z133">
        <v>0.75</v>
      </c>
      <c r="AA133">
        <v>0.75</v>
      </c>
      <c r="AB133">
        <v>0.75</v>
      </c>
      <c r="AC133">
        <v>0.75</v>
      </c>
      <c r="AD133">
        <v>0.75</v>
      </c>
      <c r="AE133">
        <v>0.75</v>
      </c>
      <c r="AF133">
        <v>0.75</v>
      </c>
      <c r="AG133">
        <v>0.75</v>
      </c>
      <c r="AH133">
        <v>0.75</v>
      </c>
      <c r="AI133">
        <v>0.75</v>
      </c>
      <c r="AJ133">
        <v>0.75</v>
      </c>
      <c r="AK133">
        <v>0.75</v>
      </c>
      <c r="AL133">
        <v>0.75</v>
      </c>
      <c r="AM133">
        <v>0.75</v>
      </c>
      <c r="AN133">
        <v>0.75</v>
      </c>
      <c r="AO133">
        <v>0.75</v>
      </c>
      <c r="AP133">
        <v>0.75</v>
      </c>
      <c r="AQ133">
        <v>0.75</v>
      </c>
      <c r="AR133">
        <v>0.75</v>
      </c>
      <c r="AS133">
        <v>0.75</v>
      </c>
      <c r="AT133">
        <v>0.75</v>
      </c>
      <c r="AU133">
        <v>0.75</v>
      </c>
      <c r="AV133">
        <v>0.75</v>
      </c>
      <c r="AW133" t="s">
        <v>296</v>
      </c>
    </row>
    <row r="134" spans="1:49" ht="12.75">
      <c r="A134" t="s">
        <v>295</v>
      </c>
      <c r="B134" t="s">
        <v>289</v>
      </c>
      <c r="C134" t="s">
        <v>137</v>
      </c>
      <c r="D134" t="s">
        <v>38</v>
      </c>
      <c r="E134" t="s">
        <v>296</v>
      </c>
      <c r="F134" t="s">
        <v>83</v>
      </c>
      <c r="G134" t="s">
        <v>474</v>
      </c>
      <c r="H134" t="s">
        <v>296</v>
      </c>
      <c r="I134" t="s">
        <v>296</v>
      </c>
      <c r="J134" t="s">
        <v>296</v>
      </c>
      <c r="K134" t="s">
        <v>296</v>
      </c>
      <c r="L134">
        <v>0.20000000000000001</v>
      </c>
      <c r="M134">
        <v>0.20000000000000001</v>
      </c>
      <c r="N134">
        <v>0.20000000000000001</v>
      </c>
      <c r="O134">
        <v>0.20000000000000001</v>
      </c>
      <c r="P134">
        <v>0.20000000000000001</v>
      </c>
      <c r="Q134">
        <v>0.20000000000000001</v>
      </c>
      <c r="R134">
        <v>0.20000000000000001</v>
      </c>
      <c r="S134">
        <v>0.20000000000000001</v>
      </c>
      <c r="T134">
        <v>0.20000000000000001</v>
      </c>
      <c r="U134">
        <v>0.20000000000000001</v>
      </c>
      <c r="V134">
        <v>0.20000000000000001</v>
      </c>
      <c r="W134">
        <v>0.20000000000000001</v>
      </c>
      <c r="X134">
        <v>0.20000000000000001</v>
      </c>
      <c r="Y134">
        <v>0.20000000000000001</v>
      </c>
      <c r="Z134">
        <v>0.20000000000000001</v>
      </c>
      <c r="AA134">
        <v>0.20000000000000001</v>
      </c>
      <c r="AB134">
        <v>0.20000000000000001</v>
      </c>
      <c r="AC134">
        <v>0.20000000000000001</v>
      </c>
      <c r="AD134">
        <v>0.20000000000000001</v>
      </c>
      <c r="AE134">
        <v>0.20000000000000001</v>
      </c>
      <c r="AF134">
        <v>0.20000000000000001</v>
      </c>
      <c r="AG134">
        <v>0.20000000000000001</v>
      </c>
      <c r="AH134">
        <v>0.20000000000000001</v>
      </c>
      <c r="AI134">
        <v>0.20000000000000001</v>
      </c>
      <c r="AJ134">
        <v>0.20000000000000001</v>
      </c>
      <c r="AK134">
        <v>0.20000000000000001</v>
      </c>
      <c r="AL134">
        <v>0.20000000000000001</v>
      </c>
      <c r="AM134">
        <v>0.20000000000000001</v>
      </c>
      <c r="AN134">
        <v>0.20000000000000001</v>
      </c>
      <c r="AO134">
        <v>0.20000000000000001</v>
      </c>
      <c r="AP134">
        <v>0.20000000000000001</v>
      </c>
      <c r="AQ134">
        <v>0.20000000000000001</v>
      </c>
      <c r="AR134">
        <v>0.20000000000000001</v>
      </c>
      <c r="AS134">
        <v>0.17599999999999999</v>
      </c>
      <c r="AT134">
        <v>0.20000000000000001</v>
      </c>
      <c r="AU134">
        <v>0.20000000000000001</v>
      </c>
      <c r="AV134">
        <v>0.20000000000000001</v>
      </c>
      <c r="AW134" t="s">
        <v>296</v>
      </c>
    </row>
    <row r="135" spans="1:49" ht="12.75">
      <c r="A135" t="s">
        <v>295</v>
      </c>
      <c r="B135" t="s">
        <v>289</v>
      </c>
      <c r="C135" t="s">
        <v>137</v>
      </c>
      <c r="D135" t="s">
        <v>52</v>
      </c>
      <c r="E135" t="s">
        <v>296</v>
      </c>
      <c r="F135" t="s">
        <v>83</v>
      </c>
      <c r="G135" t="s">
        <v>474</v>
      </c>
      <c r="H135" t="s">
        <v>296</v>
      </c>
      <c r="I135" t="s">
        <v>296</v>
      </c>
      <c r="J135" t="s">
        <v>296</v>
      </c>
      <c r="K135" t="s">
        <v>296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 t="s">
        <v>296</v>
      </c>
    </row>
    <row r="136" spans="1:49" ht="12.75">
      <c r="A136" t="s">
        <v>295</v>
      </c>
      <c r="B136" t="s">
        <v>289</v>
      </c>
      <c r="C136" t="s">
        <v>137</v>
      </c>
      <c r="D136" t="s">
        <v>129</v>
      </c>
      <c r="E136" t="s">
        <v>296</v>
      </c>
      <c r="F136" t="s">
        <v>83</v>
      </c>
      <c r="G136" t="s">
        <v>474</v>
      </c>
      <c r="H136" t="s">
        <v>296</v>
      </c>
      <c r="I136" t="s">
        <v>296</v>
      </c>
      <c r="J136" t="s">
        <v>296</v>
      </c>
      <c r="K136" t="s">
        <v>296</v>
      </c>
      <c r="L136">
        <v>0.10000000000000001</v>
      </c>
      <c r="M136">
        <v>0.10000000000000001</v>
      </c>
      <c r="N136">
        <v>0.10000000000000001</v>
      </c>
      <c r="O136">
        <v>0.10000000000000001</v>
      </c>
      <c r="P136">
        <v>0.10000000000000001</v>
      </c>
      <c r="Q136">
        <v>0.10000000000000001</v>
      </c>
      <c r="R136">
        <v>0.10000000000000001</v>
      </c>
      <c r="S136">
        <v>0.10000000000000001</v>
      </c>
      <c r="T136">
        <v>0.10000000000000001</v>
      </c>
      <c r="U136">
        <v>0.10000000000000001</v>
      </c>
      <c r="V136">
        <v>0.10000000000000001</v>
      </c>
      <c r="W136">
        <v>0.10000000000000001</v>
      </c>
      <c r="X136">
        <v>0.10000000000000001</v>
      </c>
      <c r="Y136">
        <v>0.10000000000000001</v>
      </c>
      <c r="Z136">
        <v>0.10000000000000001</v>
      </c>
      <c r="AA136">
        <v>0.10000000000000001</v>
      </c>
      <c r="AB136">
        <v>0.10000000000000001</v>
      </c>
      <c r="AC136">
        <v>0.10000000000000001</v>
      </c>
      <c r="AD136">
        <v>0.10000000000000001</v>
      </c>
      <c r="AE136">
        <v>0.10000000000000001</v>
      </c>
      <c r="AF136">
        <v>0.10000000000000001</v>
      </c>
      <c r="AG136">
        <v>0.10000000000000001</v>
      </c>
      <c r="AH136">
        <v>0.10000000000000001</v>
      </c>
      <c r="AI136">
        <v>0.10000000000000001</v>
      </c>
      <c r="AJ136">
        <v>0.10000000000000001</v>
      </c>
      <c r="AK136">
        <v>0.10000000000000001</v>
      </c>
      <c r="AL136">
        <v>0.10000000000000001</v>
      </c>
      <c r="AM136">
        <v>0.10000000000000001</v>
      </c>
      <c r="AN136">
        <v>0.10000000000000001</v>
      </c>
      <c r="AO136">
        <v>0.10000000000000001</v>
      </c>
      <c r="AP136">
        <v>0.10000000000000001</v>
      </c>
      <c r="AQ136">
        <v>0.10000000000000001</v>
      </c>
      <c r="AR136">
        <v>0.10000000000000001</v>
      </c>
      <c r="AS136">
        <v>0.10000000000000001</v>
      </c>
      <c r="AT136">
        <v>0.10000000000000001</v>
      </c>
      <c r="AU136">
        <v>0.10000000000000001</v>
      </c>
      <c r="AV136">
        <v>0.10000000000000001</v>
      </c>
      <c r="AW136" t="s">
        <v>296</v>
      </c>
    </row>
    <row r="137" spans="1:49" ht="12.75">
      <c r="A137" t="s">
        <v>295</v>
      </c>
      <c r="B137" t="s">
        <v>289</v>
      </c>
      <c r="C137" t="s">
        <v>137</v>
      </c>
      <c r="D137" t="s">
        <v>130</v>
      </c>
      <c r="E137" t="s">
        <v>296</v>
      </c>
      <c r="F137" t="s">
        <v>83</v>
      </c>
      <c r="G137" t="s">
        <v>474</v>
      </c>
      <c r="H137" t="s">
        <v>296</v>
      </c>
      <c r="I137" t="s">
        <v>296</v>
      </c>
      <c r="J137" t="s">
        <v>296</v>
      </c>
      <c r="K137" t="s">
        <v>296</v>
      </c>
      <c r="L137">
        <v>0.050000000000000003</v>
      </c>
      <c r="M137">
        <v>0.050000000000000003</v>
      </c>
      <c r="N137">
        <v>0.050000000000000003</v>
      </c>
      <c r="O137">
        <v>0.050000000000000003</v>
      </c>
      <c r="P137">
        <v>0.050000000000000003</v>
      </c>
      <c r="Q137">
        <v>0.050000000000000003</v>
      </c>
      <c r="R137">
        <v>0.050000000000000003</v>
      </c>
      <c r="S137">
        <v>0.050000000000000003</v>
      </c>
      <c r="T137">
        <v>0.050000000000000003</v>
      </c>
      <c r="U137">
        <v>0.050000000000000003</v>
      </c>
      <c r="V137">
        <v>0.050000000000000003</v>
      </c>
      <c r="W137">
        <v>0.050000000000000003</v>
      </c>
      <c r="X137">
        <v>0.050000000000000003</v>
      </c>
      <c r="Y137">
        <v>0.050000000000000003</v>
      </c>
      <c r="Z137">
        <v>0.050000000000000003</v>
      </c>
      <c r="AA137">
        <v>0.050000000000000003</v>
      </c>
      <c r="AB137">
        <v>0.050000000000000003</v>
      </c>
      <c r="AC137">
        <v>0.050000000000000003</v>
      </c>
      <c r="AD137">
        <v>0.050000000000000003</v>
      </c>
      <c r="AE137">
        <v>0.050000000000000003</v>
      </c>
      <c r="AF137">
        <v>0.050000000000000003</v>
      </c>
      <c r="AG137">
        <v>0.050000000000000003</v>
      </c>
      <c r="AH137">
        <v>0.050000000000000003</v>
      </c>
      <c r="AI137">
        <v>0.050000000000000003</v>
      </c>
      <c r="AJ137">
        <v>0.050000000000000003</v>
      </c>
      <c r="AK137">
        <v>0.050000000000000003</v>
      </c>
      <c r="AL137">
        <v>0.050000000000000003</v>
      </c>
      <c r="AM137">
        <v>0.050000000000000003</v>
      </c>
      <c r="AN137">
        <v>0.050000000000000003</v>
      </c>
      <c r="AO137">
        <v>0.050000000000000003</v>
      </c>
      <c r="AP137">
        <v>0.050000000000000003</v>
      </c>
      <c r="AQ137">
        <v>0.050000000000000003</v>
      </c>
      <c r="AR137">
        <v>0.050000000000000003</v>
      </c>
      <c r="AS137">
        <v>0.050000000000000003</v>
      </c>
      <c r="AT137">
        <v>0.050000000000000003</v>
      </c>
      <c r="AU137">
        <v>0.050000000000000003</v>
      </c>
      <c r="AV137">
        <v>0.050000000000000003</v>
      </c>
      <c r="AW137" t="s">
        <v>296</v>
      </c>
    </row>
    <row r="138" spans="1:49" ht="12.75">
      <c r="A138" t="s">
        <v>295</v>
      </c>
      <c r="B138" t="s">
        <v>289</v>
      </c>
      <c r="C138" t="s">
        <v>137</v>
      </c>
      <c r="D138" t="s">
        <v>136</v>
      </c>
      <c r="E138" t="s">
        <v>296</v>
      </c>
      <c r="F138" t="s">
        <v>83</v>
      </c>
      <c r="G138" t="s">
        <v>474</v>
      </c>
      <c r="H138" t="s">
        <v>296</v>
      </c>
      <c r="I138" t="s">
        <v>296</v>
      </c>
      <c r="J138" t="s">
        <v>296</v>
      </c>
      <c r="K138" t="s">
        <v>296</v>
      </c>
      <c r="L138">
        <v>0.90000000000000002</v>
      </c>
      <c r="M138">
        <v>0.90000000000000002</v>
      </c>
      <c r="N138">
        <v>0.90000000000000002</v>
      </c>
      <c r="O138">
        <v>0.90000000000000002</v>
      </c>
      <c r="P138">
        <v>0.90000000000000002</v>
      </c>
      <c r="Q138">
        <v>0.90000000000000002</v>
      </c>
      <c r="R138">
        <v>0.90000000000000002</v>
      </c>
      <c r="S138">
        <v>0.90000000000000002</v>
      </c>
      <c r="T138">
        <v>0.90000000000000002</v>
      </c>
      <c r="U138">
        <v>0.90000000000000002</v>
      </c>
      <c r="V138">
        <v>0.90000000000000002</v>
      </c>
      <c r="W138">
        <v>0.90000000000000002</v>
      </c>
      <c r="X138">
        <v>0.90000000000000002</v>
      </c>
      <c r="Y138">
        <v>0.90000000000000002</v>
      </c>
      <c r="Z138">
        <v>0.90000000000000002</v>
      </c>
      <c r="AA138">
        <v>0.90000000000000002</v>
      </c>
      <c r="AB138">
        <v>0.90000000000000002</v>
      </c>
      <c r="AC138">
        <v>0.90000000000000002</v>
      </c>
      <c r="AD138">
        <v>0.90000000000000002</v>
      </c>
      <c r="AE138">
        <v>0.90000000000000002</v>
      </c>
      <c r="AF138">
        <v>0.90000000000000002</v>
      </c>
      <c r="AG138">
        <v>0.90000000000000002</v>
      </c>
      <c r="AH138">
        <v>0.90000000000000002</v>
      </c>
      <c r="AI138">
        <v>0.90000000000000002</v>
      </c>
      <c r="AJ138">
        <v>0.90000000000000002</v>
      </c>
      <c r="AK138">
        <v>0.90000000000000002</v>
      </c>
      <c r="AL138">
        <v>0.90000000000000002</v>
      </c>
      <c r="AM138">
        <v>0.90000000000000002</v>
      </c>
      <c r="AN138">
        <v>0.90000000000000002</v>
      </c>
      <c r="AO138">
        <v>0.90000000000000002</v>
      </c>
      <c r="AP138">
        <v>0.90000000000000002</v>
      </c>
      <c r="AQ138">
        <v>0.90000000000000002</v>
      </c>
      <c r="AR138">
        <v>0.90000000000000002</v>
      </c>
      <c r="AS138">
        <v>0.90000000000000002</v>
      </c>
      <c r="AT138">
        <v>0.90000000000000002</v>
      </c>
      <c r="AU138">
        <v>0.90000000000000002</v>
      </c>
      <c r="AV138">
        <v>0.90000000000000002</v>
      </c>
      <c r="AW138" t="s">
        <v>296</v>
      </c>
    </row>
    <row r="139" spans="1:49" ht="12.75">
      <c r="A139" t="s">
        <v>295</v>
      </c>
      <c r="B139" t="s">
        <v>289</v>
      </c>
      <c r="C139" t="s">
        <v>137</v>
      </c>
      <c r="D139" t="s">
        <v>132</v>
      </c>
      <c r="E139" t="s">
        <v>296</v>
      </c>
      <c r="F139" t="s">
        <v>83</v>
      </c>
      <c r="G139" t="s">
        <v>474</v>
      </c>
      <c r="H139" t="s">
        <v>296</v>
      </c>
      <c r="I139" t="s">
        <v>296</v>
      </c>
      <c r="J139" t="s">
        <v>296</v>
      </c>
      <c r="K139" t="s">
        <v>296</v>
      </c>
      <c r="L139">
        <v>0.17999999999999999</v>
      </c>
      <c r="M139">
        <v>0.17999999999999999</v>
      </c>
      <c r="N139">
        <v>0.17999999999999999</v>
      </c>
      <c r="O139">
        <v>0.17999999999999999</v>
      </c>
      <c r="P139">
        <v>0.17999999999999999</v>
      </c>
      <c r="Q139">
        <v>0.17999999999999999</v>
      </c>
      <c r="R139">
        <v>0.17999999999999999</v>
      </c>
      <c r="S139">
        <v>0.17999999999999999</v>
      </c>
      <c r="T139">
        <v>0.17999999999999999</v>
      </c>
      <c r="U139">
        <v>0.17999999999999999</v>
      </c>
      <c r="V139">
        <v>0.17999999999999999</v>
      </c>
      <c r="W139">
        <v>0.17999999999999999</v>
      </c>
      <c r="X139">
        <v>0.17999999999999999</v>
      </c>
      <c r="Y139">
        <v>0.17999999999999999</v>
      </c>
      <c r="Z139">
        <v>0.17999999999999999</v>
      </c>
      <c r="AA139">
        <v>0.17999999999999999</v>
      </c>
      <c r="AB139">
        <v>0.17999999999999999</v>
      </c>
      <c r="AC139">
        <v>0.17999999999999999</v>
      </c>
      <c r="AD139">
        <v>0.17999999999999999</v>
      </c>
      <c r="AE139">
        <v>0.17999999999999999</v>
      </c>
      <c r="AF139">
        <v>0.17999999999999999</v>
      </c>
      <c r="AG139">
        <v>0.17999999999999999</v>
      </c>
      <c r="AH139">
        <v>0.17999999999999999</v>
      </c>
      <c r="AI139">
        <v>0.17999999999999999</v>
      </c>
      <c r="AJ139">
        <v>0.17999999999999999</v>
      </c>
      <c r="AK139">
        <v>0.17999999999999999</v>
      </c>
      <c r="AL139">
        <v>0.17999999999999999</v>
      </c>
      <c r="AM139">
        <v>0.17999999999999999</v>
      </c>
      <c r="AN139">
        <v>0.17999999999999999</v>
      </c>
      <c r="AO139">
        <v>0.17999999999999999</v>
      </c>
      <c r="AP139">
        <v>0.17999999999999999</v>
      </c>
      <c r="AQ139">
        <v>0.17999999999999999</v>
      </c>
      <c r="AR139">
        <v>0.17999999999999999</v>
      </c>
      <c r="AS139">
        <v>0.17999999999999999</v>
      </c>
      <c r="AT139">
        <v>0.17999999999999999</v>
      </c>
      <c r="AU139">
        <v>0.17999999999999999</v>
      </c>
      <c r="AV139">
        <v>0.17999999999999999</v>
      </c>
      <c r="AW139" t="s">
        <v>296</v>
      </c>
    </row>
    <row r="140" spans="1:49" ht="12.75">
      <c r="A140" t="s">
        <v>295</v>
      </c>
      <c r="B140" t="s">
        <v>289</v>
      </c>
      <c r="C140" t="s">
        <v>138</v>
      </c>
      <c r="D140" t="s">
        <v>38</v>
      </c>
      <c r="E140" t="s">
        <v>296</v>
      </c>
      <c r="F140" t="s">
        <v>83</v>
      </c>
      <c r="G140" t="s">
        <v>474</v>
      </c>
      <c r="H140" t="s">
        <v>296</v>
      </c>
      <c r="I140" t="s">
        <v>296</v>
      </c>
      <c r="J140" t="s">
        <v>296</v>
      </c>
      <c r="K140" t="s">
        <v>296</v>
      </c>
      <c r="L140">
        <v>0.20000000000000001</v>
      </c>
      <c r="M140">
        <v>0.20000000000000001</v>
      </c>
      <c r="N140">
        <v>0.20000000000000001</v>
      </c>
      <c r="O140">
        <v>0.20000000000000001</v>
      </c>
      <c r="P140">
        <v>0.20000000000000001</v>
      </c>
      <c r="Q140">
        <v>0.20000000000000001</v>
      </c>
      <c r="R140">
        <v>0.20000000000000001</v>
      </c>
      <c r="S140">
        <v>0.20000000000000001</v>
      </c>
      <c r="T140">
        <v>0.20000000000000001</v>
      </c>
      <c r="U140">
        <v>0.20000000000000001</v>
      </c>
      <c r="V140">
        <v>0.20000000000000001</v>
      </c>
      <c r="W140">
        <v>0.20000000000000001</v>
      </c>
      <c r="X140">
        <v>0.20000000000000001</v>
      </c>
      <c r="Y140">
        <v>0.20000000000000001</v>
      </c>
      <c r="Z140">
        <v>0.20000000000000001</v>
      </c>
      <c r="AA140">
        <v>0.20000000000000001</v>
      </c>
      <c r="AB140">
        <v>0.20000000000000001</v>
      </c>
      <c r="AC140">
        <v>0.20000000000000001</v>
      </c>
      <c r="AD140">
        <v>0.20000000000000001</v>
      </c>
      <c r="AE140">
        <v>0.20000000000000001</v>
      </c>
      <c r="AF140">
        <v>0.20000000000000001</v>
      </c>
      <c r="AG140">
        <v>0.20000000000000001</v>
      </c>
      <c r="AH140">
        <v>0.20000000000000001</v>
      </c>
      <c r="AI140">
        <v>0.20000000000000001</v>
      </c>
      <c r="AJ140">
        <v>0.20000000000000001</v>
      </c>
      <c r="AK140">
        <v>0.20000000000000001</v>
      </c>
      <c r="AL140">
        <v>0.20000000000000001</v>
      </c>
      <c r="AM140">
        <v>0.20000000000000001</v>
      </c>
      <c r="AN140">
        <v>0.20000000000000001</v>
      </c>
      <c r="AO140">
        <v>0.20000000000000001</v>
      </c>
      <c r="AP140">
        <v>0.20000000000000001</v>
      </c>
      <c r="AQ140">
        <v>0.20000000000000001</v>
      </c>
      <c r="AR140">
        <v>0.20000000000000001</v>
      </c>
      <c r="AS140">
        <v>0.17599999999999999</v>
      </c>
      <c r="AT140">
        <v>0.20000000000000001</v>
      </c>
      <c r="AU140">
        <v>0.20000000000000001</v>
      </c>
      <c r="AV140">
        <v>0.20000000000000001</v>
      </c>
      <c r="AW140" t="s">
        <v>296</v>
      </c>
    </row>
    <row r="141" spans="1:49" ht="12.75">
      <c r="A141" t="s">
        <v>295</v>
      </c>
      <c r="B141" t="s">
        <v>289</v>
      </c>
      <c r="C141" t="s">
        <v>138</v>
      </c>
      <c r="D141" t="s">
        <v>52</v>
      </c>
      <c r="E141" t="s">
        <v>296</v>
      </c>
      <c r="F141" t="s">
        <v>83</v>
      </c>
      <c r="G141" t="s">
        <v>474</v>
      </c>
      <c r="H141" t="s">
        <v>296</v>
      </c>
      <c r="I141" t="s">
        <v>296</v>
      </c>
      <c r="J141" t="s">
        <v>296</v>
      </c>
      <c r="K141" t="s">
        <v>296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 t="s">
        <v>296</v>
      </c>
    </row>
    <row r="142" spans="1:49" ht="12.75">
      <c r="A142" t="s">
        <v>295</v>
      </c>
      <c r="B142" t="s">
        <v>289</v>
      </c>
      <c r="C142" t="s">
        <v>138</v>
      </c>
      <c r="D142" t="s">
        <v>129</v>
      </c>
      <c r="E142" t="s">
        <v>296</v>
      </c>
      <c r="F142" t="s">
        <v>83</v>
      </c>
      <c r="G142" t="s">
        <v>474</v>
      </c>
      <c r="H142" t="s">
        <v>296</v>
      </c>
      <c r="I142" t="s">
        <v>296</v>
      </c>
      <c r="J142" t="s">
        <v>296</v>
      </c>
      <c r="K142" t="s">
        <v>296</v>
      </c>
      <c r="L142">
        <v>0.10000000000000001</v>
      </c>
      <c r="M142">
        <v>0.10000000000000001</v>
      </c>
      <c r="N142">
        <v>0.10000000000000001</v>
      </c>
      <c r="O142">
        <v>0.10000000000000001</v>
      </c>
      <c r="P142">
        <v>0.10000000000000001</v>
      </c>
      <c r="Q142">
        <v>0.10000000000000001</v>
      </c>
      <c r="R142">
        <v>0.10000000000000001</v>
      </c>
      <c r="S142">
        <v>0.10000000000000001</v>
      </c>
      <c r="T142">
        <v>0.10000000000000001</v>
      </c>
      <c r="U142">
        <v>0.10000000000000001</v>
      </c>
      <c r="V142">
        <v>0.10000000000000001</v>
      </c>
      <c r="W142">
        <v>0.10000000000000001</v>
      </c>
      <c r="X142">
        <v>0.10000000000000001</v>
      </c>
      <c r="Y142">
        <v>0.10000000000000001</v>
      </c>
      <c r="Z142">
        <v>0.10000000000000001</v>
      </c>
      <c r="AA142">
        <v>0.10000000000000001</v>
      </c>
      <c r="AB142">
        <v>0.10000000000000001</v>
      </c>
      <c r="AC142">
        <v>0.10000000000000001</v>
      </c>
      <c r="AD142">
        <v>0.10000000000000001</v>
      </c>
      <c r="AE142">
        <v>0.10000000000000001</v>
      </c>
      <c r="AF142">
        <v>0.10000000000000001</v>
      </c>
      <c r="AG142">
        <v>0.10000000000000001</v>
      </c>
      <c r="AH142">
        <v>0.10000000000000001</v>
      </c>
      <c r="AI142">
        <v>0.10000000000000001</v>
      </c>
      <c r="AJ142">
        <v>0.10000000000000001</v>
      </c>
      <c r="AK142">
        <v>0.10000000000000001</v>
      </c>
      <c r="AL142">
        <v>0.10000000000000001</v>
      </c>
      <c r="AM142">
        <v>0.10000000000000001</v>
      </c>
      <c r="AN142">
        <v>0.10000000000000001</v>
      </c>
      <c r="AO142">
        <v>0.10000000000000001</v>
      </c>
      <c r="AP142">
        <v>0.10000000000000001</v>
      </c>
      <c r="AQ142">
        <v>0.10000000000000001</v>
      </c>
      <c r="AR142">
        <v>0.10000000000000001</v>
      </c>
      <c r="AS142">
        <v>0.10000000000000001</v>
      </c>
      <c r="AT142">
        <v>0.10000000000000001</v>
      </c>
      <c r="AU142">
        <v>0.10000000000000001</v>
      </c>
      <c r="AV142">
        <v>0.10000000000000001</v>
      </c>
      <c r="AW142" t="s">
        <v>296</v>
      </c>
    </row>
    <row r="143" spans="1:49" ht="12.75">
      <c r="A143" t="s">
        <v>295</v>
      </c>
      <c r="B143" t="s">
        <v>289</v>
      </c>
      <c r="C143" t="s">
        <v>138</v>
      </c>
      <c r="D143" t="s">
        <v>130</v>
      </c>
      <c r="E143" t="s">
        <v>296</v>
      </c>
      <c r="F143" t="s">
        <v>83</v>
      </c>
      <c r="G143" t="s">
        <v>474</v>
      </c>
      <c r="H143" t="s">
        <v>296</v>
      </c>
      <c r="I143" t="s">
        <v>296</v>
      </c>
      <c r="J143" t="s">
        <v>296</v>
      </c>
      <c r="K143" t="s">
        <v>296</v>
      </c>
      <c r="L143">
        <v>0.050000000000000003</v>
      </c>
      <c r="M143">
        <v>0.050000000000000003</v>
      </c>
      <c r="N143">
        <v>0.050000000000000003</v>
      </c>
      <c r="O143">
        <v>0.050000000000000003</v>
      </c>
      <c r="P143">
        <v>0.050000000000000003</v>
      </c>
      <c r="Q143">
        <v>0.050000000000000003</v>
      </c>
      <c r="R143">
        <v>0.050000000000000003</v>
      </c>
      <c r="S143">
        <v>0.050000000000000003</v>
      </c>
      <c r="T143">
        <v>0.050000000000000003</v>
      </c>
      <c r="U143">
        <v>0.050000000000000003</v>
      </c>
      <c r="V143">
        <v>0.050000000000000003</v>
      </c>
      <c r="W143">
        <v>0.050000000000000003</v>
      </c>
      <c r="X143">
        <v>0.050000000000000003</v>
      </c>
      <c r="Y143">
        <v>0.050000000000000003</v>
      </c>
      <c r="Z143">
        <v>0.050000000000000003</v>
      </c>
      <c r="AA143">
        <v>0.050000000000000003</v>
      </c>
      <c r="AB143">
        <v>0.050000000000000003</v>
      </c>
      <c r="AC143">
        <v>0.050000000000000003</v>
      </c>
      <c r="AD143">
        <v>0.050000000000000003</v>
      </c>
      <c r="AE143">
        <v>0.050000000000000003</v>
      </c>
      <c r="AF143">
        <v>0.050000000000000003</v>
      </c>
      <c r="AG143">
        <v>0.050000000000000003</v>
      </c>
      <c r="AH143">
        <v>0.050000000000000003</v>
      </c>
      <c r="AI143">
        <v>0.050000000000000003</v>
      </c>
      <c r="AJ143">
        <v>0.050000000000000003</v>
      </c>
      <c r="AK143">
        <v>0.050000000000000003</v>
      </c>
      <c r="AL143">
        <v>0.050000000000000003</v>
      </c>
      <c r="AM143">
        <v>0.050000000000000003</v>
      </c>
      <c r="AN143">
        <v>0.050000000000000003</v>
      </c>
      <c r="AO143">
        <v>0.050000000000000003</v>
      </c>
      <c r="AP143">
        <v>0.050000000000000003</v>
      </c>
      <c r="AQ143">
        <v>0.050000000000000003</v>
      </c>
      <c r="AR143">
        <v>0.050000000000000003</v>
      </c>
      <c r="AS143">
        <v>0.050000000000000003</v>
      </c>
      <c r="AT143">
        <v>0.050000000000000003</v>
      </c>
      <c r="AU143">
        <v>0.050000000000000003</v>
      </c>
      <c r="AV143">
        <v>0.050000000000000003</v>
      </c>
      <c r="AW143" t="s">
        <v>296</v>
      </c>
    </row>
    <row r="144" spans="1:49" ht="12.75">
      <c r="A144" t="s">
        <v>295</v>
      </c>
      <c r="B144" t="s">
        <v>289</v>
      </c>
      <c r="C144" t="s">
        <v>138</v>
      </c>
      <c r="D144" t="s">
        <v>136</v>
      </c>
      <c r="E144" t="s">
        <v>296</v>
      </c>
      <c r="F144" t="s">
        <v>83</v>
      </c>
      <c r="G144" t="s">
        <v>474</v>
      </c>
      <c r="H144" t="s">
        <v>296</v>
      </c>
      <c r="I144" t="s">
        <v>296</v>
      </c>
      <c r="J144" t="s">
        <v>296</v>
      </c>
      <c r="K144" t="s">
        <v>296</v>
      </c>
      <c r="L144">
        <v>0.495</v>
      </c>
      <c r="M144">
        <v>0.495</v>
      </c>
      <c r="N144">
        <v>0.495</v>
      </c>
      <c r="O144">
        <v>0.495</v>
      </c>
      <c r="P144">
        <v>0.495</v>
      </c>
      <c r="Q144">
        <v>0.495</v>
      </c>
      <c r="R144">
        <v>0.495</v>
      </c>
      <c r="S144">
        <v>0.495</v>
      </c>
      <c r="T144">
        <v>0.495</v>
      </c>
      <c r="U144">
        <v>0.495</v>
      </c>
      <c r="V144">
        <v>0.495</v>
      </c>
      <c r="W144">
        <v>0.495</v>
      </c>
      <c r="X144">
        <v>0.495</v>
      </c>
      <c r="Y144">
        <v>0.495</v>
      </c>
      <c r="Z144">
        <v>0.495</v>
      </c>
      <c r="AA144">
        <v>0.495</v>
      </c>
      <c r="AB144">
        <v>0.495</v>
      </c>
      <c r="AC144">
        <v>0.495</v>
      </c>
      <c r="AD144">
        <v>0.495</v>
      </c>
      <c r="AE144">
        <v>0.495</v>
      </c>
      <c r="AF144">
        <v>0.495</v>
      </c>
      <c r="AG144">
        <v>0.495</v>
      </c>
      <c r="AH144">
        <v>0.495</v>
      </c>
      <c r="AI144">
        <v>0.495</v>
      </c>
      <c r="AJ144">
        <v>0.495</v>
      </c>
      <c r="AK144">
        <v>0.495</v>
      </c>
      <c r="AL144">
        <v>0.495</v>
      </c>
      <c r="AM144">
        <v>0.495</v>
      </c>
      <c r="AN144">
        <v>0.495</v>
      </c>
      <c r="AO144">
        <v>0.495</v>
      </c>
      <c r="AP144">
        <v>0.495</v>
      </c>
      <c r="AQ144">
        <v>0.495</v>
      </c>
      <c r="AR144">
        <v>0.495</v>
      </c>
      <c r="AS144">
        <v>0.495</v>
      </c>
      <c r="AT144">
        <v>0.495</v>
      </c>
      <c r="AU144">
        <v>0.495</v>
      </c>
      <c r="AV144">
        <v>0.495</v>
      </c>
      <c r="AW144" t="s">
        <v>296</v>
      </c>
    </row>
    <row r="145" spans="1:49" ht="12.75">
      <c r="A145" t="s">
        <v>295</v>
      </c>
      <c r="B145" t="s">
        <v>289</v>
      </c>
      <c r="C145" t="s">
        <v>138</v>
      </c>
      <c r="D145" t="s">
        <v>132</v>
      </c>
      <c r="E145" t="s">
        <v>296</v>
      </c>
      <c r="F145" t="s">
        <v>83</v>
      </c>
      <c r="G145" t="s">
        <v>474</v>
      </c>
      <c r="H145" t="s">
        <v>296</v>
      </c>
      <c r="I145" t="s">
        <v>296</v>
      </c>
      <c r="J145" t="s">
        <v>296</v>
      </c>
      <c r="K145" t="s">
        <v>296</v>
      </c>
      <c r="L145">
        <v>0.59499999999999997</v>
      </c>
      <c r="M145">
        <v>0.59499999999999997</v>
      </c>
      <c r="N145">
        <v>0.59499999999999997</v>
      </c>
      <c r="O145">
        <v>0.59499999999999997</v>
      </c>
      <c r="P145">
        <v>0.59499999999999997</v>
      </c>
      <c r="Q145">
        <v>0.59499999999999997</v>
      </c>
      <c r="R145">
        <v>0.59499999999999997</v>
      </c>
      <c r="S145">
        <v>0.59499999999999997</v>
      </c>
      <c r="T145">
        <v>0.59499999999999997</v>
      </c>
      <c r="U145">
        <v>0.59499999999999997</v>
      </c>
      <c r="V145">
        <v>0.59499999999999997</v>
      </c>
      <c r="W145">
        <v>0.59499999999999997</v>
      </c>
      <c r="X145">
        <v>0.59499999999999997</v>
      </c>
      <c r="Y145">
        <v>0.59499999999999997</v>
      </c>
      <c r="Z145">
        <v>0.59499999999999997</v>
      </c>
      <c r="AA145">
        <v>0.59499999999999997</v>
      </c>
      <c r="AB145">
        <v>0.59499999999999997</v>
      </c>
      <c r="AC145">
        <v>0.59499999999999997</v>
      </c>
      <c r="AD145">
        <v>0.59499999999999997</v>
      </c>
      <c r="AE145">
        <v>0.59499999999999997</v>
      </c>
      <c r="AF145">
        <v>0.59499999999999997</v>
      </c>
      <c r="AG145">
        <v>0.59499999999999997</v>
      </c>
      <c r="AH145">
        <v>0.59499999999999997</v>
      </c>
      <c r="AI145">
        <v>0.59499999999999997</v>
      </c>
      <c r="AJ145">
        <v>0.59499999999999997</v>
      </c>
      <c r="AK145">
        <v>0.59499999999999997</v>
      </c>
      <c r="AL145">
        <v>0.59499999999999997</v>
      </c>
      <c r="AM145">
        <v>0.59499999999999997</v>
      </c>
      <c r="AN145">
        <v>0.59499999999999997</v>
      </c>
      <c r="AO145">
        <v>0.59499999999999997</v>
      </c>
      <c r="AP145">
        <v>0.59499999999999997</v>
      </c>
      <c r="AQ145">
        <v>0.59499999999999997</v>
      </c>
      <c r="AR145">
        <v>0.59499999999999997</v>
      </c>
      <c r="AS145">
        <v>0.59499999999999997</v>
      </c>
      <c r="AT145">
        <v>0.59499999999999997</v>
      </c>
      <c r="AU145">
        <v>0.59499999999999997</v>
      </c>
      <c r="AV145">
        <v>0.59499999999999997</v>
      </c>
      <c r="AW145" t="s">
        <v>296</v>
      </c>
    </row>
    <row r="146" spans="1:49" ht="12.75">
      <c r="A146" t="s">
        <v>295</v>
      </c>
      <c r="B146" t="s">
        <v>289</v>
      </c>
      <c r="C146" t="s">
        <v>139</v>
      </c>
      <c r="D146" t="s">
        <v>47</v>
      </c>
      <c r="E146" t="s">
        <v>296</v>
      </c>
      <c r="F146" t="s">
        <v>83</v>
      </c>
      <c r="G146" t="s">
        <v>474</v>
      </c>
      <c r="H146" t="s">
        <v>296</v>
      </c>
      <c r="I146" t="s">
        <v>296</v>
      </c>
      <c r="J146" t="s">
        <v>296</v>
      </c>
      <c r="K146" t="s">
        <v>296</v>
      </c>
      <c r="L146">
        <v>6.4000000000000004</v>
      </c>
      <c r="M146">
        <v>6.4000000000000004</v>
      </c>
      <c r="N146">
        <v>6.4000000000000004</v>
      </c>
      <c r="O146">
        <v>6.4000000000000004</v>
      </c>
      <c r="P146">
        <v>6.4000000000000004</v>
      </c>
      <c r="Q146">
        <v>6.4000000000000004</v>
      </c>
      <c r="R146">
        <v>6.4000000000000004</v>
      </c>
      <c r="S146">
        <v>6.4000000000000004</v>
      </c>
      <c r="T146">
        <v>6.4000000000000004</v>
      </c>
      <c r="U146">
        <v>6.4000000000000004</v>
      </c>
      <c r="V146">
        <v>6.4000000000000004</v>
      </c>
      <c r="W146">
        <v>6.4000000000000004</v>
      </c>
      <c r="X146">
        <v>6.4000000000000004</v>
      </c>
      <c r="Y146">
        <v>6.4000000000000004</v>
      </c>
      <c r="Z146">
        <v>6.4000000000000004</v>
      </c>
      <c r="AA146">
        <v>6.4000000000000004</v>
      </c>
      <c r="AB146">
        <v>6.4000000000000004</v>
      </c>
      <c r="AC146">
        <v>6.4000000000000004</v>
      </c>
      <c r="AD146">
        <v>6.4000000000000004</v>
      </c>
      <c r="AE146">
        <v>6.4000000000000004</v>
      </c>
      <c r="AF146">
        <v>6.4000000000000004</v>
      </c>
      <c r="AG146">
        <v>6.4000000000000004</v>
      </c>
      <c r="AH146">
        <v>6.4000000000000004</v>
      </c>
      <c r="AI146">
        <v>6.4000000000000004</v>
      </c>
      <c r="AJ146">
        <v>6.4000000000000004</v>
      </c>
      <c r="AK146">
        <v>6.4000000000000004</v>
      </c>
      <c r="AL146">
        <v>6.4000000000000004</v>
      </c>
      <c r="AM146">
        <v>6.4000000000000004</v>
      </c>
      <c r="AN146">
        <v>6.4000000000000004</v>
      </c>
      <c r="AO146">
        <v>6.4000000000000004</v>
      </c>
      <c r="AP146">
        <v>6.4000000000000004</v>
      </c>
      <c r="AQ146">
        <v>6.4000000000000004</v>
      </c>
      <c r="AR146">
        <v>6.4000000000000004</v>
      </c>
      <c r="AS146">
        <v>6.4000000000000004</v>
      </c>
      <c r="AT146">
        <v>6.4000000000000004</v>
      </c>
      <c r="AU146">
        <v>6.4000000000000004</v>
      </c>
      <c r="AV146">
        <v>6.4000000000000004</v>
      </c>
      <c r="AW146" t="s">
        <v>296</v>
      </c>
    </row>
    <row r="147" spans="1:49" ht="12.75">
      <c r="A147" t="s">
        <v>295</v>
      </c>
      <c r="B147" t="s">
        <v>289</v>
      </c>
      <c r="C147" t="s">
        <v>139</v>
      </c>
      <c r="D147" t="s">
        <v>48</v>
      </c>
      <c r="E147" t="s">
        <v>296</v>
      </c>
      <c r="F147" t="s">
        <v>83</v>
      </c>
      <c r="G147" t="s">
        <v>474</v>
      </c>
      <c r="H147" t="s">
        <v>296</v>
      </c>
      <c r="I147" t="s">
        <v>296</v>
      </c>
      <c r="J147" t="s">
        <v>296</v>
      </c>
      <c r="K147" t="s">
        <v>296</v>
      </c>
      <c r="L147">
        <v>5.4500000000000002</v>
      </c>
      <c r="M147">
        <v>5.9950000000000001</v>
      </c>
      <c r="N147">
        <v>5.4500000000000002</v>
      </c>
      <c r="O147">
        <v>5.4500000000000002</v>
      </c>
      <c r="P147">
        <v>5.4500000000000002</v>
      </c>
      <c r="Q147">
        <v>5.4500000000000002</v>
      </c>
      <c r="R147">
        <v>5.4500000000000002</v>
      </c>
      <c r="S147">
        <v>4.7866</v>
      </c>
      <c r="T147">
        <v>8</v>
      </c>
      <c r="U147">
        <v>5.4500000000000002</v>
      </c>
      <c r="V147">
        <v>5.4500000000000002</v>
      </c>
      <c r="W147">
        <v>5.4500000000000002</v>
      </c>
      <c r="X147">
        <v>5.4500000000000002</v>
      </c>
      <c r="Y147">
        <v>5.2210999999999999</v>
      </c>
      <c r="Z147">
        <v>12.3606</v>
      </c>
      <c r="AA147">
        <v>8</v>
      </c>
      <c r="AB147">
        <v>5.4500000000000002</v>
      </c>
      <c r="AC147">
        <v>5.4500000000000002</v>
      </c>
      <c r="AD147">
        <v>12.3606</v>
      </c>
      <c r="AE147">
        <v>0.44145000000000001</v>
      </c>
      <c r="AF147">
        <v>5.4500000000000002</v>
      </c>
      <c r="AG147">
        <v>5.4500000000000002</v>
      </c>
      <c r="AH147">
        <v>5.4500000000000002</v>
      </c>
      <c r="AI147">
        <v>5.4500000000000002</v>
      </c>
      <c r="AJ147">
        <v>5.4500000000000002</v>
      </c>
      <c r="AK147">
        <v>5.4500000000000002</v>
      </c>
      <c r="AL147">
        <v>5.4500000000000002</v>
      </c>
      <c r="AM147">
        <v>5.4500000000000002</v>
      </c>
      <c r="AN147">
        <v>5.4500000000000002</v>
      </c>
      <c r="AO147">
        <v>4.6506666666666696</v>
      </c>
      <c r="AP147">
        <v>5.4500000000000002</v>
      </c>
      <c r="AQ147">
        <v>5.4500000000000002</v>
      </c>
      <c r="AR147">
        <v>5.4500000000000002</v>
      </c>
      <c r="AS147">
        <v>5.4500000000000002</v>
      </c>
      <c r="AT147">
        <v>5.4500000000000002</v>
      </c>
      <c r="AU147">
        <v>9.8100000000000005</v>
      </c>
      <c r="AV147">
        <v>5.4500000000000002</v>
      </c>
      <c r="AW147" t="s">
        <v>296</v>
      </c>
    </row>
    <row r="148" spans="1:49" ht="12.75">
      <c r="A148" t="s">
        <v>295</v>
      </c>
      <c r="B148" t="s">
        <v>289</v>
      </c>
      <c r="C148" t="s">
        <v>139</v>
      </c>
      <c r="D148" t="s">
        <v>49</v>
      </c>
      <c r="E148" t="s">
        <v>296</v>
      </c>
      <c r="F148" t="s">
        <v>83</v>
      </c>
      <c r="G148" t="s">
        <v>474</v>
      </c>
      <c r="H148" t="s">
        <v>296</v>
      </c>
      <c r="I148" t="s">
        <v>296</v>
      </c>
      <c r="J148" t="s">
        <v>296</v>
      </c>
      <c r="K148" t="s">
        <v>296</v>
      </c>
      <c r="L148">
        <v>29</v>
      </c>
      <c r="M148">
        <v>29</v>
      </c>
      <c r="N148">
        <v>29</v>
      </c>
      <c r="O148">
        <v>29</v>
      </c>
      <c r="P148">
        <v>29</v>
      </c>
      <c r="Q148">
        <v>29</v>
      </c>
      <c r="R148">
        <v>29</v>
      </c>
      <c r="S148">
        <v>29</v>
      </c>
      <c r="T148">
        <v>29</v>
      </c>
      <c r="U148">
        <v>29</v>
      </c>
      <c r="V148">
        <v>29</v>
      </c>
      <c r="W148">
        <v>29</v>
      </c>
      <c r="X148">
        <v>29</v>
      </c>
      <c r="Y148">
        <v>29</v>
      </c>
      <c r="Z148">
        <v>29</v>
      </c>
      <c r="AA148">
        <v>29</v>
      </c>
      <c r="AB148">
        <v>29</v>
      </c>
      <c r="AC148">
        <v>29</v>
      </c>
      <c r="AD148">
        <v>29</v>
      </c>
      <c r="AE148">
        <v>29</v>
      </c>
      <c r="AF148">
        <v>29</v>
      </c>
      <c r="AG148">
        <v>29</v>
      </c>
      <c r="AH148">
        <v>29</v>
      </c>
      <c r="AI148">
        <v>29</v>
      </c>
      <c r="AJ148">
        <v>29</v>
      </c>
      <c r="AK148">
        <v>29</v>
      </c>
      <c r="AL148">
        <v>29</v>
      </c>
      <c r="AM148">
        <v>29</v>
      </c>
      <c r="AN148">
        <v>29</v>
      </c>
      <c r="AO148">
        <v>29</v>
      </c>
      <c r="AP148">
        <v>29</v>
      </c>
      <c r="AQ148">
        <v>29</v>
      </c>
      <c r="AR148">
        <v>29</v>
      </c>
      <c r="AS148">
        <v>29</v>
      </c>
      <c r="AT148">
        <v>29</v>
      </c>
      <c r="AU148">
        <v>29</v>
      </c>
      <c r="AV148">
        <v>22.184999999999999</v>
      </c>
      <c r="AW148" t="s">
        <v>296</v>
      </c>
    </row>
    <row r="149" spans="1:49" ht="12.75">
      <c r="A149" t="s">
        <v>295</v>
      </c>
      <c r="B149" t="s">
        <v>289</v>
      </c>
      <c r="C149" t="s">
        <v>139</v>
      </c>
      <c r="D149" t="s">
        <v>42</v>
      </c>
      <c r="E149" t="s">
        <v>296</v>
      </c>
      <c r="F149" t="s">
        <v>83</v>
      </c>
      <c r="G149" t="s">
        <v>474</v>
      </c>
      <c r="H149" t="s">
        <v>296</v>
      </c>
      <c r="I149" t="s">
        <v>296</v>
      </c>
      <c r="J149" t="s">
        <v>296</v>
      </c>
      <c r="K149" t="s">
        <v>296</v>
      </c>
      <c r="L149">
        <v>0.29999999999999999</v>
      </c>
      <c r="M149">
        <v>0.29999999999999999</v>
      </c>
      <c r="N149">
        <v>0.29999999999999999</v>
      </c>
      <c r="O149">
        <v>0.29999999999999999</v>
      </c>
      <c r="P149">
        <v>0.29999999999999999</v>
      </c>
      <c r="Q149">
        <v>0.29999999999999999</v>
      </c>
      <c r="R149">
        <v>0.29999999999999999</v>
      </c>
      <c r="S149">
        <v>0.29999999999999999</v>
      </c>
      <c r="T149">
        <v>0.29999999999999999</v>
      </c>
      <c r="U149">
        <v>0.29999999999999999</v>
      </c>
      <c r="V149">
        <v>0.29999999999999999</v>
      </c>
      <c r="W149">
        <v>0.29999999999999999</v>
      </c>
      <c r="X149">
        <v>0.29999999999999999</v>
      </c>
      <c r="Y149">
        <v>0.29999999999999999</v>
      </c>
      <c r="Z149">
        <v>0.29999999999999999</v>
      </c>
      <c r="AA149">
        <v>0.29999999999999999</v>
      </c>
      <c r="AB149">
        <v>0.29999999999999999</v>
      </c>
      <c r="AC149">
        <v>0.29999999999999999</v>
      </c>
      <c r="AD149">
        <v>0.29999999999999999</v>
      </c>
      <c r="AE149">
        <v>0.29999999999999999</v>
      </c>
      <c r="AF149">
        <v>0.29999999999999999</v>
      </c>
      <c r="AG149">
        <v>0.29999999999999999</v>
      </c>
      <c r="AH149">
        <v>0.29999999999999999</v>
      </c>
      <c r="AI149">
        <v>0.29999999999999999</v>
      </c>
      <c r="AJ149">
        <v>0.29999999999999999</v>
      </c>
      <c r="AK149">
        <v>0.29999999999999999</v>
      </c>
      <c r="AL149">
        <v>0.29999999999999999</v>
      </c>
      <c r="AM149">
        <v>0.29999999999999999</v>
      </c>
      <c r="AN149">
        <v>0.29999999999999999</v>
      </c>
      <c r="AO149">
        <v>0.29999999999999999</v>
      </c>
      <c r="AP149">
        <v>0.29999999999999999</v>
      </c>
      <c r="AQ149">
        <v>0.29999999999999999</v>
      </c>
      <c r="AR149">
        <v>0.29999999999999999</v>
      </c>
      <c r="AS149">
        <v>0.29999999999999999</v>
      </c>
      <c r="AT149">
        <v>0.29999999999999999</v>
      </c>
      <c r="AU149">
        <v>0.29999999999999999</v>
      </c>
      <c r="AV149">
        <v>0.29999999999999999</v>
      </c>
      <c r="AW149" t="s">
        <v>296</v>
      </c>
    </row>
    <row r="150" spans="1:49" ht="12.75">
      <c r="A150" t="s">
        <v>295</v>
      </c>
      <c r="B150" t="s">
        <v>289</v>
      </c>
      <c r="C150" t="s">
        <v>139</v>
      </c>
      <c r="D150" t="s">
        <v>129</v>
      </c>
      <c r="E150" t="s">
        <v>296</v>
      </c>
      <c r="F150" t="s">
        <v>83</v>
      </c>
      <c r="G150" t="s">
        <v>474</v>
      </c>
      <c r="H150" t="s">
        <v>296</v>
      </c>
      <c r="I150" t="s">
        <v>296</v>
      </c>
      <c r="J150" t="s">
        <v>296</v>
      </c>
      <c r="K150" t="s">
        <v>296</v>
      </c>
      <c r="L150">
        <v>0.70999999999999996</v>
      </c>
      <c r="M150">
        <v>0.70999999999999996</v>
      </c>
      <c r="N150">
        <v>0.70999999999999996</v>
      </c>
      <c r="O150">
        <v>0.70999999999999996</v>
      </c>
      <c r="P150">
        <v>0.70999999999999996</v>
      </c>
      <c r="Q150">
        <v>0.70999999999999996</v>
      </c>
      <c r="R150">
        <v>0.70999999999999996</v>
      </c>
      <c r="S150">
        <v>0.70999999999999996</v>
      </c>
      <c r="T150">
        <v>0.70999999999999996</v>
      </c>
      <c r="U150">
        <v>0.70999999999999996</v>
      </c>
      <c r="V150">
        <v>0.70999999999999996</v>
      </c>
      <c r="W150">
        <v>0.70999999999999996</v>
      </c>
      <c r="X150">
        <v>0.70999999999999996</v>
      </c>
      <c r="Y150">
        <v>0.70999999999999996</v>
      </c>
      <c r="Z150">
        <v>0.70999999999999996</v>
      </c>
      <c r="AA150">
        <v>0.70999999999999996</v>
      </c>
      <c r="AB150">
        <v>0.70999999999999996</v>
      </c>
      <c r="AC150">
        <v>0.70999999999999996</v>
      </c>
      <c r="AD150">
        <v>0.70999999999999996</v>
      </c>
      <c r="AE150">
        <v>0.70999999999999996</v>
      </c>
      <c r="AF150">
        <v>0.70999999999999996</v>
      </c>
      <c r="AG150">
        <v>0.70999999999999996</v>
      </c>
      <c r="AH150">
        <v>0.70999999999999996</v>
      </c>
      <c r="AI150">
        <v>0.70999999999999996</v>
      </c>
      <c r="AJ150">
        <v>0.70999999999999996</v>
      </c>
      <c r="AK150">
        <v>0.70999999999999996</v>
      </c>
      <c r="AL150">
        <v>0.70999999999999996</v>
      </c>
      <c r="AM150">
        <v>0.70999999999999996</v>
      </c>
      <c r="AN150">
        <v>0.70999999999999996</v>
      </c>
      <c r="AO150">
        <v>0.70999999999999996</v>
      </c>
      <c r="AP150">
        <v>0.70999999999999996</v>
      </c>
      <c r="AQ150">
        <v>0.70999999999999996</v>
      </c>
      <c r="AR150">
        <v>0.70999999999999996</v>
      </c>
      <c r="AS150">
        <v>0.70999999999999996</v>
      </c>
      <c r="AT150">
        <v>0.70999999999999996</v>
      </c>
      <c r="AU150">
        <v>0.70999999999999996</v>
      </c>
      <c r="AV150">
        <v>0.70999999999999996</v>
      </c>
      <c r="AW150" t="s">
        <v>296</v>
      </c>
    </row>
    <row r="151" spans="1:49" ht="12.75">
      <c r="A151" t="s">
        <v>295</v>
      </c>
      <c r="B151" t="s">
        <v>289</v>
      </c>
      <c r="C151" t="s">
        <v>139</v>
      </c>
      <c r="D151" t="s">
        <v>134</v>
      </c>
      <c r="E151" t="s">
        <v>296</v>
      </c>
      <c r="F151" t="s">
        <v>83</v>
      </c>
      <c r="G151" t="s">
        <v>474</v>
      </c>
      <c r="H151" t="s">
        <v>296</v>
      </c>
      <c r="I151" t="s">
        <v>296</v>
      </c>
      <c r="J151" t="s">
        <v>296</v>
      </c>
      <c r="K151" t="s">
        <v>296</v>
      </c>
      <c r="L151">
        <v>1.5</v>
      </c>
      <c r="M151">
        <v>1.5</v>
      </c>
      <c r="N151">
        <v>1.5</v>
      </c>
      <c r="O151">
        <v>1.5</v>
      </c>
      <c r="P151">
        <v>1.5</v>
      </c>
      <c r="Q151">
        <v>1.5</v>
      </c>
      <c r="R151">
        <v>1.5</v>
      </c>
      <c r="S151">
        <v>1.5</v>
      </c>
      <c r="T151">
        <v>1.5</v>
      </c>
      <c r="U151">
        <v>1.5</v>
      </c>
      <c r="V151">
        <v>1.5</v>
      </c>
      <c r="W151">
        <v>1.5</v>
      </c>
      <c r="X151">
        <v>1.5</v>
      </c>
      <c r="Y151">
        <v>1.5</v>
      </c>
      <c r="Z151">
        <v>1.5</v>
      </c>
      <c r="AA151">
        <v>1.5</v>
      </c>
      <c r="AB151">
        <v>1.5</v>
      </c>
      <c r="AC151">
        <v>1.5</v>
      </c>
      <c r="AD151">
        <v>1.5</v>
      </c>
      <c r="AE151">
        <v>1.5</v>
      </c>
      <c r="AF151">
        <v>1.5</v>
      </c>
      <c r="AG151">
        <v>1.5</v>
      </c>
      <c r="AH151">
        <v>1.5</v>
      </c>
      <c r="AI151">
        <v>1.5</v>
      </c>
      <c r="AJ151">
        <v>1.5</v>
      </c>
      <c r="AK151">
        <v>1.5</v>
      </c>
      <c r="AL151">
        <v>1.5</v>
      </c>
      <c r="AM151">
        <v>1.5</v>
      </c>
      <c r="AN151">
        <v>1.5</v>
      </c>
      <c r="AO151">
        <v>1.5</v>
      </c>
      <c r="AP151">
        <v>1.5</v>
      </c>
      <c r="AQ151">
        <v>1.5</v>
      </c>
      <c r="AR151">
        <v>1.5</v>
      </c>
      <c r="AS151">
        <v>1.5</v>
      </c>
      <c r="AT151">
        <v>1.5</v>
      </c>
      <c r="AU151">
        <v>1.5</v>
      </c>
      <c r="AV151">
        <v>1.5</v>
      </c>
      <c r="AW151" t="s">
        <v>296</v>
      </c>
    </row>
    <row r="152" spans="1:49" ht="12.75">
      <c r="A152" t="s">
        <v>295</v>
      </c>
      <c r="B152" t="s">
        <v>289</v>
      </c>
      <c r="C152" t="s">
        <v>139</v>
      </c>
      <c r="D152" t="s">
        <v>136</v>
      </c>
      <c r="E152" t="s">
        <v>296</v>
      </c>
      <c r="F152" t="s">
        <v>83</v>
      </c>
      <c r="G152" t="s">
        <v>474</v>
      </c>
      <c r="H152" t="s">
        <v>296</v>
      </c>
      <c r="I152" t="s">
        <v>296</v>
      </c>
      <c r="J152" t="s">
        <v>296</v>
      </c>
      <c r="K152" t="s">
        <v>296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 t="s">
        <v>296</v>
      </c>
    </row>
    <row r="153" spans="1:49" ht="12.75">
      <c r="A153" t="s">
        <v>295</v>
      </c>
      <c r="B153" t="s">
        <v>289</v>
      </c>
      <c r="C153" t="s">
        <v>140</v>
      </c>
      <c r="D153" t="s">
        <v>37</v>
      </c>
      <c r="E153" t="s">
        <v>296</v>
      </c>
      <c r="F153" t="s">
        <v>83</v>
      </c>
      <c r="G153" t="s">
        <v>474</v>
      </c>
      <c r="H153" t="s">
        <v>296</v>
      </c>
      <c r="I153" t="s">
        <v>296</v>
      </c>
      <c r="J153" t="s">
        <v>296</v>
      </c>
      <c r="K153" t="s">
        <v>296</v>
      </c>
      <c r="L153">
        <v>4.5999999999999996</v>
      </c>
      <c r="M153">
        <v>4.5999999999999996</v>
      </c>
      <c r="N153">
        <v>4.5999999999999996</v>
      </c>
      <c r="O153">
        <v>4.5999999999999996</v>
      </c>
      <c r="P153">
        <v>4.5999999999999996</v>
      </c>
      <c r="Q153">
        <v>4.5999999999999996</v>
      </c>
      <c r="R153">
        <v>4.5999999999999996</v>
      </c>
      <c r="S153">
        <v>4.5999999999999996</v>
      </c>
      <c r="T153">
        <v>4.5999999999999996</v>
      </c>
      <c r="U153">
        <v>4.5999999999999996</v>
      </c>
      <c r="V153">
        <v>4.5999999999999996</v>
      </c>
      <c r="W153">
        <v>4.5999999999999996</v>
      </c>
      <c r="X153">
        <v>4.5999999999999996</v>
      </c>
      <c r="Y153">
        <v>4.5999999999999996</v>
      </c>
      <c r="Z153">
        <v>4.5999999999999996</v>
      </c>
      <c r="AA153">
        <v>4.5999999999999996</v>
      </c>
      <c r="AB153">
        <v>4.5999999999999996</v>
      </c>
      <c r="AC153">
        <v>4.5999999999999996</v>
      </c>
      <c r="AD153">
        <v>4.5999999999999996</v>
      </c>
      <c r="AE153">
        <v>4.5999999999999996</v>
      </c>
      <c r="AF153">
        <v>4.5999999999999996</v>
      </c>
      <c r="AG153">
        <v>4.5999999999999996</v>
      </c>
      <c r="AH153">
        <v>4.5999999999999996</v>
      </c>
      <c r="AI153">
        <v>4.5999999999999996</v>
      </c>
      <c r="AJ153">
        <v>4.5999999999999996</v>
      </c>
      <c r="AK153">
        <v>4.5999999999999996</v>
      </c>
      <c r="AL153">
        <v>4.5999999999999996</v>
      </c>
      <c r="AM153">
        <v>4.5999999999999996</v>
      </c>
      <c r="AN153">
        <v>4.5999999999999996</v>
      </c>
      <c r="AO153">
        <v>4.5999999999999996</v>
      </c>
      <c r="AP153">
        <v>4.5999999999999996</v>
      </c>
      <c r="AQ153">
        <v>4.5999999999999996</v>
      </c>
      <c r="AR153">
        <v>4.5999999999999996</v>
      </c>
      <c r="AS153">
        <v>4.5999999999999996</v>
      </c>
      <c r="AT153">
        <v>4.5999999999999996</v>
      </c>
      <c r="AU153">
        <v>4.5999999999999996</v>
      </c>
      <c r="AV153">
        <v>4.3700000000000001</v>
      </c>
      <c r="AW153" t="s">
        <v>296</v>
      </c>
    </row>
    <row r="154" spans="1:49" ht="12.75">
      <c r="A154" t="s">
        <v>295</v>
      </c>
      <c r="B154" t="s">
        <v>289</v>
      </c>
      <c r="C154" t="s">
        <v>140</v>
      </c>
      <c r="D154" t="s">
        <v>38</v>
      </c>
      <c r="E154" t="s">
        <v>296</v>
      </c>
      <c r="F154" t="s">
        <v>83</v>
      </c>
      <c r="G154" t="s">
        <v>474</v>
      </c>
      <c r="H154" t="s">
        <v>296</v>
      </c>
      <c r="I154" t="s">
        <v>296</v>
      </c>
      <c r="J154" t="s">
        <v>296</v>
      </c>
      <c r="K154" t="s">
        <v>296</v>
      </c>
      <c r="L154">
        <v>11.4</v>
      </c>
      <c r="M154">
        <v>11.4</v>
      </c>
      <c r="N154">
        <v>11.4</v>
      </c>
      <c r="O154">
        <v>11.4</v>
      </c>
      <c r="P154">
        <v>11.4</v>
      </c>
      <c r="Q154">
        <v>11.4</v>
      </c>
      <c r="R154">
        <v>11.4</v>
      </c>
      <c r="S154">
        <v>11.4</v>
      </c>
      <c r="T154">
        <v>11.4</v>
      </c>
      <c r="U154">
        <v>11.4</v>
      </c>
      <c r="V154">
        <v>11.4</v>
      </c>
      <c r="W154">
        <v>11.4</v>
      </c>
      <c r="X154">
        <v>11.4</v>
      </c>
      <c r="Y154">
        <v>11.4</v>
      </c>
      <c r="Z154">
        <v>11.4</v>
      </c>
      <c r="AA154">
        <v>11.4</v>
      </c>
      <c r="AB154">
        <v>11.4</v>
      </c>
      <c r="AC154">
        <v>11.4</v>
      </c>
      <c r="AD154">
        <v>11.4</v>
      </c>
      <c r="AE154">
        <v>11.4</v>
      </c>
      <c r="AF154">
        <v>11.4</v>
      </c>
      <c r="AG154">
        <v>11.4</v>
      </c>
      <c r="AH154">
        <v>11.4</v>
      </c>
      <c r="AI154">
        <v>11.4</v>
      </c>
      <c r="AJ154">
        <v>11.4</v>
      </c>
      <c r="AK154">
        <v>11.4</v>
      </c>
      <c r="AL154">
        <v>11.4</v>
      </c>
      <c r="AM154">
        <v>11.4</v>
      </c>
      <c r="AN154">
        <v>11.4</v>
      </c>
      <c r="AO154">
        <v>11.4</v>
      </c>
      <c r="AP154">
        <v>11.4</v>
      </c>
      <c r="AQ154">
        <v>11.4</v>
      </c>
      <c r="AR154">
        <v>11.4</v>
      </c>
      <c r="AS154">
        <v>11.4</v>
      </c>
      <c r="AT154">
        <v>11.4</v>
      </c>
      <c r="AU154">
        <v>11.4</v>
      </c>
      <c r="AV154">
        <v>11.4</v>
      </c>
      <c r="AW154" t="s">
        <v>296</v>
      </c>
    </row>
    <row r="155" spans="1:49" ht="12.75">
      <c r="A155" t="s">
        <v>295</v>
      </c>
      <c r="B155" t="s">
        <v>289</v>
      </c>
      <c r="C155" t="s">
        <v>140</v>
      </c>
      <c r="D155" t="s">
        <v>52</v>
      </c>
      <c r="E155" t="s">
        <v>296</v>
      </c>
      <c r="F155" t="s">
        <v>83</v>
      </c>
      <c r="G155" t="s">
        <v>474</v>
      </c>
      <c r="H155" t="s">
        <v>296</v>
      </c>
      <c r="I155" t="s">
        <v>296</v>
      </c>
      <c r="J155" t="s">
        <v>296</v>
      </c>
      <c r="K155" t="s">
        <v>296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 t="s">
        <v>296</v>
      </c>
    </row>
    <row r="156" spans="1:49" ht="12.75">
      <c r="A156" t="s">
        <v>295</v>
      </c>
      <c r="B156" t="s">
        <v>289</v>
      </c>
      <c r="C156" t="s">
        <v>140</v>
      </c>
      <c r="D156" t="s">
        <v>132</v>
      </c>
      <c r="E156" t="s">
        <v>296</v>
      </c>
      <c r="F156" t="s">
        <v>83</v>
      </c>
      <c r="G156" t="s">
        <v>474</v>
      </c>
      <c r="H156" t="s">
        <v>296</v>
      </c>
      <c r="I156" t="s">
        <v>296</v>
      </c>
      <c r="J156" t="s">
        <v>296</v>
      </c>
      <c r="K156" t="s">
        <v>296</v>
      </c>
      <c r="L156">
        <v>1.05</v>
      </c>
      <c r="M156">
        <v>1.05</v>
      </c>
      <c r="N156">
        <v>1.05</v>
      </c>
      <c r="O156">
        <v>1.05</v>
      </c>
      <c r="P156">
        <v>1.05</v>
      </c>
      <c r="Q156">
        <v>1.05</v>
      </c>
      <c r="R156">
        <v>1.05</v>
      </c>
      <c r="S156">
        <v>1.05</v>
      </c>
      <c r="T156">
        <v>1.05</v>
      </c>
      <c r="U156">
        <v>1.05</v>
      </c>
      <c r="V156">
        <v>1.05</v>
      </c>
      <c r="W156">
        <v>1.05</v>
      </c>
      <c r="X156">
        <v>1.05</v>
      </c>
      <c r="Y156">
        <v>1.05</v>
      </c>
      <c r="Z156">
        <v>1.05</v>
      </c>
      <c r="AA156">
        <v>1.05</v>
      </c>
      <c r="AB156">
        <v>1.05</v>
      </c>
      <c r="AC156">
        <v>1.05</v>
      </c>
      <c r="AD156">
        <v>1.05</v>
      </c>
      <c r="AE156">
        <v>1.05</v>
      </c>
      <c r="AF156">
        <v>1.05</v>
      </c>
      <c r="AG156">
        <v>1.05</v>
      </c>
      <c r="AH156">
        <v>1.05</v>
      </c>
      <c r="AI156">
        <v>1.05</v>
      </c>
      <c r="AJ156">
        <v>1.05</v>
      </c>
      <c r="AK156">
        <v>1.05</v>
      </c>
      <c r="AL156">
        <v>1.05</v>
      </c>
      <c r="AM156">
        <v>1.05</v>
      </c>
      <c r="AN156">
        <v>1.05</v>
      </c>
      <c r="AO156">
        <v>1.05</v>
      </c>
      <c r="AP156">
        <v>1.05</v>
      </c>
      <c r="AQ156">
        <v>1.05</v>
      </c>
      <c r="AR156">
        <v>1.05</v>
      </c>
      <c r="AS156">
        <v>1.05</v>
      </c>
      <c r="AT156">
        <v>1.05</v>
      </c>
      <c r="AU156">
        <v>1.05</v>
      </c>
      <c r="AV156">
        <v>1.05</v>
      </c>
      <c r="AW156" t="s">
        <v>296</v>
      </c>
    </row>
    <row r="157" spans="1:49" ht="12.75">
      <c r="A157" t="s">
        <v>295</v>
      </c>
      <c r="B157" t="s">
        <v>289</v>
      </c>
      <c r="C157" t="s">
        <v>141</v>
      </c>
      <c r="D157" t="s">
        <v>47</v>
      </c>
      <c r="E157" t="s">
        <v>296</v>
      </c>
      <c r="F157" t="s">
        <v>83</v>
      </c>
      <c r="G157" t="s">
        <v>474</v>
      </c>
      <c r="H157" t="s">
        <v>296</v>
      </c>
      <c r="I157" t="s">
        <v>296</v>
      </c>
      <c r="J157" t="s">
        <v>296</v>
      </c>
      <c r="K157" t="s">
        <v>296</v>
      </c>
      <c r="L157">
        <v>4.2999999999999998</v>
      </c>
      <c r="M157">
        <v>4.2999999999999998</v>
      </c>
      <c r="N157">
        <v>4.2999999999999998</v>
      </c>
      <c r="O157">
        <v>4.2999999999999998</v>
      </c>
      <c r="P157">
        <v>4.2999999999999998</v>
      </c>
      <c r="Q157">
        <v>4.2999999999999998</v>
      </c>
      <c r="R157">
        <v>4.2999999999999998</v>
      </c>
      <c r="S157">
        <v>4.2999999999999998</v>
      </c>
      <c r="T157">
        <v>4.2999999999999998</v>
      </c>
      <c r="U157">
        <v>4.2999999999999998</v>
      </c>
      <c r="V157">
        <v>4.2999999999999998</v>
      </c>
      <c r="W157">
        <v>4.2999999999999998</v>
      </c>
      <c r="X157">
        <v>4.2999999999999998</v>
      </c>
      <c r="Y157">
        <v>4.2999999999999998</v>
      </c>
      <c r="Z157">
        <v>4.2999999999999998</v>
      </c>
      <c r="AA157">
        <v>4.2999999999999998</v>
      </c>
      <c r="AB157">
        <v>4.2999999999999998</v>
      </c>
      <c r="AC157">
        <v>4.2999999999999998</v>
      </c>
      <c r="AD157">
        <v>4.2999999999999998</v>
      </c>
      <c r="AE157">
        <v>4.2999999999999998</v>
      </c>
      <c r="AF157">
        <v>4.2999999999999998</v>
      </c>
      <c r="AG157">
        <v>4.2999999999999998</v>
      </c>
      <c r="AH157">
        <v>4.2999999999999998</v>
      </c>
      <c r="AI157">
        <v>4.2999999999999998</v>
      </c>
      <c r="AJ157">
        <v>4.2999999999999998</v>
      </c>
      <c r="AK157">
        <v>4.2999999999999998</v>
      </c>
      <c r="AL157">
        <v>4.2999999999999998</v>
      </c>
      <c r="AM157">
        <v>4.2999999999999998</v>
      </c>
      <c r="AN157">
        <v>4.2999999999999998</v>
      </c>
      <c r="AO157">
        <v>4.2999999999999998</v>
      </c>
      <c r="AP157">
        <v>4.2999999999999998</v>
      </c>
      <c r="AQ157">
        <v>4.2999999999999998</v>
      </c>
      <c r="AR157">
        <v>4.2999999999999998</v>
      </c>
      <c r="AS157">
        <v>4.2999999999999998</v>
      </c>
      <c r="AT157">
        <v>4.2999999999999998</v>
      </c>
      <c r="AU157">
        <v>4.2999999999999998</v>
      </c>
      <c r="AV157">
        <v>4.2999999999999998</v>
      </c>
      <c r="AW157" t="s">
        <v>296</v>
      </c>
    </row>
    <row r="158" spans="1:49" ht="12.75">
      <c r="A158" t="s">
        <v>295</v>
      </c>
      <c r="B158" t="s">
        <v>289</v>
      </c>
      <c r="C158" t="s">
        <v>141</v>
      </c>
      <c r="D158" t="s">
        <v>48</v>
      </c>
      <c r="E158" t="s">
        <v>296</v>
      </c>
      <c r="F158" t="s">
        <v>83</v>
      </c>
      <c r="G158" t="s">
        <v>474</v>
      </c>
      <c r="H158" t="s">
        <v>296</v>
      </c>
      <c r="I158" t="s">
        <v>296</v>
      </c>
      <c r="J158" t="s">
        <v>296</v>
      </c>
      <c r="K158" t="s">
        <v>296</v>
      </c>
      <c r="L158">
        <v>2</v>
      </c>
      <c r="M158">
        <v>2.2000000000000002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3.6400000000000001</v>
      </c>
      <c r="T158">
        <v>3.024</v>
      </c>
      <c r="U158">
        <v>2</v>
      </c>
      <c r="V158">
        <v>2</v>
      </c>
      <c r="W158">
        <v>2</v>
      </c>
      <c r="X158">
        <v>2</v>
      </c>
      <c r="Y158">
        <v>1.9159999999999999</v>
      </c>
      <c r="Z158">
        <v>4.5359999999999996</v>
      </c>
      <c r="AA158">
        <v>3.024</v>
      </c>
      <c r="AB158">
        <v>2</v>
      </c>
      <c r="AC158">
        <v>2</v>
      </c>
      <c r="AD158">
        <v>4.5359999999999996</v>
      </c>
      <c r="AE158">
        <v>0.16200000000000001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2</v>
      </c>
      <c r="AL158">
        <v>2</v>
      </c>
      <c r="AM158">
        <v>2</v>
      </c>
      <c r="AN158">
        <v>1.5</v>
      </c>
      <c r="AO158">
        <v>1.7066666666666701</v>
      </c>
      <c r="AP158">
        <v>2</v>
      </c>
      <c r="AQ158">
        <v>2</v>
      </c>
      <c r="AR158">
        <v>2</v>
      </c>
      <c r="AS158">
        <v>1.95</v>
      </c>
      <c r="AT158">
        <v>2</v>
      </c>
      <c r="AU158">
        <v>3.6000000000000001</v>
      </c>
      <c r="AV158">
        <v>2</v>
      </c>
      <c r="AW158" t="s">
        <v>296</v>
      </c>
    </row>
    <row r="159" spans="1:49" ht="12.75">
      <c r="A159" t="s">
        <v>295</v>
      </c>
      <c r="B159" t="s">
        <v>289</v>
      </c>
      <c r="C159" t="s">
        <v>141</v>
      </c>
      <c r="D159" t="s">
        <v>49</v>
      </c>
      <c r="E159" t="s">
        <v>296</v>
      </c>
      <c r="F159" t="s">
        <v>83</v>
      </c>
      <c r="G159" t="s">
        <v>474</v>
      </c>
      <c r="H159" t="s">
        <v>296</v>
      </c>
      <c r="I159" t="s">
        <v>296</v>
      </c>
      <c r="J159" t="s">
        <v>296</v>
      </c>
      <c r="K159" t="s">
        <v>296</v>
      </c>
      <c r="L159">
        <v>20.100000000000001</v>
      </c>
      <c r="M159">
        <v>20.100000000000001</v>
      </c>
      <c r="N159">
        <v>20.100000000000001</v>
      </c>
      <c r="O159">
        <v>20.100000000000001</v>
      </c>
      <c r="P159">
        <v>20.100000000000001</v>
      </c>
      <c r="Q159">
        <v>20.100000000000001</v>
      </c>
      <c r="R159">
        <v>20.100000000000001</v>
      </c>
      <c r="S159">
        <v>20.100000000000001</v>
      </c>
      <c r="T159">
        <v>20.100000000000001</v>
      </c>
      <c r="U159">
        <v>20.100000000000001</v>
      </c>
      <c r="V159">
        <v>20.100000000000001</v>
      </c>
      <c r="W159">
        <v>20.100000000000001</v>
      </c>
      <c r="X159">
        <v>20.100000000000001</v>
      </c>
      <c r="Y159">
        <v>20.100000000000001</v>
      </c>
      <c r="Z159">
        <v>20.100000000000001</v>
      </c>
      <c r="AA159">
        <v>20.100000000000001</v>
      </c>
      <c r="AB159">
        <v>20.100000000000001</v>
      </c>
      <c r="AC159">
        <v>20.100000000000001</v>
      </c>
      <c r="AD159">
        <v>20.100000000000001</v>
      </c>
      <c r="AE159">
        <v>20.100000000000001</v>
      </c>
      <c r="AF159">
        <v>20.100000000000001</v>
      </c>
      <c r="AG159">
        <v>20.100000000000001</v>
      </c>
      <c r="AH159">
        <v>20.100000000000001</v>
      </c>
      <c r="AI159">
        <v>20.100000000000001</v>
      </c>
      <c r="AJ159">
        <v>20.100000000000001</v>
      </c>
      <c r="AK159">
        <v>20.100000000000001</v>
      </c>
      <c r="AL159">
        <v>20.100000000000001</v>
      </c>
      <c r="AM159">
        <v>20.100000000000001</v>
      </c>
      <c r="AN159">
        <v>20.100000000000001</v>
      </c>
      <c r="AO159">
        <v>20.100000000000001</v>
      </c>
      <c r="AP159">
        <v>20.100000000000001</v>
      </c>
      <c r="AQ159">
        <v>20.100000000000001</v>
      </c>
      <c r="AR159">
        <v>20.100000000000001</v>
      </c>
      <c r="AS159">
        <v>20.100000000000001</v>
      </c>
      <c r="AT159">
        <v>20.100000000000001</v>
      </c>
      <c r="AU159">
        <v>20.100000000000001</v>
      </c>
      <c r="AV159">
        <v>15.3765</v>
      </c>
      <c r="AW159" t="s">
        <v>296</v>
      </c>
    </row>
    <row r="160" spans="1:49" ht="12.75">
      <c r="A160" t="s">
        <v>295</v>
      </c>
      <c r="B160" t="s">
        <v>289</v>
      </c>
      <c r="C160" t="s">
        <v>141</v>
      </c>
      <c r="D160" t="s">
        <v>37</v>
      </c>
      <c r="E160" t="s">
        <v>296</v>
      </c>
      <c r="F160" t="s">
        <v>83</v>
      </c>
      <c r="G160" t="s">
        <v>474</v>
      </c>
      <c r="H160" t="s">
        <v>296</v>
      </c>
      <c r="I160" t="s">
        <v>296</v>
      </c>
      <c r="J160" t="s">
        <v>296</v>
      </c>
      <c r="K160" t="s">
        <v>296</v>
      </c>
      <c r="L160">
        <v>0.5</v>
      </c>
      <c r="M160">
        <v>0.5</v>
      </c>
      <c r="N160">
        <v>0.5</v>
      </c>
      <c r="O160">
        <v>0.5</v>
      </c>
      <c r="P160">
        <v>0.5</v>
      </c>
      <c r="Q160">
        <v>0.5</v>
      </c>
      <c r="R160">
        <v>0.5</v>
      </c>
      <c r="S160">
        <v>0.5</v>
      </c>
      <c r="T160">
        <v>0.5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0.5</v>
      </c>
      <c r="AL160">
        <v>0.5</v>
      </c>
      <c r="AM160">
        <v>0.5</v>
      </c>
      <c r="AN160">
        <v>0.5</v>
      </c>
      <c r="AO160">
        <v>0.5</v>
      </c>
      <c r="AP160">
        <v>0.5</v>
      </c>
      <c r="AQ160">
        <v>0.5</v>
      </c>
      <c r="AR160">
        <v>0.5</v>
      </c>
      <c r="AS160">
        <v>0.5</v>
      </c>
      <c r="AT160">
        <v>0.5</v>
      </c>
      <c r="AU160">
        <v>0.5</v>
      </c>
      <c r="AV160">
        <v>0.5</v>
      </c>
      <c r="AW160" t="s">
        <v>296</v>
      </c>
    </row>
    <row r="161" spans="1:49" ht="12.75">
      <c r="A161" t="s">
        <v>295</v>
      </c>
      <c r="B161" t="s">
        <v>289</v>
      </c>
      <c r="C161" t="s">
        <v>141</v>
      </c>
      <c r="D161" t="s">
        <v>42</v>
      </c>
      <c r="E161" t="s">
        <v>296</v>
      </c>
      <c r="F161" t="s">
        <v>83</v>
      </c>
      <c r="G161" t="s">
        <v>474</v>
      </c>
      <c r="H161" t="s">
        <v>296</v>
      </c>
      <c r="I161" t="s">
        <v>296</v>
      </c>
      <c r="J161" t="s">
        <v>296</v>
      </c>
      <c r="K161" t="s">
        <v>296</v>
      </c>
      <c r="L161">
        <v>0.27000000000000002</v>
      </c>
      <c r="M161">
        <v>0.27000000000000002</v>
      </c>
      <c r="N161">
        <v>0.27000000000000002</v>
      </c>
      <c r="O161">
        <v>0.27000000000000002</v>
      </c>
      <c r="P161">
        <v>0.27000000000000002</v>
      </c>
      <c r="Q161">
        <v>0.27000000000000002</v>
      </c>
      <c r="R161">
        <v>0.27000000000000002</v>
      </c>
      <c r="S161">
        <v>0.27000000000000002</v>
      </c>
      <c r="T161">
        <v>0.27000000000000002</v>
      </c>
      <c r="U161">
        <v>0.27000000000000002</v>
      </c>
      <c r="V161">
        <v>0.27000000000000002</v>
      </c>
      <c r="W161">
        <v>0.27000000000000002</v>
      </c>
      <c r="X161">
        <v>0.27000000000000002</v>
      </c>
      <c r="Y161">
        <v>0.27000000000000002</v>
      </c>
      <c r="Z161">
        <v>0.27000000000000002</v>
      </c>
      <c r="AA161">
        <v>0.27000000000000002</v>
      </c>
      <c r="AB161">
        <v>0.27000000000000002</v>
      </c>
      <c r="AC161">
        <v>0.27000000000000002</v>
      </c>
      <c r="AD161">
        <v>0.27000000000000002</v>
      </c>
      <c r="AE161">
        <v>0.27000000000000002</v>
      </c>
      <c r="AF161">
        <v>0.27000000000000002</v>
      </c>
      <c r="AG161">
        <v>0.27000000000000002</v>
      </c>
      <c r="AH161">
        <v>0.27000000000000002</v>
      </c>
      <c r="AI161">
        <v>0.27000000000000002</v>
      </c>
      <c r="AJ161">
        <v>0.27000000000000002</v>
      </c>
      <c r="AK161">
        <v>0.27000000000000002</v>
      </c>
      <c r="AL161">
        <v>0.27000000000000002</v>
      </c>
      <c r="AM161">
        <v>0.27000000000000002</v>
      </c>
      <c r="AN161">
        <v>0.27000000000000002</v>
      </c>
      <c r="AO161">
        <v>0.27000000000000002</v>
      </c>
      <c r="AP161">
        <v>0.27000000000000002</v>
      </c>
      <c r="AQ161">
        <v>0.27000000000000002</v>
      </c>
      <c r="AR161">
        <v>0.27000000000000002</v>
      </c>
      <c r="AS161">
        <v>0.27000000000000002</v>
      </c>
      <c r="AT161">
        <v>0.27000000000000002</v>
      </c>
      <c r="AU161">
        <v>0.27000000000000002</v>
      </c>
      <c r="AV161">
        <v>0.27000000000000002</v>
      </c>
      <c r="AW161" t="s">
        <v>296</v>
      </c>
    </row>
    <row r="162" spans="1:49" ht="12.75">
      <c r="A162" t="s">
        <v>295</v>
      </c>
      <c r="B162" t="s">
        <v>289</v>
      </c>
      <c r="C162" t="s">
        <v>141</v>
      </c>
      <c r="D162" t="s">
        <v>129</v>
      </c>
      <c r="E162" t="s">
        <v>296</v>
      </c>
      <c r="F162" t="s">
        <v>83</v>
      </c>
      <c r="G162" t="s">
        <v>474</v>
      </c>
      <c r="H162" t="s">
        <v>296</v>
      </c>
      <c r="I162" t="s">
        <v>296</v>
      </c>
      <c r="J162" t="s">
        <v>296</v>
      </c>
      <c r="K162" t="s">
        <v>296</v>
      </c>
      <c r="L162">
        <v>0.72999999999999998</v>
      </c>
      <c r="M162">
        <v>0.72999999999999998</v>
      </c>
      <c r="N162">
        <v>0.72999999999999998</v>
      </c>
      <c r="O162">
        <v>0.72999999999999998</v>
      </c>
      <c r="P162">
        <v>0.72999999999999998</v>
      </c>
      <c r="Q162">
        <v>0.72999999999999998</v>
      </c>
      <c r="R162">
        <v>0.72999999999999998</v>
      </c>
      <c r="S162">
        <v>0.72999999999999998</v>
      </c>
      <c r="T162">
        <v>0.72999999999999998</v>
      </c>
      <c r="U162">
        <v>0.72999999999999998</v>
      </c>
      <c r="V162">
        <v>0.72999999999999998</v>
      </c>
      <c r="W162">
        <v>0.72999999999999998</v>
      </c>
      <c r="X162">
        <v>0.72999999999999998</v>
      </c>
      <c r="Y162">
        <v>0.72999999999999998</v>
      </c>
      <c r="Z162">
        <v>0.72999999999999998</v>
      </c>
      <c r="AA162">
        <v>0.72999999999999998</v>
      </c>
      <c r="AB162">
        <v>0.72999999999999998</v>
      </c>
      <c r="AC162">
        <v>0.72999999999999998</v>
      </c>
      <c r="AD162">
        <v>0.72999999999999998</v>
      </c>
      <c r="AE162">
        <v>0.72999999999999998</v>
      </c>
      <c r="AF162">
        <v>0.72999999999999998</v>
      </c>
      <c r="AG162">
        <v>0.72999999999999998</v>
      </c>
      <c r="AH162">
        <v>0.72999999999999998</v>
      </c>
      <c r="AI162">
        <v>0.72999999999999998</v>
      </c>
      <c r="AJ162">
        <v>0.72999999999999998</v>
      </c>
      <c r="AK162">
        <v>0.72999999999999998</v>
      </c>
      <c r="AL162">
        <v>0.72999999999999998</v>
      </c>
      <c r="AM162">
        <v>0.72999999999999998</v>
      </c>
      <c r="AN162">
        <v>0.72999999999999998</v>
      </c>
      <c r="AO162">
        <v>0.72999999999999998</v>
      </c>
      <c r="AP162">
        <v>0.72999999999999998</v>
      </c>
      <c r="AQ162">
        <v>0.72999999999999998</v>
      </c>
      <c r="AR162">
        <v>0.72999999999999998</v>
      </c>
      <c r="AS162">
        <v>0.72999999999999998</v>
      </c>
      <c r="AT162">
        <v>0.72999999999999998</v>
      </c>
      <c r="AU162">
        <v>0.72999999999999998</v>
      </c>
      <c r="AV162">
        <v>0.72999999999999998</v>
      </c>
      <c r="AW162" t="s">
        <v>296</v>
      </c>
    </row>
    <row r="163" spans="1:49" ht="12.75">
      <c r="A163" t="s">
        <v>295</v>
      </c>
      <c r="B163" t="s">
        <v>289</v>
      </c>
      <c r="C163" t="s">
        <v>141</v>
      </c>
      <c r="D163" t="s">
        <v>136</v>
      </c>
      <c r="E163" t="s">
        <v>296</v>
      </c>
      <c r="F163" t="s">
        <v>83</v>
      </c>
      <c r="G163" t="s">
        <v>474</v>
      </c>
      <c r="H163" t="s">
        <v>296</v>
      </c>
      <c r="I163" t="s">
        <v>296</v>
      </c>
      <c r="J163" t="s">
        <v>296</v>
      </c>
      <c r="K163" t="s">
        <v>296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 t="s">
        <v>296</v>
      </c>
    </row>
    <row r="164" spans="1:49" ht="12.75">
      <c r="A164" t="s">
        <v>295</v>
      </c>
      <c r="B164" t="s">
        <v>289</v>
      </c>
      <c r="C164" t="s">
        <v>141</v>
      </c>
      <c r="D164" t="s">
        <v>135</v>
      </c>
      <c r="E164" t="s">
        <v>296</v>
      </c>
      <c r="F164" t="s">
        <v>83</v>
      </c>
      <c r="G164" t="s">
        <v>474</v>
      </c>
      <c r="H164" t="s">
        <v>296</v>
      </c>
      <c r="I164" t="s">
        <v>296</v>
      </c>
      <c r="J164" t="s">
        <v>296</v>
      </c>
      <c r="K164" t="s">
        <v>296</v>
      </c>
      <c r="L164">
        <v>1.5</v>
      </c>
      <c r="M164">
        <v>1.5</v>
      </c>
      <c r="N164">
        <v>1.5</v>
      </c>
      <c r="O164">
        <v>1.5</v>
      </c>
      <c r="P164">
        <v>1.5</v>
      </c>
      <c r="Q164">
        <v>1.5</v>
      </c>
      <c r="R164">
        <v>1.5</v>
      </c>
      <c r="S164">
        <v>1.5</v>
      </c>
      <c r="T164">
        <v>1.5</v>
      </c>
      <c r="U164">
        <v>1.5</v>
      </c>
      <c r="V164">
        <v>1.5</v>
      </c>
      <c r="W164">
        <v>1.5</v>
      </c>
      <c r="X164">
        <v>1.5</v>
      </c>
      <c r="Y164">
        <v>1.5</v>
      </c>
      <c r="Z164">
        <v>1.5</v>
      </c>
      <c r="AA164">
        <v>1.5</v>
      </c>
      <c r="AB164">
        <v>1.5</v>
      </c>
      <c r="AC164">
        <v>1.5</v>
      </c>
      <c r="AD164">
        <v>1.5</v>
      </c>
      <c r="AE164">
        <v>1.5</v>
      </c>
      <c r="AF164">
        <v>1.5</v>
      </c>
      <c r="AG164">
        <v>1.5</v>
      </c>
      <c r="AH164">
        <v>1.5</v>
      </c>
      <c r="AI164">
        <v>1.5</v>
      </c>
      <c r="AJ164">
        <v>1.5</v>
      </c>
      <c r="AK164">
        <v>1.5</v>
      </c>
      <c r="AL164">
        <v>1.5</v>
      </c>
      <c r="AM164">
        <v>1.5</v>
      </c>
      <c r="AN164">
        <v>1.5</v>
      </c>
      <c r="AO164">
        <v>1.5</v>
      </c>
      <c r="AP164">
        <v>1.5</v>
      </c>
      <c r="AQ164">
        <v>1.5</v>
      </c>
      <c r="AR164">
        <v>1.5</v>
      </c>
      <c r="AS164">
        <v>1.5</v>
      </c>
      <c r="AT164">
        <v>1.5</v>
      </c>
      <c r="AU164">
        <v>1.5</v>
      </c>
      <c r="AV164">
        <v>1.5</v>
      </c>
      <c r="AW164" t="s">
        <v>296</v>
      </c>
    </row>
    <row r="165" spans="1:49" ht="12.75">
      <c r="A165" t="s">
        <v>295</v>
      </c>
      <c r="B165" t="s">
        <v>289</v>
      </c>
      <c r="C165" t="s">
        <v>142</v>
      </c>
      <c r="D165" t="s">
        <v>37</v>
      </c>
      <c r="E165" t="s">
        <v>296</v>
      </c>
      <c r="F165" t="s">
        <v>83</v>
      </c>
      <c r="G165" t="s">
        <v>474</v>
      </c>
      <c r="H165" t="s">
        <v>296</v>
      </c>
      <c r="I165" t="s">
        <v>296</v>
      </c>
      <c r="J165" t="s">
        <v>296</v>
      </c>
      <c r="K165" t="s">
        <v>296</v>
      </c>
      <c r="L165">
        <v>2.25</v>
      </c>
      <c r="M165">
        <v>2.25</v>
      </c>
      <c r="N165">
        <v>2.25</v>
      </c>
      <c r="O165">
        <v>2.25</v>
      </c>
      <c r="P165">
        <v>2.25</v>
      </c>
      <c r="Q165">
        <v>2.25</v>
      </c>
      <c r="R165">
        <v>2.25</v>
      </c>
      <c r="S165">
        <v>2.25</v>
      </c>
      <c r="T165">
        <v>2.25</v>
      </c>
      <c r="U165">
        <v>2.25</v>
      </c>
      <c r="V165">
        <v>2.25</v>
      </c>
      <c r="W165">
        <v>2.25</v>
      </c>
      <c r="X165">
        <v>2.25</v>
      </c>
      <c r="Y165">
        <v>2.25</v>
      </c>
      <c r="Z165">
        <v>2.25</v>
      </c>
      <c r="AA165">
        <v>2.25</v>
      </c>
      <c r="AB165">
        <v>2.25</v>
      </c>
      <c r="AC165">
        <v>2.25</v>
      </c>
      <c r="AD165">
        <v>2.25</v>
      </c>
      <c r="AE165">
        <v>2.25</v>
      </c>
      <c r="AF165">
        <v>2.25</v>
      </c>
      <c r="AG165">
        <v>2.25</v>
      </c>
      <c r="AH165">
        <v>2.25</v>
      </c>
      <c r="AI165">
        <v>2.25</v>
      </c>
      <c r="AJ165">
        <v>2.25</v>
      </c>
      <c r="AK165">
        <v>2.25</v>
      </c>
      <c r="AL165">
        <v>2.25</v>
      </c>
      <c r="AM165">
        <v>2.25</v>
      </c>
      <c r="AN165">
        <v>2.25</v>
      </c>
      <c r="AO165">
        <v>2.25</v>
      </c>
      <c r="AP165">
        <v>2.25</v>
      </c>
      <c r="AQ165">
        <v>2.25</v>
      </c>
      <c r="AR165">
        <v>2.25</v>
      </c>
      <c r="AS165">
        <v>2.25</v>
      </c>
      <c r="AT165">
        <v>2.25</v>
      </c>
      <c r="AU165">
        <v>2.25</v>
      </c>
      <c r="AV165">
        <v>2.25</v>
      </c>
      <c r="AW165" t="s">
        <v>296</v>
      </c>
    </row>
    <row r="166" spans="1:49" ht="12.75">
      <c r="A166" t="s">
        <v>295</v>
      </c>
      <c r="B166" t="s">
        <v>289</v>
      </c>
      <c r="C166" t="s">
        <v>142</v>
      </c>
      <c r="D166" t="s">
        <v>38</v>
      </c>
      <c r="E166" t="s">
        <v>296</v>
      </c>
      <c r="F166" t="s">
        <v>83</v>
      </c>
      <c r="G166" t="s">
        <v>474</v>
      </c>
      <c r="H166" t="s">
        <v>296</v>
      </c>
      <c r="I166" t="s">
        <v>296</v>
      </c>
      <c r="J166" t="s">
        <v>296</v>
      </c>
      <c r="K166" t="s">
        <v>296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3</v>
      </c>
      <c r="U166">
        <v>3</v>
      </c>
      <c r="V166">
        <v>3</v>
      </c>
      <c r="W166">
        <v>3</v>
      </c>
      <c r="X166">
        <v>3</v>
      </c>
      <c r="Y166">
        <v>3</v>
      </c>
      <c r="Z166">
        <v>3</v>
      </c>
      <c r="AA166">
        <v>3</v>
      </c>
      <c r="AB166">
        <v>3</v>
      </c>
      <c r="AC166">
        <v>3</v>
      </c>
      <c r="AD166">
        <v>3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3</v>
      </c>
      <c r="AK166">
        <v>3</v>
      </c>
      <c r="AL166">
        <v>3</v>
      </c>
      <c r="AM166">
        <v>3</v>
      </c>
      <c r="AN166">
        <v>3</v>
      </c>
      <c r="AO166">
        <v>3</v>
      </c>
      <c r="AP166">
        <v>3</v>
      </c>
      <c r="AQ166">
        <v>3</v>
      </c>
      <c r="AR166">
        <v>3</v>
      </c>
      <c r="AS166">
        <v>3</v>
      </c>
      <c r="AT166">
        <v>3</v>
      </c>
      <c r="AU166">
        <v>3</v>
      </c>
      <c r="AV166">
        <v>3</v>
      </c>
      <c r="AW166" t="s">
        <v>296</v>
      </c>
    </row>
    <row r="167" spans="1:49" ht="12.75">
      <c r="A167" t="s">
        <v>295</v>
      </c>
      <c r="B167" t="s">
        <v>289</v>
      </c>
      <c r="C167" t="s">
        <v>142</v>
      </c>
      <c r="D167" t="s">
        <v>52</v>
      </c>
      <c r="E167" t="s">
        <v>296</v>
      </c>
      <c r="F167" t="s">
        <v>83</v>
      </c>
      <c r="G167" t="s">
        <v>474</v>
      </c>
      <c r="H167" t="s">
        <v>296</v>
      </c>
      <c r="I167" t="s">
        <v>296</v>
      </c>
      <c r="J167" t="s">
        <v>296</v>
      </c>
      <c r="K167" t="s">
        <v>296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 t="s">
        <v>296</v>
      </c>
    </row>
    <row r="168" spans="1:49" ht="12.75">
      <c r="A168" t="s">
        <v>295</v>
      </c>
      <c r="B168" t="s">
        <v>289</v>
      </c>
      <c r="C168" t="s">
        <v>142</v>
      </c>
      <c r="D168" t="s">
        <v>143</v>
      </c>
      <c r="E168" t="s">
        <v>296</v>
      </c>
      <c r="F168" t="s">
        <v>83</v>
      </c>
      <c r="G168" t="s">
        <v>474</v>
      </c>
      <c r="H168" t="s">
        <v>296</v>
      </c>
      <c r="I168" t="s">
        <v>296</v>
      </c>
      <c r="J168" t="s">
        <v>296</v>
      </c>
      <c r="K168" t="s">
        <v>296</v>
      </c>
      <c r="L168">
        <v>1.05</v>
      </c>
      <c r="M168">
        <v>1.05</v>
      </c>
      <c r="N168">
        <v>1.05</v>
      </c>
      <c r="O168">
        <v>1.05</v>
      </c>
      <c r="P168">
        <v>1.05</v>
      </c>
      <c r="Q168">
        <v>1.05</v>
      </c>
      <c r="R168">
        <v>1.05</v>
      </c>
      <c r="S168">
        <v>1.05</v>
      </c>
      <c r="T168">
        <v>1.05</v>
      </c>
      <c r="U168">
        <v>1.05</v>
      </c>
      <c r="V168">
        <v>1.05</v>
      </c>
      <c r="W168">
        <v>1.05</v>
      </c>
      <c r="X168">
        <v>1.05</v>
      </c>
      <c r="Y168">
        <v>1.05</v>
      </c>
      <c r="Z168">
        <v>1.05</v>
      </c>
      <c r="AA168">
        <v>1.05</v>
      </c>
      <c r="AB168">
        <v>1.05</v>
      </c>
      <c r="AC168">
        <v>1.05</v>
      </c>
      <c r="AD168">
        <v>1.05</v>
      </c>
      <c r="AE168">
        <v>1.05</v>
      </c>
      <c r="AF168">
        <v>1.05</v>
      </c>
      <c r="AG168">
        <v>1.05</v>
      </c>
      <c r="AH168">
        <v>1.05</v>
      </c>
      <c r="AI168">
        <v>1.05</v>
      </c>
      <c r="AJ168">
        <v>1.05</v>
      </c>
      <c r="AK168">
        <v>1.05</v>
      </c>
      <c r="AL168">
        <v>1.05</v>
      </c>
      <c r="AM168">
        <v>1.05</v>
      </c>
      <c r="AN168">
        <v>1.05</v>
      </c>
      <c r="AO168">
        <v>1.05</v>
      </c>
      <c r="AP168">
        <v>1.05</v>
      </c>
      <c r="AQ168">
        <v>1.05</v>
      </c>
      <c r="AR168">
        <v>1.05</v>
      </c>
      <c r="AS168">
        <v>1.05</v>
      </c>
      <c r="AT168">
        <v>1.05</v>
      </c>
      <c r="AU168">
        <v>1.05</v>
      </c>
      <c r="AV168">
        <v>1.05</v>
      </c>
      <c r="AW168" t="s">
        <v>296</v>
      </c>
    </row>
    <row r="169" spans="1:49" ht="12.75">
      <c r="A169" t="s">
        <v>295</v>
      </c>
      <c r="B169" t="s">
        <v>289</v>
      </c>
      <c r="C169" t="s">
        <v>142</v>
      </c>
      <c r="D169" t="s">
        <v>129</v>
      </c>
      <c r="E169" t="s">
        <v>296</v>
      </c>
      <c r="F169" t="s">
        <v>83</v>
      </c>
      <c r="G169" t="s">
        <v>474</v>
      </c>
      <c r="H169" t="s">
        <v>296</v>
      </c>
      <c r="I169" t="s">
        <v>296</v>
      </c>
      <c r="J169" t="s">
        <v>296</v>
      </c>
      <c r="K169" t="s">
        <v>296</v>
      </c>
      <c r="L169">
        <v>0.5</v>
      </c>
      <c r="M169">
        <v>0.5</v>
      </c>
      <c r="N169">
        <v>0.5</v>
      </c>
      <c r="O169">
        <v>0.5</v>
      </c>
      <c r="P169">
        <v>0.5</v>
      </c>
      <c r="Q169">
        <v>0.5</v>
      </c>
      <c r="R169">
        <v>0.5</v>
      </c>
      <c r="S169">
        <v>0.5</v>
      </c>
      <c r="T169">
        <v>0.5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0.5</v>
      </c>
      <c r="AI169">
        <v>0.5</v>
      </c>
      <c r="AJ169">
        <v>0.5</v>
      </c>
      <c r="AK169">
        <v>0.5</v>
      </c>
      <c r="AL169">
        <v>0.5</v>
      </c>
      <c r="AM169">
        <v>0.5</v>
      </c>
      <c r="AN169">
        <v>0.5</v>
      </c>
      <c r="AO169">
        <v>0.5</v>
      </c>
      <c r="AP169">
        <v>0.5</v>
      </c>
      <c r="AQ169">
        <v>0.5</v>
      </c>
      <c r="AR169">
        <v>0.5</v>
      </c>
      <c r="AS169">
        <v>0.5</v>
      </c>
      <c r="AT169">
        <v>0.5</v>
      </c>
      <c r="AU169">
        <v>0.5</v>
      </c>
      <c r="AV169">
        <v>0.5</v>
      </c>
      <c r="AW169" t="s">
        <v>296</v>
      </c>
    </row>
    <row r="170" spans="1:49" ht="12.75">
      <c r="A170" t="s">
        <v>295</v>
      </c>
      <c r="B170" t="s">
        <v>289</v>
      </c>
      <c r="C170" t="s">
        <v>142</v>
      </c>
      <c r="D170" t="s">
        <v>132</v>
      </c>
      <c r="E170" t="s">
        <v>296</v>
      </c>
      <c r="F170" t="s">
        <v>83</v>
      </c>
      <c r="G170" t="s">
        <v>474</v>
      </c>
      <c r="H170" t="s">
        <v>296</v>
      </c>
      <c r="I170" t="s">
        <v>296</v>
      </c>
      <c r="J170" t="s">
        <v>296</v>
      </c>
      <c r="K170" t="s">
        <v>296</v>
      </c>
      <c r="L170">
        <v>0.029999999999999999</v>
      </c>
      <c r="M170">
        <v>0.029999999999999999</v>
      </c>
      <c r="N170">
        <v>0.029999999999999999</v>
      </c>
      <c r="O170">
        <v>0.029999999999999999</v>
      </c>
      <c r="P170">
        <v>0.029999999999999999</v>
      </c>
      <c r="Q170">
        <v>0.029999999999999999</v>
      </c>
      <c r="R170">
        <v>0.029999999999999999</v>
      </c>
      <c r="S170">
        <v>0.029999999999999999</v>
      </c>
      <c r="T170">
        <v>0.029999999999999999</v>
      </c>
      <c r="U170">
        <v>0.029999999999999999</v>
      </c>
      <c r="V170">
        <v>0.029999999999999999</v>
      </c>
      <c r="W170">
        <v>0.029999999999999999</v>
      </c>
      <c r="X170">
        <v>0.029999999999999999</v>
      </c>
      <c r="Y170">
        <v>0.029999999999999999</v>
      </c>
      <c r="Z170">
        <v>0.029999999999999999</v>
      </c>
      <c r="AA170">
        <v>0.029999999999999999</v>
      </c>
      <c r="AB170">
        <v>0.029999999999999999</v>
      </c>
      <c r="AC170">
        <v>0.029999999999999999</v>
      </c>
      <c r="AD170">
        <v>0.029999999999999999</v>
      </c>
      <c r="AE170">
        <v>0.029999999999999999</v>
      </c>
      <c r="AF170">
        <v>0.029999999999999999</v>
      </c>
      <c r="AG170">
        <v>0.029999999999999999</v>
      </c>
      <c r="AH170">
        <v>0.029999999999999999</v>
      </c>
      <c r="AI170">
        <v>0.029999999999999999</v>
      </c>
      <c r="AJ170">
        <v>0.029999999999999999</v>
      </c>
      <c r="AK170">
        <v>0.029999999999999999</v>
      </c>
      <c r="AL170">
        <v>0.029999999999999999</v>
      </c>
      <c r="AM170">
        <v>0.029999999999999999</v>
      </c>
      <c r="AN170">
        <v>0.029999999999999999</v>
      </c>
      <c r="AO170">
        <v>0.029999999999999999</v>
      </c>
      <c r="AP170">
        <v>0.029999999999999999</v>
      </c>
      <c r="AQ170">
        <v>0.029999999999999999</v>
      </c>
      <c r="AR170">
        <v>0.029999999999999999</v>
      </c>
      <c r="AS170">
        <v>0.029999999999999999</v>
      </c>
      <c r="AT170">
        <v>0.029999999999999999</v>
      </c>
      <c r="AU170">
        <v>0.029999999999999999</v>
      </c>
      <c r="AV170">
        <v>0.029999999999999999</v>
      </c>
      <c r="AW170" t="s">
        <v>296</v>
      </c>
    </row>
    <row r="171" spans="1:49" ht="12.75">
      <c r="A171" t="s">
        <v>295</v>
      </c>
      <c r="B171" t="s">
        <v>289</v>
      </c>
      <c r="C171" t="s">
        <v>144</v>
      </c>
      <c r="D171" t="s">
        <v>37</v>
      </c>
      <c r="E171" t="s">
        <v>296</v>
      </c>
      <c r="F171" t="s">
        <v>83</v>
      </c>
      <c r="G171" t="s">
        <v>474</v>
      </c>
      <c r="H171" t="s">
        <v>296</v>
      </c>
      <c r="I171" t="s">
        <v>296</v>
      </c>
      <c r="J171" t="s">
        <v>296</v>
      </c>
      <c r="K171" t="s">
        <v>296</v>
      </c>
      <c r="L171">
        <v>0.69999999999999996</v>
      </c>
      <c r="M171">
        <v>0.69999999999999996</v>
      </c>
      <c r="N171">
        <v>0.69999999999999996</v>
      </c>
      <c r="O171">
        <v>0.69999999999999996</v>
      </c>
      <c r="P171">
        <v>0.69999999999999996</v>
      </c>
      <c r="Q171">
        <v>0.69999999999999996</v>
      </c>
      <c r="R171">
        <v>0.69999999999999996</v>
      </c>
      <c r="S171">
        <v>0.69999999999999996</v>
      </c>
      <c r="T171">
        <v>0.69999999999999996</v>
      </c>
      <c r="U171">
        <v>0.69999999999999996</v>
      </c>
      <c r="V171">
        <v>0.69999999999999996</v>
      </c>
      <c r="W171">
        <v>0.69999999999999996</v>
      </c>
      <c r="X171">
        <v>0.69999999999999996</v>
      </c>
      <c r="Y171">
        <v>0.69999999999999996</v>
      </c>
      <c r="Z171">
        <v>0.69999999999999996</v>
      </c>
      <c r="AA171">
        <v>0.69999999999999996</v>
      </c>
      <c r="AB171">
        <v>0.69999999999999996</v>
      </c>
      <c r="AC171">
        <v>0.69999999999999996</v>
      </c>
      <c r="AD171">
        <v>0.69999999999999996</v>
      </c>
      <c r="AE171">
        <v>0.69999999999999996</v>
      </c>
      <c r="AF171">
        <v>0.69999999999999996</v>
      </c>
      <c r="AG171">
        <v>0.69999999999999996</v>
      </c>
      <c r="AH171">
        <v>0.69999999999999996</v>
      </c>
      <c r="AI171">
        <v>0.69999999999999996</v>
      </c>
      <c r="AJ171">
        <v>0.69999999999999996</v>
      </c>
      <c r="AK171">
        <v>0.69999999999999996</v>
      </c>
      <c r="AL171">
        <v>0.69999999999999996</v>
      </c>
      <c r="AM171">
        <v>0.69999999999999996</v>
      </c>
      <c r="AN171">
        <v>0.69999999999999996</v>
      </c>
      <c r="AO171">
        <v>0.69999999999999996</v>
      </c>
      <c r="AP171">
        <v>0.69999999999999996</v>
      </c>
      <c r="AQ171">
        <v>0.69999999999999996</v>
      </c>
      <c r="AR171">
        <v>0.69999999999999996</v>
      </c>
      <c r="AS171">
        <v>0.69999999999999996</v>
      </c>
      <c r="AT171">
        <v>0.69999999999999996</v>
      </c>
      <c r="AU171">
        <v>0.69999999999999996</v>
      </c>
      <c r="AV171">
        <v>0.69999999999999996</v>
      </c>
      <c r="AW171" t="s">
        <v>296</v>
      </c>
    </row>
    <row r="172" spans="1:49" ht="12.75">
      <c r="A172" t="s">
        <v>295</v>
      </c>
      <c r="B172" t="s">
        <v>289</v>
      </c>
      <c r="C172" t="s">
        <v>144</v>
      </c>
      <c r="D172" t="s">
        <v>38</v>
      </c>
      <c r="E172" t="s">
        <v>296</v>
      </c>
      <c r="F172" t="s">
        <v>83</v>
      </c>
      <c r="G172" t="s">
        <v>474</v>
      </c>
      <c r="H172" t="s">
        <v>296</v>
      </c>
      <c r="I172" t="s">
        <v>296</v>
      </c>
      <c r="J172" t="s">
        <v>296</v>
      </c>
      <c r="K172" t="s">
        <v>296</v>
      </c>
      <c r="L172">
        <v>11</v>
      </c>
      <c r="M172">
        <v>11</v>
      </c>
      <c r="N172">
        <v>11</v>
      </c>
      <c r="O172">
        <v>11</v>
      </c>
      <c r="P172">
        <v>11</v>
      </c>
      <c r="Q172">
        <v>11</v>
      </c>
      <c r="R172">
        <v>11</v>
      </c>
      <c r="S172">
        <v>11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11</v>
      </c>
      <c r="AC172">
        <v>11</v>
      </c>
      <c r="AD172">
        <v>11</v>
      </c>
      <c r="AE172">
        <v>11</v>
      </c>
      <c r="AF172">
        <v>11</v>
      </c>
      <c r="AG172">
        <v>11</v>
      </c>
      <c r="AH172">
        <v>11</v>
      </c>
      <c r="AI172">
        <v>11</v>
      </c>
      <c r="AJ172">
        <v>11</v>
      </c>
      <c r="AK172">
        <v>11</v>
      </c>
      <c r="AL172">
        <v>11</v>
      </c>
      <c r="AM172">
        <v>11</v>
      </c>
      <c r="AN172">
        <v>11</v>
      </c>
      <c r="AO172">
        <v>11</v>
      </c>
      <c r="AP172">
        <v>11</v>
      </c>
      <c r="AQ172">
        <v>11</v>
      </c>
      <c r="AR172">
        <v>11</v>
      </c>
      <c r="AS172">
        <v>11</v>
      </c>
      <c r="AT172">
        <v>11</v>
      </c>
      <c r="AU172">
        <v>11</v>
      </c>
      <c r="AV172">
        <v>11</v>
      </c>
      <c r="AW172" t="s">
        <v>296</v>
      </c>
    </row>
    <row r="173" spans="1:49" ht="12.75">
      <c r="A173" t="s">
        <v>295</v>
      </c>
      <c r="B173" t="s">
        <v>289</v>
      </c>
      <c r="C173" t="s">
        <v>144</v>
      </c>
      <c r="D173" t="s">
        <v>143</v>
      </c>
      <c r="E173" t="s">
        <v>296</v>
      </c>
      <c r="F173" t="s">
        <v>83</v>
      </c>
      <c r="G173" t="s">
        <v>474</v>
      </c>
      <c r="H173" t="s">
        <v>296</v>
      </c>
      <c r="I173" t="s">
        <v>296</v>
      </c>
      <c r="J173" t="s">
        <v>296</v>
      </c>
      <c r="K173" t="s">
        <v>296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 t="s">
        <v>296</v>
      </c>
    </row>
    <row r="174" spans="1:49" ht="12.75">
      <c r="A174" t="s">
        <v>295</v>
      </c>
      <c r="B174" t="s">
        <v>289</v>
      </c>
      <c r="C174" t="s">
        <v>144</v>
      </c>
      <c r="D174" t="s">
        <v>134</v>
      </c>
      <c r="E174" t="s">
        <v>296</v>
      </c>
      <c r="F174" t="s">
        <v>83</v>
      </c>
      <c r="G174" t="s">
        <v>474</v>
      </c>
      <c r="H174" t="s">
        <v>296</v>
      </c>
      <c r="I174" t="s">
        <v>296</v>
      </c>
      <c r="J174" t="s">
        <v>296</v>
      </c>
      <c r="K174" t="s">
        <v>296</v>
      </c>
      <c r="L174">
        <v>1.5</v>
      </c>
      <c r="M174">
        <v>1.5</v>
      </c>
      <c r="N174">
        <v>1.5</v>
      </c>
      <c r="O174">
        <v>1.5</v>
      </c>
      <c r="P174">
        <v>1.5</v>
      </c>
      <c r="Q174">
        <v>1.5</v>
      </c>
      <c r="R174">
        <v>1.5</v>
      </c>
      <c r="S174">
        <v>1.5</v>
      </c>
      <c r="T174">
        <v>1.5</v>
      </c>
      <c r="U174">
        <v>1.5</v>
      </c>
      <c r="V174">
        <v>1.5</v>
      </c>
      <c r="W174">
        <v>1.5</v>
      </c>
      <c r="X174">
        <v>1.5</v>
      </c>
      <c r="Y174">
        <v>1.5</v>
      </c>
      <c r="Z174">
        <v>1.5</v>
      </c>
      <c r="AA174">
        <v>1.5</v>
      </c>
      <c r="AB174">
        <v>1.5</v>
      </c>
      <c r="AC174">
        <v>1.5</v>
      </c>
      <c r="AD174">
        <v>1.5</v>
      </c>
      <c r="AE174">
        <v>1.5</v>
      </c>
      <c r="AF174">
        <v>1.5</v>
      </c>
      <c r="AG174">
        <v>1.5</v>
      </c>
      <c r="AH174">
        <v>1.5</v>
      </c>
      <c r="AI174">
        <v>1.5</v>
      </c>
      <c r="AJ174">
        <v>1.5</v>
      </c>
      <c r="AK174">
        <v>1.5</v>
      </c>
      <c r="AL174">
        <v>1.5</v>
      </c>
      <c r="AM174">
        <v>1.5</v>
      </c>
      <c r="AN174">
        <v>1.5</v>
      </c>
      <c r="AO174">
        <v>1.5</v>
      </c>
      <c r="AP174">
        <v>1.5</v>
      </c>
      <c r="AQ174">
        <v>1.5</v>
      </c>
      <c r="AR174">
        <v>1.5</v>
      </c>
      <c r="AS174">
        <v>1.5</v>
      </c>
      <c r="AT174">
        <v>1.5</v>
      </c>
      <c r="AU174">
        <v>1.5</v>
      </c>
      <c r="AV174">
        <v>1.5</v>
      </c>
      <c r="AW174" t="s">
        <v>296</v>
      </c>
    </row>
    <row r="175" spans="1:49" ht="12.75">
      <c r="A175" t="s">
        <v>295</v>
      </c>
      <c r="B175" t="s">
        <v>289</v>
      </c>
      <c r="C175" t="s">
        <v>145</v>
      </c>
      <c r="D175" t="s">
        <v>37</v>
      </c>
      <c r="E175" t="s">
        <v>296</v>
      </c>
      <c r="F175" t="s">
        <v>83</v>
      </c>
      <c r="G175" t="s">
        <v>474</v>
      </c>
      <c r="H175" t="s">
        <v>296</v>
      </c>
      <c r="I175" t="s">
        <v>296</v>
      </c>
      <c r="J175" t="s">
        <v>296</v>
      </c>
      <c r="K175" t="s">
        <v>296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1.2</v>
      </c>
      <c r="U175">
        <v>1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1.2</v>
      </c>
      <c r="AB175">
        <v>1.2</v>
      </c>
      <c r="AC175">
        <v>2</v>
      </c>
      <c r="AD175">
        <v>2.5</v>
      </c>
      <c r="AE175">
        <v>2</v>
      </c>
      <c r="AF175">
        <v>2</v>
      </c>
      <c r="AG175">
        <v>2</v>
      </c>
      <c r="AH175">
        <v>2</v>
      </c>
      <c r="AI175">
        <v>0.80000000000000004</v>
      </c>
      <c r="AJ175">
        <v>2.5</v>
      </c>
      <c r="AK175">
        <v>2</v>
      </c>
      <c r="AL175">
        <v>2</v>
      </c>
      <c r="AM175">
        <v>1.74</v>
      </c>
      <c r="AN175">
        <v>2.2000000000000002</v>
      </c>
      <c r="AO175">
        <v>2</v>
      </c>
      <c r="AP175">
        <v>2.145</v>
      </c>
      <c r="AQ175">
        <v>2</v>
      </c>
      <c r="AR175">
        <v>2</v>
      </c>
      <c r="AS175">
        <v>2</v>
      </c>
      <c r="AT175">
        <v>2</v>
      </c>
      <c r="AU175">
        <v>2</v>
      </c>
      <c r="AV175">
        <v>1.8999999999999999</v>
      </c>
      <c r="AW175" t="s">
        <v>296</v>
      </c>
    </row>
    <row r="176" spans="1:49" ht="12.75">
      <c r="A176" t="s">
        <v>295</v>
      </c>
      <c r="B176" t="s">
        <v>289</v>
      </c>
      <c r="C176" t="s">
        <v>145</v>
      </c>
      <c r="D176" t="s">
        <v>38</v>
      </c>
      <c r="E176" t="s">
        <v>296</v>
      </c>
      <c r="F176" t="s">
        <v>83</v>
      </c>
      <c r="G176" t="s">
        <v>474</v>
      </c>
      <c r="H176" t="s">
        <v>296</v>
      </c>
      <c r="I176" t="s">
        <v>296</v>
      </c>
      <c r="J176" t="s">
        <v>296</v>
      </c>
      <c r="K176" t="s">
        <v>296</v>
      </c>
      <c r="L176">
        <v>0.5</v>
      </c>
      <c r="M176">
        <v>0.5</v>
      </c>
      <c r="N176">
        <v>0.5</v>
      </c>
      <c r="O176">
        <v>1.5</v>
      </c>
      <c r="P176">
        <v>0.5</v>
      </c>
      <c r="Q176">
        <v>0.5</v>
      </c>
      <c r="R176">
        <v>0.5</v>
      </c>
      <c r="S176">
        <v>0.5</v>
      </c>
      <c r="T176">
        <v>0.5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0.065000000000000002</v>
      </c>
      <c r="AH176">
        <v>0.5</v>
      </c>
      <c r="AI176">
        <v>1.75</v>
      </c>
      <c r="AJ176">
        <v>0</v>
      </c>
      <c r="AK176">
        <v>0.5</v>
      </c>
      <c r="AL176">
        <v>0.5</v>
      </c>
      <c r="AM176">
        <v>0.5</v>
      </c>
      <c r="AN176">
        <v>0</v>
      </c>
      <c r="AO176">
        <v>0.5</v>
      </c>
      <c r="AP176">
        <v>0.5</v>
      </c>
      <c r="AQ176">
        <v>0.5</v>
      </c>
      <c r="AR176">
        <v>0.5</v>
      </c>
      <c r="AS176">
        <v>0.44</v>
      </c>
      <c r="AT176">
        <v>0.5</v>
      </c>
      <c r="AU176">
        <v>0.5</v>
      </c>
      <c r="AV176">
        <v>0.5</v>
      </c>
      <c r="AW176" t="s">
        <v>296</v>
      </c>
    </row>
    <row r="177" spans="1:49" ht="12.75">
      <c r="A177" t="s">
        <v>295</v>
      </c>
      <c r="B177" t="s">
        <v>289</v>
      </c>
      <c r="C177" t="s">
        <v>145</v>
      </c>
      <c r="D177" t="s">
        <v>52</v>
      </c>
      <c r="E177" t="s">
        <v>296</v>
      </c>
      <c r="F177" t="s">
        <v>83</v>
      </c>
      <c r="G177" t="s">
        <v>474</v>
      </c>
      <c r="H177" t="s">
        <v>296</v>
      </c>
      <c r="I177" t="s">
        <v>296</v>
      </c>
      <c r="J177" t="s">
        <v>296</v>
      </c>
      <c r="K177" t="s">
        <v>296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 t="s">
        <v>296</v>
      </c>
    </row>
    <row r="178" spans="1:49" ht="12.75">
      <c r="A178" t="s">
        <v>295</v>
      </c>
      <c r="B178" t="s">
        <v>289</v>
      </c>
      <c r="C178" t="s">
        <v>145</v>
      </c>
      <c r="D178" t="s">
        <v>129</v>
      </c>
      <c r="E178" t="s">
        <v>296</v>
      </c>
      <c r="F178" t="s">
        <v>83</v>
      </c>
      <c r="G178" t="s">
        <v>474</v>
      </c>
      <c r="H178" t="s">
        <v>296</v>
      </c>
      <c r="I178" t="s">
        <v>296</v>
      </c>
      <c r="J178" t="s">
        <v>296</v>
      </c>
      <c r="K178" t="s">
        <v>296</v>
      </c>
      <c r="L178">
        <v>0.050000000000000003</v>
      </c>
      <c r="M178">
        <v>0.050000000000000003</v>
      </c>
      <c r="N178">
        <v>0.050000000000000003</v>
      </c>
      <c r="O178">
        <v>0.050000000000000003</v>
      </c>
      <c r="P178">
        <v>0.050000000000000003</v>
      </c>
      <c r="Q178">
        <v>0.050000000000000003</v>
      </c>
      <c r="R178">
        <v>0.050000000000000003</v>
      </c>
      <c r="S178">
        <v>0.050000000000000003</v>
      </c>
      <c r="T178">
        <v>0.050000000000000003</v>
      </c>
      <c r="U178">
        <v>0.050000000000000003</v>
      </c>
      <c r="V178">
        <v>0.050000000000000003</v>
      </c>
      <c r="W178">
        <v>0.050000000000000003</v>
      </c>
      <c r="X178">
        <v>0.050000000000000003</v>
      </c>
      <c r="Y178">
        <v>0.050000000000000003</v>
      </c>
      <c r="Z178">
        <v>0.050000000000000003</v>
      </c>
      <c r="AA178">
        <v>0.050000000000000003</v>
      </c>
      <c r="AB178">
        <v>0.050000000000000003</v>
      </c>
      <c r="AC178">
        <v>0.050000000000000003</v>
      </c>
      <c r="AD178">
        <v>0.050000000000000003</v>
      </c>
      <c r="AE178">
        <v>0.050000000000000003</v>
      </c>
      <c r="AF178">
        <v>0.050000000000000003</v>
      </c>
      <c r="AG178">
        <v>0.050000000000000003</v>
      </c>
      <c r="AH178">
        <v>0.050000000000000003</v>
      </c>
      <c r="AI178">
        <v>0.050000000000000003</v>
      </c>
      <c r="AJ178">
        <v>0.050000000000000003</v>
      </c>
      <c r="AK178">
        <v>0.050000000000000003</v>
      </c>
      <c r="AL178">
        <v>0.050000000000000003</v>
      </c>
      <c r="AM178">
        <v>0.050000000000000003</v>
      </c>
      <c r="AN178">
        <v>0.050000000000000003</v>
      </c>
      <c r="AO178">
        <v>0.050000000000000003</v>
      </c>
      <c r="AP178">
        <v>0.050000000000000003</v>
      </c>
      <c r="AQ178">
        <v>0.050000000000000003</v>
      </c>
      <c r="AR178">
        <v>0.050000000000000003</v>
      </c>
      <c r="AS178">
        <v>0.050000000000000003</v>
      </c>
      <c r="AT178">
        <v>0.050000000000000003</v>
      </c>
      <c r="AU178">
        <v>0.050000000000000003</v>
      </c>
      <c r="AV178">
        <v>0.050000000000000003</v>
      </c>
      <c r="AW178" t="s">
        <v>296</v>
      </c>
    </row>
    <row r="179" spans="1:49" ht="12.75">
      <c r="A179" t="s">
        <v>295</v>
      </c>
      <c r="B179" t="s">
        <v>289</v>
      </c>
      <c r="C179" t="s">
        <v>145</v>
      </c>
      <c r="D179" t="s">
        <v>132</v>
      </c>
      <c r="E179" t="s">
        <v>296</v>
      </c>
      <c r="F179" t="s">
        <v>83</v>
      </c>
      <c r="G179" t="s">
        <v>474</v>
      </c>
      <c r="H179" t="s">
        <v>296</v>
      </c>
      <c r="I179" t="s">
        <v>296</v>
      </c>
      <c r="J179" t="s">
        <v>296</v>
      </c>
      <c r="K179" t="s">
        <v>296</v>
      </c>
      <c r="L179">
        <v>1.5</v>
      </c>
      <c r="M179">
        <v>1.5</v>
      </c>
      <c r="N179">
        <v>1.5</v>
      </c>
      <c r="O179">
        <v>1.1000000000000001</v>
      </c>
      <c r="P179">
        <v>1.5</v>
      </c>
      <c r="Q179">
        <v>1.5</v>
      </c>
      <c r="R179">
        <v>1.5</v>
      </c>
      <c r="S179">
        <v>1.5</v>
      </c>
      <c r="T179">
        <v>1.05</v>
      </c>
      <c r="U179">
        <v>1.5</v>
      </c>
      <c r="V179">
        <v>1.5</v>
      </c>
      <c r="W179">
        <v>1.4298</v>
      </c>
      <c r="X179">
        <v>1.5</v>
      </c>
      <c r="Y179">
        <v>1.5</v>
      </c>
      <c r="Z179">
        <v>1.5</v>
      </c>
      <c r="AA179">
        <v>1.5</v>
      </c>
      <c r="AB179">
        <v>1.5</v>
      </c>
      <c r="AC179">
        <v>1.5</v>
      </c>
      <c r="AD179">
        <v>1.5</v>
      </c>
      <c r="AE179">
        <v>1.5</v>
      </c>
      <c r="AF179">
        <v>1.5</v>
      </c>
      <c r="AG179">
        <v>1.5</v>
      </c>
      <c r="AH179">
        <v>1.5</v>
      </c>
      <c r="AI179">
        <v>1.5</v>
      </c>
      <c r="AJ179">
        <v>1.5</v>
      </c>
      <c r="AK179">
        <v>1.5</v>
      </c>
      <c r="AL179">
        <v>1.5</v>
      </c>
      <c r="AM179">
        <v>1.5</v>
      </c>
      <c r="AN179">
        <v>1.5</v>
      </c>
      <c r="AO179">
        <v>1.5</v>
      </c>
      <c r="AP179">
        <v>1.5</v>
      </c>
      <c r="AQ179">
        <v>1.5</v>
      </c>
      <c r="AR179">
        <v>1.5</v>
      </c>
      <c r="AS179">
        <v>1.5</v>
      </c>
      <c r="AT179">
        <v>1.5</v>
      </c>
      <c r="AU179">
        <v>1.5</v>
      </c>
      <c r="AV179">
        <v>1.5</v>
      </c>
      <c r="AW179" t="s">
        <v>296</v>
      </c>
    </row>
    <row r="180" spans="1:49" ht="12.75">
      <c r="A180" t="s">
        <v>295</v>
      </c>
      <c r="B180" t="s">
        <v>289</v>
      </c>
      <c r="C180" t="s">
        <v>146</v>
      </c>
      <c r="D180" t="s">
        <v>47</v>
      </c>
      <c r="E180" t="s">
        <v>296</v>
      </c>
      <c r="F180" t="s">
        <v>83</v>
      </c>
      <c r="G180" t="s">
        <v>474</v>
      </c>
      <c r="H180" t="s">
        <v>296</v>
      </c>
      <c r="I180" t="s">
        <v>296</v>
      </c>
      <c r="J180" t="s">
        <v>296</v>
      </c>
      <c r="K180" t="s">
        <v>296</v>
      </c>
      <c r="L180">
        <v>0.90000000000000002</v>
      </c>
      <c r="M180">
        <v>0.90000000000000002</v>
      </c>
      <c r="N180">
        <v>0.90000000000000002</v>
      </c>
      <c r="O180">
        <v>0.90000000000000002</v>
      </c>
      <c r="P180">
        <v>0.90000000000000002</v>
      </c>
      <c r="Q180">
        <v>0.90000000000000002</v>
      </c>
      <c r="R180">
        <v>0.90000000000000002</v>
      </c>
      <c r="S180">
        <v>0.90000000000000002</v>
      </c>
      <c r="T180">
        <v>0.90000000000000002</v>
      </c>
      <c r="U180">
        <v>0.90000000000000002</v>
      </c>
      <c r="V180">
        <v>0.90000000000000002</v>
      </c>
      <c r="W180">
        <v>0.90000000000000002</v>
      </c>
      <c r="X180">
        <v>0.90000000000000002</v>
      </c>
      <c r="Y180">
        <v>0.90000000000000002</v>
      </c>
      <c r="Z180">
        <v>0.90000000000000002</v>
      </c>
      <c r="AA180">
        <v>0.90000000000000002</v>
      </c>
      <c r="AB180">
        <v>0.90000000000000002</v>
      </c>
      <c r="AC180">
        <v>0.90000000000000002</v>
      </c>
      <c r="AD180">
        <v>0.90000000000000002</v>
      </c>
      <c r="AE180">
        <v>0.90000000000000002</v>
      </c>
      <c r="AF180">
        <v>0.90000000000000002</v>
      </c>
      <c r="AG180">
        <v>0.90000000000000002</v>
      </c>
      <c r="AH180">
        <v>0.90000000000000002</v>
      </c>
      <c r="AI180">
        <v>0.90000000000000002</v>
      </c>
      <c r="AJ180">
        <v>0.90000000000000002</v>
      </c>
      <c r="AK180">
        <v>0.90000000000000002</v>
      </c>
      <c r="AL180">
        <v>0.90000000000000002</v>
      </c>
      <c r="AM180">
        <v>0.90000000000000002</v>
      </c>
      <c r="AN180">
        <v>0.90000000000000002</v>
      </c>
      <c r="AO180">
        <v>0.90000000000000002</v>
      </c>
      <c r="AP180">
        <v>0.90000000000000002</v>
      </c>
      <c r="AQ180">
        <v>0.90000000000000002</v>
      </c>
      <c r="AR180">
        <v>0.90000000000000002</v>
      </c>
      <c r="AS180">
        <v>0</v>
      </c>
      <c r="AT180">
        <v>0.90000000000000002</v>
      </c>
      <c r="AU180">
        <v>0.90000000000000002</v>
      </c>
      <c r="AV180">
        <v>0.90000000000000002</v>
      </c>
      <c r="AW180" t="s">
        <v>296</v>
      </c>
    </row>
    <row r="181" spans="1:49" ht="12.75">
      <c r="A181" t="s">
        <v>295</v>
      </c>
      <c r="B181" t="s">
        <v>289</v>
      </c>
      <c r="C181" t="s">
        <v>146</v>
      </c>
      <c r="D181" t="s">
        <v>48</v>
      </c>
      <c r="E181" t="s">
        <v>296</v>
      </c>
      <c r="F181" t="s">
        <v>83</v>
      </c>
      <c r="G181" t="s">
        <v>474</v>
      </c>
      <c r="H181" t="s">
        <v>296</v>
      </c>
      <c r="I181" t="s">
        <v>296</v>
      </c>
      <c r="J181" t="s">
        <v>296</v>
      </c>
      <c r="K181" t="s">
        <v>296</v>
      </c>
      <c r="L181">
        <v>0.59999999999999998</v>
      </c>
      <c r="M181">
        <v>0.59999999999999998</v>
      </c>
      <c r="N181">
        <v>0.59999999999999998</v>
      </c>
      <c r="O181">
        <v>0.59999999999999998</v>
      </c>
      <c r="P181">
        <v>0.59999999999999998</v>
      </c>
      <c r="Q181">
        <v>0.59999999999999998</v>
      </c>
      <c r="R181">
        <v>0.59999999999999998</v>
      </c>
      <c r="S181">
        <v>0.59999999999999998</v>
      </c>
      <c r="T181">
        <v>0.59999999999999998</v>
      </c>
      <c r="U181">
        <v>0.59999999999999998</v>
      </c>
      <c r="V181">
        <v>0.59999999999999998</v>
      </c>
      <c r="W181">
        <v>0.59999999999999998</v>
      </c>
      <c r="X181">
        <v>0.59999999999999998</v>
      </c>
      <c r="Y181">
        <v>0.59999999999999998</v>
      </c>
      <c r="Z181">
        <v>0.59999999999999998</v>
      </c>
      <c r="AA181">
        <v>0.59999999999999998</v>
      </c>
      <c r="AB181">
        <v>0.59999999999999998</v>
      </c>
      <c r="AC181">
        <v>0.59999999999999998</v>
      </c>
      <c r="AD181">
        <v>0.59999999999999998</v>
      </c>
      <c r="AE181">
        <v>0.048599999999999997</v>
      </c>
      <c r="AF181">
        <v>0.59999999999999998</v>
      </c>
      <c r="AG181">
        <v>0.59999999999999998</v>
      </c>
      <c r="AH181">
        <v>0.59999999999999998</v>
      </c>
      <c r="AI181">
        <v>0.59999999999999998</v>
      </c>
      <c r="AJ181">
        <v>0.59999999999999998</v>
      </c>
      <c r="AK181">
        <v>0.59999999999999998</v>
      </c>
      <c r="AL181">
        <v>0.59999999999999998</v>
      </c>
      <c r="AM181">
        <v>0.59999999999999998</v>
      </c>
      <c r="AN181">
        <v>0.59999999999999998</v>
      </c>
      <c r="AO181">
        <v>0.59999999999999998</v>
      </c>
      <c r="AP181">
        <v>0.59999999999999998</v>
      </c>
      <c r="AQ181">
        <v>0.59999999999999998</v>
      </c>
      <c r="AR181">
        <v>0.59999999999999998</v>
      </c>
      <c r="AS181">
        <v>0.59999999999999998</v>
      </c>
      <c r="AT181">
        <v>0.59999999999999998</v>
      </c>
      <c r="AU181">
        <v>0.59999999999999998</v>
      </c>
      <c r="AV181">
        <v>0.59999999999999998</v>
      </c>
      <c r="AW181" t="s">
        <v>296</v>
      </c>
    </row>
    <row r="182" spans="1:49" ht="12.75">
      <c r="A182" t="s">
        <v>295</v>
      </c>
      <c r="B182" t="s">
        <v>289</v>
      </c>
      <c r="C182" t="s">
        <v>146</v>
      </c>
      <c r="D182" t="s">
        <v>51</v>
      </c>
      <c r="E182" t="s">
        <v>296</v>
      </c>
      <c r="F182" t="s">
        <v>83</v>
      </c>
      <c r="G182" t="s">
        <v>474</v>
      </c>
      <c r="H182" t="s">
        <v>296</v>
      </c>
      <c r="I182" t="s">
        <v>296</v>
      </c>
      <c r="J182" t="s">
        <v>296</v>
      </c>
      <c r="K182" t="s">
        <v>296</v>
      </c>
      <c r="L182">
        <v>15.4</v>
      </c>
      <c r="M182">
        <v>14</v>
      </c>
      <c r="N182">
        <v>15.4</v>
      </c>
      <c r="O182">
        <v>15.4</v>
      </c>
      <c r="P182">
        <v>15.4</v>
      </c>
      <c r="Q182">
        <v>15.4</v>
      </c>
      <c r="R182">
        <v>15.4</v>
      </c>
      <c r="S182">
        <v>15.4</v>
      </c>
      <c r="T182">
        <v>15.4</v>
      </c>
      <c r="U182">
        <v>15.4</v>
      </c>
      <c r="V182">
        <v>15.4</v>
      </c>
      <c r="W182">
        <v>15.4</v>
      </c>
      <c r="X182">
        <v>15.4</v>
      </c>
      <c r="Y182">
        <v>15.4</v>
      </c>
      <c r="Z182">
        <v>15.4</v>
      </c>
      <c r="AA182">
        <v>15.4</v>
      </c>
      <c r="AB182">
        <v>15.4</v>
      </c>
      <c r="AC182">
        <v>15.4</v>
      </c>
      <c r="AD182">
        <v>15.4</v>
      </c>
      <c r="AE182">
        <v>15.4</v>
      </c>
      <c r="AF182">
        <v>15.4</v>
      </c>
      <c r="AG182">
        <v>15.4</v>
      </c>
      <c r="AH182">
        <v>15.4</v>
      </c>
      <c r="AI182">
        <v>15.4</v>
      </c>
      <c r="AJ182">
        <v>15.4</v>
      </c>
      <c r="AK182">
        <v>15.4</v>
      </c>
      <c r="AL182">
        <v>15.4</v>
      </c>
      <c r="AM182">
        <v>13.398</v>
      </c>
      <c r="AN182">
        <v>15.4</v>
      </c>
      <c r="AO182">
        <v>13.859999999999999</v>
      </c>
      <c r="AP182">
        <v>15.4</v>
      </c>
      <c r="AQ182">
        <v>15.4</v>
      </c>
      <c r="AR182">
        <v>15.4</v>
      </c>
      <c r="AS182">
        <v>15.4</v>
      </c>
      <c r="AT182">
        <v>15.4</v>
      </c>
      <c r="AU182">
        <v>15.4</v>
      </c>
      <c r="AV182">
        <v>15.4</v>
      </c>
      <c r="AW182" t="s">
        <v>296</v>
      </c>
    </row>
    <row r="183" spans="1:49" ht="12.75">
      <c r="A183" t="s">
        <v>295</v>
      </c>
      <c r="B183" t="s">
        <v>289</v>
      </c>
      <c r="C183" t="s">
        <v>146</v>
      </c>
      <c r="D183" t="s">
        <v>37</v>
      </c>
      <c r="E183" t="s">
        <v>296</v>
      </c>
      <c r="F183" t="s">
        <v>83</v>
      </c>
      <c r="G183" t="s">
        <v>474</v>
      </c>
      <c r="H183" t="s">
        <v>296</v>
      </c>
      <c r="I183" t="s">
        <v>296</v>
      </c>
      <c r="J183" t="s">
        <v>296</v>
      </c>
      <c r="K183" t="s">
        <v>296</v>
      </c>
      <c r="L183">
        <v>11.300000000000001</v>
      </c>
      <c r="M183">
        <v>5</v>
      </c>
      <c r="N183">
        <v>11.300000000000001</v>
      </c>
      <c r="O183">
        <v>11.300000000000001</v>
      </c>
      <c r="P183">
        <v>11.300000000000001</v>
      </c>
      <c r="Q183">
        <v>11.300000000000001</v>
      </c>
      <c r="R183">
        <v>11.300000000000001</v>
      </c>
      <c r="S183">
        <v>11.300000000000001</v>
      </c>
      <c r="T183">
        <v>11.300000000000001</v>
      </c>
      <c r="U183">
        <v>11.300000000000001</v>
      </c>
      <c r="V183">
        <v>11.300000000000001</v>
      </c>
      <c r="W183">
        <v>11.300000000000001</v>
      </c>
      <c r="X183">
        <v>11.300000000000001</v>
      </c>
      <c r="Y183">
        <v>11.300000000000001</v>
      </c>
      <c r="Z183">
        <v>11.300000000000001</v>
      </c>
      <c r="AA183">
        <v>11.300000000000001</v>
      </c>
      <c r="AB183">
        <v>11.300000000000001</v>
      </c>
      <c r="AC183">
        <v>11.300000000000001</v>
      </c>
      <c r="AD183">
        <v>11.300000000000001</v>
      </c>
      <c r="AE183">
        <v>11.300000000000001</v>
      </c>
      <c r="AF183">
        <v>11.300000000000001</v>
      </c>
      <c r="AG183">
        <v>11.300000000000001</v>
      </c>
      <c r="AH183">
        <v>11.300000000000001</v>
      </c>
      <c r="AI183">
        <v>11.300000000000001</v>
      </c>
      <c r="AJ183">
        <v>11.300000000000001</v>
      </c>
      <c r="AK183">
        <v>11.300000000000001</v>
      </c>
      <c r="AL183">
        <v>11.300000000000001</v>
      </c>
      <c r="AM183">
        <v>9.8309999999999995</v>
      </c>
      <c r="AN183">
        <v>11.300000000000001</v>
      </c>
      <c r="AO183">
        <v>11.300000000000001</v>
      </c>
      <c r="AP183">
        <v>11.300000000000001</v>
      </c>
      <c r="AQ183">
        <v>11.300000000000001</v>
      </c>
      <c r="AR183">
        <v>11.300000000000001</v>
      </c>
      <c r="AS183">
        <v>11.300000000000001</v>
      </c>
      <c r="AT183">
        <v>11.300000000000001</v>
      </c>
      <c r="AU183">
        <v>11.300000000000001</v>
      </c>
      <c r="AV183">
        <v>10.734999999999999</v>
      </c>
      <c r="AW183" t="s">
        <v>296</v>
      </c>
    </row>
    <row r="184" spans="1:49" ht="12.75">
      <c r="A184" t="s">
        <v>295</v>
      </c>
      <c r="B184" t="s">
        <v>289</v>
      </c>
      <c r="C184" t="s">
        <v>146</v>
      </c>
      <c r="D184" t="s">
        <v>43</v>
      </c>
      <c r="E184" t="s">
        <v>296</v>
      </c>
      <c r="F184" t="s">
        <v>83</v>
      </c>
      <c r="G184" t="s">
        <v>474</v>
      </c>
      <c r="H184" t="s">
        <v>296</v>
      </c>
      <c r="I184" t="s">
        <v>296</v>
      </c>
      <c r="J184" t="s">
        <v>296</v>
      </c>
      <c r="K184" t="s">
        <v>296</v>
      </c>
      <c r="L184">
        <v>0.80000000000000004</v>
      </c>
      <c r="M184">
        <v>0.29999999999999999</v>
      </c>
      <c r="N184">
        <v>0.80000000000000004</v>
      </c>
      <c r="O184">
        <v>0</v>
      </c>
      <c r="P184">
        <v>0.80000000000000004</v>
      </c>
      <c r="Q184">
        <v>0.80000000000000004</v>
      </c>
      <c r="R184">
        <v>0.80000000000000004</v>
      </c>
      <c r="S184">
        <v>0.80000000000000004</v>
      </c>
      <c r="T184">
        <v>0.80000000000000004</v>
      </c>
      <c r="U184">
        <v>0.80000000000000004</v>
      </c>
      <c r="V184">
        <v>0.80000000000000004</v>
      </c>
      <c r="W184">
        <v>0.80000000000000004</v>
      </c>
      <c r="X184">
        <v>0.80000000000000004</v>
      </c>
      <c r="Y184">
        <v>0.80000000000000004</v>
      </c>
      <c r="Z184">
        <v>0.80000000000000004</v>
      </c>
      <c r="AA184">
        <v>0.80000000000000004</v>
      </c>
      <c r="AB184">
        <v>0.80000000000000004</v>
      </c>
      <c r="AC184">
        <v>0.80000000000000004</v>
      </c>
      <c r="AD184">
        <v>0.80000000000000004</v>
      </c>
      <c r="AE184">
        <v>0.80000000000000004</v>
      </c>
      <c r="AF184">
        <v>0.80000000000000004</v>
      </c>
      <c r="AG184">
        <v>0.80000000000000004</v>
      </c>
      <c r="AH184">
        <v>0.80000000000000004</v>
      </c>
      <c r="AI184">
        <v>0.80000000000000004</v>
      </c>
      <c r="AJ184">
        <v>0.80000000000000004</v>
      </c>
      <c r="AK184">
        <v>0.80000000000000004</v>
      </c>
      <c r="AL184">
        <v>0.80000000000000004</v>
      </c>
      <c r="AM184">
        <v>0</v>
      </c>
      <c r="AN184">
        <v>0.80000000000000004</v>
      </c>
      <c r="AO184">
        <v>0</v>
      </c>
      <c r="AP184">
        <v>0.80000000000000004</v>
      </c>
      <c r="AQ184">
        <v>0.80000000000000004</v>
      </c>
      <c r="AR184">
        <v>0.80000000000000004</v>
      </c>
      <c r="AS184">
        <v>0.80000000000000004</v>
      </c>
      <c r="AT184">
        <v>0.80000000000000004</v>
      </c>
      <c r="AU184">
        <v>0.80000000000000004</v>
      </c>
      <c r="AV184">
        <v>0.28000000000000003</v>
      </c>
      <c r="AW184" t="s">
        <v>296</v>
      </c>
    </row>
    <row r="185" spans="1:49" ht="12.75">
      <c r="A185" t="s">
        <v>295</v>
      </c>
      <c r="B185" t="s">
        <v>289</v>
      </c>
      <c r="C185" t="s">
        <v>146</v>
      </c>
      <c r="D185" t="s">
        <v>42</v>
      </c>
      <c r="E185" t="s">
        <v>296</v>
      </c>
      <c r="F185" t="s">
        <v>83</v>
      </c>
      <c r="G185" t="s">
        <v>474</v>
      </c>
      <c r="H185" t="s">
        <v>296</v>
      </c>
      <c r="I185" t="s">
        <v>296</v>
      </c>
      <c r="J185" t="s">
        <v>296</v>
      </c>
      <c r="K185" t="s">
        <v>296</v>
      </c>
      <c r="L185">
        <v>1.2</v>
      </c>
      <c r="M185">
        <v>1.2</v>
      </c>
      <c r="N185">
        <v>1.2</v>
      </c>
      <c r="O185">
        <v>1.2</v>
      </c>
      <c r="P185">
        <v>1.2</v>
      </c>
      <c r="Q185">
        <v>1.2</v>
      </c>
      <c r="R185">
        <v>1.2</v>
      </c>
      <c r="S185">
        <v>1.2</v>
      </c>
      <c r="T185">
        <v>1.2</v>
      </c>
      <c r="U185">
        <v>1.2</v>
      </c>
      <c r="V185">
        <v>1.2</v>
      </c>
      <c r="W185">
        <v>1.2</v>
      </c>
      <c r="X185">
        <v>1.2</v>
      </c>
      <c r="Y185">
        <v>1.2</v>
      </c>
      <c r="Z185">
        <v>1.2</v>
      </c>
      <c r="AA185">
        <v>1.2</v>
      </c>
      <c r="AB185">
        <v>1.2</v>
      </c>
      <c r="AC185">
        <v>1.2</v>
      </c>
      <c r="AD185">
        <v>1.2</v>
      </c>
      <c r="AE185">
        <v>1.2</v>
      </c>
      <c r="AF185">
        <v>1.2</v>
      </c>
      <c r="AG185">
        <v>1.2</v>
      </c>
      <c r="AH185">
        <v>1.2</v>
      </c>
      <c r="AI185">
        <v>1.2</v>
      </c>
      <c r="AJ185">
        <v>1.2</v>
      </c>
      <c r="AK185">
        <v>1.2</v>
      </c>
      <c r="AL185">
        <v>1.2</v>
      </c>
      <c r="AM185">
        <v>1.2</v>
      </c>
      <c r="AN185">
        <v>1.2</v>
      </c>
      <c r="AO185">
        <v>1.2</v>
      </c>
      <c r="AP185">
        <v>1.2</v>
      </c>
      <c r="AQ185">
        <v>1.2</v>
      </c>
      <c r="AR185">
        <v>1.2</v>
      </c>
      <c r="AS185">
        <v>1.2</v>
      </c>
      <c r="AT185">
        <v>1.2</v>
      </c>
      <c r="AU185">
        <v>1.2</v>
      </c>
      <c r="AV185">
        <v>1.2</v>
      </c>
      <c r="AW185" t="s">
        <v>296</v>
      </c>
    </row>
    <row r="186" spans="1:49" ht="12.75">
      <c r="A186" t="s">
        <v>295</v>
      </c>
      <c r="B186" t="s">
        <v>289</v>
      </c>
      <c r="C186" t="s">
        <v>146</v>
      </c>
      <c r="D186" t="s">
        <v>147</v>
      </c>
      <c r="E186" t="s">
        <v>296</v>
      </c>
      <c r="F186" t="s">
        <v>83</v>
      </c>
      <c r="G186" t="s">
        <v>474</v>
      </c>
      <c r="H186" t="s">
        <v>296</v>
      </c>
      <c r="I186" t="s">
        <v>296</v>
      </c>
      <c r="J186" t="s">
        <v>296</v>
      </c>
      <c r="K186" t="s">
        <v>296</v>
      </c>
      <c r="L186">
        <v>2.2999999999999998</v>
      </c>
      <c r="M186">
        <v>2.2999999999999998</v>
      </c>
      <c r="N186">
        <v>2.2999999999999998</v>
      </c>
      <c r="O186">
        <v>2.2999999999999998</v>
      </c>
      <c r="P186">
        <v>2.2999999999999998</v>
      </c>
      <c r="Q186">
        <v>2.2999999999999998</v>
      </c>
      <c r="R186">
        <v>2.2999999999999998</v>
      </c>
      <c r="S186">
        <v>2.2999999999999998</v>
      </c>
      <c r="T186">
        <v>2.2999999999999998</v>
      </c>
      <c r="U186">
        <v>2.2999999999999998</v>
      </c>
      <c r="V186">
        <v>2.2999999999999998</v>
      </c>
      <c r="W186">
        <v>2.2999999999999998</v>
      </c>
      <c r="X186">
        <v>2.2999999999999998</v>
      </c>
      <c r="Y186">
        <v>2.2999999999999998</v>
      </c>
      <c r="Z186">
        <v>2.2999999999999998</v>
      </c>
      <c r="AA186">
        <v>2.2999999999999998</v>
      </c>
      <c r="AB186">
        <v>2.2999999999999998</v>
      </c>
      <c r="AC186">
        <v>2.2999999999999998</v>
      </c>
      <c r="AD186">
        <v>2.2999999999999998</v>
      </c>
      <c r="AE186">
        <v>2.2999999999999998</v>
      </c>
      <c r="AF186">
        <v>2.2999999999999998</v>
      </c>
      <c r="AG186">
        <v>2.2999999999999998</v>
      </c>
      <c r="AH186">
        <v>2.2999999999999998</v>
      </c>
      <c r="AI186">
        <v>2.2999999999999998</v>
      </c>
      <c r="AJ186">
        <v>2.2999999999999998</v>
      </c>
      <c r="AK186">
        <v>2.2999999999999998</v>
      </c>
      <c r="AL186">
        <v>2.2999999999999998</v>
      </c>
      <c r="AM186">
        <v>2.2999999999999998</v>
      </c>
      <c r="AN186">
        <v>2.2999999999999998</v>
      </c>
      <c r="AO186">
        <v>2.2999999999999998</v>
      </c>
      <c r="AP186">
        <v>2.2999999999999998</v>
      </c>
      <c r="AQ186">
        <v>2.2999999999999998</v>
      </c>
      <c r="AR186">
        <v>2.2999999999999998</v>
      </c>
      <c r="AS186">
        <v>2.2999999999999998</v>
      </c>
      <c r="AT186">
        <v>2.2999999999999998</v>
      </c>
      <c r="AU186">
        <v>2.2999999999999998</v>
      </c>
      <c r="AV186">
        <v>2.2999999999999998</v>
      </c>
      <c r="AW186" t="s">
        <v>296</v>
      </c>
    </row>
    <row r="187" spans="1:49" ht="12.75">
      <c r="A187" t="s">
        <v>295</v>
      </c>
      <c r="B187" t="s">
        <v>289</v>
      </c>
      <c r="C187" t="s">
        <v>146</v>
      </c>
      <c r="D187" t="s">
        <v>131</v>
      </c>
      <c r="E187" t="s">
        <v>296</v>
      </c>
      <c r="F187" t="s">
        <v>83</v>
      </c>
      <c r="G187" t="s">
        <v>474</v>
      </c>
      <c r="H187" t="s">
        <v>296</v>
      </c>
      <c r="I187" t="s">
        <v>296</v>
      </c>
      <c r="J187" t="s">
        <v>296</v>
      </c>
      <c r="K187" t="s">
        <v>296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 t="s">
        <v>296</v>
      </c>
    </row>
    <row r="188" spans="1:49" ht="12.75">
      <c r="A188" t="s">
        <v>295</v>
      </c>
      <c r="B188" t="s">
        <v>289</v>
      </c>
      <c r="C188" t="s">
        <v>148</v>
      </c>
      <c r="D188" t="s">
        <v>47</v>
      </c>
      <c r="E188" t="s">
        <v>296</v>
      </c>
      <c r="F188" t="s">
        <v>83</v>
      </c>
      <c r="G188" t="s">
        <v>474</v>
      </c>
      <c r="H188" t="s">
        <v>296</v>
      </c>
      <c r="I188" t="s">
        <v>296</v>
      </c>
      <c r="J188" t="s">
        <v>296</v>
      </c>
      <c r="K188" t="s">
        <v>296</v>
      </c>
      <c r="M188">
        <v>0.115</v>
      </c>
      <c r="O188">
        <v>0.23999999999999999</v>
      </c>
      <c r="S188">
        <v>0.92000000000000004</v>
      </c>
      <c r="T188">
        <v>0.030574560803102901</v>
      </c>
      <c r="U188">
        <v>0.54230769230769205</v>
      </c>
      <c r="Y188">
        <v>0.64500000000000002</v>
      </c>
      <c r="AA188">
        <v>0.0105263157894737</v>
      </c>
      <c r="AB188">
        <v>0.439213349225268</v>
      </c>
      <c r="AE188">
        <v>0.05273595107318</v>
      </c>
      <c r="AG188">
        <v>0.10000000000000001</v>
      </c>
      <c r="AK188">
        <v>0.63230240549828198</v>
      </c>
      <c r="AN188">
        <v>1.29</v>
      </c>
      <c r="AO188">
        <v>1</v>
      </c>
      <c r="AQ188">
        <v>0.125</v>
      </c>
      <c r="AR188">
        <v>0.799043062200957</v>
      </c>
      <c r="AT188">
        <v>0.24422442244224399</v>
      </c>
      <c r="AU188">
        <v>0.78000000000000003</v>
      </c>
      <c r="AV188">
        <v>0.027333904402468901</v>
      </c>
      <c r="AW188" t="s">
        <v>296</v>
      </c>
    </row>
    <row r="189" spans="1:49" ht="12.75">
      <c r="A189" t="s">
        <v>295</v>
      </c>
      <c r="B189" t="s">
        <v>289</v>
      </c>
      <c r="C189" t="s">
        <v>148</v>
      </c>
      <c r="D189" t="s">
        <v>48</v>
      </c>
      <c r="E189" t="s">
        <v>296</v>
      </c>
      <c r="F189" t="s">
        <v>83</v>
      </c>
      <c r="G189" t="s">
        <v>474</v>
      </c>
      <c r="H189" t="s">
        <v>296</v>
      </c>
      <c r="I189" t="s">
        <v>296</v>
      </c>
      <c r="J189" t="s">
        <v>296</v>
      </c>
      <c r="K189" t="s">
        <v>296</v>
      </c>
      <c r="M189">
        <v>0.77463658062725504</v>
      </c>
      <c r="N189">
        <v>6.2294865147598797</v>
      </c>
      <c r="O189">
        <v>0.86528858083531901</v>
      </c>
      <c r="S189">
        <v>1.4316330939134401</v>
      </c>
      <c r="T189">
        <v>1.0236834451289101</v>
      </c>
      <c r="X189">
        <v>0.32537682172795701</v>
      </c>
      <c r="Y189">
        <v>0.92000000000000004</v>
      </c>
      <c r="Z189">
        <v>0.39921669126508402</v>
      </c>
      <c r="AB189">
        <v>1.62783766388558</v>
      </c>
      <c r="AM189">
        <v>1.1539584460983301</v>
      </c>
      <c r="AN189">
        <v>0.90858560311283998</v>
      </c>
      <c r="AO189">
        <v>1.24713773301639</v>
      </c>
      <c r="AQ189">
        <v>1.5111638504434299</v>
      </c>
      <c r="AR189">
        <v>1.8437240031897899</v>
      </c>
      <c r="AS189">
        <v>0.172600025484936</v>
      </c>
      <c r="AU189">
        <v>2.49869636264456</v>
      </c>
      <c r="AV189">
        <v>0.949927927438459</v>
      </c>
      <c r="AW189" t="s">
        <v>296</v>
      </c>
    </row>
    <row r="190" spans="1:49" ht="12.75">
      <c r="A190" t="s">
        <v>295</v>
      </c>
      <c r="B190" t="s">
        <v>289</v>
      </c>
      <c r="C190" t="s">
        <v>148</v>
      </c>
      <c r="D190" t="s">
        <v>49</v>
      </c>
      <c r="E190" t="s">
        <v>296</v>
      </c>
      <c r="F190" t="s">
        <v>83</v>
      </c>
      <c r="G190" t="s">
        <v>474</v>
      </c>
      <c r="H190" t="s">
        <v>296</v>
      </c>
      <c r="I190" t="s">
        <v>296</v>
      </c>
      <c r="J190" t="s">
        <v>296</v>
      </c>
      <c r="K190" t="s">
        <v>296</v>
      </c>
      <c r="M190">
        <v>0.00763252844851513</v>
      </c>
      <c r="Q190">
        <v>0.28999999999999998</v>
      </c>
      <c r="S190">
        <v>0.185</v>
      </c>
      <c r="X190">
        <v>0.55000000000000004</v>
      </c>
      <c r="Z190">
        <v>2.3100000000000001</v>
      </c>
      <c r="AE190">
        <v>0.20912856179349501</v>
      </c>
      <c r="AH190">
        <v>0.27000000000000002</v>
      </c>
      <c r="AI190">
        <v>0.037999999999999999</v>
      </c>
      <c r="AJ190">
        <v>0.66000000000000003</v>
      </c>
      <c r="AK190">
        <v>12.949999999999999</v>
      </c>
      <c r="AN190">
        <v>7.6976151750972797</v>
      </c>
      <c r="AO190">
        <v>0.22</v>
      </c>
      <c r="AP190">
        <v>0.128</v>
      </c>
      <c r="AQ190">
        <v>0.0088645549053540697</v>
      </c>
      <c r="AS190">
        <v>0.33000000000000002</v>
      </c>
      <c r="AU190">
        <v>0.23499999999999999</v>
      </c>
      <c r="AV190">
        <v>1.1156171492729401</v>
      </c>
      <c r="AW190" t="s">
        <v>296</v>
      </c>
    </row>
    <row r="191" spans="1:49" ht="12.75">
      <c r="A191" t="s">
        <v>295</v>
      </c>
      <c r="B191" t="s">
        <v>289</v>
      </c>
      <c r="C191" t="s">
        <v>148</v>
      </c>
      <c r="D191" t="s">
        <v>50</v>
      </c>
      <c r="E191" t="s">
        <v>296</v>
      </c>
      <c r="F191" t="s">
        <v>83</v>
      </c>
      <c r="G191" t="s">
        <v>474</v>
      </c>
      <c r="H191" t="s">
        <v>296</v>
      </c>
      <c r="I191" t="s">
        <v>296</v>
      </c>
      <c r="J191" t="s">
        <v>296</v>
      </c>
      <c r="K191" t="s">
        <v>296</v>
      </c>
      <c r="M191">
        <v>0.704829308909242</v>
      </c>
      <c r="O191">
        <v>0.78756393672394298</v>
      </c>
      <c r="S191">
        <v>0.510222691565407</v>
      </c>
      <c r="T191">
        <v>0.372934411362081</v>
      </c>
      <c r="X191">
        <v>0.209083724453895</v>
      </c>
      <c r="Y191">
        <v>0.88</v>
      </c>
      <c r="Z191">
        <v>0.64182185707798101</v>
      </c>
      <c r="AB191">
        <v>1.7640175208581601</v>
      </c>
      <c r="AM191">
        <v>1.0495270620959301</v>
      </c>
      <c r="AO191">
        <v>0.92827918803953402</v>
      </c>
      <c r="AS191">
        <v>0.30799671687990099</v>
      </c>
      <c r="AU191">
        <v>1.63182517455815</v>
      </c>
      <c r="AV191">
        <v>0.24297425417138699</v>
      </c>
      <c r="AW191" t="s">
        <v>296</v>
      </c>
    </row>
    <row r="192" spans="1:49" ht="12.75">
      <c r="A192" t="s">
        <v>295</v>
      </c>
      <c r="B192" t="s">
        <v>289</v>
      </c>
      <c r="C192" t="s">
        <v>148</v>
      </c>
      <c r="D192" t="s">
        <v>51</v>
      </c>
      <c r="E192" t="s">
        <v>296</v>
      </c>
      <c r="F192" t="s">
        <v>83</v>
      </c>
      <c r="G192" t="s">
        <v>474</v>
      </c>
      <c r="H192" t="s">
        <v>296</v>
      </c>
      <c r="I192" t="s">
        <v>296</v>
      </c>
      <c r="J192" t="s">
        <v>296</v>
      </c>
      <c r="K192" t="s">
        <v>296</v>
      </c>
      <c r="M192">
        <v>2.2711676380793802</v>
      </c>
      <c r="O192">
        <v>0.0271977753982184</v>
      </c>
      <c r="Q192">
        <v>0.042248120300751903</v>
      </c>
      <c r="S192">
        <v>2.2844392281442398</v>
      </c>
      <c r="X192">
        <v>0.045249620273205497</v>
      </c>
      <c r="Y192">
        <v>4.0599999999999996</v>
      </c>
      <c r="Z192">
        <v>0.029504723595431999</v>
      </c>
      <c r="AA192">
        <v>1.2</v>
      </c>
      <c r="AB192">
        <v>1.61047405244339</v>
      </c>
      <c r="AE192">
        <v>0.0499878682123902</v>
      </c>
      <c r="AG192">
        <v>0.93333333333333302</v>
      </c>
      <c r="AH192">
        <v>0.010989010989011</v>
      </c>
      <c r="AI192">
        <v>0.13129770992366399</v>
      </c>
      <c r="AJ192">
        <v>0.20999999999999999</v>
      </c>
      <c r="AK192">
        <v>2.5463917525773199</v>
      </c>
      <c r="AN192">
        <v>10.550000000000001</v>
      </c>
      <c r="AQ192">
        <v>0.65000000000000002</v>
      </c>
      <c r="AR192">
        <v>0.085108600478469895</v>
      </c>
      <c r="AS192">
        <v>0.55798229281881995</v>
      </c>
      <c r="AT192">
        <v>0.37623762376237602</v>
      </c>
      <c r="AU192">
        <v>0.21952084278856501</v>
      </c>
      <c r="AW192" t="s">
        <v>296</v>
      </c>
    </row>
    <row r="193" spans="1:49" ht="12.75">
      <c r="A193" t="s">
        <v>295</v>
      </c>
      <c r="B193" t="s">
        <v>289</v>
      </c>
      <c r="C193" t="s">
        <v>148</v>
      </c>
      <c r="D193" t="s">
        <v>37</v>
      </c>
      <c r="E193" t="s">
        <v>296</v>
      </c>
      <c r="F193" t="s">
        <v>83</v>
      </c>
      <c r="G193" t="s">
        <v>474</v>
      </c>
      <c r="H193" t="s">
        <v>296</v>
      </c>
      <c r="I193" t="s">
        <v>296</v>
      </c>
      <c r="J193" t="s">
        <v>296</v>
      </c>
      <c r="K193" t="s">
        <v>296</v>
      </c>
      <c r="M193">
        <v>0.51546849847349396</v>
      </c>
      <c r="N193">
        <v>2.28101648647413</v>
      </c>
      <c r="O193">
        <v>0.83499999999999996</v>
      </c>
      <c r="P193">
        <v>1.9251075268817199</v>
      </c>
      <c r="Q193">
        <v>1.9065714285714299</v>
      </c>
      <c r="S193">
        <v>0.88952997355299601</v>
      </c>
      <c r="T193">
        <v>1.0417823043577501</v>
      </c>
      <c r="U193">
        <v>2.3230769230769202</v>
      </c>
      <c r="W193">
        <v>0.39186051619989098</v>
      </c>
      <c r="X193">
        <v>1.2814179532368599</v>
      </c>
      <c r="Y193">
        <v>0.088999999999999996</v>
      </c>
      <c r="Z193">
        <v>0.68482284397301196</v>
      </c>
      <c r="AA193">
        <v>5.6631578947368402</v>
      </c>
      <c r="AB193">
        <v>0.066738402860548399</v>
      </c>
      <c r="AE193">
        <v>0.85232339991123995</v>
      </c>
      <c r="AF193">
        <v>11.644500000000001</v>
      </c>
      <c r="AG193">
        <v>0.266666666666667</v>
      </c>
      <c r="AH193">
        <v>1.0123704866562</v>
      </c>
      <c r="AI193">
        <v>0.013740458015267199</v>
      </c>
      <c r="AJ193">
        <v>0.60499999999999998</v>
      </c>
      <c r="AK193">
        <v>14.0584192439863</v>
      </c>
      <c r="AN193">
        <v>31.649999999999999</v>
      </c>
      <c r="AO193">
        <v>1.0149999999999999</v>
      </c>
      <c r="AP193">
        <v>0.79430421909696503</v>
      </c>
      <c r="AQ193">
        <v>4.7991534046627304</v>
      </c>
      <c r="AR193">
        <v>0.55500000000000005</v>
      </c>
      <c r="AS193">
        <v>0.216718131654973</v>
      </c>
      <c r="AT193">
        <v>2.3844884488448801</v>
      </c>
      <c r="AU193">
        <v>0.42432464215579302</v>
      </c>
      <c r="AW193" t="s">
        <v>296</v>
      </c>
    </row>
    <row r="194" spans="1:49" ht="12.75">
      <c r="A194" t="s">
        <v>295</v>
      </c>
      <c r="B194" t="s">
        <v>289</v>
      </c>
      <c r="C194" t="s">
        <v>148</v>
      </c>
      <c r="D194" t="s">
        <v>38</v>
      </c>
      <c r="E194" t="s">
        <v>296</v>
      </c>
      <c r="F194" t="s">
        <v>83</v>
      </c>
      <c r="G194" t="s">
        <v>474</v>
      </c>
      <c r="H194" t="s">
        <v>296</v>
      </c>
      <c r="I194" t="s">
        <v>296</v>
      </c>
      <c r="J194" t="s">
        <v>296</v>
      </c>
      <c r="K194" t="s">
        <v>296</v>
      </c>
      <c r="M194">
        <v>2.1567721343324999</v>
      </c>
      <c r="N194">
        <v>1.6245911601555301</v>
      </c>
      <c r="O194">
        <v>2.0302171077386202</v>
      </c>
      <c r="P194">
        <v>2.1418279569892502</v>
      </c>
      <c r="Q194">
        <v>1.68645112781955</v>
      </c>
      <c r="S194">
        <v>2.2917060155162798</v>
      </c>
      <c r="T194">
        <v>2.1013540953684702</v>
      </c>
      <c r="U194">
        <v>2.9653846153846199</v>
      </c>
      <c r="W194">
        <v>0.14556672158154901</v>
      </c>
      <c r="X194">
        <v>0.22877543902588299</v>
      </c>
      <c r="Y194">
        <v>0.089999999999999997</v>
      </c>
      <c r="Z194">
        <v>1.7690029842999899</v>
      </c>
      <c r="AA194">
        <v>7.7947368421052596</v>
      </c>
      <c r="AB194">
        <v>1.42284266984505</v>
      </c>
      <c r="AE194">
        <v>1.9119480799720201</v>
      </c>
      <c r="AH194">
        <v>1.8181632653061199</v>
      </c>
      <c r="AI194">
        <v>4.0988549618320604</v>
      </c>
      <c r="AK194">
        <v>3.3934707903780099</v>
      </c>
      <c r="AM194">
        <v>1.4583549842129</v>
      </c>
      <c r="AO194">
        <v>1.7854979356937299</v>
      </c>
      <c r="AP194">
        <v>0.76128793486306401</v>
      </c>
      <c r="AQ194">
        <v>4.4413625369524299</v>
      </c>
      <c r="AR194">
        <v>0.740074960127592</v>
      </c>
      <c r="AT194">
        <v>4.4686468646864697</v>
      </c>
      <c r="AU194">
        <v>1.3785577132882401</v>
      </c>
      <c r="AV194">
        <v>1.6543815016994501</v>
      </c>
      <c r="AW194" t="s">
        <v>296</v>
      </c>
    </row>
    <row r="195" spans="1:49" ht="12.75">
      <c r="A195" t="s">
        <v>295</v>
      </c>
      <c r="B195" t="s">
        <v>289</v>
      </c>
      <c r="C195" t="s">
        <v>148</v>
      </c>
      <c r="D195" t="s">
        <v>43</v>
      </c>
      <c r="E195" t="s">
        <v>296</v>
      </c>
      <c r="F195" t="s">
        <v>83</v>
      </c>
      <c r="G195" t="s">
        <v>474</v>
      </c>
      <c r="H195" t="s">
        <v>296</v>
      </c>
      <c r="I195" t="s">
        <v>296</v>
      </c>
      <c r="J195" t="s">
        <v>296</v>
      </c>
      <c r="K195" t="s">
        <v>296</v>
      </c>
      <c r="L195">
        <v>1.14082051282051</v>
      </c>
      <c r="M195">
        <v>1.15666994171524</v>
      </c>
      <c r="Q195">
        <v>0.030060150375939801</v>
      </c>
      <c r="S195">
        <v>0.143272552297976</v>
      </c>
      <c r="T195">
        <v>0.132763198722336</v>
      </c>
      <c r="U195">
        <v>0.15769230769230799</v>
      </c>
      <c r="W195">
        <v>0.065897858319604596</v>
      </c>
      <c r="X195">
        <v>0.84923938719941305</v>
      </c>
      <c r="Y195">
        <v>2.4849999999999999</v>
      </c>
      <c r="AA195">
        <v>0.326315789473684</v>
      </c>
      <c r="AE195">
        <v>0.00602993221917816</v>
      </c>
      <c r="AI195">
        <v>1.4809160305343501</v>
      </c>
      <c r="AJ195">
        <v>3.145</v>
      </c>
      <c r="AK195">
        <v>10.6357388316151</v>
      </c>
      <c r="AN195">
        <v>0.068093385214007804</v>
      </c>
      <c r="AP195">
        <v>0.029607698001480401</v>
      </c>
      <c r="AS195">
        <v>0.81792841106066905</v>
      </c>
      <c r="AW195" t="s">
        <v>296</v>
      </c>
    </row>
    <row r="196" spans="1:49" ht="12.75">
      <c r="A196" t="s">
        <v>295</v>
      </c>
      <c r="B196" t="s">
        <v>289</v>
      </c>
      <c r="C196" t="s">
        <v>148</v>
      </c>
      <c r="D196" t="s">
        <v>39</v>
      </c>
      <c r="E196" t="s">
        <v>296</v>
      </c>
      <c r="F196" t="s">
        <v>83</v>
      </c>
      <c r="G196" t="s">
        <v>474</v>
      </c>
      <c r="H196" t="s">
        <v>296</v>
      </c>
      <c r="I196" t="s">
        <v>296</v>
      </c>
      <c r="J196" t="s">
        <v>296</v>
      </c>
      <c r="K196" t="s">
        <v>296</v>
      </c>
      <c r="L196">
        <v>0.32764102564102598</v>
      </c>
      <c r="O196">
        <v>0.064593001379656304</v>
      </c>
      <c r="Q196">
        <v>0.288263157894737</v>
      </c>
      <c r="T196">
        <v>0.0293634496919918</v>
      </c>
      <c r="U196">
        <v>0.15384615384615399</v>
      </c>
      <c r="W196">
        <v>0.023613399231191701</v>
      </c>
      <c r="X196">
        <v>0.13651104448387699</v>
      </c>
      <c r="Y196">
        <v>0.042431761786600498</v>
      </c>
      <c r="Z196">
        <v>0.016673154275334098</v>
      </c>
      <c r="AB196">
        <v>0.050059594755661498</v>
      </c>
      <c r="AE196">
        <v>0.033087378640776703</v>
      </c>
      <c r="AH196">
        <v>0.0333594976452119</v>
      </c>
      <c r="AK196">
        <v>0.59106529209622005</v>
      </c>
      <c r="AM196">
        <v>0.0192452262817621</v>
      </c>
      <c r="AN196">
        <v>0.58754863813229596</v>
      </c>
      <c r="AO196">
        <v>0.0106343050168898</v>
      </c>
      <c r="AP196">
        <v>0.062916358253145802</v>
      </c>
      <c r="AQ196">
        <v>0.011287288363343201</v>
      </c>
      <c r="AR196">
        <v>0.035885167464114798</v>
      </c>
      <c r="AS196">
        <v>0.11514651258770101</v>
      </c>
      <c r="AT196">
        <v>0.069306930693069299</v>
      </c>
      <c r="AW196" t="s">
        <v>296</v>
      </c>
    </row>
    <row r="197" spans="1:49" ht="12.75">
      <c r="A197" t="s">
        <v>295</v>
      </c>
      <c r="B197" t="s">
        <v>289</v>
      </c>
      <c r="C197" t="s">
        <v>148</v>
      </c>
      <c r="D197" t="s">
        <v>44</v>
      </c>
      <c r="E197" t="s">
        <v>296</v>
      </c>
      <c r="F197" t="s">
        <v>83</v>
      </c>
      <c r="G197" t="s">
        <v>474</v>
      </c>
      <c r="H197" t="s">
        <v>296</v>
      </c>
      <c r="I197" t="s">
        <v>296</v>
      </c>
      <c r="J197" t="s">
        <v>296</v>
      </c>
      <c r="K197" t="s">
        <v>296</v>
      </c>
      <c r="T197">
        <v>0.0473676705452886</v>
      </c>
      <c r="U197">
        <v>0.17692307692307699</v>
      </c>
      <c r="X197">
        <v>0.090069142752248699</v>
      </c>
      <c r="Y197">
        <v>0.96999999999999997</v>
      </c>
      <c r="AE197">
        <v>0.013360088948410899</v>
      </c>
      <c r="AJ197">
        <v>4.4400000000000004</v>
      </c>
      <c r="AN197">
        <v>0.26848249027237397</v>
      </c>
      <c r="AP197">
        <v>0.034048852701702402</v>
      </c>
      <c r="AS197">
        <v>1.33588526619893</v>
      </c>
      <c r="AT197">
        <v>0.15181518151815199</v>
      </c>
      <c r="AW197" t="s">
        <v>296</v>
      </c>
    </row>
    <row r="198" spans="1:49" ht="12.75">
      <c r="A198" t="s">
        <v>295</v>
      </c>
      <c r="B198" t="s">
        <v>289</v>
      </c>
      <c r="C198" t="s">
        <v>148</v>
      </c>
      <c r="D198" t="s">
        <v>52</v>
      </c>
      <c r="E198" t="s">
        <v>296</v>
      </c>
      <c r="F198" t="s">
        <v>83</v>
      </c>
      <c r="G198" t="s">
        <v>474</v>
      </c>
      <c r="H198" t="s">
        <v>296</v>
      </c>
      <c r="I198" t="s">
        <v>296</v>
      </c>
      <c r="J198" t="s">
        <v>296</v>
      </c>
      <c r="K198" t="s">
        <v>296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S198">
        <v>1</v>
      </c>
      <c r="T198">
        <v>1</v>
      </c>
      <c r="U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 t="s">
        <v>296</v>
      </c>
    </row>
    <row r="199" spans="1:49" ht="12.75">
      <c r="A199" t="s">
        <v>295</v>
      </c>
      <c r="B199" t="s">
        <v>289</v>
      </c>
      <c r="C199" t="s">
        <v>149</v>
      </c>
      <c r="D199" t="s">
        <v>51</v>
      </c>
      <c r="E199" t="s">
        <v>296</v>
      </c>
      <c r="F199" t="s">
        <v>83</v>
      </c>
      <c r="G199" t="s">
        <v>474</v>
      </c>
      <c r="H199" t="s">
        <v>296</v>
      </c>
      <c r="I199" t="s">
        <v>296</v>
      </c>
      <c r="J199" t="s">
        <v>296</v>
      </c>
      <c r="K199" t="s">
        <v>296</v>
      </c>
      <c r="L199">
        <v>1.01</v>
      </c>
      <c r="M199">
        <v>1.01</v>
      </c>
      <c r="N199">
        <v>1.01</v>
      </c>
      <c r="O199">
        <v>1.01</v>
      </c>
      <c r="P199">
        <v>1.01</v>
      </c>
      <c r="Q199">
        <v>1.01</v>
      </c>
      <c r="R199">
        <v>1.01</v>
      </c>
      <c r="S199">
        <v>1.01</v>
      </c>
      <c r="T199">
        <v>1.01</v>
      </c>
      <c r="U199">
        <v>1.01</v>
      </c>
      <c r="V199">
        <v>1.01</v>
      </c>
      <c r="W199">
        <v>1.01</v>
      </c>
      <c r="X199">
        <v>1.01</v>
      </c>
      <c r="Y199">
        <v>1.01</v>
      </c>
      <c r="Z199">
        <v>1.01</v>
      </c>
      <c r="AA199">
        <v>1.01</v>
      </c>
      <c r="AB199">
        <v>1.01</v>
      </c>
      <c r="AC199">
        <v>1.01</v>
      </c>
      <c r="AD199">
        <v>1.01</v>
      </c>
      <c r="AE199">
        <v>1.01</v>
      </c>
      <c r="AF199">
        <v>1.01</v>
      </c>
      <c r="AG199">
        <v>1.01</v>
      </c>
      <c r="AH199">
        <v>1.01</v>
      </c>
      <c r="AI199">
        <v>1.01</v>
      </c>
      <c r="AJ199">
        <v>1.01</v>
      </c>
      <c r="AK199">
        <v>1.01</v>
      </c>
      <c r="AL199">
        <v>1.01</v>
      </c>
      <c r="AM199">
        <v>0.88880000000000003</v>
      </c>
      <c r="AN199">
        <v>1.01</v>
      </c>
      <c r="AO199">
        <v>1.01</v>
      </c>
      <c r="AP199">
        <v>1.01</v>
      </c>
      <c r="AQ199">
        <v>1.01</v>
      </c>
      <c r="AR199">
        <v>1.01</v>
      </c>
      <c r="AS199">
        <v>1.01</v>
      </c>
      <c r="AT199">
        <v>1.01</v>
      </c>
      <c r="AU199">
        <v>1.01</v>
      </c>
      <c r="AV199">
        <v>1.01</v>
      </c>
      <c r="AW199" t="s">
        <v>296</v>
      </c>
    </row>
    <row r="200" spans="1:49" ht="12.75">
      <c r="A200" t="s">
        <v>295</v>
      </c>
      <c r="B200" t="s">
        <v>289</v>
      </c>
      <c r="C200" t="s">
        <v>149</v>
      </c>
      <c r="D200" t="s">
        <v>37</v>
      </c>
      <c r="E200" t="s">
        <v>296</v>
      </c>
      <c r="F200" t="s">
        <v>83</v>
      </c>
      <c r="G200" t="s">
        <v>474</v>
      </c>
      <c r="H200" t="s">
        <v>296</v>
      </c>
      <c r="I200" t="s">
        <v>296</v>
      </c>
      <c r="J200" t="s">
        <v>296</v>
      </c>
      <c r="K200" t="s">
        <v>296</v>
      </c>
      <c r="L200">
        <v>1.0716000000000001</v>
      </c>
      <c r="M200">
        <v>1.1399999999999999</v>
      </c>
      <c r="N200">
        <v>1.1399999999999999</v>
      </c>
      <c r="O200">
        <v>1.1399999999999999</v>
      </c>
      <c r="P200">
        <v>1.1399999999999999</v>
      </c>
      <c r="Q200">
        <v>1.1399999999999999</v>
      </c>
      <c r="R200">
        <v>1.1399999999999999</v>
      </c>
      <c r="S200">
        <v>1.1399999999999999</v>
      </c>
      <c r="T200">
        <v>0.90000000000000002</v>
      </c>
      <c r="U200">
        <v>1.1399999999999999</v>
      </c>
      <c r="V200">
        <v>1.1399999999999999</v>
      </c>
      <c r="W200">
        <v>1.1399999999999999</v>
      </c>
      <c r="X200">
        <v>1.1399999999999999</v>
      </c>
      <c r="Y200">
        <v>1.1399999999999999</v>
      </c>
      <c r="Z200">
        <v>1.1399999999999999</v>
      </c>
      <c r="AA200">
        <v>0.90000000000000002</v>
      </c>
      <c r="AB200">
        <v>0.90000000000000002</v>
      </c>
      <c r="AC200">
        <v>1.1399999999999999</v>
      </c>
      <c r="AD200">
        <v>1.1399999999999999</v>
      </c>
      <c r="AE200">
        <v>1.1399999999999999</v>
      </c>
      <c r="AF200">
        <v>1.1399999999999999</v>
      </c>
      <c r="AG200">
        <v>1.1399999999999999</v>
      </c>
      <c r="AH200">
        <v>1.1399999999999999</v>
      </c>
      <c r="AI200">
        <v>1.1399999999999999</v>
      </c>
      <c r="AJ200">
        <v>1.1399999999999999</v>
      </c>
      <c r="AK200">
        <v>1.1399999999999999</v>
      </c>
      <c r="AL200">
        <v>1.1399999999999999</v>
      </c>
      <c r="AM200">
        <v>1.026</v>
      </c>
      <c r="AN200">
        <v>1.1399999999999999</v>
      </c>
      <c r="AO200">
        <v>1.1399999999999999</v>
      </c>
      <c r="AP200">
        <v>1.1399999999999999</v>
      </c>
      <c r="AQ200">
        <v>1.1399999999999999</v>
      </c>
      <c r="AR200">
        <v>1.1399999999999999</v>
      </c>
      <c r="AS200">
        <v>1.1399999999999999</v>
      </c>
      <c r="AT200">
        <v>1.1399999999999999</v>
      </c>
      <c r="AU200">
        <v>1.1399999999999999</v>
      </c>
      <c r="AV200">
        <v>1.0716000000000001</v>
      </c>
      <c r="AW200" t="s">
        <v>296</v>
      </c>
    </row>
    <row r="201" spans="1:49" ht="12.75">
      <c r="A201" t="s">
        <v>295</v>
      </c>
      <c r="B201" t="s">
        <v>289</v>
      </c>
      <c r="C201" t="s">
        <v>149</v>
      </c>
      <c r="D201" t="s">
        <v>147</v>
      </c>
      <c r="E201" t="s">
        <v>296</v>
      </c>
      <c r="F201" t="s">
        <v>83</v>
      </c>
      <c r="G201" t="s">
        <v>474</v>
      </c>
      <c r="H201" t="s">
        <v>296</v>
      </c>
      <c r="I201" t="s">
        <v>296</v>
      </c>
      <c r="J201" t="s">
        <v>296</v>
      </c>
      <c r="K201" t="s">
        <v>296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1.2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 t="s">
        <v>296</v>
      </c>
    </row>
    <row r="202" spans="1:49" ht="12.75">
      <c r="A202" t="s">
        <v>295</v>
      </c>
      <c r="B202" t="s">
        <v>289</v>
      </c>
      <c r="C202" t="s">
        <v>149</v>
      </c>
      <c r="D202" t="s">
        <v>134</v>
      </c>
      <c r="E202" t="s">
        <v>296</v>
      </c>
      <c r="F202" t="s">
        <v>83</v>
      </c>
      <c r="G202" t="s">
        <v>474</v>
      </c>
      <c r="H202" t="s">
        <v>296</v>
      </c>
      <c r="I202" t="s">
        <v>296</v>
      </c>
      <c r="J202" t="s">
        <v>296</v>
      </c>
      <c r="K202" t="s">
        <v>296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 t="s">
        <v>296</v>
      </c>
    </row>
    <row r="203" spans="1:49" ht="12.75">
      <c r="A203" t="s">
        <v>295</v>
      </c>
      <c r="B203" t="s">
        <v>289</v>
      </c>
      <c r="C203" t="s">
        <v>150</v>
      </c>
      <c r="D203" t="s">
        <v>50</v>
      </c>
      <c r="E203" t="s">
        <v>296</v>
      </c>
      <c r="F203" t="s">
        <v>83</v>
      </c>
      <c r="G203" t="s">
        <v>474</v>
      </c>
      <c r="H203" t="s">
        <v>296</v>
      </c>
      <c r="I203" t="s">
        <v>296</v>
      </c>
      <c r="J203" t="s">
        <v>296</v>
      </c>
      <c r="K203" t="s">
        <v>296</v>
      </c>
      <c r="L203">
        <v>0.90000000000000002</v>
      </c>
      <c r="M203">
        <v>0.90000000000000002</v>
      </c>
      <c r="N203">
        <v>0</v>
      </c>
      <c r="O203">
        <v>0.90000000000000002</v>
      </c>
      <c r="P203">
        <v>0.90000000000000002</v>
      </c>
      <c r="Q203">
        <v>0.90000000000000002</v>
      </c>
      <c r="R203">
        <v>0.90000000000000002</v>
      </c>
      <c r="S203">
        <v>0.90000000000000002</v>
      </c>
      <c r="T203">
        <v>0.90000000000000002</v>
      </c>
      <c r="U203">
        <v>0.90000000000000002</v>
      </c>
      <c r="V203">
        <v>0.90000000000000002</v>
      </c>
      <c r="W203">
        <v>0.90000000000000002</v>
      </c>
      <c r="X203">
        <v>0.90000000000000002</v>
      </c>
      <c r="Y203">
        <v>0.90000000000000002</v>
      </c>
      <c r="Z203">
        <v>0.90000000000000002</v>
      </c>
      <c r="AA203">
        <v>0.90000000000000002</v>
      </c>
      <c r="AB203">
        <v>0.90000000000000002</v>
      </c>
      <c r="AC203">
        <v>0.90000000000000002</v>
      </c>
      <c r="AD203">
        <v>0.90000000000000002</v>
      </c>
      <c r="AE203">
        <v>0</v>
      </c>
      <c r="AF203">
        <v>0</v>
      </c>
      <c r="AG203">
        <v>0.90000000000000002</v>
      </c>
      <c r="AH203">
        <v>0.90000000000000002</v>
      </c>
      <c r="AI203">
        <v>0.90000000000000002</v>
      </c>
      <c r="AJ203">
        <v>0.90000000000000002</v>
      </c>
      <c r="AK203">
        <v>0.90000000000000002</v>
      </c>
      <c r="AL203">
        <v>0.90000000000000002</v>
      </c>
      <c r="AM203">
        <v>0.80000000000000004</v>
      </c>
      <c r="AN203">
        <v>0</v>
      </c>
      <c r="AO203">
        <v>0.90000000000000002</v>
      </c>
      <c r="AP203">
        <v>0.90000000000000002</v>
      </c>
      <c r="AQ203">
        <v>0</v>
      </c>
      <c r="AR203">
        <v>0</v>
      </c>
      <c r="AS203">
        <v>0.90000000000000002</v>
      </c>
      <c r="AT203">
        <v>0.90000000000000002</v>
      </c>
      <c r="AU203">
        <v>0.90000000000000002</v>
      </c>
      <c r="AV203">
        <v>0.70799999999999996</v>
      </c>
      <c r="AW203" t="s">
        <v>296</v>
      </c>
    </row>
    <row r="204" spans="1:49" ht="12.75">
      <c r="A204" t="s">
        <v>295</v>
      </c>
      <c r="B204" t="s">
        <v>289</v>
      </c>
      <c r="C204" t="s">
        <v>150</v>
      </c>
      <c r="D204" t="s">
        <v>51</v>
      </c>
      <c r="E204" t="s">
        <v>296</v>
      </c>
      <c r="F204" t="s">
        <v>83</v>
      </c>
      <c r="G204" t="s">
        <v>474</v>
      </c>
      <c r="H204" t="s">
        <v>296</v>
      </c>
      <c r="I204" t="s">
        <v>296</v>
      </c>
      <c r="J204" t="s">
        <v>296</v>
      </c>
      <c r="K204" t="s">
        <v>296</v>
      </c>
      <c r="L204">
        <v>0.90000000000000002</v>
      </c>
      <c r="M204">
        <v>0.90000000000000002</v>
      </c>
      <c r="N204">
        <v>0.90000000000000002</v>
      </c>
      <c r="O204">
        <v>0.90000000000000002</v>
      </c>
      <c r="P204">
        <v>0.90000000000000002</v>
      </c>
      <c r="Q204">
        <v>0.90000000000000002</v>
      </c>
      <c r="R204">
        <v>0.90000000000000002</v>
      </c>
      <c r="S204">
        <v>0.90000000000000002</v>
      </c>
      <c r="T204">
        <v>0.90000000000000002</v>
      </c>
      <c r="U204">
        <v>0.90000000000000002</v>
      </c>
      <c r="V204">
        <v>0.90000000000000002</v>
      </c>
      <c r="W204">
        <v>0.90000000000000002</v>
      </c>
      <c r="X204">
        <v>0.90000000000000002</v>
      </c>
      <c r="Y204">
        <v>0.90000000000000002</v>
      </c>
      <c r="Z204">
        <v>0.90000000000000002</v>
      </c>
      <c r="AA204">
        <v>0.90000000000000002</v>
      </c>
      <c r="AB204">
        <v>0.90000000000000002</v>
      </c>
      <c r="AC204">
        <v>0.90000000000000002</v>
      </c>
      <c r="AD204">
        <v>0.90000000000000002</v>
      </c>
      <c r="AE204">
        <v>0.90000000000000002</v>
      </c>
      <c r="AF204">
        <v>0.90000000000000002</v>
      </c>
      <c r="AG204">
        <v>0.90000000000000002</v>
      </c>
      <c r="AH204">
        <v>0.90000000000000002</v>
      </c>
      <c r="AI204">
        <v>0.90000000000000002</v>
      </c>
      <c r="AJ204">
        <v>0.90000000000000002</v>
      </c>
      <c r="AK204">
        <v>0.90000000000000002</v>
      </c>
      <c r="AL204">
        <v>0.90000000000000002</v>
      </c>
      <c r="AM204">
        <v>0.79200000000000004</v>
      </c>
      <c r="AN204">
        <v>1.8</v>
      </c>
      <c r="AO204">
        <v>0.90000000000000002</v>
      </c>
      <c r="AP204">
        <v>0.90000000000000002</v>
      </c>
      <c r="AQ204">
        <v>1.8</v>
      </c>
      <c r="AR204">
        <v>1.8</v>
      </c>
      <c r="AS204">
        <v>0.90000000000000002</v>
      </c>
      <c r="AT204">
        <v>0.90000000000000002</v>
      </c>
      <c r="AU204">
        <v>0.90000000000000002</v>
      </c>
      <c r="AV204">
        <v>0.90000000000000002</v>
      </c>
      <c r="AW204" t="s">
        <v>296</v>
      </c>
    </row>
    <row r="205" spans="1:49" ht="12.75">
      <c r="A205" t="s">
        <v>295</v>
      </c>
      <c r="B205" t="s">
        <v>289</v>
      </c>
      <c r="C205" t="s">
        <v>150</v>
      </c>
      <c r="D205" t="s">
        <v>37</v>
      </c>
      <c r="E205" t="s">
        <v>296</v>
      </c>
      <c r="F205" t="s">
        <v>83</v>
      </c>
      <c r="G205" t="s">
        <v>474</v>
      </c>
      <c r="H205" t="s">
        <v>296</v>
      </c>
      <c r="I205" t="s">
        <v>296</v>
      </c>
      <c r="J205" t="s">
        <v>296</v>
      </c>
      <c r="K205" t="s">
        <v>296</v>
      </c>
      <c r="L205">
        <v>0.1128</v>
      </c>
      <c r="M205">
        <v>0.12</v>
      </c>
      <c r="N205">
        <v>0.12</v>
      </c>
      <c r="O205">
        <v>0.12</v>
      </c>
      <c r="P205">
        <v>0.12</v>
      </c>
      <c r="Q205">
        <v>0.12</v>
      </c>
      <c r="R205">
        <v>0.12</v>
      </c>
      <c r="S205">
        <v>0.12</v>
      </c>
      <c r="T205">
        <v>0.12</v>
      </c>
      <c r="U205">
        <v>0.12</v>
      </c>
      <c r="V205">
        <v>0.12</v>
      </c>
      <c r="W205">
        <v>0.12</v>
      </c>
      <c r="X205">
        <v>0.12</v>
      </c>
      <c r="Y205">
        <v>0.12</v>
      </c>
      <c r="Z205">
        <v>0.12</v>
      </c>
      <c r="AA205">
        <v>0.12</v>
      </c>
      <c r="AB205">
        <v>0.12</v>
      </c>
      <c r="AC205">
        <v>0.12</v>
      </c>
      <c r="AD205">
        <v>0.12</v>
      </c>
      <c r="AE205">
        <v>0.12</v>
      </c>
      <c r="AF205">
        <v>0.12</v>
      </c>
      <c r="AG205">
        <v>0.12</v>
      </c>
      <c r="AH205">
        <v>0.12</v>
      </c>
      <c r="AI205">
        <v>0.12</v>
      </c>
      <c r="AJ205">
        <v>0.12</v>
      </c>
      <c r="AK205">
        <v>0.12</v>
      </c>
      <c r="AL205">
        <v>0.12</v>
      </c>
      <c r="AM205">
        <v>0.12</v>
      </c>
      <c r="AN205">
        <v>0.12</v>
      </c>
      <c r="AO205">
        <v>0.12</v>
      </c>
      <c r="AP205">
        <v>0.12</v>
      </c>
      <c r="AQ205">
        <v>0.12</v>
      </c>
      <c r="AR205">
        <v>0.12</v>
      </c>
      <c r="AS205">
        <v>0.12</v>
      </c>
      <c r="AT205">
        <v>0.12</v>
      </c>
      <c r="AU205">
        <v>0.12</v>
      </c>
      <c r="AV205">
        <v>0.1128</v>
      </c>
      <c r="AW205" t="s">
        <v>296</v>
      </c>
    </row>
    <row r="206" spans="1:49" ht="12.75">
      <c r="A206" t="s">
        <v>295</v>
      </c>
      <c r="B206" t="s">
        <v>289</v>
      </c>
      <c r="C206" t="s">
        <v>150</v>
      </c>
      <c r="D206" t="s">
        <v>147</v>
      </c>
      <c r="E206" t="s">
        <v>296</v>
      </c>
      <c r="F206" t="s">
        <v>83</v>
      </c>
      <c r="G206" t="s">
        <v>474</v>
      </c>
      <c r="H206" t="s">
        <v>296</v>
      </c>
      <c r="I206" t="s">
        <v>296</v>
      </c>
      <c r="J206" t="s">
        <v>296</v>
      </c>
      <c r="K206" t="s">
        <v>296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1.2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 t="s">
        <v>296</v>
      </c>
    </row>
    <row r="207" spans="1:49" ht="12.75">
      <c r="A207" t="s">
        <v>295</v>
      </c>
      <c r="B207" t="s">
        <v>289</v>
      </c>
      <c r="C207" t="s">
        <v>150</v>
      </c>
      <c r="D207" t="s">
        <v>135</v>
      </c>
      <c r="E207" t="s">
        <v>296</v>
      </c>
      <c r="F207" t="s">
        <v>83</v>
      </c>
      <c r="G207" t="s">
        <v>474</v>
      </c>
      <c r="H207" t="s">
        <v>296</v>
      </c>
      <c r="I207" t="s">
        <v>296</v>
      </c>
      <c r="J207" t="s">
        <v>296</v>
      </c>
      <c r="K207" t="s">
        <v>296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 t="s">
        <v>296</v>
      </c>
    </row>
    <row r="208" spans="1:49" ht="12.75">
      <c r="A208" t="s">
        <v>295</v>
      </c>
      <c r="B208" t="s">
        <v>289</v>
      </c>
      <c r="C208" t="s">
        <v>151</v>
      </c>
      <c r="D208" t="s">
        <v>37</v>
      </c>
      <c r="E208" t="s">
        <v>296</v>
      </c>
      <c r="F208" t="s">
        <v>83</v>
      </c>
      <c r="G208" t="s">
        <v>474</v>
      </c>
      <c r="H208" t="s">
        <v>296</v>
      </c>
      <c r="I208" t="s">
        <v>296</v>
      </c>
      <c r="J208" t="s">
        <v>296</v>
      </c>
      <c r="K208" t="s">
        <v>296</v>
      </c>
      <c r="L208">
        <v>0.252</v>
      </c>
      <c r="M208">
        <v>0.252</v>
      </c>
      <c r="N208">
        <v>0.252</v>
      </c>
      <c r="O208">
        <v>0.2016</v>
      </c>
      <c r="P208">
        <v>0.252</v>
      </c>
      <c r="Q208">
        <v>0.252</v>
      </c>
      <c r="R208">
        <v>0.252</v>
      </c>
      <c r="S208">
        <v>0.252</v>
      </c>
      <c r="T208">
        <v>0.252</v>
      </c>
      <c r="U208">
        <v>0.252</v>
      </c>
      <c r="V208">
        <v>0.252</v>
      </c>
      <c r="W208">
        <v>0.252</v>
      </c>
      <c r="X208">
        <v>0.252</v>
      </c>
      <c r="Y208">
        <v>0.252</v>
      </c>
      <c r="Z208">
        <v>0.252</v>
      </c>
      <c r="AA208">
        <v>0.252</v>
      </c>
      <c r="AB208">
        <v>0.252</v>
      </c>
      <c r="AC208">
        <v>0.252</v>
      </c>
      <c r="AD208">
        <v>0.252</v>
      </c>
      <c r="AE208">
        <v>0.252</v>
      </c>
      <c r="AF208">
        <v>0.252</v>
      </c>
      <c r="AG208">
        <v>0.252</v>
      </c>
      <c r="AH208">
        <v>0.252</v>
      </c>
      <c r="AI208">
        <v>0.252</v>
      </c>
      <c r="AJ208">
        <v>0.252</v>
      </c>
      <c r="AK208">
        <v>0.252</v>
      </c>
      <c r="AL208">
        <v>0.252</v>
      </c>
      <c r="AM208">
        <v>0.252</v>
      </c>
      <c r="AN208">
        <v>0.252</v>
      </c>
      <c r="AO208">
        <v>0.252</v>
      </c>
      <c r="AP208">
        <v>0.252</v>
      </c>
      <c r="AQ208">
        <v>0.252</v>
      </c>
      <c r="AR208">
        <v>0.252</v>
      </c>
      <c r="AS208">
        <v>0.252</v>
      </c>
      <c r="AT208">
        <v>0.252</v>
      </c>
      <c r="AU208">
        <v>0.252</v>
      </c>
      <c r="AV208">
        <v>0.252</v>
      </c>
      <c r="AW208" t="s">
        <v>296</v>
      </c>
    </row>
    <row r="209" spans="1:49" ht="12.75">
      <c r="A209" t="s">
        <v>295</v>
      </c>
      <c r="B209" t="s">
        <v>289</v>
      </c>
      <c r="C209" t="s">
        <v>151</v>
      </c>
      <c r="D209" t="s">
        <v>124</v>
      </c>
      <c r="E209" t="s">
        <v>296</v>
      </c>
      <c r="F209" t="s">
        <v>83</v>
      </c>
      <c r="G209" t="s">
        <v>474</v>
      </c>
      <c r="H209" t="s">
        <v>296</v>
      </c>
      <c r="I209" t="s">
        <v>296</v>
      </c>
      <c r="J209" t="s">
        <v>296</v>
      </c>
      <c r="K209" t="s">
        <v>296</v>
      </c>
      <c r="L209">
        <v>1.786</v>
      </c>
      <c r="M209">
        <v>1.786</v>
      </c>
      <c r="N209">
        <v>1.786</v>
      </c>
      <c r="O209">
        <v>1.786</v>
      </c>
      <c r="P209">
        <v>1.786</v>
      </c>
      <c r="Q209">
        <v>1.786</v>
      </c>
      <c r="R209">
        <v>1.786</v>
      </c>
      <c r="S209">
        <v>1.786</v>
      </c>
      <c r="T209">
        <v>1.786</v>
      </c>
      <c r="U209">
        <v>1.786</v>
      </c>
      <c r="V209">
        <v>1.786</v>
      </c>
      <c r="W209">
        <v>1.786</v>
      </c>
      <c r="X209">
        <v>1.786</v>
      </c>
      <c r="Y209">
        <v>1.786</v>
      </c>
      <c r="Z209">
        <v>1.786</v>
      </c>
      <c r="AA209">
        <v>1.786</v>
      </c>
      <c r="AB209">
        <v>1.786</v>
      </c>
      <c r="AC209">
        <v>1.786</v>
      </c>
      <c r="AD209">
        <v>1.786</v>
      </c>
      <c r="AE209">
        <v>1.786</v>
      </c>
      <c r="AF209">
        <v>1.786</v>
      </c>
      <c r="AG209">
        <v>1.786</v>
      </c>
      <c r="AH209">
        <v>1.786</v>
      </c>
      <c r="AI209">
        <v>1.786</v>
      </c>
      <c r="AJ209">
        <v>1.786</v>
      </c>
      <c r="AK209">
        <v>1.786</v>
      </c>
      <c r="AL209">
        <v>1.786</v>
      </c>
      <c r="AM209">
        <v>1.786</v>
      </c>
      <c r="AN209">
        <v>1.786</v>
      </c>
      <c r="AO209">
        <v>1.786</v>
      </c>
      <c r="AP209">
        <v>1.786</v>
      </c>
      <c r="AQ209">
        <v>1.786</v>
      </c>
      <c r="AR209">
        <v>1.786</v>
      </c>
      <c r="AS209">
        <v>1.786</v>
      </c>
      <c r="AT209">
        <v>1.786</v>
      </c>
      <c r="AU209">
        <v>1.786</v>
      </c>
      <c r="AV209">
        <v>1.786</v>
      </c>
      <c r="AW209" t="s">
        <v>296</v>
      </c>
    </row>
    <row r="210" spans="1:49" ht="12.75">
      <c r="A210" t="s">
        <v>295</v>
      </c>
      <c r="B210" t="s">
        <v>289</v>
      </c>
      <c r="C210" t="s">
        <v>327</v>
      </c>
      <c r="D210" t="s">
        <v>37</v>
      </c>
      <c r="E210" t="s">
        <v>296</v>
      </c>
      <c r="F210" t="s">
        <v>83</v>
      </c>
      <c r="G210" t="s">
        <v>474</v>
      </c>
      <c r="H210" t="s">
        <v>296</v>
      </c>
      <c r="I210" t="s">
        <v>296</v>
      </c>
      <c r="J210" t="s">
        <v>296</v>
      </c>
      <c r="K210" t="s">
        <v>296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 t="s">
        <v>296</v>
      </c>
    </row>
    <row r="211" spans="1:49" ht="12.75">
      <c r="A211" t="s">
        <v>295</v>
      </c>
      <c r="B211" t="s">
        <v>289</v>
      </c>
      <c r="C211" t="s">
        <v>328</v>
      </c>
      <c r="D211" t="s">
        <v>155</v>
      </c>
      <c r="E211" t="s">
        <v>296</v>
      </c>
      <c r="F211" t="s">
        <v>83</v>
      </c>
      <c r="G211" t="s">
        <v>474</v>
      </c>
      <c r="H211" t="s">
        <v>296</v>
      </c>
      <c r="I211" t="s">
        <v>296</v>
      </c>
      <c r="J211" t="s">
        <v>296</v>
      </c>
      <c r="K211" t="s">
        <v>296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2</v>
      </c>
      <c r="AB211">
        <v>2</v>
      </c>
      <c r="AC211">
        <v>2</v>
      </c>
      <c r="AD211">
        <v>2</v>
      </c>
      <c r="AE211">
        <v>2</v>
      </c>
      <c r="AF211">
        <v>2</v>
      </c>
      <c r="AG211">
        <v>2</v>
      </c>
      <c r="AH211">
        <v>2</v>
      </c>
      <c r="AI211">
        <v>2</v>
      </c>
      <c r="AJ211">
        <v>2</v>
      </c>
      <c r="AK211">
        <v>2</v>
      </c>
      <c r="AL211">
        <v>2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2</v>
      </c>
      <c r="AT211">
        <v>2</v>
      </c>
      <c r="AU211">
        <v>2</v>
      </c>
      <c r="AV211">
        <v>2</v>
      </c>
      <c r="AW211" t="s">
        <v>296</v>
      </c>
    </row>
    <row r="212" spans="1:49" ht="12.75">
      <c r="A212" t="s">
        <v>295</v>
      </c>
      <c r="B212" t="s">
        <v>289</v>
      </c>
      <c r="C212" t="s">
        <v>329</v>
      </c>
      <c r="D212" t="s">
        <v>49</v>
      </c>
      <c r="E212" t="s">
        <v>296</v>
      </c>
      <c r="F212" t="s">
        <v>83</v>
      </c>
      <c r="G212" t="s">
        <v>474</v>
      </c>
      <c r="H212" t="s">
        <v>296</v>
      </c>
      <c r="I212" t="s">
        <v>296</v>
      </c>
      <c r="J212" t="s">
        <v>296</v>
      </c>
      <c r="K212" t="s">
        <v>296</v>
      </c>
      <c r="L212">
        <v>2</v>
      </c>
      <c r="M212">
        <v>2</v>
      </c>
      <c r="N212">
        <v>2</v>
      </c>
      <c r="O212">
        <v>2.8700000000000001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2</v>
      </c>
      <c r="V212">
        <v>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2</v>
      </c>
      <c r="AR212">
        <v>2</v>
      </c>
      <c r="AS212">
        <v>2</v>
      </c>
      <c r="AT212">
        <v>2</v>
      </c>
      <c r="AU212">
        <v>2</v>
      </c>
      <c r="AV212">
        <v>2</v>
      </c>
      <c r="AW212" t="s">
        <v>296</v>
      </c>
    </row>
    <row r="213" spans="1:49" ht="12.75">
      <c r="A213" t="s">
        <v>295</v>
      </c>
      <c r="B213" t="s">
        <v>289</v>
      </c>
      <c r="C213" t="s">
        <v>330</v>
      </c>
      <c r="D213" t="s">
        <v>51</v>
      </c>
      <c r="E213" t="s">
        <v>296</v>
      </c>
      <c r="F213" t="s">
        <v>83</v>
      </c>
      <c r="G213" t="s">
        <v>474</v>
      </c>
      <c r="H213" t="s">
        <v>296</v>
      </c>
      <c r="I213" t="s">
        <v>296</v>
      </c>
      <c r="J213" t="s">
        <v>296</v>
      </c>
      <c r="K213" t="s">
        <v>296</v>
      </c>
      <c r="L213">
        <v>2</v>
      </c>
      <c r="M213">
        <v>2</v>
      </c>
      <c r="N213">
        <v>2</v>
      </c>
      <c r="O213">
        <v>2.8700000000000001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2</v>
      </c>
      <c r="AD213">
        <v>2</v>
      </c>
      <c r="AE213">
        <v>2</v>
      </c>
      <c r="AF213">
        <v>2</v>
      </c>
      <c r="AG213">
        <v>2</v>
      </c>
      <c r="AH213">
        <v>2</v>
      </c>
      <c r="AI213">
        <v>2</v>
      </c>
      <c r="AJ213">
        <v>2</v>
      </c>
      <c r="AK213">
        <v>2</v>
      </c>
      <c r="AL213">
        <v>2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2</v>
      </c>
      <c r="AT213">
        <v>2</v>
      </c>
      <c r="AU213">
        <v>2</v>
      </c>
      <c r="AV213">
        <v>2</v>
      </c>
      <c r="AW213" t="s">
        <v>296</v>
      </c>
    </row>
    <row r="214" spans="1:49" ht="12.75">
      <c r="A214" t="s">
        <v>295</v>
      </c>
      <c r="B214" t="s">
        <v>289</v>
      </c>
      <c r="C214" t="s">
        <v>331</v>
      </c>
      <c r="D214" t="s">
        <v>37</v>
      </c>
      <c r="E214" t="s">
        <v>296</v>
      </c>
      <c r="F214" t="s">
        <v>83</v>
      </c>
      <c r="G214" t="s">
        <v>474</v>
      </c>
      <c r="H214" t="s">
        <v>296</v>
      </c>
      <c r="I214" t="s">
        <v>296</v>
      </c>
      <c r="J214" t="s">
        <v>296</v>
      </c>
      <c r="K214" t="s">
        <v>296</v>
      </c>
      <c r="L214">
        <v>1.0526315789473699</v>
      </c>
      <c r="M214">
        <v>1.0526315789473699</v>
      </c>
      <c r="N214">
        <v>1.0526315789473699</v>
      </c>
      <c r="O214">
        <v>1.0526315789473699</v>
      </c>
      <c r="P214">
        <v>1.0526315789473699</v>
      </c>
      <c r="Q214">
        <v>1.0526315789473699</v>
      </c>
      <c r="R214">
        <v>1.0526315789473699</v>
      </c>
      <c r="S214">
        <v>1.0526315789473699</v>
      </c>
      <c r="T214">
        <v>1.0526315789473699</v>
      </c>
      <c r="U214">
        <v>1.0526315789473699</v>
      </c>
      <c r="V214">
        <v>1.0526315789473699</v>
      </c>
      <c r="W214">
        <v>1.0526315789473699</v>
      </c>
      <c r="X214">
        <v>1.0526315789473699</v>
      </c>
      <c r="Y214">
        <v>1.0526315789473699</v>
      </c>
      <c r="Z214">
        <v>1.0526315789473699</v>
      </c>
      <c r="AA214">
        <v>1.0526315789473699</v>
      </c>
      <c r="AB214">
        <v>1.0526315789473699</v>
      </c>
      <c r="AC214">
        <v>1.0526315789473699</v>
      </c>
      <c r="AD214">
        <v>1.0526315789473699</v>
      </c>
      <c r="AE214">
        <v>1.0526315789473699</v>
      </c>
      <c r="AF214">
        <v>1.0526315789473699</v>
      </c>
      <c r="AG214">
        <v>1.0526315789473699</v>
      </c>
      <c r="AH214">
        <v>1.0526315789473699</v>
      </c>
      <c r="AI214">
        <v>1.0526315789473699</v>
      </c>
      <c r="AJ214">
        <v>1.0526315789473699</v>
      </c>
      <c r="AK214">
        <v>1.0526315789473699</v>
      </c>
      <c r="AL214">
        <v>1.0526315789473699</v>
      </c>
      <c r="AM214">
        <v>1.0526315789473699</v>
      </c>
      <c r="AN214">
        <v>1.0526315789473699</v>
      </c>
      <c r="AO214">
        <v>1.0526315789473699</v>
      </c>
      <c r="AP214">
        <v>1.0526315789473699</v>
      </c>
      <c r="AQ214">
        <v>1.0526315789473699</v>
      </c>
      <c r="AR214">
        <v>1.0526315789473699</v>
      </c>
      <c r="AS214">
        <v>1.0526315789473699</v>
      </c>
      <c r="AT214">
        <v>1.0526315789473699</v>
      </c>
      <c r="AU214">
        <v>1.0526315789473699</v>
      </c>
      <c r="AV214">
        <v>1.0526315789473699</v>
      </c>
      <c r="AW214" t="s">
        <v>296</v>
      </c>
    </row>
    <row r="215" spans="1:49" ht="12.75">
      <c r="A215" t="s">
        <v>295</v>
      </c>
      <c r="B215" t="s">
        <v>289</v>
      </c>
      <c r="C215" t="s">
        <v>332</v>
      </c>
      <c r="D215" t="s">
        <v>38</v>
      </c>
      <c r="E215" t="s">
        <v>296</v>
      </c>
      <c r="F215" t="s">
        <v>83</v>
      </c>
      <c r="G215" t="s">
        <v>474</v>
      </c>
      <c r="H215" t="s">
        <v>296</v>
      </c>
      <c r="I215" t="s">
        <v>296</v>
      </c>
      <c r="J215" t="s">
        <v>296</v>
      </c>
      <c r="K215" t="s">
        <v>296</v>
      </c>
      <c r="L215">
        <v>2</v>
      </c>
      <c r="M215">
        <v>2</v>
      </c>
      <c r="N215">
        <v>2</v>
      </c>
      <c r="O215">
        <v>2.8700000000000001</v>
      </c>
      <c r="P215">
        <v>2</v>
      </c>
      <c r="Q215">
        <v>2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2</v>
      </c>
      <c r="AT215">
        <v>2</v>
      </c>
      <c r="AU215">
        <v>2</v>
      </c>
      <c r="AV215">
        <v>2</v>
      </c>
      <c r="AW215" t="s">
        <v>296</v>
      </c>
    </row>
    <row r="216" spans="1:49" ht="12.75">
      <c r="A216" t="s">
        <v>295</v>
      </c>
      <c r="B216" t="s">
        <v>289</v>
      </c>
      <c r="C216" t="s">
        <v>333</v>
      </c>
      <c r="D216" t="s">
        <v>43</v>
      </c>
      <c r="E216" t="s">
        <v>296</v>
      </c>
      <c r="F216" t="s">
        <v>83</v>
      </c>
      <c r="G216" t="s">
        <v>474</v>
      </c>
      <c r="H216" t="s">
        <v>296</v>
      </c>
      <c r="I216" t="s">
        <v>296</v>
      </c>
      <c r="J216" t="s">
        <v>296</v>
      </c>
      <c r="K216" t="s">
        <v>296</v>
      </c>
      <c r="L216">
        <v>2</v>
      </c>
      <c r="M216">
        <v>2</v>
      </c>
      <c r="N216">
        <v>2</v>
      </c>
      <c r="O216">
        <v>2.8700000000000001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2</v>
      </c>
      <c r="AB216">
        <v>2</v>
      </c>
      <c r="AC216">
        <v>2</v>
      </c>
      <c r="AD216">
        <v>2</v>
      </c>
      <c r="AE216">
        <v>2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2</v>
      </c>
      <c r="AU216">
        <v>2</v>
      </c>
      <c r="AV216">
        <v>2</v>
      </c>
      <c r="AW216" t="s">
        <v>296</v>
      </c>
    </row>
    <row r="217" spans="1:49" ht="12.75">
      <c r="A217" t="s">
        <v>295</v>
      </c>
      <c r="B217" t="s">
        <v>289</v>
      </c>
      <c r="C217" t="s">
        <v>334</v>
      </c>
      <c r="D217" t="s">
        <v>39</v>
      </c>
      <c r="E217" t="s">
        <v>296</v>
      </c>
      <c r="F217" t="s">
        <v>83</v>
      </c>
      <c r="G217" t="s">
        <v>474</v>
      </c>
      <c r="H217" t="s">
        <v>296</v>
      </c>
      <c r="I217" t="s">
        <v>296</v>
      </c>
      <c r="J217" t="s">
        <v>296</v>
      </c>
      <c r="K217" t="s">
        <v>296</v>
      </c>
      <c r="L217">
        <v>2</v>
      </c>
      <c r="M217">
        <v>2</v>
      </c>
      <c r="N217">
        <v>2</v>
      </c>
      <c r="O217">
        <v>2.8700000000000001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2</v>
      </c>
      <c r="AT217">
        <v>2</v>
      </c>
      <c r="AU217">
        <v>2</v>
      </c>
      <c r="AV217">
        <v>2</v>
      </c>
      <c r="AW217" t="s">
        <v>296</v>
      </c>
    </row>
    <row r="218" spans="1:49" ht="12.75">
      <c r="A218" t="s">
        <v>295</v>
      </c>
      <c r="B218" t="s">
        <v>289</v>
      </c>
      <c r="C218" t="s">
        <v>335</v>
      </c>
      <c r="D218" t="s">
        <v>44</v>
      </c>
      <c r="E218" t="s">
        <v>296</v>
      </c>
      <c r="F218" t="s">
        <v>83</v>
      </c>
      <c r="G218" t="s">
        <v>474</v>
      </c>
      <c r="H218" t="s">
        <v>296</v>
      </c>
      <c r="I218" t="s">
        <v>296</v>
      </c>
      <c r="J218" t="s">
        <v>296</v>
      </c>
      <c r="K218" t="s">
        <v>296</v>
      </c>
      <c r="L218">
        <v>2</v>
      </c>
      <c r="M218">
        <v>2</v>
      </c>
      <c r="N218">
        <v>2</v>
      </c>
      <c r="O218">
        <v>2.8700000000000001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2</v>
      </c>
      <c r="AD218">
        <v>2</v>
      </c>
      <c r="AE218">
        <v>2</v>
      </c>
      <c r="AF218">
        <v>2</v>
      </c>
      <c r="AG218">
        <v>2</v>
      </c>
      <c r="AH218">
        <v>2</v>
      </c>
      <c r="AI218">
        <v>2</v>
      </c>
      <c r="AJ218">
        <v>2</v>
      </c>
      <c r="AK218">
        <v>2</v>
      </c>
      <c r="AL218">
        <v>2</v>
      </c>
      <c r="AM218">
        <v>2</v>
      </c>
      <c r="AN218">
        <v>2</v>
      </c>
      <c r="AO218">
        <v>2</v>
      </c>
      <c r="AP218">
        <v>2</v>
      </c>
      <c r="AQ218">
        <v>2</v>
      </c>
      <c r="AR218">
        <v>2</v>
      </c>
      <c r="AS218">
        <v>2</v>
      </c>
      <c r="AT218">
        <v>2</v>
      </c>
      <c r="AU218">
        <v>2</v>
      </c>
      <c r="AV218">
        <v>2</v>
      </c>
      <c r="AW218" t="s">
        <v>296</v>
      </c>
    </row>
    <row r="219" spans="1:49" ht="12.75">
      <c r="A219" t="s">
        <v>295</v>
      </c>
      <c r="B219" t="s">
        <v>289</v>
      </c>
      <c r="C219" t="s">
        <v>336</v>
      </c>
      <c r="D219" t="s">
        <v>155</v>
      </c>
      <c r="E219" t="s">
        <v>296</v>
      </c>
      <c r="F219" t="s">
        <v>83</v>
      </c>
      <c r="G219" t="s">
        <v>474</v>
      </c>
      <c r="H219" t="s">
        <v>296</v>
      </c>
      <c r="I219" t="s">
        <v>296</v>
      </c>
      <c r="J219" t="s">
        <v>296</v>
      </c>
      <c r="K219" t="s">
        <v>296</v>
      </c>
      <c r="L219">
        <v>1.25</v>
      </c>
      <c r="M219">
        <v>1.25</v>
      </c>
      <c r="N219">
        <v>1.25</v>
      </c>
      <c r="O219">
        <v>1.25</v>
      </c>
      <c r="P219">
        <v>1.25</v>
      </c>
      <c r="Q219">
        <v>1.25</v>
      </c>
      <c r="R219">
        <v>1.25</v>
      </c>
      <c r="S219">
        <v>1.25</v>
      </c>
      <c r="T219">
        <v>1.25</v>
      </c>
      <c r="U219">
        <v>1.25</v>
      </c>
      <c r="V219">
        <v>1.25</v>
      </c>
      <c r="W219">
        <v>1.25</v>
      </c>
      <c r="X219">
        <v>1.25</v>
      </c>
      <c r="Y219">
        <v>1.25</v>
      </c>
      <c r="Z219">
        <v>1.25</v>
      </c>
      <c r="AA219">
        <v>1.25</v>
      </c>
      <c r="AB219">
        <v>1.25</v>
      </c>
      <c r="AC219">
        <v>1.25</v>
      </c>
      <c r="AD219">
        <v>1.25</v>
      </c>
      <c r="AE219">
        <v>1.25</v>
      </c>
      <c r="AF219">
        <v>1.25</v>
      </c>
      <c r="AG219">
        <v>1.25</v>
      </c>
      <c r="AH219">
        <v>1.25</v>
      </c>
      <c r="AI219">
        <v>1.25</v>
      </c>
      <c r="AJ219">
        <v>1.25</v>
      </c>
      <c r="AK219">
        <v>1.25</v>
      </c>
      <c r="AL219">
        <v>1.25</v>
      </c>
      <c r="AM219">
        <v>1.25</v>
      </c>
      <c r="AN219">
        <v>1.25</v>
      </c>
      <c r="AO219">
        <v>1.25</v>
      </c>
      <c r="AP219">
        <v>1.25</v>
      </c>
      <c r="AQ219">
        <v>1.25</v>
      </c>
      <c r="AR219">
        <v>1.25</v>
      </c>
      <c r="AS219">
        <v>1.25</v>
      </c>
      <c r="AT219">
        <v>1.25</v>
      </c>
      <c r="AU219">
        <v>1.25</v>
      </c>
      <c r="AV219">
        <v>1.25</v>
      </c>
      <c r="AW219" t="s">
        <v>296</v>
      </c>
    </row>
    <row r="220" spans="1:49" ht="12.75">
      <c r="A220" t="s">
        <v>295</v>
      </c>
      <c r="B220" t="s">
        <v>289</v>
      </c>
      <c r="C220" t="s">
        <v>337</v>
      </c>
      <c r="D220" t="s">
        <v>49</v>
      </c>
      <c r="E220" t="s">
        <v>296</v>
      </c>
      <c r="F220" t="s">
        <v>83</v>
      </c>
      <c r="G220" t="s">
        <v>474</v>
      </c>
      <c r="H220" t="s">
        <v>296</v>
      </c>
      <c r="I220" t="s">
        <v>296</v>
      </c>
      <c r="J220" t="s">
        <v>296</v>
      </c>
      <c r="K220" t="s">
        <v>296</v>
      </c>
      <c r="L220">
        <v>1.25</v>
      </c>
      <c r="M220">
        <v>1.25</v>
      </c>
      <c r="N220">
        <v>1.25</v>
      </c>
      <c r="O220">
        <v>1.25</v>
      </c>
      <c r="P220">
        <v>1.25</v>
      </c>
      <c r="Q220">
        <v>1.25</v>
      </c>
      <c r="R220">
        <v>1.25</v>
      </c>
      <c r="S220">
        <v>1.25</v>
      </c>
      <c r="T220">
        <v>1.25</v>
      </c>
      <c r="U220">
        <v>1.25</v>
      </c>
      <c r="V220">
        <v>1.25</v>
      </c>
      <c r="W220">
        <v>1.25</v>
      </c>
      <c r="X220">
        <v>1.25</v>
      </c>
      <c r="Y220">
        <v>1.25</v>
      </c>
      <c r="Z220">
        <v>1.25</v>
      </c>
      <c r="AA220">
        <v>1.25</v>
      </c>
      <c r="AB220">
        <v>1.25</v>
      </c>
      <c r="AC220">
        <v>1.25</v>
      </c>
      <c r="AD220">
        <v>1.25</v>
      </c>
      <c r="AE220">
        <v>1.25</v>
      </c>
      <c r="AF220">
        <v>1.25</v>
      </c>
      <c r="AG220">
        <v>1.25</v>
      </c>
      <c r="AH220">
        <v>1.25</v>
      </c>
      <c r="AI220">
        <v>1.25</v>
      </c>
      <c r="AJ220">
        <v>1.25</v>
      </c>
      <c r="AK220">
        <v>1.25</v>
      </c>
      <c r="AL220">
        <v>1.25</v>
      </c>
      <c r="AM220">
        <v>1.25</v>
      </c>
      <c r="AN220">
        <v>1.25</v>
      </c>
      <c r="AO220">
        <v>1.25</v>
      </c>
      <c r="AP220">
        <v>1.25</v>
      </c>
      <c r="AQ220">
        <v>1.25</v>
      </c>
      <c r="AR220">
        <v>1.25</v>
      </c>
      <c r="AS220">
        <v>1.25</v>
      </c>
      <c r="AT220">
        <v>1.25</v>
      </c>
      <c r="AU220">
        <v>1.25</v>
      </c>
      <c r="AV220">
        <v>1.25</v>
      </c>
      <c r="AW220" t="s">
        <v>296</v>
      </c>
    </row>
    <row r="221" spans="1:49" ht="12.75">
      <c r="A221" t="s">
        <v>295</v>
      </c>
      <c r="B221" t="s">
        <v>289</v>
      </c>
      <c r="C221" t="s">
        <v>338</v>
      </c>
      <c r="D221" t="s">
        <v>51</v>
      </c>
      <c r="E221" t="s">
        <v>296</v>
      </c>
      <c r="F221" t="s">
        <v>83</v>
      </c>
      <c r="G221" t="s">
        <v>474</v>
      </c>
      <c r="H221" t="s">
        <v>296</v>
      </c>
      <c r="I221" t="s">
        <v>296</v>
      </c>
      <c r="J221" t="s">
        <v>296</v>
      </c>
      <c r="K221" t="s">
        <v>296</v>
      </c>
      <c r="L221">
        <v>1.25</v>
      </c>
      <c r="M221">
        <v>1.25</v>
      </c>
      <c r="N221">
        <v>1.25</v>
      </c>
      <c r="O221">
        <v>1.25</v>
      </c>
      <c r="P221">
        <v>1.25</v>
      </c>
      <c r="Q221">
        <v>1.25</v>
      </c>
      <c r="R221">
        <v>1.25</v>
      </c>
      <c r="S221">
        <v>1.25</v>
      </c>
      <c r="T221">
        <v>1.25</v>
      </c>
      <c r="U221">
        <v>1.25</v>
      </c>
      <c r="V221">
        <v>1.25</v>
      </c>
      <c r="W221">
        <v>1.25</v>
      </c>
      <c r="X221">
        <v>1.25</v>
      </c>
      <c r="Y221">
        <v>1.25</v>
      </c>
      <c r="Z221">
        <v>1.25</v>
      </c>
      <c r="AA221">
        <v>1.25</v>
      </c>
      <c r="AB221">
        <v>1.25</v>
      </c>
      <c r="AC221">
        <v>1.25</v>
      </c>
      <c r="AD221">
        <v>1.25</v>
      </c>
      <c r="AE221">
        <v>1.25</v>
      </c>
      <c r="AF221">
        <v>1.25</v>
      </c>
      <c r="AG221">
        <v>1.25</v>
      </c>
      <c r="AH221">
        <v>1.25</v>
      </c>
      <c r="AI221">
        <v>1.25</v>
      </c>
      <c r="AJ221">
        <v>1.25</v>
      </c>
      <c r="AK221">
        <v>1.25</v>
      </c>
      <c r="AL221">
        <v>1.25</v>
      </c>
      <c r="AM221">
        <v>1.25</v>
      </c>
      <c r="AN221">
        <v>1.25</v>
      </c>
      <c r="AO221">
        <v>1.25</v>
      </c>
      <c r="AP221">
        <v>1.25</v>
      </c>
      <c r="AQ221">
        <v>1.25</v>
      </c>
      <c r="AR221">
        <v>1.25</v>
      </c>
      <c r="AS221">
        <v>1.25</v>
      </c>
      <c r="AT221">
        <v>1.25</v>
      </c>
      <c r="AU221">
        <v>1.25</v>
      </c>
      <c r="AV221">
        <v>1.25</v>
      </c>
      <c r="AW221" t="s">
        <v>296</v>
      </c>
    </row>
    <row r="222" spans="1:49" ht="12.75">
      <c r="A222" t="s">
        <v>295</v>
      </c>
      <c r="B222" t="s">
        <v>289</v>
      </c>
      <c r="C222" t="s">
        <v>339</v>
      </c>
      <c r="D222" t="s">
        <v>37</v>
      </c>
      <c r="E222" t="s">
        <v>296</v>
      </c>
      <c r="F222" t="s">
        <v>83</v>
      </c>
      <c r="G222" t="s">
        <v>474</v>
      </c>
      <c r="H222" t="s">
        <v>296</v>
      </c>
      <c r="I222" t="s">
        <v>296</v>
      </c>
      <c r="J222" t="s">
        <v>296</v>
      </c>
      <c r="K222" t="s">
        <v>296</v>
      </c>
      <c r="L222">
        <v>1</v>
      </c>
      <c r="M222">
        <v>1</v>
      </c>
      <c r="N222">
        <v>1</v>
      </c>
      <c r="O222">
        <v>1.1764705882352899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 t="s">
        <v>296</v>
      </c>
    </row>
    <row r="223" spans="1:49" ht="12.75">
      <c r="A223" t="s">
        <v>295</v>
      </c>
      <c r="B223" t="s">
        <v>289</v>
      </c>
      <c r="C223" t="s">
        <v>340</v>
      </c>
      <c r="D223" t="s">
        <v>38</v>
      </c>
      <c r="E223" t="s">
        <v>296</v>
      </c>
      <c r="F223" t="s">
        <v>83</v>
      </c>
      <c r="G223" t="s">
        <v>474</v>
      </c>
      <c r="H223" t="s">
        <v>296</v>
      </c>
      <c r="I223" t="s">
        <v>296</v>
      </c>
      <c r="J223" t="s">
        <v>296</v>
      </c>
      <c r="K223" t="s">
        <v>296</v>
      </c>
      <c r="L223">
        <v>1.25</v>
      </c>
      <c r="M223">
        <v>1.25</v>
      </c>
      <c r="N223">
        <v>1.25</v>
      </c>
      <c r="O223">
        <v>1.2048192771084301</v>
      </c>
      <c r="P223">
        <v>1.25</v>
      </c>
      <c r="Q223">
        <v>1.25</v>
      </c>
      <c r="R223">
        <v>1.25</v>
      </c>
      <c r="S223">
        <v>1.25</v>
      </c>
      <c r="T223">
        <v>1.25</v>
      </c>
      <c r="U223">
        <v>1.25</v>
      </c>
      <c r="V223">
        <v>1.25</v>
      </c>
      <c r="W223">
        <v>1.25</v>
      </c>
      <c r="X223">
        <v>1.25</v>
      </c>
      <c r="Y223">
        <v>1.25</v>
      </c>
      <c r="Z223">
        <v>1.25</v>
      </c>
      <c r="AA223">
        <v>1.25</v>
      </c>
      <c r="AB223">
        <v>1.25</v>
      </c>
      <c r="AC223">
        <v>1.25</v>
      </c>
      <c r="AD223">
        <v>1.25</v>
      </c>
      <c r="AE223">
        <v>1.25</v>
      </c>
      <c r="AF223">
        <v>1.25</v>
      </c>
      <c r="AG223">
        <v>1.25</v>
      </c>
      <c r="AH223">
        <v>1.25</v>
      </c>
      <c r="AI223">
        <v>1.25</v>
      </c>
      <c r="AJ223">
        <v>1.25</v>
      </c>
      <c r="AK223">
        <v>1.25</v>
      </c>
      <c r="AL223">
        <v>1.25</v>
      </c>
      <c r="AM223">
        <v>1.25</v>
      </c>
      <c r="AN223">
        <v>1.25</v>
      </c>
      <c r="AO223">
        <v>1.25</v>
      </c>
      <c r="AP223">
        <v>1.25</v>
      </c>
      <c r="AQ223">
        <v>1.25</v>
      </c>
      <c r="AR223">
        <v>1.25</v>
      </c>
      <c r="AS223">
        <v>1.25</v>
      </c>
      <c r="AT223">
        <v>1.25</v>
      </c>
      <c r="AU223">
        <v>1.25</v>
      </c>
      <c r="AV223">
        <v>1.25</v>
      </c>
      <c r="AW223" t="s">
        <v>296</v>
      </c>
    </row>
    <row r="224" spans="1:49" ht="12.75">
      <c r="A224" t="s">
        <v>295</v>
      </c>
      <c r="B224" t="s">
        <v>289</v>
      </c>
      <c r="C224" t="s">
        <v>341</v>
      </c>
      <c r="D224" t="s">
        <v>43</v>
      </c>
      <c r="E224" t="s">
        <v>296</v>
      </c>
      <c r="F224" t="s">
        <v>83</v>
      </c>
      <c r="G224" t="s">
        <v>474</v>
      </c>
      <c r="H224" t="s">
        <v>296</v>
      </c>
      <c r="I224" t="s">
        <v>296</v>
      </c>
      <c r="J224" t="s">
        <v>296</v>
      </c>
      <c r="K224" t="s">
        <v>296</v>
      </c>
      <c r="L224">
        <v>1.25</v>
      </c>
      <c r="M224">
        <v>1.25</v>
      </c>
      <c r="N224">
        <v>1.25</v>
      </c>
      <c r="O224">
        <v>1.2195121951219501</v>
      </c>
      <c r="P224">
        <v>1.25</v>
      </c>
      <c r="Q224">
        <v>1.25</v>
      </c>
      <c r="R224">
        <v>1.25</v>
      </c>
      <c r="S224">
        <v>1.25</v>
      </c>
      <c r="T224">
        <v>1.25</v>
      </c>
      <c r="U224">
        <v>1.25</v>
      </c>
      <c r="V224">
        <v>1.25</v>
      </c>
      <c r="W224">
        <v>1.25</v>
      </c>
      <c r="X224">
        <v>1.25</v>
      </c>
      <c r="Y224">
        <v>1.25</v>
      </c>
      <c r="Z224">
        <v>1.25</v>
      </c>
      <c r="AA224">
        <v>1.25</v>
      </c>
      <c r="AB224">
        <v>1.25</v>
      </c>
      <c r="AC224">
        <v>1.25</v>
      </c>
      <c r="AD224">
        <v>1.25</v>
      </c>
      <c r="AE224">
        <v>1.25</v>
      </c>
      <c r="AF224">
        <v>1.25</v>
      </c>
      <c r="AG224">
        <v>1.25</v>
      </c>
      <c r="AH224">
        <v>1.25</v>
      </c>
      <c r="AI224">
        <v>1.25</v>
      </c>
      <c r="AJ224">
        <v>1.25</v>
      </c>
      <c r="AK224">
        <v>1.25</v>
      </c>
      <c r="AL224">
        <v>1.25</v>
      </c>
      <c r="AM224">
        <v>1.25</v>
      </c>
      <c r="AN224">
        <v>1.25</v>
      </c>
      <c r="AO224">
        <v>1.25</v>
      </c>
      <c r="AP224">
        <v>1.25</v>
      </c>
      <c r="AQ224">
        <v>1.25</v>
      </c>
      <c r="AR224">
        <v>1.25</v>
      </c>
      <c r="AS224">
        <v>1.25</v>
      </c>
      <c r="AT224">
        <v>1.25</v>
      </c>
      <c r="AU224">
        <v>1.25</v>
      </c>
      <c r="AV224">
        <v>1.25</v>
      </c>
      <c r="AW224" t="s">
        <v>296</v>
      </c>
    </row>
    <row r="225" spans="1:49" ht="12.75">
      <c r="A225" t="s">
        <v>295</v>
      </c>
      <c r="B225" t="s">
        <v>289</v>
      </c>
      <c r="C225" t="s">
        <v>342</v>
      </c>
      <c r="D225" t="s">
        <v>39</v>
      </c>
      <c r="E225" t="s">
        <v>296</v>
      </c>
      <c r="F225" t="s">
        <v>83</v>
      </c>
      <c r="G225" t="s">
        <v>474</v>
      </c>
      <c r="H225" t="s">
        <v>296</v>
      </c>
      <c r="I225" t="s">
        <v>296</v>
      </c>
      <c r="J225" t="s">
        <v>296</v>
      </c>
      <c r="K225" t="s">
        <v>296</v>
      </c>
      <c r="L225">
        <v>1.25</v>
      </c>
      <c r="M225">
        <v>1.25</v>
      </c>
      <c r="N225">
        <v>1.25</v>
      </c>
      <c r="O225">
        <v>1.2195121951219501</v>
      </c>
      <c r="P225">
        <v>1.25</v>
      </c>
      <c r="Q225">
        <v>1.25</v>
      </c>
      <c r="R225">
        <v>1.25</v>
      </c>
      <c r="S225">
        <v>1.25</v>
      </c>
      <c r="T225">
        <v>1.25</v>
      </c>
      <c r="U225">
        <v>1.25</v>
      </c>
      <c r="V225">
        <v>1.25</v>
      </c>
      <c r="W225">
        <v>1.25</v>
      </c>
      <c r="X225">
        <v>1.25</v>
      </c>
      <c r="Y225">
        <v>1.25</v>
      </c>
      <c r="Z225">
        <v>1.25</v>
      </c>
      <c r="AA225">
        <v>1.25</v>
      </c>
      <c r="AB225">
        <v>1.25</v>
      </c>
      <c r="AC225">
        <v>1.25</v>
      </c>
      <c r="AD225">
        <v>1.25</v>
      </c>
      <c r="AE225">
        <v>1.25</v>
      </c>
      <c r="AF225">
        <v>1.25</v>
      </c>
      <c r="AG225">
        <v>1.25</v>
      </c>
      <c r="AH225">
        <v>1.25</v>
      </c>
      <c r="AI225">
        <v>1.25</v>
      </c>
      <c r="AJ225">
        <v>1.25</v>
      </c>
      <c r="AK225">
        <v>1.25</v>
      </c>
      <c r="AL225">
        <v>1.25</v>
      </c>
      <c r="AM225">
        <v>1.25</v>
      </c>
      <c r="AN225">
        <v>1.25</v>
      </c>
      <c r="AO225">
        <v>1.25</v>
      </c>
      <c r="AP225">
        <v>1.25</v>
      </c>
      <c r="AQ225">
        <v>1.25</v>
      </c>
      <c r="AR225">
        <v>1.25</v>
      </c>
      <c r="AS225">
        <v>1.25</v>
      </c>
      <c r="AT225">
        <v>1.25</v>
      </c>
      <c r="AU225">
        <v>1.25</v>
      </c>
      <c r="AV225">
        <v>1.25</v>
      </c>
      <c r="AW225" t="s">
        <v>296</v>
      </c>
    </row>
    <row r="226" spans="1:49" ht="12.75">
      <c r="A226" t="s">
        <v>295</v>
      </c>
      <c r="B226" t="s">
        <v>289</v>
      </c>
      <c r="C226" t="s">
        <v>343</v>
      </c>
      <c r="D226" t="s">
        <v>44</v>
      </c>
      <c r="E226" t="s">
        <v>296</v>
      </c>
      <c r="F226" t="s">
        <v>83</v>
      </c>
      <c r="G226" t="s">
        <v>474</v>
      </c>
      <c r="H226" t="s">
        <v>296</v>
      </c>
      <c r="I226" t="s">
        <v>296</v>
      </c>
      <c r="J226" t="s">
        <v>296</v>
      </c>
      <c r="K226" t="s">
        <v>296</v>
      </c>
      <c r="L226">
        <v>1.25</v>
      </c>
      <c r="M226">
        <v>1.25</v>
      </c>
      <c r="N226">
        <v>1.25</v>
      </c>
      <c r="O226">
        <v>1.2195121951219501</v>
      </c>
      <c r="P226">
        <v>1.25</v>
      </c>
      <c r="Q226">
        <v>1.25</v>
      </c>
      <c r="R226">
        <v>1.25</v>
      </c>
      <c r="S226">
        <v>1.25</v>
      </c>
      <c r="T226">
        <v>1.25</v>
      </c>
      <c r="U226">
        <v>1.25</v>
      </c>
      <c r="V226">
        <v>1.25</v>
      </c>
      <c r="W226">
        <v>1.25</v>
      </c>
      <c r="X226">
        <v>1.25</v>
      </c>
      <c r="Y226">
        <v>1.25</v>
      </c>
      <c r="Z226">
        <v>1.25</v>
      </c>
      <c r="AA226">
        <v>1.25</v>
      </c>
      <c r="AB226">
        <v>1.25</v>
      </c>
      <c r="AC226">
        <v>1.25</v>
      </c>
      <c r="AD226">
        <v>1.25</v>
      </c>
      <c r="AE226">
        <v>1.25</v>
      </c>
      <c r="AF226">
        <v>1.25</v>
      </c>
      <c r="AG226">
        <v>1.25</v>
      </c>
      <c r="AH226">
        <v>1.25</v>
      </c>
      <c r="AI226">
        <v>1.25</v>
      </c>
      <c r="AJ226">
        <v>1.25</v>
      </c>
      <c r="AK226">
        <v>1.25</v>
      </c>
      <c r="AL226">
        <v>1.25</v>
      </c>
      <c r="AM226">
        <v>1.25</v>
      </c>
      <c r="AN226">
        <v>1.25</v>
      </c>
      <c r="AO226">
        <v>1.25</v>
      </c>
      <c r="AP226">
        <v>1.25</v>
      </c>
      <c r="AQ226">
        <v>1.25</v>
      </c>
      <c r="AR226">
        <v>1.25</v>
      </c>
      <c r="AS226">
        <v>1.25</v>
      </c>
      <c r="AT226">
        <v>1.25</v>
      </c>
      <c r="AU226">
        <v>1.25</v>
      </c>
      <c r="AV226">
        <v>1.25</v>
      </c>
      <c r="AW226" t="s">
        <v>296</v>
      </c>
    </row>
    <row r="227" spans="1:49" ht="12.75">
      <c r="A227" t="s">
        <v>295</v>
      </c>
      <c r="B227" t="s">
        <v>289</v>
      </c>
      <c r="C227" t="s">
        <v>344</v>
      </c>
      <c r="D227" t="s">
        <v>155</v>
      </c>
      <c r="E227" t="s">
        <v>296</v>
      </c>
      <c r="F227" t="s">
        <v>83</v>
      </c>
      <c r="G227" t="s">
        <v>474</v>
      </c>
      <c r="H227" t="s">
        <v>296</v>
      </c>
      <c r="I227" t="s">
        <v>296</v>
      </c>
      <c r="J227" t="s">
        <v>296</v>
      </c>
      <c r="K227" t="s">
        <v>296</v>
      </c>
      <c r="L227">
        <v>1.25</v>
      </c>
      <c r="M227">
        <v>1.25</v>
      </c>
      <c r="N227">
        <v>1.25</v>
      </c>
      <c r="O227">
        <v>1.25</v>
      </c>
      <c r="P227">
        <v>1.25</v>
      </c>
      <c r="Q227">
        <v>1.25</v>
      </c>
      <c r="R227">
        <v>1.25</v>
      </c>
      <c r="S227">
        <v>1.25</v>
      </c>
      <c r="T227">
        <v>1.25</v>
      </c>
      <c r="U227">
        <v>1.25</v>
      </c>
      <c r="V227">
        <v>1.25</v>
      </c>
      <c r="W227">
        <v>1.25</v>
      </c>
      <c r="X227">
        <v>1.25</v>
      </c>
      <c r="Y227">
        <v>1.25</v>
      </c>
      <c r="Z227">
        <v>1.25</v>
      </c>
      <c r="AA227">
        <v>1.25</v>
      </c>
      <c r="AB227">
        <v>1.25</v>
      </c>
      <c r="AC227">
        <v>1.25</v>
      </c>
      <c r="AD227">
        <v>1.25</v>
      </c>
      <c r="AE227">
        <v>1.25</v>
      </c>
      <c r="AF227">
        <v>1.25</v>
      </c>
      <c r="AG227">
        <v>1.25</v>
      </c>
      <c r="AH227">
        <v>1.25</v>
      </c>
      <c r="AI227">
        <v>1.25</v>
      </c>
      <c r="AJ227">
        <v>1.25</v>
      </c>
      <c r="AK227">
        <v>1.25</v>
      </c>
      <c r="AL227">
        <v>1.25</v>
      </c>
      <c r="AM227">
        <v>1.25</v>
      </c>
      <c r="AN227">
        <v>1.25</v>
      </c>
      <c r="AO227">
        <v>1.25</v>
      </c>
      <c r="AP227">
        <v>1.25</v>
      </c>
      <c r="AQ227">
        <v>1.25</v>
      </c>
      <c r="AR227">
        <v>1.25</v>
      </c>
      <c r="AS227">
        <v>1.25</v>
      </c>
      <c r="AT227">
        <v>1.25</v>
      </c>
      <c r="AU227">
        <v>1.25</v>
      </c>
      <c r="AV227">
        <v>1.25</v>
      </c>
      <c r="AW227" t="s">
        <v>296</v>
      </c>
    </row>
    <row r="228" spans="1:49" ht="12.75">
      <c r="A228" t="s">
        <v>295</v>
      </c>
      <c r="B228" t="s">
        <v>289</v>
      </c>
      <c r="C228" t="s">
        <v>344</v>
      </c>
      <c r="D228" t="s">
        <v>417</v>
      </c>
      <c r="E228" t="s">
        <v>296</v>
      </c>
      <c r="F228" t="s">
        <v>83</v>
      </c>
      <c r="G228" t="s">
        <v>474</v>
      </c>
      <c r="H228" t="s">
        <v>296</v>
      </c>
      <c r="I228" t="s">
        <v>296</v>
      </c>
      <c r="J228" t="s">
        <v>296</v>
      </c>
      <c r="K228" t="s">
        <v>296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 t="s">
        <v>296</v>
      </c>
    </row>
    <row r="229" spans="1:49" ht="12.75">
      <c r="A229" t="s">
        <v>295</v>
      </c>
      <c r="B229" t="s">
        <v>289</v>
      </c>
      <c r="C229" t="s">
        <v>345</v>
      </c>
      <c r="D229" t="s">
        <v>49</v>
      </c>
      <c r="E229" t="s">
        <v>296</v>
      </c>
      <c r="F229" t="s">
        <v>83</v>
      </c>
      <c r="G229" t="s">
        <v>474</v>
      </c>
      <c r="H229" t="s">
        <v>296</v>
      </c>
      <c r="I229" t="s">
        <v>296</v>
      </c>
      <c r="J229" t="s">
        <v>296</v>
      </c>
      <c r="K229" t="s">
        <v>296</v>
      </c>
      <c r="L229">
        <v>1.25</v>
      </c>
      <c r="M229">
        <v>1.25</v>
      </c>
      <c r="N229">
        <v>1.25</v>
      </c>
      <c r="O229">
        <v>1.25</v>
      </c>
      <c r="P229">
        <v>1.25</v>
      </c>
      <c r="Q229">
        <v>1.25</v>
      </c>
      <c r="R229">
        <v>1.25</v>
      </c>
      <c r="S229">
        <v>1.25</v>
      </c>
      <c r="T229">
        <v>1.25</v>
      </c>
      <c r="U229">
        <v>1.25</v>
      </c>
      <c r="V229">
        <v>1.25</v>
      </c>
      <c r="W229">
        <v>1.25</v>
      </c>
      <c r="X229">
        <v>1.25</v>
      </c>
      <c r="Y229">
        <v>1.25</v>
      </c>
      <c r="Z229">
        <v>1.25</v>
      </c>
      <c r="AA229">
        <v>1.25</v>
      </c>
      <c r="AB229">
        <v>1.25</v>
      </c>
      <c r="AC229">
        <v>1.25</v>
      </c>
      <c r="AD229">
        <v>1.25</v>
      </c>
      <c r="AE229">
        <v>1.25</v>
      </c>
      <c r="AF229">
        <v>1.25</v>
      </c>
      <c r="AG229">
        <v>1.25</v>
      </c>
      <c r="AH229">
        <v>1.25</v>
      </c>
      <c r="AI229">
        <v>1.25</v>
      </c>
      <c r="AJ229">
        <v>1.25</v>
      </c>
      <c r="AK229">
        <v>1.25</v>
      </c>
      <c r="AL229">
        <v>1.25</v>
      </c>
      <c r="AM229">
        <v>1.25</v>
      </c>
      <c r="AN229">
        <v>1.25</v>
      </c>
      <c r="AO229">
        <v>1.25</v>
      </c>
      <c r="AP229">
        <v>1.25</v>
      </c>
      <c r="AQ229">
        <v>1.25</v>
      </c>
      <c r="AR229">
        <v>1.25</v>
      </c>
      <c r="AS229">
        <v>1.25</v>
      </c>
      <c r="AT229">
        <v>1.25</v>
      </c>
      <c r="AU229">
        <v>1.25</v>
      </c>
      <c r="AV229">
        <v>1.25</v>
      </c>
      <c r="AW229" t="s">
        <v>296</v>
      </c>
    </row>
    <row r="230" spans="1:49" ht="12.75">
      <c r="A230" t="s">
        <v>295</v>
      </c>
      <c r="B230" t="s">
        <v>289</v>
      </c>
      <c r="C230" t="s">
        <v>345</v>
      </c>
      <c r="D230" t="s">
        <v>417</v>
      </c>
      <c r="E230" t="s">
        <v>296</v>
      </c>
      <c r="F230" t="s">
        <v>83</v>
      </c>
      <c r="G230" t="s">
        <v>474</v>
      </c>
      <c r="H230" t="s">
        <v>296</v>
      </c>
      <c r="I230" t="s">
        <v>296</v>
      </c>
      <c r="J230" t="s">
        <v>296</v>
      </c>
      <c r="K230" t="s">
        <v>296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 t="s">
        <v>296</v>
      </c>
    </row>
    <row r="231" spans="1:49" ht="12.75">
      <c r="A231" t="s">
        <v>295</v>
      </c>
      <c r="B231" t="s">
        <v>289</v>
      </c>
      <c r="C231" t="s">
        <v>346</v>
      </c>
      <c r="D231" t="s">
        <v>51</v>
      </c>
      <c r="E231" t="s">
        <v>296</v>
      </c>
      <c r="F231" t="s">
        <v>83</v>
      </c>
      <c r="G231" t="s">
        <v>474</v>
      </c>
      <c r="H231" t="s">
        <v>296</v>
      </c>
      <c r="I231" t="s">
        <v>296</v>
      </c>
      <c r="J231" t="s">
        <v>296</v>
      </c>
      <c r="K231" t="s">
        <v>296</v>
      </c>
      <c r="L231">
        <v>1.25</v>
      </c>
      <c r="M231">
        <v>1.25</v>
      </c>
      <c r="N231">
        <v>1.25</v>
      </c>
      <c r="O231">
        <v>1.25</v>
      </c>
      <c r="P231">
        <v>1.25</v>
      </c>
      <c r="Q231">
        <v>1.25</v>
      </c>
      <c r="R231">
        <v>1.25</v>
      </c>
      <c r="S231">
        <v>1.25</v>
      </c>
      <c r="T231">
        <v>1.25</v>
      </c>
      <c r="U231">
        <v>1.25</v>
      </c>
      <c r="V231">
        <v>1.25</v>
      </c>
      <c r="W231">
        <v>1.25</v>
      </c>
      <c r="X231">
        <v>1.25</v>
      </c>
      <c r="Y231">
        <v>1.25</v>
      </c>
      <c r="Z231">
        <v>1.25</v>
      </c>
      <c r="AA231">
        <v>1.25</v>
      </c>
      <c r="AB231">
        <v>1.25</v>
      </c>
      <c r="AC231">
        <v>1.25</v>
      </c>
      <c r="AD231">
        <v>1.25</v>
      </c>
      <c r="AE231">
        <v>1.25</v>
      </c>
      <c r="AF231">
        <v>1.25</v>
      </c>
      <c r="AG231">
        <v>1.25</v>
      </c>
      <c r="AH231">
        <v>1.25</v>
      </c>
      <c r="AI231">
        <v>1.25</v>
      </c>
      <c r="AJ231">
        <v>1.25</v>
      </c>
      <c r="AK231">
        <v>1.25</v>
      </c>
      <c r="AL231">
        <v>1.25</v>
      </c>
      <c r="AM231">
        <v>1.25</v>
      </c>
      <c r="AN231">
        <v>1.25</v>
      </c>
      <c r="AO231">
        <v>1.25</v>
      </c>
      <c r="AP231">
        <v>1.25</v>
      </c>
      <c r="AQ231">
        <v>1.25</v>
      </c>
      <c r="AR231">
        <v>1.25</v>
      </c>
      <c r="AS231">
        <v>1.25</v>
      </c>
      <c r="AT231">
        <v>1.25</v>
      </c>
      <c r="AU231">
        <v>1.25</v>
      </c>
      <c r="AV231">
        <v>1.25</v>
      </c>
      <c r="AW231" t="s">
        <v>296</v>
      </c>
    </row>
    <row r="232" spans="1:49" ht="12.75">
      <c r="A232" t="s">
        <v>295</v>
      </c>
      <c r="B232" t="s">
        <v>289</v>
      </c>
      <c r="C232" t="s">
        <v>346</v>
      </c>
      <c r="D232" t="s">
        <v>417</v>
      </c>
      <c r="E232" t="s">
        <v>296</v>
      </c>
      <c r="F232" t="s">
        <v>83</v>
      </c>
      <c r="G232" t="s">
        <v>474</v>
      </c>
      <c r="H232" t="s">
        <v>296</v>
      </c>
      <c r="I232" t="s">
        <v>296</v>
      </c>
      <c r="J232" t="s">
        <v>296</v>
      </c>
      <c r="K232" t="s">
        <v>296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 t="s">
        <v>296</v>
      </c>
    </row>
    <row r="233" spans="1:49" ht="12.75">
      <c r="A233" t="s">
        <v>295</v>
      </c>
      <c r="B233" t="s">
        <v>289</v>
      </c>
      <c r="C233" t="s">
        <v>347</v>
      </c>
      <c r="D233" t="s">
        <v>37</v>
      </c>
      <c r="E233" t="s">
        <v>296</v>
      </c>
      <c r="F233" t="s">
        <v>83</v>
      </c>
      <c r="G233" t="s">
        <v>474</v>
      </c>
      <c r="H233" t="s">
        <v>296</v>
      </c>
      <c r="I233" t="s">
        <v>296</v>
      </c>
      <c r="J233" t="s">
        <v>296</v>
      </c>
      <c r="K233" t="s">
        <v>296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 t="s">
        <v>296</v>
      </c>
    </row>
    <row r="234" spans="1:49" ht="12.75">
      <c r="A234" t="s">
        <v>295</v>
      </c>
      <c r="B234" t="s">
        <v>289</v>
      </c>
      <c r="C234" t="s">
        <v>347</v>
      </c>
      <c r="D234" t="s">
        <v>417</v>
      </c>
      <c r="E234" t="s">
        <v>296</v>
      </c>
      <c r="F234" t="s">
        <v>83</v>
      </c>
      <c r="G234" t="s">
        <v>474</v>
      </c>
      <c r="H234" t="s">
        <v>296</v>
      </c>
      <c r="I234" t="s">
        <v>296</v>
      </c>
      <c r="J234" t="s">
        <v>296</v>
      </c>
      <c r="K234" t="s">
        <v>296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 t="s">
        <v>296</v>
      </c>
    </row>
    <row r="235" spans="1:49" ht="12.75">
      <c r="A235" t="s">
        <v>295</v>
      </c>
      <c r="B235" t="s">
        <v>289</v>
      </c>
      <c r="C235" t="s">
        <v>348</v>
      </c>
      <c r="D235" t="s">
        <v>38</v>
      </c>
      <c r="E235" t="s">
        <v>296</v>
      </c>
      <c r="F235" t="s">
        <v>83</v>
      </c>
      <c r="G235" t="s">
        <v>474</v>
      </c>
      <c r="H235" t="s">
        <v>296</v>
      </c>
      <c r="I235" t="s">
        <v>296</v>
      </c>
      <c r="J235" t="s">
        <v>296</v>
      </c>
      <c r="K235" t="s">
        <v>296</v>
      </c>
      <c r="L235">
        <v>1.25</v>
      </c>
      <c r="M235">
        <v>1.25</v>
      </c>
      <c r="N235">
        <v>1.25</v>
      </c>
      <c r="O235">
        <v>1.25</v>
      </c>
      <c r="P235">
        <v>1.25</v>
      </c>
      <c r="Q235">
        <v>1.25</v>
      </c>
      <c r="R235">
        <v>1.25</v>
      </c>
      <c r="S235">
        <v>1.25</v>
      </c>
      <c r="T235">
        <v>1.25</v>
      </c>
      <c r="U235">
        <v>1.25</v>
      </c>
      <c r="V235">
        <v>1.25</v>
      </c>
      <c r="W235">
        <v>1.25</v>
      </c>
      <c r="X235">
        <v>1.25</v>
      </c>
      <c r="Y235">
        <v>1.25</v>
      </c>
      <c r="Z235">
        <v>1.25</v>
      </c>
      <c r="AA235">
        <v>1.25</v>
      </c>
      <c r="AB235">
        <v>1.25</v>
      </c>
      <c r="AC235">
        <v>1.25</v>
      </c>
      <c r="AD235">
        <v>1.25</v>
      </c>
      <c r="AE235">
        <v>1.25</v>
      </c>
      <c r="AF235">
        <v>1.25</v>
      </c>
      <c r="AG235">
        <v>1.25</v>
      </c>
      <c r="AH235">
        <v>1.25</v>
      </c>
      <c r="AI235">
        <v>1.25</v>
      </c>
      <c r="AJ235">
        <v>1.25</v>
      </c>
      <c r="AK235">
        <v>1.25</v>
      </c>
      <c r="AL235">
        <v>1.25</v>
      </c>
      <c r="AM235">
        <v>1.25</v>
      </c>
      <c r="AN235">
        <v>1.25</v>
      </c>
      <c r="AO235">
        <v>1.25</v>
      </c>
      <c r="AP235">
        <v>1.25</v>
      </c>
      <c r="AQ235">
        <v>1.25</v>
      </c>
      <c r="AR235">
        <v>1.25</v>
      </c>
      <c r="AS235">
        <v>1.25</v>
      </c>
      <c r="AT235">
        <v>1.25</v>
      </c>
      <c r="AU235">
        <v>1.25</v>
      </c>
      <c r="AV235">
        <v>1.25</v>
      </c>
      <c r="AW235" t="s">
        <v>296</v>
      </c>
    </row>
    <row r="236" spans="1:49" ht="12.75">
      <c r="A236" t="s">
        <v>295</v>
      </c>
      <c r="B236" t="s">
        <v>289</v>
      </c>
      <c r="C236" t="s">
        <v>348</v>
      </c>
      <c r="D236" t="s">
        <v>417</v>
      </c>
      <c r="E236" t="s">
        <v>296</v>
      </c>
      <c r="F236" t="s">
        <v>83</v>
      </c>
      <c r="G236" t="s">
        <v>474</v>
      </c>
      <c r="H236" t="s">
        <v>296</v>
      </c>
      <c r="I236" t="s">
        <v>296</v>
      </c>
      <c r="J236" t="s">
        <v>296</v>
      </c>
      <c r="K236" t="s">
        <v>296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 t="s">
        <v>296</v>
      </c>
    </row>
    <row r="237" spans="1:49" ht="12.75">
      <c r="A237" t="s">
        <v>295</v>
      </c>
      <c r="B237" t="s">
        <v>289</v>
      </c>
      <c r="C237" t="s">
        <v>349</v>
      </c>
      <c r="D237" t="s">
        <v>43</v>
      </c>
      <c r="E237" t="s">
        <v>296</v>
      </c>
      <c r="F237" t="s">
        <v>83</v>
      </c>
      <c r="G237" t="s">
        <v>474</v>
      </c>
      <c r="H237" t="s">
        <v>296</v>
      </c>
      <c r="I237" t="s">
        <v>296</v>
      </c>
      <c r="J237" t="s">
        <v>296</v>
      </c>
      <c r="K237" t="s">
        <v>296</v>
      </c>
      <c r="L237">
        <v>1.25</v>
      </c>
      <c r="M237">
        <v>1.25</v>
      </c>
      <c r="N237">
        <v>1.25</v>
      </c>
      <c r="O237">
        <v>1.25</v>
      </c>
      <c r="P237">
        <v>1.25</v>
      </c>
      <c r="Q237">
        <v>1.25</v>
      </c>
      <c r="R237">
        <v>1.25</v>
      </c>
      <c r="S237">
        <v>1.25</v>
      </c>
      <c r="T237">
        <v>1.25</v>
      </c>
      <c r="U237">
        <v>1.25</v>
      </c>
      <c r="V237">
        <v>1.25</v>
      </c>
      <c r="W237">
        <v>1.25</v>
      </c>
      <c r="X237">
        <v>1.25</v>
      </c>
      <c r="Y237">
        <v>1.25</v>
      </c>
      <c r="Z237">
        <v>1.25</v>
      </c>
      <c r="AA237">
        <v>1.25</v>
      </c>
      <c r="AB237">
        <v>1.25</v>
      </c>
      <c r="AC237">
        <v>1.25</v>
      </c>
      <c r="AD237">
        <v>1.25</v>
      </c>
      <c r="AE237">
        <v>1.25</v>
      </c>
      <c r="AF237">
        <v>1.25</v>
      </c>
      <c r="AG237">
        <v>1.25</v>
      </c>
      <c r="AH237">
        <v>1.25</v>
      </c>
      <c r="AI237">
        <v>1.25</v>
      </c>
      <c r="AJ237">
        <v>1.25</v>
      </c>
      <c r="AK237">
        <v>1.25</v>
      </c>
      <c r="AL237">
        <v>1.25</v>
      </c>
      <c r="AM237">
        <v>1.25</v>
      </c>
      <c r="AN237">
        <v>1.25</v>
      </c>
      <c r="AO237">
        <v>1.25</v>
      </c>
      <c r="AP237">
        <v>1.25</v>
      </c>
      <c r="AQ237">
        <v>1.25</v>
      </c>
      <c r="AR237">
        <v>1.25</v>
      </c>
      <c r="AS237">
        <v>1.25</v>
      </c>
      <c r="AT237">
        <v>1.25</v>
      </c>
      <c r="AU237">
        <v>1.25</v>
      </c>
      <c r="AV237">
        <v>1.25</v>
      </c>
      <c r="AW237" t="s">
        <v>296</v>
      </c>
    </row>
    <row r="238" spans="1:49" ht="12.75">
      <c r="A238" t="s">
        <v>295</v>
      </c>
      <c r="B238" t="s">
        <v>289</v>
      </c>
      <c r="C238" t="s">
        <v>349</v>
      </c>
      <c r="D238" t="s">
        <v>417</v>
      </c>
      <c r="E238" t="s">
        <v>296</v>
      </c>
      <c r="F238" t="s">
        <v>83</v>
      </c>
      <c r="G238" t="s">
        <v>474</v>
      </c>
      <c r="H238" t="s">
        <v>296</v>
      </c>
      <c r="I238" t="s">
        <v>296</v>
      </c>
      <c r="J238" t="s">
        <v>296</v>
      </c>
      <c r="K238" t="s">
        <v>296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 t="s">
        <v>296</v>
      </c>
    </row>
    <row r="239" spans="1:49" ht="12.75">
      <c r="A239" t="s">
        <v>295</v>
      </c>
      <c r="B239" t="s">
        <v>289</v>
      </c>
      <c r="C239" t="s">
        <v>350</v>
      </c>
      <c r="D239" t="s">
        <v>114</v>
      </c>
      <c r="E239" t="s">
        <v>296</v>
      </c>
      <c r="F239" t="s">
        <v>83</v>
      </c>
      <c r="G239" t="s">
        <v>474</v>
      </c>
      <c r="H239" t="s">
        <v>296</v>
      </c>
      <c r="I239" t="s">
        <v>296</v>
      </c>
      <c r="J239" t="s">
        <v>296</v>
      </c>
      <c r="K239" t="s">
        <v>296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 t="s">
        <v>296</v>
      </c>
    </row>
    <row r="240" spans="1:49" ht="12.75">
      <c r="A240" t="s">
        <v>295</v>
      </c>
      <c r="B240" t="s">
        <v>289</v>
      </c>
      <c r="C240" t="s">
        <v>350</v>
      </c>
      <c r="D240" t="s">
        <v>417</v>
      </c>
      <c r="E240" t="s">
        <v>296</v>
      </c>
      <c r="F240" t="s">
        <v>83</v>
      </c>
      <c r="G240" t="s">
        <v>474</v>
      </c>
      <c r="H240" t="s">
        <v>296</v>
      </c>
      <c r="I240" t="s">
        <v>296</v>
      </c>
      <c r="J240" t="s">
        <v>296</v>
      </c>
      <c r="K240" t="s">
        <v>296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 t="s">
        <v>296</v>
      </c>
    </row>
    <row r="241" spans="1:49" ht="12.75">
      <c r="A241" t="s">
        <v>295</v>
      </c>
      <c r="B241" t="s">
        <v>289</v>
      </c>
      <c r="C241" t="s">
        <v>351</v>
      </c>
      <c r="D241" t="s">
        <v>39</v>
      </c>
      <c r="E241" t="s">
        <v>296</v>
      </c>
      <c r="F241" t="s">
        <v>83</v>
      </c>
      <c r="G241" t="s">
        <v>474</v>
      </c>
      <c r="H241" t="s">
        <v>296</v>
      </c>
      <c r="I241" t="s">
        <v>296</v>
      </c>
      <c r="J241" t="s">
        <v>296</v>
      </c>
      <c r="K241" t="s">
        <v>296</v>
      </c>
      <c r="L241">
        <v>1.25</v>
      </c>
      <c r="M241">
        <v>1.25</v>
      </c>
      <c r="N241">
        <v>1.25</v>
      </c>
      <c r="O241">
        <v>1.25</v>
      </c>
      <c r="P241">
        <v>1.25</v>
      </c>
      <c r="Q241">
        <v>1.25</v>
      </c>
      <c r="R241">
        <v>1.25</v>
      </c>
      <c r="S241">
        <v>1.25</v>
      </c>
      <c r="T241">
        <v>1.25</v>
      </c>
      <c r="U241">
        <v>1.25</v>
      </c>
      <c r="V241">
        <v>1.25</v>
      </c>
      <c r="W241">
        <v>1.25</v>
      </c>
      <c r="X241">
        <v>1.25</v>
      </c>
      <c r="Y241">
        <v>1.25</v>
      </c>
      <c r="Z241">
        <v>1.25</v>
      </c>
      <c r="AA241">
        <v>1.25</v>
      </c>
      <c r="AB241">
        <v>1.25</v>
      </c>
      <c r="AC241">
        <v>1.25</v>
      </c>
      <c r="AD241">
        <v>1.25</v>
      </c>
      <c r="AE241">
        <v>1.25</v>
      </c>
      <c r="AF241">
        <v>1.25</v>
      </c>
      <c r="AG241">
        <v>1.25</v>
      </c>
      <c r="AH241">
        <v>1.25</v>
      </c>
      <c r="AI241">
        <v>1.25</v>
      </c>
      <c r="AJ241">
        <v>1.25</v>
      </c>
      <c r="AK241">
        <v>1.25</v>
      </c>
      <c r="AL241">
        <v>1.25</v>
      </c>
      <c r="AM241">
        <v>1.25</v>
      </c>
      <c r="AN241">
        <v>1.25</v>
      </c>
      <c r="AO241">
        <v>1.25</v>
      </c>
      <c r="AP241">
        <v>1.25</v>
      </c>
      <c r="AQ241">
        <v>1.25</v>
      </c>
      <c r="AR241">
        <v>1.25</v>
      </c>
      <c r="AS241">
        <v>1.25</v>
      </c>
      <c r="AT241">
        <v>1.25</v>
      </c>
      <c r="AU241">
        <v>1.25</v>
      </c>
      <c r="AV241">
        <v>1.25</v>
      </c>
      <c r="AW241" t="s">
        <v>296</v>
      </c>
    </row>
    <row r="242" spans="1:49" ht="12.75">
      <c r="A242" t="s">
        <v>295</v>
      </c>
      <c r="B242" t="s">
        <v>289</v>
      </c>
      <c r="C242" t="s">
        <v>351</v>
      </c>
      <c r="D242" t="s">
        <v>417</v>
      </c>
      <c r="E242" t="s">
        <v>296</v>
      </c>
      <c r="F242" t="s">
        <v>83</v>
      </c>
      <c r="G242" t="s">
        <v>474</v>
      </c>
      <c r="H242" t="s">
        <v>296</v>
      </c>
      <c r="I242" t="s">
        <v>296</v>
      </c>
      <c r="J242" t="s">
        <v>296</v>
      </c>
      <c r="K242" t="s">
        <v>296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 t="s">
        <v>296</v>
      </c>
    </row>
    <row r="243" spans="1:49" ht="12.75">
      <c r="A243" t="s">
        <v>295</v>
      </c>
      <c r="B243" t="s">
        <v>289</v>
      </c>
      <c r="C243" t="s">
        <v>352</v>
      </c>
      <c r="D243" t="s">
        <v>44</v>
      </c>
      <c r="E243" t="s">
        <v>296</v>
      </c>
      <c r="F243" t="s">
        <v>83</v>
      </c>
      <c r="G243" t="s">
        <v>474</v>
      </c>
      <c r="H243" t="s">
        <v>296</v>
      </c>
      <c r="I243" t="s">
        <v>296</v>
      </c>
      <c r="J243" t="s">
        <v>296</v>
      </c>
      <c r="K243" t="s">
        <v>296</v>
      </c>
      <c r="L243">
        <v>1.25</v>
      </c>
      <c r="M243">
        <v>1.25</v>
      </c>
      <c r="N243">
        <v>1.25</v>
      </c>
      <c r="O243">
        <v>1.25</v>
      </c>
      <c r="P243">
        <v>1.25</v>
      </c>
      <c r="Q243">
        <v>1.25</v>
      </c>
      <c r="R243">
        <v>1.25</v>
      </c>
      <c r="S243">
        <v>1.25</v>
      </c>
      <c r="T243">
        <v>1.25</v>
      </c>
      <c r="U243">
        <v>1.25</v>
      </c>
      <c r="V243">
        <v>1.25</v>
      </c>
      <c r="W243">
        <v>1.25</v>
      </c>
      <c r="X243">
        <v>1.25</v>
      </c>
      <c r="Y243">
        <v>1.25</v>
      </c>
      <c r="Z243">
        <v>1.25</v>
      </c>
      <c r="AA243">
        <v>1.25</v>
      </c>
      <c r="AB243">
        <v>1.25</v>
      </c>
      <c r="AC243">
        <v>1.25</v>
      </c>
      <c r="AD243">
        <v>1.25</v>
      </c>
      <c r="AE243">
        <v>1.25</v>
      </c>
      <c r="AF243">
        <v>1.25</v>
      </c>
      <c r="AG243">
        <v>1.25</v>
      </c>
      <c r="AH243">
        <v>1.25</v>
      </c>
      <c r="AI243">
        <v>1.25</v>
      </c>
      <c r="AJ243">
        <v>1.25</v>
      </c>
      <c r="AK243">
        <v>1.25</v>
      </c>
      <c r="AL243">
        <v>1.25</v>
      </c>
      <c r="AM243">
        <v>1.25</v>
      </c>
      <c r="AN243">
        <v>1.25</v>
      </c>
      <c r="AO243">
        <v>1.25</v>
      </c>
      <c r="AP243">
        <v>1.25</v>
      </c>
      <c r="AQ243">
        <v>1.25</v>
      </c>
      <c r="AR243">
        <v>1.25</v>
      </c>
      <c r="AS243">
        <v>1.25</v>
      </c>
      <c r="AT243">
        <v>1.25</v>
      </c>
      <c r="AU243">
        <v>1.25</v>
      </c>
      <c r="AV243">
        <v>1.25</v>
      </c>
      <c r="AW243" t="s">
        <v>296</v>
      </c>
    </row>
    <row r="244" spans="1:49" ht="12.75">
      <c r="A244" t="s">
        <v>295</v>
      </c>
      <c r="B244" t="s">
        <v>289</v>
      </c>
      <c r="C244" t="s">
        <v>352</v>
      </c>
      <c r="D244" t="s">
        <v>417</v>
      </c>
      <c r="E244" t="s">
        <v>296</v>
      </c>
      <c r="F244" t="s">
        <v>83</v>
      </c>
      <c r="G244" t="s">
        <v>474</v>
      </c>
      <c r="H244" t="s">
        <v>296</v>
      </c>
      <c r="I244" t="s">
        <v>296</v>
      </c>
      <c r="J244" t="s">
        <v>296</v>
      </c>
      <c r="K244" t="s">
        <v>296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 t="s">
        <v>296</v>
      </c>
    </row>
    <row r="245" spans="1:49" ht="12.75">
      <c r="A245" t="s">
        <v>295</v>
      </c>
      <c r="B245" t="s">
        <v>289</v>
      </c>
      <c r="C245" t="s">
        <v>353</v>
      </c>
      <c r="D245" t="s">
        <v>37</v>
      </c>
      <c r="E245" t="s">
        <v>296</v>
      </c>
      <c r="F245" t="s">
        <v>83</v>
      </c>
      <c r="G245" t="s">
        <v>474</v>
      </c>
      <c r="H245" t="s">
        <v>296</v>
      </c>
      <c r="I245" t="s">
        <v>296</v>
      </c>
      <c r="J245" t="s">
        <v>296</v>
      </c>
      <c r="K245" t="s">
        <v>296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 t="s">
        <v>296</v>
      </c>
    </row>
    <row r="246" spans="1:49" ht="12.75">
      <c r="A246" t="s">
        <v>295</v>
      </c>
      <c r="B246" t="s">
        <v>289</v>
      </c>
      <c r="C246" t="s">
        <v>354</v>
      </c>
      <c r="D246" t="s">
        <v>155</v>
      </c>
      <c r="E246" t="s">
        <v>296</v>
      </c>
      <c r="F246" t="s">
        <v>83</v>
      </c>
      <c r="G246" t="s">
        <v>474</v>
      </c>
      <c r="H246" t="s">
        <v>296</v>
      </c>
      <c r="I246" t="s">
        <v>296</v>
      </c>
      <c r="J246" t="s">
        <v>296</v>
      </c>
      <c r="K246" t="s">
        <v>296</v>
      </c>
      <c r="L246">
        <v>2</v>
      </c>
      <c r="M246">
        <v>2</v>
      </c>
      <c r="N246">
        <v>2</v>
      </c>
      <c r="O246">
        <v>2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2</v>
      </c>
      <c r="W246">
        <v>2</v>
      </c>
      <c r="X246">
        <v>2</v>
      </c>
      <c r="Y246">
        <v>2</v>
      </c>
      <c r="Z246">
        <v>2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2</v>
      </c>
      <c r="AW246" t="s">
        <v>296</v>
      </c>
    </row>
    <row r="247" spans="1:49" ht="12.75">
      <c r="A247" t="s">
        <v>295</v>
      </c>
      <c r="B247" t="s">
        <v>289</v>
      </c>
      <c r="C247" t="s">
        <v>355</v>
      </c>
      <c r="D247" t="s">
        <v>49</v>
      </c>
      <c r="E247" t="s">
        <v>296</v>
      </c>
      <c r="F247" t="s">
        <v>83</v>
      </c>
      <c r="G247" t="s">
        <v>474</v>
      </c>
      <c r="H247" t="s">
        <v>296</v>
      </c>
      <c r="I247" t="s">
        <v>296</v>
      </c>
      <c r="J247" t="s">
        <v>296</v>
      </c>
      <c r="K247" t="s">
        <v>296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2</v>
      </c>
      <c r="AW247" t="s">
        <v>296</v>
      </c>
    </row>
    <row r="248" spans="1:49" ht="12.75">
      <c r="A248" t="s">
        <v>295</v>
      </c>
      <c r="B248" t="s">
        <v>289</v>
      </c>
      <c r="C248" t="s">
        <v>356</v>
      </c>
      <c r="D248" t="s">
        <v>51</v>
      </c>
      <c r="E248" t="s">
        <v>296</v>
      </c>
      <c r="F248" t="s">
        <v>83</v>
      </c>
      <c r="G248" t="s">
        <v>474</v>
      </c>
      <c r="H248" t="s">
        <v>296</v>
      </c>
      <c r="I248" t="s">
        <v>296</v>
      </c>
      <c r="J248" t="s">
        <v>296</v>
      </c>
      <c r="K248" t="s">
        <v>296</v>
      </c>
      <c r="L248">
        <v>2</v>
      </c>
      <c r="M248">
        <v>2</v>
      </c>
      <c r="N248">
        <v>2</v>
      </c>
      <c r="O248">
        <v>2</v>
      </c>
      <c r="P248">
        <v>2</v>
      </c>
      <c r="Q248">
        <v>2</v>
      </c>
      <c r="R248">
        <v>2</v>
      </c>
      <c r="S248">
        <v>2</v>
      </c>
      <c r="T248">
        <v>2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2</v>
      </c>
      <c r="AW248" t="s">
        <v>296</v>
      </c>
    </row>
    <row r="249" spans="1:49" ht="12.75">
      <c r="A249" t="s">
        <v>295</v>
      </c>
      <c r="B249" t="s">
        <v>289</v>
      </c>
      <c r="C249" t="s">
        <v>357</v>
      </c>
      <c r="D249" t="s">
        <v>37</v>
      </c>
      <c r="E249" t="s">
        <v>296</v>
      </c>
      <c r="F249" t="s">
        <v>83</v>
      </c>
      <c r="G249" t="s">
        <v>474</v>
      </c>
      <c r="H249" t="s">
        <v>296</v>
      </c>
      <c r="I249" t="s">
        <v>296</v>
      </c>
      <c r="J249" t="s">
        <v>296</v>
      </c>
      <c r="K249" t="s">
        <v>296</v>
      </c>
      <c r="L249">
        <v>1.0526315789473699</v>
      </c>
      <c r="M249">
        <v>1.0526315789473699</v>
      </c>
      <c r="N249">
        <v>1.0526315789473699</v>
      </c>
      <c r="O249">
        <v>1.0526315789473699</v>
      </c>
      <c r="P249">
        <v>1.0526315789473699</v>
      </c>
      <c r="Q249">
        <v>1.0526315789473699</v>
      </c>
      <c r="R249">
        <v>1.0526315789473699</v>
      </c>
      <c r="S249">
        <v>1.0526315789473699</v>
      </c>
      <c r="T249">
        <v>1.0526315789473699</v>
      </c>
      <c r="U249">
        <v>1.0526315789473699</v>
      </c>
      <c r="V249">
        <v>1.0526315789473699</v>
      </c>
      <c r="W249">
        <v>1.0526315789473699</v>
      </c>
      <c r="X249">
        <v>1.0526315789473699</v>
      </c>
      <c r="Y249">
        <v>1.0526315789473699</v>
      </c>
      <c r="Z249">
        <v>1.0526315789473699</v>
      </c>
      <c r="AA249">
        <v>1.0526315789473699</v>
      </c>
      <c r="AB249">
        <v>1.0526315789473699</v>
      </c>
      <c r="AC249">
        <v>1.0526315789473699</v>
      </c>
      <c r="AD249">
        <v>1.0526315789473699</v>
      </c>
      <c r="AE249">
        <v>1.0526315789473699</v>
      </c>
      <c r="AF249">
        <v>1.0526315789473699</v>
      </c>
      <c r="AG249">
        <v>1.0526315789473699</v>
      </c>
      <c r="AH249">
        <v>1.0526315789473699</v>
      </c>
      <c r="AI249">
        <v>1.0526315789473699</v>
      </c>
      <c r="AJ249">
        <v>1.0526315789473699</v>
      </c>
      <c r="AK249">
        <v>1.0526315789473699</v>
      </c>
      <c r="AL249">
        <v>1.0526315789473699</v>
      </c>
      <c r="AM249">
        <v>1.0526315789473699</v>
      </c>
      <c r="AN249">
        <v>1.0526315789473699</v>
      </c>
      <c r="AO249">
        <v>1.0526315789473699</v>
      </c>
      <c r="AP249">
        <v>1.0526315789473699</v>
      </c>
      <c r="AQ249">
        <v>1.0526315789473699</v>
      </c>
      <c r="AR249">
        <v>1.0526315789473699</v>
      </c>
      <c r="AS249">
        <v>1.0526315789473699</v>
      </c>
      <c r="AT249">
        <v>1.0526315789473699</v>
      </c>
      <c r="AU249">
        <v>1.0526315789473699</v>
      </c>
      <c r="AV249">
        <v>1.0526315789473699</v>
      </c>
      <c r="AW249" t="s">
        <v>296</v>
      </c>
    </row>
    <row r="250" spans="1:49" ht="12.75">
      <c r="A250" t="s">
        <v>295</v>
      </c>
      <c r="B250" t="s">
        <v>289</v>
      </c>
      <c r="C250" t="s">
        <v>358</v>
      </c>
      <c r="D250" t="s">
        <v>38</v>
      </c>
      <c r="E250" t="s">
        <v>296</v>
      </c>
      <c r="F250" t="s">
        <v>83</v>
      </c>
      <c r="G250" t="s">
        <v>474</v>
      </c>
      <c r="H250" t="s">
        <v>296</v>
      </c>
      <c r="I250" t="s">
        <v>296</v>
      </c>
      <c r="J250" t="s">
        <v>296</v>
      </c>
      <c r="K250" t="s">
        <v>296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2</v>
      </c>
      <c r="W250">
        <v>2</v>
      </c>
      <c r="X250">
        <v>2</v>
      </c>
      <c r="Y250">
        <v>2</v>
      </c>
      <c r="Z250">
        <v>2</v>
      </c>
      <c r="AA250">
        <v>2</v>
      </c>
      <c r="AB250">
        <v>2</v>
      </c>
      <c r="AC250">
        <v>2</v>
      </c>
      <c r="AD250">
        <v>2</v>
      </c>
      <c r="AE250">
        <v>2</v>
      </c>
      <c r="AF250">
        <v>2</v>
      </c>
      <c r="AG250">
        <v>2</v>
      </c>
      <c r="AH250">
        <v>2</v>
      </c>
      <c r="AI250">
        <v>2</v>
      </c>
      <c r="AJ250">
        <v>2</v>
      </c>
      <c r="AK250">
        <v>2</v>
      </c>
      <c r="AL250">
        <v>2</v>
      </c>
      <c r="AM250">
        <v>2</v>
      </c>
      <c r="AN250">
        <v>2</v>
      </c>
      <c r="AO250">
        <v>2</v>
      </c>
      <c r="AP250">
        <v>2</v>
      </c>
      <c r="AQ250">
        <v>2</v>
      </c>
      <c r="AR250">
        <v>2</v>
      </c>
      <c r="AS250">
        <v>2</v>
      </c>
      <c r="AT250">
        <v>2</v>
      </c>
      <c r="AU250">
        <v>2</v>
      </c>
      <c r="AV250">
        <v>2</v>
      </c>
      <c r="AW250" t="s">
        <v>296</v>
      </c>
    </row>
    <row r="251" spans="1:49" ht="12.75">
      <c r="A251" t="s">
        <v>295</v>
      </c>
      <c r="B251" t="s">
        <v>289</v>
      </c>
      <c r="C251" t="s">
        <v>359</v>
      </c>
      <c r="D251" t="s">
        <v>43</v>
      </c>
      <c r="E251" t="s">
        <v>296</v>
      </c>
      <c r="F251" t="s">
        <v>83</v>
      </c>
      <c r="G251" t="s">
        <v>474</v>
      </c>
      <c r="H251" t="s">
        <v>296</v>
      </c>
      <c r="I251" t="s">
        <v>296</v>
      </c>
      <c r="J251" t="s">
        <v>296</v>
      </c>
      <c r="K251" t="s">
        <v>296</v>
      </c>
      <c r="L251">
        <v>2</v>
      </c>
      <c r="M251">
        <v>2</v>
      </c>
      <c r="N251">
        <v>2</v>
      </c>
      <c r="O251">
        <v>2</v>
      </c>
      <c r="P251">
        <v>2</v>
      </c>
      <c r="Q251">
        <v>2</v>
      </c>
      <c r="R251">
        <v>2</v>
      </c>
      <c r="S251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2</v>
      </c>
      <c r="AW251" t="s">
        <v>296</v>
      </c>
    </row>
    <row r="252" spans="1:49" ht="12.75">
      <c r="A252" t="s">
        <v>295</v>
      </c>
      <c r="B252" t="s">
        <v>289</v>
      </c>
      <c r="C252" t="s">
        <v>360</v>
      </c>
      <c r="D252" t="s">
        <v>39</v>
      </c>
      <c r="E252" t="s">
        <v>296</v>
      </c>
      <c r="F252" t="s">
        <v>83</v>
      </c>
      <c r="G252" t="s">
        <v>474</v>
      </c>
      <c r="H252" t="s">
        <v>296</v>
      </c>
      <c r="I252" t="s">
        <v>296</v>
      </c>
      <c r="J252" t="s">
        <v>296</v>
      </c>
      <c r="K252" t="s">
        <v>296</v>
      </c>
      <c r="L252">
        <v>2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  <c r="AC252">
        <v>2</v>
      </c>
      <c r="AD252">
        <v>2</v>
      </c>
      <c r="AE252">
        <v>2</v>
      </c>
      <c r="AF252">
        <v>2</v>
      </c>
      <c r="AG252">
        <v>2</v>
      </c>
      <c r="AH252">
        <v>2</v>
      </c>
      <c r="AI252">
        <v>2</v>
      </c>
      <c r="AJ252">
        <v>2</v>
      </c>
      <c r="AK252">
        <v>2</v>
      </c>
      <c r="AL252">
        <v>2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2</v>
      </c>
      <c r="AW252" t="s">
        <v>296</v>
      </c>
    </row>
    <row r="253" spans="1:49" ht="12.75">
      <c r="A253" t="s">
        <v>295</v>
      </c>
      <c r="B253" t="s">
        <v>289</v>
      </c>
      <c r="C253" t="s">
        <v>361</v>
      </c>
      <c r="D253" t="s">
        <v>44</v>
      </c>
      <c r="E253" t="s">
        <v>296</v>
      </c>
      <c r="F253" t="s">
        <v>83</v>
      </c>
      <c r="G253" t="s">
        <v>474</v>
      </c>
      <c r="H253" t="s">
        <v>296</v>
      </c>
      <c r="I253" t="s">
        <v>296</v>
      </c>
      <c r="J253" t="s">
        <v>296</v>
      </c>
      <c r="K253" t="s">
        <v>296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 t="s">
        <v>296</v>
      </c>
    </row>
    <row r="254" spans="1:49" ht="12.75">
      <c r="A254" t="s">
        <v>295</v>
      </c>
      <c r="B254" t="s">
        <v>289</v>
      </c>
      <c r="C254" t="s">
        <v>362</v>
      </c>
      <c r="D254" t="s">
        <v>155</v>
      </c>
      <c r="E254" t="s">
        <v>296</v>
      </c>
      <c r="F254" t="s">
        <v>83</v>
      </c>
      <c r="G254" t="s">
        <v>474</v>
      </c>
      <c r="H254" t="s">
        <v>296</v>
      </c>
      <c r="I254" t="s">
        <v>296</v>
      </c>
      <c r="J254" t="s">
        <v>296</v>
      </c>
      <c r="K254" t="s">
        <v>296</v>
      </c>
      <c r="L254">
        <v>1.25</v>
      </c>
      <c r="M254">
        <v>1.25</v>
      </c>
      <c r="N254">
        <v>1.25</v>
      </c>
      <c r="O254">
        <v>1.25</v>
      </c>
      <c r="P254">
        <v>1.25</v>
      </c>
      <c r="Q254">
        <v>1.25</v>
      </c>
      <c r="R254">
        <v>1.25</v>
      </c>
      <c r="S254">
        <v>1.25</v>
      </c>
      <c r="T254">
        <v>1.25</v>
      </c>
      <c r="U254">
        <v>1.25</v>
      </c>
      <c r="V254">
        <v>1.25</v>
      </c>
      <c r="W254">
        <v>1.25</v>
      </c>
      <c r="X254">
        <v>1.25</v>
      </c>
      <c r="Y254">
        <v>1.25</v>
      </c>
      <c r="Z254">
        <v>1.25</v>
      </c>
      <c r="AA254">
        <v>1.25</v>
      </c>
      <c r="AB254">
        <v>1.25</v>
      </c>
      <c r="AC254">
        <v>1.25</v>
      </c>
      <c r="AD254">
        <v>1.25</v>
      </c>
      <c r="AE254">
        <v>1.25</v>
      </c>
      <c r="AF254">
        <v>1.25</v>
      </c>
      <c r="AG254">
        <v>1.25</v>
      </c>
      <c r="AH254">
        <v>1.25</v>
      </c>
      <c r="AI254">
        <v>1.25</v>
      </c>
      <c r="AJ254">
        <v>1.25</v>
      </c>
      <c r="AK254">
        <v>1.25</v>
      </c>
      <c r="AL254">
        <v>1.25</v>
      </c>
      <c r="AM254">
        <v>1.25</v>
      </c>
      <c r="AN254">
        <v>1.25</v>
      </c>
      <c r="AO254">
        <v>1.25</v>
      </c>
      <c r="AP254">
        <v>1.25</v>
      </c>
      <c r="AQ254">
        <v>1.25</v>
      </c>
      <c r="AR254">
        <v>1.25</v>
      </c>
      <c r="AS254">
        <v>1.25</v>
      </c>
      <c r="AT254">
        <v>1.25</v>
      </c>
      <c r="AU254">
        <v>1.25</v>
      </c>
      <c r="AV254">
        <v>1.25</v>
      </c>
      <c r="AW254" t="s">
        <v>296</v>
      </c>
    </row>
    <row r="255" spans="1:49" ht="12.75">
      <c r="A255" t="s">
        <v>295</v>
      </c>
      <c r="B255" t="s">
        <v>289</v>
      </c>
      <c r="C255" t="s">
        <v>363</v>
      </c>
      <c r="D255" t="s">
        <v>49</v>
      </c>
      <c r="E255" t="s">
        <v>296</v>
      </c>
      <c r="F255" t="s">
        <v>83</v>
      </c>
      <c r="G255" t="s">
        <v>474</v>
      </c>
      <c r="H255" t="s">
        <v>296</v>
      </c>
      <c r="I255" t="s">
        <v>296</v>
      </c>
      <c r="J255" t="s">
        <v>296</v>
      </c>
      <c r="K255" t="s">
        <v>296</v>
      </c>
      <c r="L255">
        <v>1.25</v>
      </c>
      <c r="M255">
        <v>1.25</v>
      </c>
      <c r="N255">
        <v>1.25</v>
      </c>
      <c r="O255">
        <v>1.25</v>
      </c>
      <c r="P255">
        <v>1.25</v>
      </c>
      <c r="Q255">
        <v>1.25</v>
      </c>
      <c r="R255">
        <v>1.25</v>
      </c>
      <c r="S255">
        <v>1.25</v>
      </c>
      <c r="T255">
        <v>1.25</v>
      </c>
      <c r="U255">
        <v>1.25</v>
      </c>
      <c r="V255">
        <v>1.25</v>
      </c>
      <c r="W255">
        <v>1.25</v>
      </c>
      <c r="X255">
        <v>1.25</v>
      </c>
      <c r="Y255">
        <v>1.25</v>
      </c>
      <c r="Z255">
        <v>1.25</v>
      </c>
      <c r="AA255">
        <v>1.25</v>
      </c>
      <c r="AB255">
        <v>1.25</v>
      </c>
      <c r="AC255">
        <v>1.25</v>
      </c>
      <c r="AD255">
        <v>1.25</v>
      </c>
      <c r="AE255">
        <v>1.25</v>
      </c>
      <c r="AF255">
        <v>1.25</v>
      </c>
      <c r="AG255">
        <v>1.25</v>
      </c>
      <c r="AH255">
        <v>1.25</v>
      </c>
      <c r="AI255">
        <v>1.25</v>
      </c>
      <c r="AJ255">
        <v>1.25</v>
      </c>
      <c r="AK255">
        <v>1.25</v>
      </c>
      <c r="AL255">
        <v>1.25</v>
      </c>
      <c r="AM255">
        <v>1.25</v>
      </c>
      <c r="AN255">
        <v>1.25</v>
      </c>
      <c r="AO255">
        <v>1.25</v>
      </c>
      <c r="AP255">
        <v>1.25</v>
      </c>
      <c r="AQ255">
        <v>1.25</v>
      </c>
      <c r="AR255">
        <v>1.25</v>
      </c>
      <c r="AS255">
        <v>1.25</v>
      </c>
      <c r="AT255">
        <v>1.25</v>
      </c>
      <c r="AU255">
        <v>1.25</v>
      </c>
      <c r="AV255">
        <v>1.25</v>
      </c>
      <c r="AW255" t="s">
        <v>296</v>
      </c>
    </row>
    <row r="256" spans="1:49" ht="12.75">
      <c r="A256" t="s">
        <v>295</v>
      </c>
      <c r="B256" t="s">
        <v>289</v>
      </c>
      <c r="C256" t="s">
        <v>364</v>
      </c>
      <c r="D256" t="s">
        <v>51</v>
      </c>
      <c r="E256" t="s">
        <v>296</v>
      </c>
      <c r="F256" t="s">
        <v>83</v>
      </c>
      <c r="G256" t="s">
        <v>474</v>
      </c>
      <c r="H256" t="s">
        <v>296</v>
      </c>
      <c r="I256" t="s">
        <v>296</v>
      </c>
      <c r="J256" t="s">
        <v>296</v>
      </c>
      <c r="K256" t="s">
        <v>296</v>
      </c>
      <c r="L256">
        <v>1.25</v>
      </c>
      <c r="M256">
        <v>1.25</v>
      </c>
      <c r="N256">
        <v>1.25</v>
      </c>
      <c r="O256">
        <v>1.25</v>
      </c>
      <c r="P256">
        <v>1.25</v>
      </c>
      <c r="Q256">
        <v>1.25</v>
      </c>
      <c r="R256">
        <v>1.25</v>
      </c>
      <c r="S256">
        <v>1.25</v>
      </c>
      <c r="T256">
        <v>1.25</v>
      </c>
      <c r="U256">
        <v>1.25</v>
      </c>
      <c r="V256">
        <v>1.25</v>
      </c>
      <c r="W256">
        <v>1.25</v>
      </c>
      <c r="X256">
        <v>1.25</v>
      </c>
      <c r="Y256">
        <v>1.25</v>
      </c>
      <c r="Z256">
        <v>1.25</v>
      </c>
      <c r="AA256">
        <v>1.25</v>
      </c>
      <c r="AB256">
        <v>1.25</v>
      </c>
      <c r="AC256">
        <v>1.25</v>
      </c>
      <c r="AD256">
        <v>1.25</v>
      </c>
      <c r="AE256">
        <v>1.25</v>
      </c>
      <c r="AF256">
        <v>1.25</v>
      </c>
      <c r="AG256">
        <v>1.25</v>
      </c>
      <c r="AH256">
        <v>1.25</v>
      </c>
      <c r="AI256">
        <v>1.25</v>
      </c>
      <c r="AJ256">
        <v>1.25</v>
      </c>
      <c r="AK256">
        <v>1.25</v>
      </c>
      <c r="AL256">
        <v>1.25</v>
      </c>
      <c r="AM256">
        <v>1.25</v>
      </c>
      <c r="AN256">
        <v>1.25</v>
      </c>
      <c r="AO256">
        <v>1.25</v>
      </c>
      <c r="AP256">
        <v>1.25</v>
      </c>
      <c r="AQ256">
        <v>1.25</v>
      </c>
      <c r="AR256">
        <v>1.25</v>
      </c>
      <c r="AS256">
        <v>1.25</v>
      </c>
      <c r="AT256">
        <v>1.25</v>
      </c>
      <c r="AU256">
        <v>1.25</v>
      </c>
      <c r="AV256">
        <v>1.25</v>
      </c>
      <c r="AW256" t="s">
        <v>296</v>
      </c>
    </row>
    <row r="257" spans="1:49" ht="12.75">
      <c r="A257" t="s">
        <v>295</v>
      </c>
      <c r="B257" t="s">
        <v>289</v>
      </c>
      <c r="C257" t="s">
        <v>365</v>
      </c>
      <c r="D257" t="s">
        <v>37</v>
      </c>
      <c r="E257" t="s">
        <v>296</v>
      </c>
      <c r="F257" t="s">
        <v>83</v>
      </c>
      <c r="G257" t="s">
        <v>474</v>
      </c>
      <c r="H257" t="s">
        <v>296</v>
      </c>
      <c r="I257" t="s">
        <v>296</v>
      </c>
      <c r="J257" t="s">
        <v>296</v>
      </c>
      <c r="K257" t="s">
        <v>296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 t="s">
        <v>296</v>
      </c>
    </row>
    <row r="258" spans="1:49" ht="12.75">
      <c r="A258" t="s">
        <v>295</v>
      </c>
      <c r="B258" t="s">
        <v>289</v>
      </c>
      <c r="C258" t="s">
        <v>366</v>
      </c>
      <c r="D258" t="s">
        <v>38</v>
      </c>
      <c r="E258" t="s">
        <v>296</v>
      </c>
      <c r="F258" t="s">
        <v>83</v>
      </c>
      <c r="G258" t="s">
        <v>474</v>
      </c>
      <c r="H258" t="s">
        <v>296</v>
      </c>
      <c r="I258" t="s">
        <v>296</v>
      </c>
      <c r="J258" t="s">
        <v>296</v>
      </c>
      <c r="K258" t="s">
        <v>296</v>
      </c>
      <c r="L258">
        <v>1.25</v>
      </c>
      <c r="M258">
        <v>1.25</v>
      </c>
      <c r="N258">
        <v>1.25</v>
      </c>
      <c r="O258">
        <v>1.25</v>
      </c>
      <c r="P258">
        <v>1.25</v>
      </c>
      <c r="Q258">
        <v>1.25</v>
      </c>
      <c r="R258">
        <v>1.25</v>
      </c>
      <c r="S258">
        <v>1.25</v>
      </c>
      <c r="T258">
        <v>1.25</v>
      </c>
      <c r="U258">
        <v>1.25</v>
      </c>
      <c r="V258">
        <v>1.25</v>
      </c>
      <c r="W258">
        <v>1.25</v>
      </c>
      <c r="X258">
        <v>1.25</v>
      </c>
      <c r="Y258">
        <v>1.25</v>
      </c>
      <c r="Z258">
        <v>1.25</v>
      </c>
      <c r="AA258">
        <v>1.25</v>
      </c>
      <c r="AB258">
        <v>1.25</v>
      </c>
      <c r="AC258">
        <v>1.25</v>
      </c>
      <c r="AD258">
        <v>1.25</v>
      </c>
      <c r="AE258">
        <v>1.25</v>
      </c>
      <c r="AF258">
        <v>1.25</v>
      </c>
      <c r="AG258">
        <v>1.25</v>
      </c>
      <c r="AH258">
        <v>1.25</v>
      </c>
      <c r="AI258">
        <v>1.25</v>
      </c>
      <c r="AJ258">
        <v>1.25</v>
      </c>
      <c r="AK258">
        <v>1.25</v>
      </c>
      <c r="AL258">
        <v>1.25</v>
      </c>
      <c r="AM258">
        <v>1.25</v>
      </c>
      <c r="AN258">
        <v>1.25</v>
      </c>
      <c r="AO258">
        <v>1.25</v>
      </c>
      <c r="AP258">
        <v>1.25</v>
      </c>
      <c r="AQ258">
        <v>1.25</v>
      </c>
      <c r="AR258">
        <v>1.25</v>
      </c>
      <c r="AS258">
        <v>1.25</v>
      </c>
      <c r="AT258">
        <v>1.25</v>
      </c>
      <c r="AU258">
        <v>1.25</v>
      </c>
      <c r="AV258">
        <v>1.25</v>
      </c>
      <c r="AW258" t="s">
        <v>296</v>
      </c>
    </row>
    <row r="259" spans="1:49" ht="12.75">
      <c r="A259" t="s">
        <v>295</v>
      </c>
      <c r="B259" t="s">
        <v>289</v>
      </c>
      <c r="C259" t="s">
        <v>367</v>
      </c>
      <c r="D259" t="s">
        <v>43</v>
      </c>
      <c r="E259" t="s">
        <v>296</v>
      </c>
      <c r="F259" t="s">
        <v>83</v>
      </c>
      <c r="G259" t="s">
        <v>474</v>
      </c>
      <c r="H259" t="s">
        <v>296</v>
      </c>
      <c r="I259" t="s">
        <v>296</v>
      </c>
      <c r="J259" t="s">
        <v>296</v>
      </c>
      <c r="K259" t="s">
        <v>296</v>
      </c>
      <c r="L259">
        <v>1.25</v>
      </c>
      <c r="M259">
        <v>1.25</v>
      </c>
      <c r="N259">
        <v>1.25</v>
      </c>
      <c r="O259">
        <v>1.25</v>
      </c>
      <c r="P259">
        <v>1.25</v>
      </c>
      <c r="Q259">
        <v>1.25</v>
      </c>
      <c r="R259">
        <v>1.25</v>
      </c>
      <c r="S259">
        <v>1.25</v>
      </c>
      <c r="T259">
        <v>1.25</v>
      </c>
      <c r="U259">
        <v>1.25</v>
      </c>
      <c r="V259">
        <v>1.25</v>
      </c>
      <c r="W259">
        <v>1.25</v>
      </c>
      <c r="X259">
        <v>1.25</v>
      </c>
      <c r="Y259">
        <v>1.25</v>
      </c>
      <c r="Z259">
        <v>1.25</v>
      </c>
      <c r="AA259">
        <v>1.25</v>
      </c>
      <c r="AB259">
        <v>1.25</v>
      </c>
      <c r="AC259">
        <v>1.25</v>
      </c>
      <c r="AD259">
        <v>1.25</v>
      </c>
      <c r="AE259">
        <v>1.25</v>
      </c>
      <c r="AF259">
        <v>1.25</v>
      </c>
      <c r="AG259">
        <v>1.25</v>
      </c>
      <c r="AH259">
        <v>1.25</v>
      </c>
      <c r="AI259">
        <v>1.25</v>
      </c>
      <c r="AJ259">
        <v>1.25</v>
      </c>
      <c r="AK259">
        <v>1.25</v>
      </c>
      <c r="AL259">
        <v>1.25</v>
      </c>
      <c r="AM259">
        <v>1.25</v>
      </c>
      <c r="AN259">
        <v>1.25</v>
      </c>
      <c r="AO259">
        <v>1.25</v>
      </c>
      <c r="AP259">
        <v>1.25</v>
      </c>
      <c r="AQ259">
        <v>1.25</v>
      </c>
      <c r="AR259">
        <v>1.25</v>
      </c>
      <c r="AS259">
        <v>1.25</v>
      </c>
      <c r="AT259">
        <v>1.25</v>
      </c>
      <c r="AU259">
        <v>1.25</v>
      </c>
      <c r="AV259">
        <v>1.25</v>
      </c>
      <c r="AW259" t="s">
        <v>296</v>
      </c>
    </row>
    <row r="260" spans="1:49" ht="12.75">
      <c r="A260" t="s">
        <v>295</v>
      </c>
      <c r="B260" t="s">
        <v>289</v>
      </c>
      <c r="C260" t="s">
        <v>368</v>
      </c>
      <c r="D260" t="s">
        <v>39</v>
      </c>
      <c r="E260" t="s">
        <v>296</v>
      </c>
      <c r="F260" t="s">
        <v>83</v>
      </c>
      <c r="G260" t="s">
        <v>474</v>
      </c>
      <c r="H260" t="s">
        <v>296</v>
      </c>
      <c r="I260" t="s">
        <v>296</v>
      </c>
      <c r="J260" t="s">
        <v>296</v>
      </c>
      <c r="K260" t="s">
        <v>296</v>
      </c>
      <c r="L260">
        <v>1.25</v>
      </c>
      <c r="M260">
        <v>1.25</v>
      </c>
      <c r="N260">
        <v>1.25</v>
      </c>
      <c r="O260">
        <v>1.25</v>
      </c>
      <c r="P260">
        <v>1.25</v>
      </c>
      <c r="Q260">
        <v>1.25</v>
      </c>
      <c r="R260">
        <v>1.25</v>
      </c>
      <c r="S260">
        <v>1.25</v>
      </c>
      <c r="T260">
        <v>1.25</v>
      </c>
      <c r="U260">
        <v>1.25</v>
      </c>
      <c r="V260">
        <v>1.25</v>
      </c>
      <c r="W260">
        <v>1.25</v>
      </c>
      <c r="X260">
        <v>1.25</v>
      </c>
      <c r="Y260">
        <v>1.25</v>
      </c>
      <c r="Z260">
        <v>1.25</v>
      </c>
      <c r="AA260">
        <v>1.25</v>
      </c>
      <c r="AB260">
        <v>1.25</v>
      </c>
      <c r="AC260">
        <v>1.25</v>
      </c>
      <c r="AD260">
        <v>1.25</v>
      </c>
      <c r="AE260">
        <v>1.25</v>
      </c>
      <c r="AF260">
        <v>1.25</v>
      </c>
      <c r="AG260">
        <v>1.25</v>
      </c>
      <c r="AH260">
        <v>1.25</v>
      </c>
      <c r="AI260">
        <v>1.25</v>
      </c>
      <c r="AJ260">
        <v>1.25</v>
      </c>
      <c r="AK260">
        <v>1.25</v>
      </c>
      <c r="AL260">
        <v>1.25</v>
      </c>
      <c r="AM260">
        <v>1.25</v>
      </c>
      <c r="AN260">
        <v>1.25</v>
      </c>
      <c r="AO260">
        <v>1.25</v>
      </c>
      <c r="AP260">
        <v>1.25</v>
      </c>
      <c r="AQ260">
        <v>1.25</v>
      </c>
      <c r="AR260">
        <v>1.25</v>
      </c>
      <c r="AS260">
        <v>1.25</v>
      </c>
      <c r="AT260">
        <v>1.25</v>
      </c>
      <c r="AU260">
        <v>1.25</v>
      </c>
      <c r="AV260">
        <v>1.25</v>
      </c>
      <c r="AW260" t="s">
        <v>296</v>
      </c>
    </row>
    <row r="261" spans="1:49" ht="12.75">
      <c r="A261" t="s">
        <v>295</v>
      </c>
      <c r="B261" t="s">
        <v>289</v>
      </c>
      <c r="C261" t="s">
        <v>369</v>
      </c>
      <c r="D261" t="s">
        <v>44</v>
      </c>
      <c r="E261" t="s">
        <v>296</v>
      </c>
      <c r="F261" t="s">
        <v>83</v>
      </c>
      <c r="G261" t="s">
        <v>474</v>
      </c>
      <c r="H261" t="s">
        <v>296</v>
      </c>
      <c r="I261" t="s">
        <v>296</v>
      </c>
      <c r="J261" t="s">
        <v>296</v>
      </c>
      <c r="K261" t="s">
        <v>296</v>
      </c>
      <c r="L261">
        <v>1.25</v>
      </c>
      <c r="M261">
        <v>1.25</v>
      </c>
      <c r="N261">
        <v>1.25</v>
      </c>
      <c r="O261">
        <v>1.25</v>
      </c>
      <c r="P261">
        <v>1.25</v>
      </c>
      <c r="Q261">
        <v>1.25</v>
      </c>
      <c r="R261">
        <v>1.25</v>
      </c>
      <c r="S261">
        <v>1.25</v>
      </c>
      <c r="T261">
        <v>1.25</v>
      </c>
      <c r="U261">
        <v>1.25</v>
      </c>
      <c r="V261">
        <v>1.25</v>
      </c>
      <c r="W261">
        <v>1.25</v>
      </c>
      <c r="X261">
        <v>1.25</v>
      </c>
      <c r="Y261">
        <v>1.25</v>
      </c>
      <c r="Z261">
        <v>1.25</v>
      </c>
      <c r="AA261">
        <v>1.25</v>
      </c>
      <c r="AB261">
        <v>1.25</v>
      </c>
      <c r="AC261">
        <v>1.25</v>
      </c>
      <c r="AD261">
        <v>1.25</v>
      </c>
      <c r="AE261">
        <v>1.25</v>
      </c>
      <c r="AF261">
        <v>1.25</v>
      </c>
      <c r="AG261">
        <v>1.25</v>
      </c>
      <c r="AH261">
        <v>1.25</v>
      </c>
      <c r="AI261">
        <v>1.25</v>
      </c>
      <c r="AJ261">
        <v>1.25</v>
      </c>
      <c r="AK261">
        <v>1.25</v>
      </c>
      <c r="AL261">
        <v>1.25</v>
      </c>
      <c r="AM261">
        <v>1.25</v>
      </c>
      <c r="AN261">
        <v>1.25</v>
      </c>
      <c r="AO261">
        <v>1.25</v>
      </c>
      <c r="AP261">
        <v>1.25</v>
      </c>
      <c r="AQ261">
        <v>1.25</v>
      </c>
      <c r="AR261">
        <v>1.25</v>
      </c>
      <c r="AS261">
        <v>1.25</v>
      </c>
      <c r="AT261">
        <v>1.25</v>
      </c>
      <c r="AU261">
        <v>1.25</v>
      </c>
      <c r="AV261">
        <v>1.25</v>
      </c>
      <c r="AW261" t="s">
        <v>296</v>
      </c>
    </row>
    <row r="262" spans="1:49" ht="12.75">
      <c r="A262" t="s">
        <v>295</v>
      </c>
      <c r="B262" t="s">
        <v>289</v>
      </c>
      <c r="C262" t="s">
        <v>370</v>
      </c>
      <c r="D262" t="s">
        <v>155</v>
      </c>
      <c r="E262" t="s">
        <v>296</v>
      </c>
      <c r="F262" t="s">
        <v>83</v>
      </c>
      <c r="G262" t="s">
        <v>474</v>
      </c>
      <c r="H262" t="s">
        <v>296</v>
      </c>
      <c r="I262" t="s">
        <v>296</v>
      </c>
      <c r="J262" t="s">
        <v>296</v>
      </c>
      <c r="K262" t="s">
        <v>296</v>
      </c>
      <c r="L262">
        <v>1.25</v>
      </c>
      <c r="M262">
        <v>1.25</v>
      </c>
      <c r="N262">
        <v>1.25</v>
      </c>
      <c r="O262">
        <v>1.25</v>
      </c>
      <c r="P262">
        <v>1.25</v>
      </c>
      <c r="Q262">
        <v>1.25</v>
      </c>
      <c r="R262">
        <v>1.25</v>
      </c>
      <c r="S262">
        <v>1.25</v>
      </c>
      <c r="T262">
        <v>1.25</v>
      </c>
      <c r="U262">
        <v>1.25</v>
      </c>
      <c r="V262">
        <v>1.25</v>
      </c>
      <c r="W262">
        <v>1.25</v>
      </c>
      <c r="X262">
        <v>1.25</v>
      </c>
      <c r="Y262">
        <v>1.25</v>
      </c>
      <c r="Z262">
        <v>1.25</v>
      </c>
      <c r="AA262">
        <v>1.25</v>
      </c>
      <c r="AB262">
        <v>1.25</v>
      </c>
      <c r="AC262">
        <v>1.25</v>
      </c>
      <c r="AD262">
        <v>1.25</v>
      </c>
      <c r="AE262">
        <v>1.25</v>
      </c>
      <c r="AF262">
        <v>1.25</v>
      </c>
      <c r="AG262">
        <v>1.25</v>
      </c>
      <c r="AH262">
        <v>1.25</v>
      </c>
      <c r="AI262">
        <v>1.25</v>
      </c>
      <c r="AJ262">
        <v>1.25</v>
      </c>
      <c r="AK262">
        <v>1.25</v>
      </c>
      <c r="AL262">
        <v>1.25</v>
      </c>
      <c r="AM262">
        <v>1.25</v>
      </c>
      <c r="AN262">
        <v>1.25</v>
      </c>
      <c r="AO262">
        <v>1.25</v>
      </c>
      <c r="AP262">
        <v>1.25</v>
      </c>
      <c r="AQ262">
        <v>1.25</v>
      </c>
      <c r="AR262">
        <v>1.25</v>
      </c>
      <c r="AS262">
        <v>1.25</v>
      </c>
      <c r="AT262">
        <v>1.25</v>
      </c>
      <c r="AU262">
        <v>1.25</v>
      </c>
      <c r="AV262">
        <v>1.25</v>
      </c>
      <c r="AW262" t="s">
        <v>296</v>
      </c>
    </row>
    <row r="263" spans="1:49" ht="12.75">
      <c r="A263" t="s">
        <v>295</v>
      </c>
      <c r="B263" t="s">
        <v>289</v>
      </c>
      <c r="C263" t="s">
        <v>370</v>
      </c>
      <c r="D263" t="s">
        <v>433</v>
      </c>
      <c r="E263" t="s">
        <v>296</v>
      </c>
      <c r="F263" t="s">
        <v>83</v>
      </c>
      <c r="G263" t="s">
        <v>474</v>
      </c>
      <c r="H263" t="s">
        <v>296</v>
      </c>
      <c r="I263" t="s">
        <v>296</v>
      </c>
      <c r="J263" t="s">
        <v>296</v>
      </c>
      <c r="K263" t="s">
        <v>296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 t="s">
        <v>296</v>
      </c>
    </row>
    <row r="264" spans="1:49" ht="12.75">
      <c r="A264" t="s">
        <v>295</v>
      </c>
      <c r="B264" t="s">
        <v>289</v>
      </c>
      <c r="C264" t="s">
        <v>371</v>
      </c>
      <c r="D264" t="s">
        <v>49</v>
      </c>
      <c r="E264" t="s">
        <v>296</v>
      </c>
      <c r="F264" t="s">
        <v>83</v>
      </c>
      <c r="G264" t="s">
        <v>474</v>
      </c>
      <c r="H264" t="s">
        <v>296</v>
      </c>
      <c r="I264" t="s">
        <v>296</v>
      </c>
      <c r="J264" t="s">
        <v>296</v>
      </c>
      <c r="K264" t="s">
        <v>296</v>
      </c>
      <c r="L264">
        <v>1.25</v>
      </c>
      <c r="M264">
        <v>1.25</v>
      </c>
      <c r="N264">
        <v>1.25</v>
      </c>
      <c r="O264">
        <v>1.25</v>
      </c>
      <c r="P264">
        <v>1.25</v>
      </c>
      <c r="Q264">
        <v>1.25</v>
      </c>
      <c r="R264">
        <v>1.25</v>
      </c>
      <c r="S264">
        <v>1.25</v>
      </c>
      <c r="T264">
        <v>1.25</v>
      </c>
      <c r="U264">
        <v>1.25</v>
      </c>
      <c r="V264">
        <v>1.25</v>
      </c>
      <c r="W264">
        <v>1.25</v>
      </c>
      <c r="X264">
        <v>1.25</v>
      </c>
      <c r="Y264">
        <v>1.25</v>
      </c>
      <c r="Z264">
        <v>1.25</v>
      </c>
      <c r="AA264">
        <v>1.25</v>
      </c>
      <c r="AB264">
        <v>1.25</v>
      </c>
      <c r="AC264">
        <v>1.25</v>
      </c>
      <c r="AD264">
        <v>1.25</v>
      </c>
      <c r="AE264">
        <v>1.25</v>
      </c>
      <c r="AF264">
        <v>1.25</v>
      </c>
      <c r="AG264">
        <v>1.25</v>
      </c>
      <c r="AH264">
        <v>1.25</v>
      </c>
      <c r="AI264">
        <v>1.25</v>
      </c>
      <c r="AJ264">
        <v>1.25</v>
      </c>
      <c r="AK264">
        <v>1.25</v>
      </c>
      <c r="AL264">
        <v>1.25</v>
      </c>
      <c r="AM264">
        <v>1.25</v>
      </c>
      <c r="AN264">
        <v>1.25</v>
      </c>
      <c r="AO264">
        <v>1.25</v>
      </c>
      <c r="AP264">
        <v>1.25</v>
      </c>
      <c r="AQ264">
        <v>1.25</v>
      </c>
      <c r="AR264">
        <v>1.25</v>
      </c>
      <c r="AS264">
        <v>1.25</v>
      </c>
      <c r="AT264">
        <v>1.25</v>
      </c>
      <c r="AU264">
        <v>1.25</v>
      </c>
      <c r="AV264">
        <v>1.25</v>
      </c>
      <c r="AW264" t="s">
        <v>296</v>
      </c>
    </row>
    <row r="265" spans="1:49" ht="12.75">
      <c r="A265" t="s">
        <v>295</v>
      </c>
      <c r="B265" t="s">
        <v>289</v>
      </c>
      <c r="C265" t="s">
        <v>371</v>
      </c>
      <c r="D265" t="s">
        <v>433</v>
      </c>
      <c r="E265" t="s">
        <v>296</v>
      </c>
      <c r="F265" t="s">
        <v>83</v>
      </c>
      <c r="G265" t="s">
        <v>474</v>
      </c>
      <c r="H265" t="s">
        <v>296</v>
      </c>
      <c r="I265" t="s">
        <v>296</v>
      </c>
      <c r="J265" t="s">
        <v>296</v>
      </c>
      <c r="K265" t="s">
        <v>296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 t="s">
        <v>296</v>
      </c>
    </row>
    <row r="266" spans="1:49" ht="12.75">
      <c r="A266" t="s">
        <v>295</v>
      </c>
      <c r="B266" t="s">
        <v>289</v>
      </c>
      <c r="C266" t="s">
        <v>372</v>
      </c>
      <c r="D266" t="s">
        <v>51</v>
      </c>
      <c r="E266" t="s">
        <v>296</v>
      </c>
      <c r="F266" t="s">
        <v>83</v>
      </c>
      <c r="G266" t="s">
        <v>474</v>
      </c>
      <c r="H266" t="s">
        <v>296</v>
      </c>
      <c r="I266" t="s">
        <v>296</v>
      </c>
      <c r="J266" t="s">
        <v>296</v>
      </c>
      <c r="K266" t="s">
        <v>296</v>
      </c>
      <c r="L266">
        <v>1.25</v>
      </c>
      <c r="M266">
        <v>1.25</v>
      </c>
      <c r="N266">
        <v>1.25</v>
      </c>
      <c r="O266">
        <v>1.25</v>
      </c>
      <c r="P266">
        <v>1.25</v>
      </c>
      <c r="Q266">
        <v>1.25</v>
      </c>
      <c r="R266">
        <v>1.25</v>
      </c>
      <c r="S266">
        <v>1.25</v>
      </c>
      <c r="T266">
        <v>1.25</v>
      </c>
      <c r="U266">
        <v>1.25</v>
      </c>
      <c r="V266">
        <v>1.25</v>
      </c>
      <c r="W266">
        <v>1.25</v>
      </c>
      <c r="X266">
        <v>1.25</v>
      </c>
      <c r="Y266">
        <v>1.25</v>
      </c>
      <c r="Z266">
        <v>1.25</v>
      </c>
      <c r="AA266">
        <v>1.25</v>
      </c>
      <c r="AB266">
        <v>1.25</v>
      </c>
      <c r="AC266">
        <v>1.25</v>
      </c>
      <c r="AD266">
        <v>1.25</v>
      </c>
      <c r="AE266">
        <v>1.25</v>
      </c>
      <c r="AF266">
        <v>1.25</v>
      </c>
      <c r="AG266">
        <v>1.25</v>
      </c>
      <c r="AH266">
        <v>1.25</v>
      </c>
      <c r="AI266">
        <v>1.25</v>
      </c>
      <c r="AJ266">
        <v>1.25</v>
      </c>
      <c r="AK266">
        <v>1.25</v>
      </c>
      <c r="AL266">
        <v>1.25</v>
      </c>
      <c r="AM266">
        <v>1.25</v>
      </c>
      <c r="AN266">
        <v>1.25</v>
      </c>
      <c r="AO266">
        <v>1.25</v>
      </c>
      <c r="AP266">
        <v>1.25</v>
      </c>
      <c r="AQ266">
        <v>1.25</v>
      </c>
      <c r="AR266">
        <v>1.25</v>
      </c>
      <c r="AS266">
        <v>1.25</v>
      </c>
      <c r="AT266">
        <v>1.25</v>
      </c>
      <c r="AU266">
        <v>1.25</v>
      </c>
      <c r="AV266">
        <v>1.25</v>
      </c>
      <c r="AW266" t="s">
        <v>296</v>
      </c>
    </row>
    <row r="267" spans="1:49" ht="12.75">
      <c r="A267" t="s">
        <v>295</v>
      </c>
      <c r="B267" t="s">
        <v>289</v>
      </c>
      <c r="C267" t="s">
        <v>372</v>
      </c>
      <c r="D267" t="s">
        <v>433</v>
      </c>
      <c r="E267" t="s">
        <v>296</v>
      </c>
      <c r="F267" t="s">
        <v>83</v>
      </c>
      <c r="G267" t="s">
        <v>474</v>
      </c>
      <c r="H267" t="s">
        <v>296</v>
      </c>
      <c r="I267" t="s">
        <v>296</v>
      </c>
      <c r="J267" t="s">
        <v>296</v>
      </c>
      <c r="K267" t="s">
        <v>296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 t="s">
        <v>296</v>
      </c>
    </row>
    <row r="268" spans="1:49" ht="12.75">
      <c r="A268" t="s">
        <v>295</v>
      </c>
      <c r="B268" t="s">
        <v>289</v>
      </c>
      <c r="C268" t="s">
        <v>373</v>
      </c>
      <c r="D268" t="s">
        <v>37</v>
      </c>
      <c r="E268" t="s">
        <v>296</v>
      </c>
      <c r="F268" t="s">
        <v>83</v>
      </c>
      <c r="G268" t="s">
        <v>474</v>
      </c>
      <c r="H268" t="s">
        <v>296</v>
      </c>
      <c r="I268" t="s">
        <v>296</v>
      </c>
      <c r="J268" t="s">
        <v>296</v>
      </c>
      <c r="K268" t="s">
        <v>296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 t="s">
        <v>296</v>
      </c>
    </row>
    <row r="269" spans="1:49" ht="12.75">
      <c r="A269" t="s">
        <v>295</v>
      </c>
      <c r="B269" t="s">
        <v>289</v>
      </c>
      <c r="C269" t="s">
        <v>373</v>
      </c>
      <c r="D269" t="s">
        <v>433</v>
      </c>
      <c r="E269" t="s">
        <v>296</v>
      </c>
      <c r="F269" t="s">
        <v>83</v>
      </c>
      <c r="G269" t="s">
        <v>474</v>
      </c>
      <c r="H269" t="s">
        <v>296</v>
      </c>
      <c r="I269" t="s">
        <v>296</v>
      </c>
      <c r="J269" t="s">
        <v>296</v>
      </c>
      <c r="K269" t="s">
        <v>296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 t="s">
        <v>296</v>
      </c>
    </row>
    <row r="270" spans="1:49" ht="12.75">
      <c r="A270" t="s">
        <v>295</v>
      </c>
      <c r="B270" t="s">
        <v>289</v>
      </c>
      <c r="C270" t="s">
        <v>374</v>
      </c>
      <c r="D270" t="s">
        <v>38</v>
      </c>
      <c r="E270" t="s">
        <v>296</v>
      </c>
      <c r="F270" t="s">
        <v>83</v>
      </c>
      <c r="G270" t="s">
        <v>474</v>
      </c>
      <c r="H270" t="s">
        <v>296</v>
      </c>
      <c r="I270" t="s">
        <v>296</v>
      </c>
      <c r="J270" t="s">
        <v>296</v>
      </c>
      <c r="K270" t="s">
        <v>296</v>
      </c>
      <c r="L270">
        <v>1.25</v>
      </c>
      <c r="M270">
        <v>1.25</v>
      </c>
      <c r="N270">
        <v>1.25</v>
      </c>
      <c r="O270">
        <v>1.25</v>
      </c>
      <c r="P270">
        <v>1.25</v>
      </c>
      <c r="Q270">
        <v>1.25</v>
      </c>
      <c r="R270">
        <v>1.25</v>
      </c>
      <c r="S270">
        <v>1.25</v>
      </c>
      <c r="T270">
        <v>1.25</v>
      </c>
      <c r="U270">
        <v>1.25</v>
      </c>
      <c r="V270">
        <v>1.25</v>
      </c>
      <c r="W270">
        <v>1.25</v>
      </c>
      <c r="X270">
        <v>1.25</v>
      </c>
      <c r="Y270">
        <v>1.25</v>
      </c>
      <c r="Z270">
        <v>1.25</v>
      </c>
      <c r="AA270">
        <v>1.25</v>
      </c>
      <c r="AB270">
        <v>1.25</v>
      </c>
      <c r="AC270">
        <v>1.25</v>
      </c>
      <c r="AD270">
        <v>1.25</v>
      </c>
      <c r="AE270">
        <v>1.25</v>
      </c>
      <c r="AF270">
        <v>1.25</v>
      </c>
      <c r="AG270">
        <v>1.25</v>
      </c>
      <c r="AH270">
        <v>1.25</v>
      </c>
      <c r="AI270">
        <v>1.25</v>
      </c>
      <c r="AJ270">
        <v>1.25</v>
      </c>
      <c r="AK270">
        <v>1.25</v>
      </c>
      <c r="AL270">
        <v>1.25</v>
      </c>
      <c r="AM270">
        <v>1.25</v>
      </c>
      <c r="AN270">
        <v>1.25</v>
      </c>
      <c r="AO270">
        <v>1.25</v>
      </c>
      <c r="AP270">
        <v>1.25</v>
      </c>
      <c r="AQ270">
        <v>1.25</v>
      </c>
      <c r="AR270">
        <v>1.25</v>
      </c>
      <c r="AS270">
        <v>1.25</v>
      </c>
      <c r="AT270">
        <v>1.25</v>
      </c>
      <c r="AU270">
        <v>1.25</v>
      </c>
      <c r="AV270">
        <v>1.25</v>
      </c>
      <c r="AW270" t="s">
        <v>296</v>
      </c>
    </row>
    <row r="271" spans="1:49" ht="12.75">
      <c r="A271" t="s">
        <v>295</v>
      </c>
      <c r="B271" t="s">
        <v>289</v>
      </c>
      <c r="C271" t="s">
        <v>374</v>
      </c>
      <c r="D271" t="s">
        <v>433</v>
      </c>
      <c r="E271" t="s">
        <v>296</v>
      </c>
      <c r="F271" t="s">
        <v>83</v>
      </c>
      <c r="G271" t="s">
        <v>474</v>
      </c>
      <c r="H271" t="s">
        <v>296</v>
      </c>
      <c r="I271" t="s">
        <v>296</v>
      </c>
      <c r="J271" t="s">
        <v>296</v>
      </c>
      <c r="K271" t="s">
        <v>296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 t="s">
        <v>296</v>
      </c>
    </row>
    <row r="272" spans="1:49" ht="12.75">
      <c r="A272" t="s">
        <v>295</v>
      </c>
      <c r="B272" t="s">
        <v>289</v>
      </c>
      <c r="C272" t="s">
        <v>375</v>
      </c>
      <c r="D272" t="s">
        <v>43</v>
      </c>
      <c r="E272" t="s">
        <v>296</v>
      </c>
      <c r="F272" t="s">
        <v>83</v>
      </c>
      <c r="G272" t="s">
        <v>474</v>
      </c>
      <c r="H272" t="s">
        <v>296</v>
      </c>
      <c r="I272" t="s">
        <v>296</v>
      </c>
      <c r="J272" t="s">
        <v>296</v>
      </c>
      <c r="K272" t="s">
        <v>296</v>
      </c>
      <c r="L272">
        <v>1.25</v>
      </c>
      <c r="M272">
        <v>1.25</v>
      </c>
      <c r="N272">
        <v>1.25</v>
      </c>
      <c r="O272">
        <v>1.25</v>
      </c>
      <c r="P272">
        <v>1.25</v>
      </c>
      <c r="Q272">
        <v>1.25</v>
      </c>
      <c r="R272">
        <v>1.25</v>
      </c>
      <c r="S272">
        <v>1.25</v>
      </c>
      <c r="T272">
        <v>1.25</v>
      </c>
      <c r="U272">
        <v>1.25</v>
      </c>
      <c r="V272">
        <v>1.25</v>
      </c>
      <c r="W272">
        <v>1.25</v>
      </c>
      <c r="X272">
        <v>1.25</v>
      </c>
      <c r="Y272">
        <v>1.25</v>
      </c>
      <c r="Z272">
        <v>1.25</v>
      </c>
      <c r="AA272">
        <v>1.25</v>
      </c>
      <c r="AB272">
        <v>1.25</v>
      </c>
      <c r="AC272">
        <v>1.25</v>
      </c>
      <c r="AD272">
        <v>1.25</v>
      </c>
      <c r="AE272">
        <v>1.25</v>
      </c>
      <c r="AF272">
        <v>1.25</v>
      </c>
      <c r="AG272">
        <v>1.25</v>
      </c>
      <c r="AH272">
        <v>1.25</v>
      </c>
      <c r="AI272">
        <v>1.25</v>
      </c>
      <c r="AJ272">
        <v>1.25</v>
      </c>
      <c r="AK272">
        <v>1.25</v>
      </c>
      <c r="AL272">
        <v>1.25</v>
      </c>
      <c r="AM272">
        <v>1.25</v>
      </c>
      <c r="AN272">
        <v>1.25</v>
      </c>
      <c r="AO272">
        <v>1.25</v>
      </c>
      <c r="AP272">
        <v>1.25</v>
      </c>
      <c r="AQ272">
        <v>1.25</v>
      </c>
      <c r="AR272">
        <v>1.25</v>
      </c>
      <c r="AS272">
        <v>1.25</v>
      </c>
      <c r="AT272">
        <v>1.25</v>
      </c>
      <c r="AU272">
        <v>1.25</v>
      </c>
      <c r="AV272">
        <v>1.25</v>
      </c>
      <c r="AW272" t="s">
        <v>296</v>
      </c>
    </row>
    <row r="273" spans="1:49" ht="12.75">
      <c r="A273" t="s">
        <v>295</v>
      </c>
      <c r="B273" t="s">
        <v>289</v>
      </c>
      <c r="C273" t="s">
        <v>375</v>
      </c>
      <c r="D273" t="s">
        <v>433</v>
      </c>
      <c r="E273" t="s">
        <v>296</v>
      </c>
      <c r="F273" t="s">
        <v>83</v>
      </c>
      <c r="G273" t="s">
        <v>474</v>
      </c>
      <c r="H273" t="s">
        <v>296</v>
      </c>
      <c r="I273" t="s">
        <v>296</v>
      </c>
      <c r="J273" t="s">
        <v>296</v>
      </c>
      <c r="K273" t="s">
        <v>296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 t="s">
        <v>296</v>
      </c>
    </row>
    <row r="274" spans="1:49" ht="12.75">
      <c r="A274" t="s">
        <v>295</v>
      </c>
      <c r="B274" t="s">
        <v>289</v>
      </c>
      <c r="C274" t="s">
        <v>376</v>
      </c>
      <c r="D274" t="s">
        <v>114</v>
      </c>
      <c r="E274" t="s">
        <v>296</v>
      </c>
      <c r="F274" t="s">
        <v>83</v>
      </c>
      <c r="G274" t="s">
        <v>474</v>
      </c>
      <c r="H274" t="s">
        <v>296</v>
      </c>
      <c r="I274" t="s">
        <v>296</v>
      </c>
      <c r="J274" t="s">
        <v>296</v>
      </c>
      <c r="K274" t="s">
        <v>296</v>
      </c>
      <c r="L274">
        <v>1.25</v>
      </c>
      <c r="M274">
        <v>1.25</v>
      </c>
      <c r="N274">
        <v>1.25</v>
      </c>
      <c r="O274">
        <v>1.25</v>
      </c>
      <c r="P274">
        <v>1.25</v>
      </c>
      <c r="Q274">
        <v>1.25</v>
      </c>
      <c r="R274">
        <v>1.25</v>
      </c>
      <c r="S274">
        <v>1.25</v>
      </c>
      <c r="T274">
        <v>1.25</v>
      </c>
      <c r="U274">
        <v>1.25</v>
      </c>
      <c r="V274">
        <v>1.25</v>
      </c>
      <c r="W274">
        <v>1.25</v>
      </c>
      <c r="X274">
        <v>1.25</v>
      </c>
      <c r="Y274">
        <v>1.25</v>
      </c>
      <c r="Z274">
        <v>1.25</v>
      </c>
      <c r="AA274">
        <v>1.25</v>
      </c>
      <c r="AB274">
        <v>1.25</v>
      </c>
      <c r="AC274">
        <v>1.25</v>
      </c>
      <c r="AD274">
        <v>1.25</v>
      </c>
      <c r="AE274">
        <v>1.25</v>
      </c>
      <c r="AF274">
        <v>1.25</v>
      </c>
      <c r="AG274">
        <v>1.25</v>
      </c>
      <c r="AH274">
        <v>1.25</v>
      </c>
      <c r="AI274">
        <v>1.25</v>
      </c>
      <c r="AJ274">
        <v>1.25</v>
      </c>
      <c r="AK274">
        <v>1.25</v>
      </c>
      <c r="AL274">
        <v>1.25</v>
      </c>
      <c r="AM274">
        <v>1.25</v>
      </c>
      <c r="AN274">
        <v>1.25</v>
      </c>
      <c r="AO274">
        <v>1.25</v>
      </c>
      <c r="AP274">
        <v>1.25</v>
      </c>
      <c r="AQ274">
        <v>1.25</v>
      </c>
      <c r="AR274">
        <v>1.25</v>
      </c>
      <c r="AS274">
        <v>1.25</v>
      </c>
      <c r="AT274">
        <v>1.25</v>
      </c>
      <c r="AU274">
        <v>1.25</v>
      </c>
      <c r="AV274">
        <v>1.25</v>
      </c>
      <c r="AW274" t="s">
        <v>296</v>
      </c>
    </row>
    <row r="275" spans="1:49" ht="12.75">
      <c r="A275" t="s">
        <v>295</v>
      </c>
      <c r="B275" t="s">
        <v>289</v>
      </c>
      <c r="C275" t="s">
        <v>376</v>
      </c>
      <c r="D275" t="s">
        <v>433</v>
      </c>
      <c r="E275" t="s">
        <v>296</v>
      </c>
      <c r="F275" t="s">
        <v>83</v>
      </c>
      <c r="G275" t="s">
        <v>474</v>
      </c>
      <c r="H275" t="s">
        <v>296</v>
      </c>
      <c r="I275" t="s">
        <v>296</v>
      </c>
      <c r="J275" t="s">
        <v>296</v>
      </c>
      <c r="K275" t="s">
        <v>296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 t="s">
        <v>296</v>
      </c>
    </row>
    <row r="276" spans="1:49" ht="12.75">
      <c r="A276" t="s">
        <v>295</v>
      </c>
      <c r="B276" t="s">
        <v>289</v>
      </c>
      <c r="C276" t="s">
        <v>377</v>
      </c>
      <c r="D276" t="s">
        <v>39</v>
      </c>
      <c r="E276" t="s">
        <v>296</v>
      </c>
      <c r="F276" t="s">
        <v>83</v>
      </c>
      <c r="G276" t="s">
        <v>474</v>
      </c>
      <c r="H276" t="s">
        <v>296</v>
      </c>
      <c r="I276" t="s">
        <v>296</v>
      </c>
      <c r="J276" t="s">
        <v>296</v>
      </c>
      <c r="K276" t="s">
        <v>296</v>
      </c>
      <c r="L276">
        <v>1.25</v>
      </c>
      <c r="M276">
        <v>1.25</v>
      </c>
      <c r="N276">
        <v>1.25</v>
      </c>
      <c r="O276">
        <v>1.25</v>
      </c>
      <c r="P276">
        <v>1.25</v>
      </c>
      <c r="Q276">
        <v>1.25</v>
      </c>
      <c r="R276">
        <v>1.25</v>
      </c>
      <c r="S276">
        <v>1.25</v>
      </c>
      <c r="T276">
        <v>1.25</v>
      </c>
      <c r="U276">
        <v>1.25</v>
      </c>
      <c r="V276">
        <v>1.25</v>
      </c>
      <c r="W276">
        <v>1.25</v>
      </c>
      <c r="X276">
        <v>1.25</v>
      </c>
      <c r="Y276">
        <v>1.25</v>
      </c>
      <c r="Z276">
        <v>1.25</v>
      </c>
      <c r="AA276">
        <v>1.25</v>
      </c>
      <c r="AB276">
        <v>1.25</v>
      </c>
      <c r="AC276">
        <v>1.25</v>
      </c>
      <c r="AD276">
        <v>1.25</v>
      </c>
      <c r="AE276">
        <v>1.25</v>
      </c>
      <c r="AF276">
        <v>1.25</v>
      </c>
      <c r="AG276">
        <v>1.25</v>
      </c>
      <c r="AH276">
        <v>1.25</v>
      </c>
      <c r="AI276">
        <v>1.25</v>
      </c>
      <c r="AJ276">
        <v>1.25</v>
      </c>
      <c r="AK276">
        <v>1.25</v>
      </c>
      <c r="AL276">
        <v>1.25</v>
      </c>
      <c r="AM276">
        <v>1.25</v>
      </c>
      <c r="AN276">
        <v>1.25</v>
      </c>
      <c r="AO276">
        <v>1.25</v>
      </c>
      <c r="AP276">
        <v>1.25</v>
      </c>
      <c r="AQ276">
        <v>1.25</v>
      </c>
      <c r="AR276">
        <v>1.25</v>
      </c>
      <c r="AS276">
        <v>1.25</v>
      </c>
      <c r="AT276">
        <v>1.25</v>
      </c>
      <c r="AU276">
        <v>1.25</v>
      </c>
      <c r="AV276">
        <v>1.25</v>
      </c>
      <c r="AW276" t="s">
        <v>296</v>
      </c>
    </row>
    <row r="277" spans="1:49" ht="12.75">
      <c r="A277" t="s">
        <v>295</v>
      </c>
      <c r="B277" t="s">
        <v>289</v>
      </c>
      <c r="C277" t="s">
        <v>377</v>
      </c>
      <c r="D277" t="s">
        <v>433</v>
      </c>
      <c r="E277" t="s">
        <v>296</v>
      </c>
      <c r="F277" t="s">
        <v>83</v>
      </c>
      <c r="G277" t="s">
        <v>474</v>
      </c>
      <c r="H277" t="s">
        <v>296</v>
      </c>
      <c r="I277" t="s">
        <v>296</v>
      </c>
      <c r="J277" t="s">
        <v>296</v>
      </c>
      <c r="K277" t="s">
        <v>296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 t="s">
        <v>296</v>
      </c>
    </row>
    <row r="278" spans="1:49" ht="12.75">
      <c r="A278" t="s">
        <v>295</v>
      </c>
      <c r="B278" t="s">
        <v>289</v>
      </c>
      <c r="C278" t="s">
        <v>378</v>
      </c>
      <c r="D278" t="s">
        <v>44</v>
      </c>
      <c r="E278" t="s">
        <v>296</v>
      </c>
      <c r="F278" t="s">
        <v>83</v>
      </c>
      <c r="G278" t="s">
        <v>474</v>
      </c>
      <c r="H278" t="s">
        <v>296</v>
      </c>
      <c r="I278" t="s">
        <v>296</v>
      </c>
      <c r="J278" t="s">
        <v>296</v>
      </c>
      <c r="K278" t="s">
        <v>296</v>
      </c>
      <c r="L278">
        <v>1.25</v>
      </c>
      <c r="M278">
        <v>1.25</v>
      </c>
      <c r="N278">
        <v>1.25</v>
      </c>
      <c r="O278">
        <v>1.25</v>
      </c>
      <c r="P278">
        <v>1.25</v>
      </c>
      <c r="Q278">
        <v>1.25</v>
      </c>
      <c r="R278">
        <v>1.25</v>
      </c>
      <c r="S278">
        <v>1.25</v>
      </c>
      <c r="T278">
        <v>1.25</v>
      </c>
      <c r="U278">
        <v>1.25</v>
      </c>
      <c r="V278">
        <v>1.25</v>
      </c>
      <c r="W278">
        <v>1.25</v>
      </c>
      <c r="X278">
        <v>1.25</v>
      </c>
      <c r="Y278">
        <v>1.25</v>
      </c>
      <c r="Z278">
        <v>1.25</v>
      </c>
      <c r="AA278">
        <v>1.25</v>
      </c>
      <c r="AB278">
        <v>1.25</v>
      </c>
      <c r="AC278">
        <v>1.25</v>
      </c>
      <c r="AD278">
        <v>1.25</v>
      </c>
      <c r="AE278">
        <v>1.25</v>
      </c>
      <c r="AF278">
        <v>1.25</v>
      </c>
      <c r="AG278">
        <v>1.25</v>
      </c>
      <c r="AH278">
        <v>1.25</v>
      </c>
      <c r="AI278">
        <v>1.25</v>
      </c>
      <c r="AJ278">
        <v>1.25</v>
      </c>
      <c r="AK278">
        <v>1.25</v>
      </c>
      <c r="AL278">
        <v>1.25</v>
      </c>
      <c r="AM278">
        <v>1.25</v>
      </c>
      <c r="AN278">
        <v>1.25</v>
      </c>
      <c r="AO278">
        <v>1.25</v>
      </c>
      <c r="AP278">
        <v>1.25</v>
      </c>
      <c r="AQ278">
        <v>1.25</v>
      </c>
      <c r="AR278">
        <v>1.25</v>
      </c>
      <c r="AS278">
        <v>1.25</v>
      </c>
      <c r="AT278">
        <v>1.25</v>
      </c>
      <c r="AU278">
        <v>1.25</v>
      </c>
      <c r="AV278">
        <v>1.25</v>
      </c>
      <c r="AW278" t="s">
        <v>296</v>
      </c>
    </row>
    <row r="279" spans="1:49" ht="12.75">
      <c r="A279" t="s">
        <v>295</v>
      </c>
      <c r="B279" t="s">
        <v>289</v>
      </c>
      <c r="C279" t="s">
        <v>378</v>
      </c>
      <c r="D279" t="s">
        <v>433</v>
      </c>
      <c r="E279" t="s">
        <v>296</v>
      </c>
      <c r="F279" t="s">
        <v>83</v>
      </c>
      <c r="G279" t="s">
        <v>474</v>
      </c>
      <c r="H279" t="s">
        <v>296</v>
      </c>
      <c r="I279" t="s">
        <v>296</v>
      </c>
      <c r="J279" t="s">
        <v>296</v>
      </c>
      <c r="K279" t="s">
        <v>296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 t="s">
        <v>296</v>
      </c>
    </row>
    <row r="280" spans="1:49" ht="12.75">
      <c r="A280" t="s">
        <v>295</v>
      </c>
      <c r="B280" t="s">
        <v>289</v>
      </c>
      <c r="C280" t="s">
        <v>379</v>
      </c>
      <c r="D280" t="s">
        <v>37</v>
      </c>
      <c r="E280" t="s">
        <v>296</v>
      </c>
      <c r="F280" t="s">
        <v>83</v>
      </c>
      <c r="G280" t="s">
        <v>474</v>
      </c>
      <c r="H280" t="s">
        <v>296</v>
      </c>
      <c r="I280" t="s">
        <v>296</v>
      </c>
      <c r="J280" t="s">
        <v>296</v>
      </c>
      <c r="K280" t="s">
        <v>296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 t="s">
        <v>296</v>
      </c>
    </row>
    <row r="281" spans="1:49" ht="12.75">
      <c r="A281" t="s">
        <v>295</v>
      </c>
      <c r="B281" t="s">
        <v>289</v>
      </c>
      <c r="C281" t="s">
        <v>380</v>
      </c>
      <c r="D281" t="s">
        <v>155</v>
      </c>
      <c r="E281" t="s">
        <v>296</v>
      </c>
      <c r="F281" t="s">
        <v>83</v>
      </c>
      <c r="G281" t="s">
        <v>474</v>
      </c>
      <c r="H281" t="s">
        <v>296</v>
      </c>
      <c r="I281" t="s">
        <v>296</v>
      </c>
      <c r="J281" t="s">
        <v>296</v>
      </c>
      <c r="K281" t="s">
        <v>296</v>
      </c>
      <c r="L281">
        <v>2</v>
      </c>
      <c r="M281">
        <v>2</v>
      </c>
      <c r="N281">
        <v>2</v>
      </c>
      <c r="O281">
        <v>2.8700000000000001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2</v>
      </c>
      <c r="AH281">
        <v>2</v>
      </c>
      <c r="AI281">
        <v>2</v>
      </c>
      <c r="AJ281">
        <v>2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2</v>
      </c>
      <c r="AS281">
        <v>2</v>
      </c>
      <c r="AT281">
        <v>2</v>
      </c>
      <c r="AU281">
        <v>2</v>
      </c>
      <c r="AV281">
        <v>2</v>
      </c>
      <c r="AW281" t="s">
        <v>296</v>
      </c>
    </row>
    <row r="282" spans="1:49" ht="12.75">
      <c r="A282" t="s">
        <v>295</v>
      </c>
      <c r="B282" t="s">
        <v>289</v>
      </c>
      <c r="C282" t="s">
        <v>381</v>
      </c>
      <c r="D282" t="s">
        <v>49</v>
      </c>
      <c r="E282" t="s">
        <v>296</v>
      </c>
      <c r="F282" t="s">
        <v>83</v>
      </c>
      <c r="G282" t="s">
        <v>474</v>
      </c>
      <c r="H282" t="s">
        <v>296</v>
      </c>
      <c r="I282" t="s">
        <v>296</v>
      </c>
      <c r="J282" t="s">
        <v>296</v>
      </c>
      <c r="K282" t="s">
        <v>296</v>
      </c>
      <c r="L282">
        <v>2</v>
      </c>
      <c r="M282">
        <v>2</v>
      </c>
      <c r="N282">
        <v>2</v>
      </c>
      <c r="O282">
        <v>2.8700000000000001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2</v>
      </c>
      <c r="V282">
        <v>2</v>
      </c>
      <c r="W282">
        <v>2</v>
      </c>
      <c r="X282">
        <v>2</v>
      </c>
      <c r="Y282">
        <v>2</v>
      </c>
      <c r="Z282">
        <v>2</v>
      </c>
      <c r="AA282">
        <v>2</v>
      </c>
      <c r="AB282">
        <v>2</v>
      </c>
      <c r="AC282">
        <v>2</v>
      </c>
      <c r="AD282">
        <v>2</v>
      </c>
      <c r="AE282">
        <v>2</v>
      </c>
      <c r="AF282">
        <v>2</v>
      </c>
      <c r="AG282">
        <v>2</v>
      </c>
      <c r="AH282">
        <v>2</v>
      </c>
      <c r="AI282">
        <v>2</v>
      </c>
      <c r="AJ282">
        <v>2</v>
      </c>
      <c r="AK282">
        <v>2</v>
      </c>
      <c r="AL282">
        <v>2</v>
      </c>
      <c r="AM282">
        <v>2</v>
      </c>
      <c r="AN282">
        <v>2</v>
      </c>
      <c r="AO282">
        <v>2</v>
      </c>
      <c r="AP282">
        <v>2</v>
      </c>
      <c r="AQ282">
        <v>2</v>
      </c>
      <c r="AR282">
        <v>2</v>
      </c>
      <c r="AS282">
        <v>2</v>
      </c>
      <c r="AT282">
        <v>2</v>
      </c>
      <c r="AU282">
        <v>2</v>
      </c>
      <c r="AV282">
        <v>2</v>
      </c>
      <c r="AW282" t="s">
        <v>296</v>
      </c>
    </row>
    <row r="283" spans="1:49" ht="12.75">
      <c r="A283" t="s">
        <v>295</v>
      </c>
      <c r="B283" t="s">
        <v>289</v>
      </c>
      <c r="C283" t="s">
        <v>382</v>
      </c>
      <c r="D283" t="s">
        <v>51</v>
      </c>
      <c r="E283" t="s">
        <v>296</v>
      </c>
      <c r="F283" t="s">
        <v>83</v>
      </c>
      <c r="G283" t="s">
        <v>474</v>
      </c>
      <c r="H283" t="s">
        <v>296</v>
      </c>
      <c r="I283" t="s">
        <v>296</v>
      </c>
      <c r="J283" t="s">
        <v>296</v>
      </c>
      <c r="K283" t="s">
        <v>296</v>
      </c>
      <c r="L283">
        <v>2</v>
      </c>
      <c r="M283">
        <v>2</v>
      </c>
      <c r="N283">
        <v>2</v>
      </c>
      <c r="O283">
        <v>2.8700000000000001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2</v>
      </c>
      <c r="W283">
        <v>2</v>
      </c>
      <c r="X283">
        <v>2</v>
      </c>
      <c r="Y283">
        <v>2</v>
      </c>
      <c r="Z283">
        <v>2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2</v>
      </c>
      <c r="AG283">
        <v>2</v>
      </c>
      <c r="AH283">
        <v>2</v>
      </c>
      <c r="AI283">
        <v>2</v>
      </c>
      <c r="AJ283">
        <v>2</v>
      </c>
      <c r="AK283">
        <v>2</v>
      </c>
      <c r="AL283">
        <v>2</v>
      </c>
      <c r="AM283">
        <v>2</v>
      </c>
      <c r="AN283">
        <v>2</v>
      </c>
      <c r="AO283">
        <v>2</v>
      </c>
      <c r="AP283">
        <v>2</v>
      </c>
      <c r="AQ283">
        <v>2</v>
      </c>
      <c r="AR283">
        <v>2</v>
      </c>
      <c r="AS283">
        <v>2</v>
      </c>
      <c r="AT283">
        <v>2</v>
      </c>
      <c r="AU283">
        <v>2</v>
      </c>
      <c r="AV283">
        <v>2</v>
      </c>
      <c r="AW283" t="s">
        <v>296</v>
      </c>
    </row>
    <row r="284" spans="1:49" ht="12.75">
      <c r="A284" t="s">
        <v>295</v>
      </c>
      <c r="B284" t="s">
        <v>289</v>
      </c>
      <c r="C284" t="s">
        <v>383</v>
      </c>
      <c r="D284" t="s">
        <v>37</v>
      </c>
      <c r="E284" t="s">
        <v>296</v>
      </c>
      <c r="F284" t="s">
        <v>83</v>
      </c>
      <c r="G284" t="s">
        <v>474</v>
      </c>
      <c r="H284" t="s">
        <v>296</v>
      </c>
      <c r="I284" t="s">
        <v>296</v>
      </c>
      <c r="J284" t="s">
        <v>296</v>
      </c>
      <c r="K284" t="s">
        <v>296</v>
      </c>
      <c r="L284">
        <v>1.0526315789473699</v>
      </c>
      <c r="M284">
        <v>1.0526315789473699</v>
      </c>
      <c r="N284">
        <v>1.0526315789473699</v>
      </c>
      <c r="O284">
        <v>1.06595744680851</v>
      </c>
      <c r="P284">
        <v>1.0526315789473699</v>
      </c>
      <c r="Q284">
        <v>1.1111111111111101</v>
      </c>
      <c r="R284">
        <v>1.1111111111111101</v>
      </c>
      <c r="S284">
        <v>1.0526315789473699</v>
      </c>
      <c r="T284">
        <v>1.0526315789473699</v>
      </c>
      <c r="U284">
        <v>1.0526315789473699</v>
      </c>
      <c r="V284">
        <v>1.1111111111111101</v>
      </c>
      <c r="W284">
        <v>1.1111111111111101</v>
      </c>
      <c r="X284">
        <v>1.1111111111111101</v>
      </c>
      <c r="Y284">
        <v>1.1111111111111101</v>
      </c>
      <c r="Z284">
        <v>1.1111111111111101</v>
      </c>
      <c r="AA284">
        <v>1.0526315789473699</v>
      </c>
      <c r="AB284">
        <v>1.0526315789473699</v>
      </c>
      <c r="AC284">
        <v>1.1111111111111101</v>
      </c>
      <c r="AD284">
        <v>1.0526315789473699</v>
      </c>
      <c r="AE284">
        <v>1.0101010101010099</v>
      </c>
      <c r="AF284">
        <v>1.0526315789473699</v>
      </c>
      <c r="AG284">
        <v>1.1111111111111101</v>
      </c>
      <c r="AH284">
        <v>1.0526315789473699</v>
      </c>
      <c r="AI284">
        <v>1.1111111111111101</v>
      </c>
      <c r="AJ284">
        <v>1.0526315789473699</v>
      </c>
      <c r="AK284">
        <v>1.0526315789473699</v>
      </c>
      <c r="AL284">
        <v>1.0526315789473699</v>
      </c>
      <c r="AM284">
        <v>1.1111111111111101</v>
      </c>
      <c r="AN284">
        <v>1.1111111111111101</v>
      </c>
      <c r="AO284">
        <v>1.0526315789473699</v>
      </c>
      <c r="AP284">
        <v>1.1111111111111101</v>
      </c>
      <c r="AQ284">
        <v>1.1111111111111101</v>
      </c>
      <c r="AR284">
        <v>1.0526315789473699</v>
      </c>
      <c r="AS284">
        <v>1.1111111111111101</v>
      </c>
      <c r="AT284">
        <v>1.1111111111111101</v>
      </c>
      <c r="AU284">
        <v>1.0526315789473699</v>
      </c>
      <c r="AV284">
        <v>1</v>
      </c>
      <c r="AW284" t="s">
        <v>296</v>
      </c>
    </row>
    <row r="285" spans="1:49" ht="12.75">
      <c r="A285" t="s">
        <v>295</v>
      </c>
      <c r="B285" t="s">
        <v>289</v>
      </c>
      <c r="C285" t="s">
        <v>384</v>
      </c>
      <c r="D285" t="s">
        <v>38</v>
      </c>
      <c r="E285" t="s">
        <v>296</v>
      </c>
      <c r="F285" t="s">
        <v>83</v>
      </c>
      <c r="G285" t="s">
        <v>474</v>
      </c>
      <c r="H285" t="s">
        <v>296</v>
      </c>
      <c r="I285" t="s">
        <v>296</v>
      </c>
      <c r="J285" t="s">
        <v>296</v>
      </c>
      <c r="K285" t="s">
        <v>296</v>
      </c>
      <c r="L285">
        <v>2</v>
      </c>
      <c r="M285">
        <v>2</v>
      </c>
      <c r="N285">
        <v>2</v>
      </c>
      <c r="O285">
        <v>2.8700000000000001</v>
      </c>
      <c r="P285">
        <v>2</v>
      </c>
      <c r="Q285">
        <v>2</v>
      </c>
      <c r="R285">
        <v>2</v>
      </c>
      <c r="S285">
        <v>2</v>
      </c>
      <c r="T285">
        <v>2</v>
      </c>
      <c r="U285">
        <v>2</v>
      </c>
      <c r="V285">
        <v>2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2</v>
      </c>
      <c r="AH285">
        <v>2</v>
      </c>
      <c r="AI285">
        <v>2</v>
      </c>
      <c r="AJ285">
        <v>2</v>
      </c>
      <c r="AK285">
        <v>2</v>
      </c>
      <c r="AL285">
        <v>2</v>
      </c>
      <c r="AM285">
        <v>2</v>
      </c>
      <c r="AN285">
        <v>2</v>
      </c>
      <c r="AO285">
        <v>2</v>
      </c>
      <c r="AP285">
        <v>2</v>
      </c>
      <c r="AQ285">
        <v>2</v>
      </c>
      <c r="AR285">
        <v>2</v>
      </c>
      <c r="AS285">
        <v>2</v>
      </c>
      <c r="AT285">
        <v>2</v>
      </c>
      <c r="AU285">
        <v>2</v>
      </c>
      <c r="AV285">
        <v>2</v>
      </c>
      <c r="AW285" t="s">
        <v>296</v>
      </c>
    </row>
    <row r="286" spans="1:49" ht="12.75">
      <c r="A286" t="s">
        <v>295</v>
      </c>
      <c r="B286" t="s">
        <v>289</v>
      </c>
      <c r="C286" t="s">
        <v>385</v>
      </c>
      <c r="D286" t="s">
        <v>43</v>
      </c>
      <c r="E286" t="s">
        <v>296</v>
      </c>
      <c r="F286" t="s">
        <v>83</v>
      </c>
      <c r="G286" t="s">
        <v>474</v>
      </c>
      <c r="H286" t="s">
        <v>296</v>
      </c>
      <c r="I286" t="s">
        <v>296</v>
      </c>
      <c r="J286" t="s">
        <v>296</v>
      </c>
      <c r="K286" t="s">
        <v>296</v>
      </c>
      <c r="L286">
        <v>2</v>
      </c>
      <c r="M286">
        <v>2</v>
      </c>
      <c r="N286">
        <v>2</v>
      </c>
      <c r="O286">
        <v>2.8700000000000001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2</v>
      </c>
      <c r="AT286">
        <v>2</v>
      </c>
      <c r="AU286">
        <v>2</v>
      </c>
      <c r="AV286">
        <v>2</v>
      </c>
      <c r="AW286" t="s">
        <v>296</v>
      </c>
    </row>
    <row r="287" spans="1:49" ht="12.75">
      <c r="A287" t="s">
        <v>295</v>
      </c>
      <c r="B287" t="s">
        <v>289</v>
      </c>
      <c r="C287" t="s">
        <v>386</v>
      </c>
      <c r="D287" t="s">
        <v>39</v>
      </c>
      <c r="E287" t="s">
        <v>296</v>
      </c>
      <c r="F287" t="s">
        <v>83</v>
      </c>
      <c r="G287" t="s">
        <v>474</v>
      </c>
      <c r="H287" t="s">
        <v>296</v>
      </c>
      <c r="I287" t="s">
        <v>296</v>
      </c>
      <c r="J287" t="s">
        <v>296</v>
      </c>
      <c r="K287" t="s">
        <v>296</v>
      </c>
      <c r="L287">
        <v>2</v>
      </c>
      <c r="M287">
        <v>2</v>
      </c>
      <c r="N287">
        <v>2</v>
      </c>
      <c r="O287">
        <v>2.8700000000000001</v>
      </c>
      <c r="P287">
        <v>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2</v>
      </c>
      <c r="AD287">
        <v>2</v>
      </c>
      <c r="AE287">
        <v>2</v>
      </c>
      <c r="AF287">
        <v>2</v>
      </c>
      <c r="AG287">
        <v>2</v>
      </c>
      <c r="AH287">
        <v>2</v>
      </c>
      <c r="AI287">
        <v>2</v>
      </c>
      <c r="AJ287">
        <v>2</v>
      </c>
      <c r="AK287">
        <v>2</v>
      </c>
      <c r="AL287">
        <v>2</v>
      </c>
      <c r="AM287">
        <v>2</v>
      </c>
      <c r="AN287">
        <v>2</v>
      </c>
      <c r="AO287">
        <v>2</v>
      </c>
      <c r="AP287">
        <v>2</v>
      </c>
      <c r="AQ287">
        <v>2</v>
      </c>
      <c r="AR287">
        <v>2</v>
      </c>
      <c r="AS287">
        <v>2</v>
      </c>
      <c r="AT287">
        <v>2</v>
      </c>
      <c r="AU287">
        <v>2</v>
      </c>
      <c r="AV287">
        <v>2</v>
      </c>
      <c r="AW287" t="s">
        <v>296</v>
      </c>
    </row>
    <row r="288" spans="1:49" ht="12.75">
      <c r="A288" t="s">
        <v>295</v>
      </c>
      <c r="B288" t="s">
        <v>289</v>
      </c>
      <c r="C288" t="s">
        <v>387</v>
      </c>
      <c r="D288" t="s">
        <v>44</v>
      </c>
      <c r="E288" t="s">
        <v>296</v>
      </c>
      <c r="F288" t="s">
        <v>83</v>
      </c>
      <c r="G288" t="s">
        <v>474</v>
      </c>
      <c r="H288" t="s">
        <v>296</v>
      </c>
      <c r="I288" t="s">
        <v>296</v>
      </c>
      <c r="J288" t="s">
        <v>296</v>
      </c>
      <c r="K288" t="s">
        <v>296</v>
      </c>
      <c r="L288">
        <v>2</v>
      </c>
      <c r="M288">
        <v>2</v>
      </c>
      <c r="N288">
        <v>2</v>
      </c>
      <c r="O288">
        <v>2.8700000000000001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  <c r="AC288">
        <v>2</v>
      </c>
      <c r="AD288">
        <v>2</v>
      </c>
      <c r="AE288">
        <v>2</v>
      </c>
      <c r="AF288">
        <v>2</v>
      </c>
      <c r="AG288">
        <v>2</v>
      </c>
      <c r="AH288">
        <v>2</v>
      </c>
      <c r="AI288">
        <v>2</v>
      </c>
      <c r="AJ288">
        <v>2</v>
      </c>
      <c r="AK288">
        <v>2</v>
      </c>
      <c r="AL288">
        <v>2</v>
      </c>
      <c r="AM288">
        <v>2</v>
      </c>
      <c r="AN288">
        <v>2</v>
      </c>
      <c r="AO288">
        <v>2</v>
      </c>
      <c r="AP288">
        <v>2</v>
      </c>
      <c r="AQ288">
        <v>2</v>
      </c>
      <c r="AR288">
        <v>2</v>
      </c>
      <c r="AS288">
        <v>2</v>
      </c>
      <c r="AT288">
        <v>2</v>
      </c>
      <c r="AU288">
        <v>2</v>
      </c>
      <c r="AV288">
        <v>2</v>
      </c>
      <c r="AW288" t="s">
        <v>296</v>
      </c>
    </row>
    <row r="289" spans="1:49" ht="12.75">
      <c r="A289" t="s">
        <v>295</v>
      </c>
      <c r="B289" t="s">
        <v>289</v>
      </c>
      <c r="C289" t="s">
        <v>388</v>
      </c>
      <c r="D289" t="s">
        <v>155</v>
      </c>
      <c r="E289" t="s">
        <v>296</v>
      </c>
      <c r="F289" t="s">
        <v>83</v>
      </c>
      <c r="G289" t="s">
        <v>474</v>
      </c>
      <c r="H289" t="s">
        <v>296</v>
      </c>
      <c r="I289" t="s">
        <v>296</v>
      </c>
      <c r="J289" t="s">
        <v>296</v>
      </c>
      <c r="K289" t="s">
        <v>296</v>
      </c>
      <c r="L289">
        <v>1.25</v>
      </c>
      <c r="M289">
        <v>1.25</v>
      </c>
      <c r="N289">
        <v>1.25</v>
      </c>
      <c r="O289">
        <v>1.25</v>
      </c>
      <c r="P289">
        <v>1.25</v>
      </c>
      <c r="Q289">
        <v>1.25</v>
      </c>
      <c r="R289">
        <v>1.25</v>
      </c>
      <c r="S289">
        <v>1.25</v>
      </c>
      <c r="T289">
        <v>1.25</v>
      </c>
      <c r="U289">
        <v>1.25</v>
      </c>
      <c r="V289">
        <v>1.25</v>
      </c>
      <c r="W289">
        <v>1.25</v>
      </c>
      <c r="X289">
        <v>1.25</v>
      </c>
      <c r="Y289">
        <v>1.25</v>
      </c>
      <c r="Z289">
        <v>1.25</v>
      </c>
      <c r="AA289">
        <v>1.25</v>
      </c>
      <c r="AB289">
        <v>1.25</v>
      </c>
      <c r="AC289">
        <v>1.25</v>
      </c>
      <c r="AD289">
        <v>1.25</v>
      </c>
      <c r="AE289">
        <v>1.25</v>
      </c>
      <c r="AF289">
        <v>1.25</v>
      </c>
      <c r="AG289">
        <v>1.25</v>
      </c>
      <c r="AH289">
        <v>1.25</v>
      </c>
      <c r="AI289">
        <v>1.25</v>
      </c>
      <c r="AJ289">
        <v>1.25</v>
      </c>
      <c r="AK289">
        <v>1.25</v>
      </c>
      <c r="AL289">
        <v>1.25</v>
      </c>
      <c r="AM289">
        <v>1.25</v>
      </c>
      <c r="AN289">
        <v>1.25</v>
      </c>
      <c r="AO289">
        <v>1.25</v>
      </c>
      <c r="AP289">
        <v>1.25</v>
      </c>
      <c r="AQ289">
        <v>1.25</v>
      </c>
      <c r="AR289">
        <v>1.25</v>
      </c>
      <c r="AS289">
        <v>1.25</v>
      </c>
      <c r="AT289">
        <v>1.25</v>
      </c>
      <c r="AU289">
        <v>1.25</v>
      </c>
      <c r="AV289">
        <v>1.25</v>
      </c>
      <c r="AW289" t="s">
        <v>296</v>
      </c>
    </row>
    <row r="290" spans="1:49" ht="12.75">
      <c r="A290" t="s">
        <v>295</v>
      </c>
      <c r="B290" t="s">
        <v>289</v>
      </c>
      <c r="C290" t="s">
        <v>389</v>
      </c>
      <c r="D290" t="s">
        <v>49</v>
      </c>
      <c r="E290" t="s">
        <v>296</v>
      </c>
      <c r="F290" t="s">
        <v>83</v>
      </c>
      <c r="G290" t="s">
        <v>474</v>
      </c>
      <c r="H290" t="s">
        <v>296</v>
      </c>
      <c r="I290" t="s">
        <v>296</v>
      </c>
      <c r="J290" t="s">
        <v>296</v>
      </c>
      <c r="K290" t="s">
        <v>296</v>
      </c>
      <c r="L290">
        <v>1.25</v>
      </c>
      <c r="M290">
        <v>1.25</v>
      </c>
      <c r="N290">
        <v>1.25</v>
      </c>
      <c r="O290">
        <v>1.25</v>
      </c>
      <c r="P290">
        <v>1.25</v>
      </c>
      <c r="Q290">
        <v>1.25</v>
      </c>
      <c r="R290">
        <v>1.25</v>
      </c>
      <c r="S290">
        <v>1.25</v>
      </c>
      <c r="T290">
        <v>1.25</v>
      </c>
      <c r="U290">
        <v>1.25</v>
      </c>
      <c r="V290">
        <v>1.25</v>
      </c>
      <c r="W290">
        <v>1.25</v>
      </c>
      <c r="X290">
        <v>1.25</v>
      </c>
      <c r="Y290">
        <v>1.25</v>
      </c>
      <c r="Z290">
        <v>1.25</v>
      </c>
      <c r="AA290">
        <v>1.25</v>
      </c>
      <c r="AB290">
        <v>1.25</v>
      </c>
      <c r="AC290">
        <v>1.25</v>
      </c>
      <c r="AD290">
        <v>1.25</v>
      </c>
      <c r="AE290">
        <v>1.25</v>
      </c>
      <c r="AF290">
        <v>1.25</v>
      </c>
      <c r="AG290">
        <v>1.25</v>
      </c>
      <c r="AH290">
        <v>1.25</v>
      </c>
      <c r="AI290">
        <v>1.25</v>
      </c>
      <c r="AJ290">
        <v>1.25</v>
      </c>
      <c r="AK290">
        <v>1.25</v>
      </c>
      <c r="AL290">
        <v>1.25</v>
      </c>
      <c r="AM290">
        <v>1.25</v>
      </c>
      <c r="AN290">
        <v>1.25</v>
      </c>
      <c r="AO290">
        <v>1.25</v>
      </c>
      <c r="AP290">
        <v>1.25</v>
      </c>
      <c r="AQ290">
        <v>1.25</v>
      </c>
      <c r="AR290">
        <v>1.25</v>
      </c>
      <c r="AS290">
        <v>1.25</v>
      </c>
      <c r="AT290">
        <v>1.25</v>
      </c>
      <c r="AU290">
        <v>1.25</v>
      </c>
      <c r="AV290">
        <v>1.25</v>
      </c>
      <c r="AW290" t="s">
        <v>296</v>
      </c>
    </row>
    <row r="291" spans="1:49" ht="12.75">
      <c r="A291" t="s">
        <v>295</v>
      </c>
      <c r="B291" t="s">
        <v>289</v>
      </c>
      <c r="C291" t="s">
        <v>390</v>
      </c>
      <c r="D291" t="s">
        <v>51</v>
      </c>
      <c r="E291" t="s">
        <v>296</v>
      </c>
      <c r="F291" t="s">
        <v>83</v>
      </c>
      <c r="G291" t="s">
        <v>474</v>
      </c>
      <c r="H291" t="s">
        <v>296</v>
      </c>
      <c r="I291" t="s">
        <v>296</v>
      </c>
      <c r="J291" t="s">
        <v>296</v>
      </c>
      <c r="K291" t="s">
        <v>296</v>
      </c>
      <c r="L291">
        <v>1.25</v>
      </c>
      <c r="M291">
        <v>1.25</v>
      </c>
      <c r="N291">
        <v>1.25</v>
      </c>
      <c r="O291">
        <v>1.25</v>
      </c>
      <c r="P291">
        <v>1.25</v>
      </c>
      <c r="Q291">
        <v>1.25</v>
      </c>
      <c r="R291">
        <v>1.25</v>
      </c>
      <c r="S291">
        <v>1.25</v>
      </c>
      <c r="T291">
        <v>1.25</v>
      </c>
      <c r="U291">
        <v>1.25</v>
      </c>
      <c r="V291">
        <v>1.25</v>
      </c>
      <c r="W291">
        <v>1.25</v>
      </c>
      <c r="X291">
        <v>1.25</v>
      </c>
      <c r="Y291">
        <v>1.25</v>
      </c>
      <c r="Z291">
        <v>1.25</v>
      </c>
      <c r="AA291">
        <v>1.25</v>
      </c>
      <c r="AB291">
        <v>1.25</v>
      </c>
      <c r="AC291">
        <v>1.25</v>
      </c>
      <c r="AD291">
        <v>1.25</v>
      </c>
      <c r="AE291">
        <v>1.25</v>
      </c>
      <c r="AF291">
        <v>1.25</v>
      </c>
      <c r="AG291">
        <v>1.25</v>
      </c>
      <c r="AH291">
        <v>1.25</v>
      </c>
      <c r="AI291">
        <v>1.25</v>
      </c>
      <c r="AJ291">
        <v>1.25</v>
      </c>
      <c r="AK291">
        <v>1.25</v>
      </c>
      <c r="AL291">
        <v>1.25</v>
      </c>
      <c r="AM291">
        <v>1.25</v>
      </c>
      <c r="AN291">
        <v>1.25</v>
      </c>
      <c r="AO291">
        <v>1.25</v>
      </c>
      <c r="AP291">
        <v>1.25</v>
      </c>
      <c r="AQ291">
        <v>1.25</v>
      </c>
      <c r="AR291">
        <v>1.25</v>
      </c>
      <c r="AS291">
        <v>1.25</v>
      </c>
      <c r="AT291">
        <v>1.25</v>
      </c>
      <c r="AU291">
        <v>1.25</v>
      </c>
      <c r="AV291">
        <v>1.25</v>
      </c>
      <c r="AW291" t="s">
        <v>296</v>
      </c>
    </row>
    <row r="292" spans="1:49" ht="12.75">
      <c r="A292" t="s">
        <v>295</v>
      </c>
      <c r="B292" t="s">
        <v>289</v>
      </c>
      <c r="C292" t="s">
        <v>391</v>
      </c>
      <c r="D292" t="s">
        <v>37</v>
      </c>
      <c r="E292" t="s">
        <v>296</v>
      </c>
      <c r="F292" t="s">
        <v>83</v>
      </c>
      <c r="G292" t="s">
        <v>474</v>
      </c>
      <c r="H292" t="s">
        <v>296</v>
      </c>
      <c r="I292" t="s">
        <v>296</v>
      </c>
      <c r="J292" t="s">
        <v>296</v>
      </c>
      <c r="K292" t="s">
        <v>296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 t="s">
        <v>296</v>
      </c>
    </row>
    <row r="293" spans="1:49" ht="12.75">
      <c r="A293" t="s">
        <v>295</v>
      </c>
      <c r="B293" t="s">
        <v>289</v>
      </c>
      <c r="C293" t="s">
        <v>392</v>
      </c>
      <c r="D293" t="s">
        <v>38</v>
      </c>
      <c r="E293" t="s">
        <v>296</v>
      </c>
      <c r="F293" t="s">
        <v>83</v>
      </c>
      <c r="G293" t="s">
        <v>474</v>
      </c>
      <c r="H293" t="s">
        <v>296</v>
      </c>
      <c r="I293" t="s">
        <v>296</v>
      </c>
      <c r="J293" t="s">
        <v>296</v>
      </c>
      <c r="K293" t="s">
        <v>296</v>
      </c>
      <c r="L293">
        <v>1.25</v>
      </c>
      <c r="M293">
        <v>1.25</v>
      </c>
      <c r="N293">
        <v>1.25</v>
      </c>
      <c r="O293">
        <v>1.25</v>
      </c>
      <c r="P293">
        <v>1.25</v>
      </c>
      <c r="Q293">
        <v>1.25</v>
      </c>
      <c r="R293">
        <v>1.25</v>
      </c>
      <c r="S293">
        <v>1.25</v>
      </c>
      <c r="T293">
        <v>1.25</v>
      </c>
      <c r="U293">
        <v>1.25</v>
      </c>
      <c r="V293">
        <v>1.25</v>
      </c>
      <c r="W293">
        <v>1.25</v>
      </c>
      <c r="X293">
        <v>1.25</v>
      </c>
      <c r="Y293">
        <v>1.25</v>
      </c>
      <c r="Z293">
        <v>1.25</v>
      </c>
      <c r="AA293">
        <v>1.25</v>
      </c>
      <c r="AB293">
        <v>1.25</v>
      </c>
      <c r="AC293">
        <v>1.25</v>
      </c>
      <c r="AD293">
        <v>1.25</v>
      </c>
      <c r="AE293">
        <v>1.25</v>
      </c>
      <c r="AF293">
        <v>1.25</v>
      </c>
      <c r="AG293">
        <v>1.25</v>
      </c>
      <c r="AH293">
        <v>1.25</v>
      </c>
      <c r="AI293">
        <v>1.25</v>
      </c>
      <c r="AJ293">
        <v>1.25</v>
      </c>
      <c r="AK293">
        <v>1.25</v>
      </c>
      <c r="AL293">
        <v>1.25</v>
      </c>
      <c r="AM293">
        <v>1.25</v>
      </c>
      <c r="AN293">
        <v>1.25</v>
      </c>
      <c r="AO293">
        <v>1.25</v>
      </c>
      <c r="AP293">
        <v>1.25</v>
      </c>
      <c r="AQ293">
        <v>1.25</v>
      </c>
      <c r="AR293">
        <v>1.25</v>
      </c>
      <c r="AS293">
        <v>1.25</v>
      </c>
      <c r="AT293">
        <v>1.25</v>
      </c>
      <c r="AU293">
        <v>1.25</v>
      </c>
      <c r="AV293">
        <v>1.25</v>
      </c>
      <c r="AW293" t="s">
        <v>296</v>
      </c>
    </row>
    <row r="294" spans="1:49" ht="12.75">
      <c r="A294" t="s">
        <v>295</v>
      </c>
      <c r="B294" t="s">
        <v>289</v>
      </c>
      <c r="C294" t="s">
        <v>393</v>
      </c>
      <c r="D294" t="s">
        <v>43</v>
      </c>
      <c r="E294" t="s">
        <v>296</v>
      </c>
      <c r="F294" t="s">
        <v>83</v>
      </c>
      <c r="G294" t="s">
        <v>474</v>
      </c>
      <c r="H294" t="s">
        <v>296</v>
      </c>
      <c r="I294" t="s">
        <v>296</v>
      </c>
      <c r="J294" t="s">
        <v>296</v>
      </c>
      <c r="K294" t="s">
        <v>296</v>
      </c>
      <c r="L294">
        <v>1.25</v>
      </c>
      <c r="M294">
        <v>1.25</v>
      </c>
      <c r="N294">
        <v>1.25</v>
      </c>
      <c r="O294">
        <v>1.25</v>
      </c>
      <c r="P294">
        <v>1.25</v>
      </c>
      <c r="Q294">
        <v>1.25</v>
      </c>
      <c r="R294">
        <v>1.25</v>
      </c>
      <c r="S294">
        <v>1.25</v>
      </c>
      <c r="T294">
        <v>1.25</v>
      </c>
      <c r="U294">
        <v>1.25</v>
      </c>
      <c r="V294">
        <v>1.25</v>
      </c>
      <c r="W294">
        <v>1.25</v>
      </c>
      <c r="X294">
        <v>1.25</v>
      </c>
      <c r="Y294">
        <v>1.25</v>
      </c>
      <c r="Z294">
        <v>1.25</v>
      </c>
      <c r="AA294">
        <v>1.25</v>
      </c>
      <c r="AB294">
        <v>1.25</v>
      </c>
      <c r="AC294">
        <v>1.25</v>
      </c>
      <c r="AD294">
        <v>1.25</v>
      </c>
      <c r="AE294">
        <v>1.25</v>
      </c>
      <c r="AF294">
        <v>1.25</v>
      </c>
      <c r="AG294">
        <v>1.25</v>
      </c>
      <c r="AH294">
        <v>1.25</v>
      </c>
      <c r="AI294">
        <v>1.25</v>
      </c>
      <c r="AJ294">
        <v>1.25</v>
      </c>
      <c r="AK294">
        <v>1.25</v>
      </c>
      <c r="AL294">
        <v>1.25</v>
      </c>
      <c r="AM294">
        <v>1.25</v>
      </c>
      <c r="AN294">
        <v>1.25</v>
      </c>
      <c r="AO294">
        <v>1.25</v>
      </c>
      <c r="AP294">
        <v>1.25</v>
      </c>
      <c r="AQ294">
        <v>1.25</v>
      </c>
      <c r="AR294">
        <v>1.25</v>
      </c>
      <c r="AS294">
        <v>1.25</v>
      </c>
      <c r="AT294">
        <v>1.25</v>
      </c>
      <c r="AU294">
        <v>1.25</v>
      </c>
      <c r="AV294">
        <v>1.25</v>
      </c>
      <c r="AW294" t="s">
        <v>296</v>
      </c>
    </row>
    <row r="295" spans="1:49" ht="12.75">
      <c r="A295" t="s">
        <v>295</v>
      </c>
      <c r="B295" t="s">
        <v>289</v>
      </c>
      <c r="C295" t="s">
        <v>394</v>
      </c>
      <c r="D295" t="s">
        <v>39</v>
      </c>
      <c r="E295" t="s">
        <v>296</v>
      </c>
      <c r="F295" t="s">
        <v>83</v>
      </c>
      <c r="G295" t="s">
        <v>474</v>
      </c>
      <c r="H295" t="s">
        <v>296</v>
      </c>
      <c r="I295" t="s">
        <v>296</v>
      </c>
      <c r="J295" t="s">
        <v>296</v>
      </c>
      <c r="K295" t="s">
        <v>296</v>
      </c>
      <c r="L295">
        <v>1.25</v>
      </c>
      <c r="M295">
        <v>1.25</v>
      </c>
      <c r="N295">
        <v>1.25</v>
      </c>
      <c r="O295">
        <v>1.25</v>
      </c>
      <c r="P295">
        <v>1.25</v>
      </c>
      <c r="Q295">
        <v>1.25</v>
      </c>
      <c r="R295">
        <v>1.25</v>
      </c>
      <c r="S295">
        <v>1.25</v>
      </c>
      <c r="T295">
        <v>1.25</v>
      </c>
      <c r="U295">
        <v>1.25</v>
      </c>
      <c r="V295">
        <v>1.25</v>
      </c>
      <c r="W295">
        <v>1.25</v>
      </c>
      <c r="X295">
        <v>1.25</v>
      </c>
      <c r="Y295">
        <v>1.25</v>
      </c>
      <c r="Z295">
        <v>1.25</v>
      </c>
      <c r="AA295">
        <v>1.25</v>
      </c>
      <c r="AB295">
        <v>1.25</v>
      </c>
      <c r="AC295">
        <v>1.25</v>
      </c>
      <c r="AD295">
        <v>1.25</v>
      </c>
      <c r="AE295">
        <v>1.25</v>
      </c>
      <c r="AF295">
        <v>1.25</v>
      </c>
      <c r="AG295">
        <v>1.25</v>
      </c>
      <c r="AH295">
        <v>1.25</v>
      </c>
      <c r="AI295">
        <v>1.25</v>
      </c>
      <c r="AJ295">
        <v>1.25</v>
      </c>
      <c r="AK295">
        <v>1.25</v>
      </c>
      <c r="AL295">
        <v>1.25</v>
      </c>
      <c r="AM295">
        <v>1.25</v>
      </c>
      <c r="AN295">
        <v>1.25</v>
      </c>
      <c r="AO295">
        <v>1.25</v>
      </c>
      <c r="AP295">
        <v>1.25</v>
      </c>
      <c r="AQ295">
        <v>1.25</v>
      </c>
      <c r="AR295">
        <v>1.25</v>
      </c>
      <c r="AS295">
        <v>1.25</v>
      </c>
      <c r="AT295">
        <v>1.25</v>
      </c>
      <c r="AU295">
        <v>1.25</v>
      </c>
      <c r="AV295">
        <v>1.25</v>
      </c>
      <c r="AW295" t="s">
        <v>296</v>
      </c>
    </row>
    <row r="296" spans="1:49" ht="12.75">
      <c r="A296" t="s">
        <v>295</v>
      </c>
      <c r="B296" t="s">
        <v>289</v>
      </c>
      <c r="C296" t="s">
        <v>395</v>
      </c>
      <c r="D296" t="s">
        <v>44</v>
      </c>
      <c r="E296" t="s">
        <v>296</v>
      </c>
      <c r="F296" t="s">
        <v>83</v>
      </c>
      <c r="G296" t="s">
        <v>474</v>
      </c>
      <c r="H296" t="s">
        <v>296</v>
      </c>
      <c r="I296" t="s">
        <v>296</v>
      </c>
      <c r="J296" t="s">
        <v>296</v>
      </c>
      <c r="K296" t="s">
        <v>296</v>
      </c>
      <c r="L296">
        <v>1.25</v>
      </c>
      <c r="M296">
        <v>1.25</v>
      </c>
      <c r="N296">
        <v>1.25</v>
      </c>
      <c r="O296">
        <v>1.25</v>
      </c>
      <c r="P296">
        <v>1.25</v>
      </c>
      <c r="Q296">
        <v>1.25</v>
      </c>
      <c r="R296">
        <v>1.25</v>
      </c>
      <c r="S296">
        <v>1.25</v>
      </c>
      <c r="T296">
        <v>1.25</v>
      </c>
      <c r="U296">
        <v>1.25</v>
      </c>
      <c r="V296">
        <v>1.25</v>
      </c>
      <c r="W296">
        <v>1.25</v>
      </c>
      <c r="X296">
        <v>1.25</v>
      </c>
      <c r="Y296">
        <v>1.25</v>
      </c>
      <c r="Z296">
        <v>1.25</v>
      </c>
      <c r="AA296">
        <v>1.25</v>
      </c>
      <c r="AB296">
        <v>1.25</v>
      </c>
      <c r="AC296">
        <v>1.25</v>
      </c>
      <c r="AD296">
        <v>1.25</v>
      </c>
      <c r="AE296">
        <v>1.25</v>
      </c>
      <c r="AF296">
        <v>1.25</v>
      </c>
      <c r="AG296">
        <v>1.25</v>
      </c>
      <c r="AH296">
        <v>1.25</v>
      </c>
      <c r="AI296">
        <v>1.25</v>
      </c>
      <c r="AJ296">
        <v>1.25</v>
      </c>
      <c r="AK296">
        <v>1.25</v>
      </c>
      <c r="AL296">
        <v>1.25</v>
      </c>
      <c r="AM296">
        <v>1.25</v>
      </c>
      <c r="AN296">
        <v>1.25</v>
      </c>
      <c r="AO296">
        <v>1.25</v>
      </c>
      <c r="AP296">
        <v>1.25</v>
      </c>
      <c r="AQ296">
        <v>1.25</v>
      </c>
      <c r="AR296">
        <v>1.25</v>
      </c>
      <c r="AS296">
        <v>1.25</v>
      </c>
      <c r="AT296">
        <v>1.25</v>
      </c>
      <c r="AU296">
        <v>1.25</v>
      </c>
      <c r="AV296">
        <v>1.25</v>
      </c>
      <c r="AW296" t="s">
        <v>296</v>
      </c>
    </row>
    <row r="297" spans="1:49" ht="12.75">
      <c r="A297" t="s">
        <v>295</v>
      </c>
      <c r="B297" t="s">
        <v>289</v>
      </c>
      <c r="C297" t="s">
        <v>396</v>
      </c>
      <c r="D297" t="s">
        <v>155</v>
      </c>
      <c r="E297" t="s">
        <v>296</v>
      </c>
      <c r="F297" t="s">
        <v>83</v>
      </c>
      <c r="G297" t="s">
        <v>474</v>
      </c>
      <c r="H297" t="s">
        <v>296</v>
      </c>
      <c r="I297" t="s">
        <v>296</v>
      </c>
      <c r="J297" t="s">
        <v>296</v>
      </c>
      <c r="K297" t="s">
        <v>296</v>
      </c>
      <c r="L297">
        <v>1.25</v>
      </c>
      <c r="M297">
        <v>1.25</v>
      </c>
      <c r="N297">
        <v>1.25</v>
      </c>
      <c r="O297">
        <v>1.25</v>
      </c>
      <c r="P297">
        <v>1.25</v>
      </c>
      <c r="Q297">
        <v>1.25</v>
      </c>
      <c r="R297">
        <v>1.25</v>
      </c>
      <c r="S297">
        <v>1.25</v>
      </c>
      <c r="T297">
        <v>1.25</v>
      </c>
      <c r="U297">
        <v>1.25</v>
      </c>
      <c r="V297">
        <v>1.25</v>
      </c>
      <c r="W297">
        <v>1.25</v>
      </c>
      <c r="X297">
        <v>1.25</v>
      </c>
      <c r="Y297">
        <v>1.25</v>
      </c>
      <c r="Z297">
        <v>1.25</v>
      </c>
      <c r="AA297">
        <v>1.25</v>
      </c>
      <c r="AB297">
        <v>1.25</v>
      </c>
      <c r="AC297">
        <v>1.25</v>
      </c>
      <c r="AD297">
        <v>1.25</v>
      </c>
      <c r="AE297">
        <v>1.25</v>
      </c>
      <c r="AF297">
        <v>1.25</v>
      </c>
      <c r="AG297">
        <v>1.25</v>
      </c>
      <c r="AH297">
        <v>1.25</v>
      </c>
      <c r="AI297">
        <v>1.25</v>
      </c>
      <c r="AJ297">
        <v>1.25</v>
      </c>
      <c r="AK297">
        <v>1.25</v>
      </c>
      <c r="AL297">
        <v>1.25</v>
      </c>
      <c r="AM297">
        <v>1.25</v>
      </c>
      <c r="AN297">
        <v>1.25</v>
      </c>
      <c r="AO297">
        <v>1.25</v>
      </c>
      <c r="AP297">
        <v>1.25</v>
      </c>
      <c r="AQ297">
        <v>1.25</v>
      </c>
      <c r="AR297">
        <v>1.25</v>
      </c>
      <c r="AS297">
        <v>1.25</v>
      </c>
      <c r="AT297">
        <v>1.25</v>
      </c>
      <c r="AU297">
        <v>1.25</v>
      </c>
      <c r="AV297">
        <v>1.25</v>
      </c>
      <c r="AW297" t="s">
        <v>296</v>
      </c>
    </row>
    <row r="298" spans="1:49" ht="12.75">
      <c r="A298" t="s">
        <v>295</v>
      </c>
      <c r="B298" t="s">
        <v>289</v>
      </c>
      <c r="C298" t="s">
        <v>396</v>
      </c>
      <c r="D298" t="s">
        <v>421</v>
      </c>
      <c r="E298" t="s">
        <v>296</v>
      </c>
      <c r="F298" t="s">
        <v>83</v>
      </c>
      <c r="G298" t="s">
        <v>474</v>
      </c>
      <c r="H298" t="s">
        <v>296</v>
      </c>
      <c r="I298" t="s">
        <v>296</v>
      </c>
      <c r="J298" t="s">
        <v>296</v>
      </c>
      <c r="K298" t="s">
        <v>296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 t="s">
        <v>296</v>
      </c>
    </row>
    <row r="299" spans="1:49" ht="12.75">
      <c r="A299" t="s">
        <v>295</v>
      </c>
      <c r="B299" t="s">
        <v>289</v>
      </c>
      <c r="C299" t="s">
        <v>397</v>
      </c>
      <c r="D299" t="s">
        <v>49</v>
      </c>
      <c r="E299" t="s">
        <v>296</v>
      </c>
      <c r="F299" t="s">
        <v>83</v>
      </c>
      <c r="G299" t="s">
        <v>474</v>
      </c>
      <c r="H299" t="s">
        <v>296</v>
      </c>
      <c r="I299" t="s">
        <v>296</v>
      </c>
      <c r="J299" t="s">
        <v>296</v>
      </c>
      <c r="K299" t="s">
        <v>296</v>
      </c>
      <c r="L299">
        <v>1.25</v>
      </c>
      <c r="M299">
        <v>1.25</v>
      </c>
      <c r="N299">
        <v>1.25</v>
      </c>
      <c r="O299">
        <v>1.25</v>
      </c>
      <c r="P299">
        <v>1.25</v>
      </c>
      <c r="Q299">
        <v>1.25</v>
      </c>
      <c r="R299">
        <v>1.25</v>
      </c>
      <c r="S299">
        <v>1.25</v>
      </c>
      <c r="T299">
        <v>1.25</v>
      </c>
      <c r="U299">
        <v>1.25</v>
      </c>
      <c r="V299">
        <v>1.25</v>
      </c>
      <c r="W299">
        <v>1.25</v>
      </c>
      <c r="X299">
        <v>1.25</v>
      </c>
      <c r="Y299">
        <v>1.25</v>
      </c>
      <c r="Z299">
        <v>1.25</v>
      </c>
      <c r="AA299">
        <v>1.25</v>
      </c>
      <c r="AB299">
        <v>1.25</v>
      </c>
      <c r="AC299">
        <v>1.25</v>
      </c>
      <c r="AD299">
        <v>1.25</v>
      </c>
      <c r="AE299">
        <v>1.25</v>
      </c>
      <c r="AF299">
        <v>1.25</v>
      </c>
      <c r="AG299">
        <v>1.25</v>
      </c>
      <c r="AH299">
        <v>1.25</v>
      </c>
      <c r="AI299">
        <v>1.25</v>
      </c>
      <c r="AJ299">
        <v>1.25</v>
      </c>
      <c r="AK299">
        <v>1.25</v>
      </c>
      <c r="AL299">
        <v>1.25</v>
      </c>
      <c r="AM299">
        <v>1.25</v>
      </c>
      <c r="AN299">
        <v>1.25</v>
      </c>
      <c r="AO299">
        <v>1.25</v>
      </c>
      <c r="AP299">
        <v>1.25</v>
      </c>
      <c r="AQ299">
        <v>1.25</v>
      </c>
      <c r="AR299">
        <v>1.25</v>
      </c>
      <c r="AS299">
        <v>1.25</v>
      </c>
      <c r="AT299">
        <v>1.25</v>
      </c>
      <c r="AU299">
        <v>1.25</v>
      </c>
      <c r="AV299">
        <v>1.2350000000000001</v>
      </c>
      <c r="AW299" t="s">
        <v>296</v>
      </c>
    </row>
    <row r="300" spans="1:49" ht="12.75">
      <c r="A300" t="s">
        <v>295</v>
      </c>
      <c r="B300" t="s">
        <v>289</v>
      </c>
      <c r="C300" t="s">
        <v>397</v>
      </c>
      <c r="D300" t="s">
        <v>421</v>
      </c>
      <c r="E300" t="s">
        <v>296</v>
      </c>
      <c r="F300" t="s">
        <v>83</v>
      </c>
      <c r="G300" t="s">
        <v>474</v>
      </c>
      <c r="H300" t="s">
        <v>296</v>
      </c>
      <c r="I300" t="s">
        <v>296</v>
      </c>
      <c r="J300" t="s">
        <v>296</v>
      </c>
      <c r="K300" t="s">
        <v>296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 t="s">
        <v>296</v>
      </c>
    </row>
    <row r="301" spans="1:49" ht="12.75">
      <c r="A301" t="s">
        <v>295</v>
      </c>
      <c r="B301" t="s">
        <v>289</v>
      </c>
      <c r="C301" t="s">
        <v>398</v>
      </c>
      <c r="D301" t="s">
        <v>51</v>
      </c>
      <c r="E301" t="s">
        <v>296</v>
      </c>
      <c r="F301" t="s">
        <v>83</v>
      </c>
      <c r="G301" t="s">
        <v>474</v>
      </c>
      <c r="H301" t="s">
        <v>296</v>
      </c>
      <c r="I301" t="s">
        <v>296</v>
      </c>
      <c r="J301" t="s">
        <v>296</v>
      </c>
      <c r="K301" t="s">
        <v>296</v>
      </c>
      <c r="L301">
        <v>1.25</v>
      </c>
      <c r="M301">
        <v>1.25</v>
      </c>
      <c r="N301">
        <v>1.25</v>
      </c>
      <c r="O301">
        <v>1.25</v>
      </c>
      <c r="P301">
        <v>1.25</v>
      </c>
      <c r="Q301">
        <v>1.25</v>
      </c>
      <c r="R301">
        <v>1.25</v>
      </c>
      <c r="S301">
        <v>1.25</v>
      </c>
      <c r="T301">
        <v>1.25</v>
      </c>
      <c r="U301">
        <v>1.25</v>
      </c>
      <c r="V301">
        <v>1.25</v>
      </c>
      <c r="W301">
        <v>1.25</v>
      </c>
      <c r="X301">
        <v>1.25</v>
      </c>
      <c r="Y301">
        <v>1.25</v>
      </c>
      <c r="Z301">
        <v>1.25</v>
      </c>
      <c r="AA301">
        <v>1.25</v>
      </c>
      <c r="AB301">
        <v>1.25</v>
      </c>
      <c r="AC301">
        <v>1.25</v>
      </c>
      <c r="AD301">
        <v>1.25</v>
      </c>
      <c r="AE301">
        <v>1.25</v>
      </c>
      <c r="AF301">
        <v>1.25</v>
      </c>
      <c r="AG301">
        <v>1.25</v>
      </c>
      <c r="AH301">
        <v>1.25</v>
      </c>
      <c r="AI301">
        <v>1.25</v>
      </c>
      <c r="AJ301">
        <v>1.25</v>
      </c>
      <c r="AK301">
        <v>1.25</v>
      </c>
      <c r="AL301">
        <v>1.25</v>
      </c>
      <c r="AM301">
        <v>1.25</v>
      </c>
      <c r="AN301">
        <v>1.25</v>
      </c>
      <c r="AO301">
        <v>1.25</v>
      </c>
      <c r="AP301">
        <v>1.25</v>
      </c>
      <c r="AQ301">
        <v>1.25</v>
      </c>
      <c r="AR301">
        <v>1.25</v>
      </c>
      <c r="AS301">
        <v>1.25</v>
      </c>
      <c r="AT301">
        <v>1.25</v>
      </c>
      <c r="AU301">
        <v>1.25</v>
      </c>
      <c r="AV301">
        <v>1.2350000000000001</v>
      </c>
      <c r="AW301" t="s">
        <v>296</v>
      </c>
    </row>
    <row r="302" spans="1:49" ht="12.75">
      <c r="A302" t="s">
        <v>295</v>
      </c>
      <c r="B302" t="s">
        <v>289</v>
      </c>
      <c r="C302" t="s">
        <v>398</v>
      </c>
      <c r="D302" t="s">
        <v>421</v>
      </c>
      <c r="E302" t="s">
        <v>296</v>
      </c>
      <c r="F302" t="s">
        <v>83</v>
      </c>
      <c r="G302" t="s">
        <v>474</v>
      </c>
      <c r="H302" t="s">
        <v>296</v>
      </c>
      <c r="I302" t="s">
        <v>296</v>
      </c>
      <c r="J302" t="s">
        <v>296</v>
      </c>
      <c r="K302" t="s">
        <v>296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 t="s">
        <v>296</v>
      </c>
    </row>
    <row r="303" spans="1:49" ht="12.75">
      <c r="A303" t="s">
        <v>295</v>
      </c>
      <c r="B303" t="s">
        <v>289</v>
      </c>
      <c r="C303" t="s">
        <v>399</v>
      </c>
      <c r="D303" t="s">
        <v>37</v>
      </c>
      <c r="E303" t="s">
        <v>296</v>
      </c>
      <c r="F303" t="s">
        <v>83</v>
      </c>
      <c r="G303" t="s">
        <v>474</v>
      </c>
      <c r="H303" t="s">
        <v>296</v>
      </c>
      <c r="I303" t="s">
        <v>296</v>
      </c>
      <c r="J303" t="s">
        <v>296</v>
      </c>
      <c r="K303" t="s">
        <v>296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1.1764705882352899</v>
      </c>
      <c r="AW303" t="s">
        <v>296</v>
      </c>
    </row>
    <row r="304" spans="1:49" ht="12.75">
      <c r="A304" t="s">
        <v>295</v>
      </c>
      <c r="B304" t="s">
        <v>289</v>
      </c>
      <c r="C304" t="s">
        <v>399</v>
      </c>
      <c r="D304" t="s">
        <v>421</v>
      </c>
      <c r="E304" t="s">
        <v>296</v>
      </c>
      <c r="F304" t="s">
        <v>83</v>
      </c>
      <c r="G304" t="s">
        <v>474</v>
      </c>
      <c r="H304" t="s">
        <v>296</v>
      </c>
      <c r="I304" t="s">
        <v>296</v>
      </c>
      <c r="J304" t="s">
        <v>296</v>
      </c>
      <c r="K304" t="s">
        <v>296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 t="s">
        <v>296</v>
      </c>
    </row>
    <row r="305" spans="1:49" ht="12.75">
      <c r="A305" t="s">
        <v>295</v>
      </c>
      <c r="B305" t="s">
        <v>289</v>
      </c>
      <c r="C305" t="s">
        <v>400</v>
      </c>
      <c r="D305" t="s">
        <v>38</v>
      </c>
      <c r="E305" t="s">
        <v>296</v>
      </c>
      <c r="F305" t="s">
        <v>83</v>
      </c>
      <c r="G305" t="s">
        <v>474</v>
      </c>
      <c r="H305" t="s">
        <v>296</v>
      </c>
      <c r="I305" t="s">
        <v>296</v>
      </c>
      <c r="J305" t="s">
        <v>296</v>
      </c>
      <c r="K305" t="s">
        <v>296</v>
      </c>
      <c r="L305">
        <v>1.25</v>
      </c>
      <c r="M305">
        <v>1.25</v>
      </c>
      <c r="N305">
        <v>1.25</v>
      </c>
      <c r="O305">
        <v>1.25</v>
      </c>
      <c r="P305">
        <v>1.25</v>
      </c>
      <c r="Q305">
        <v>1.25</v>
      </c>
      <c r="R305">
        <v>1.25</v>
      </c>
      <c r="S305">
        <v>1.25</v>
      </c>
      <c r="T305">
        <v>1.25</v>
      </c>
      <c r="U305">
        <v>1.25</v>
      </c>
      <c r="V305">
        <v>1.25</v>
      </c>
      <c r="W305">
        <v>1.25</v>
      </c>
      <c r="X305">
        <v>1.25</v>
      </c>
      <c r="Y305">
        <v>1.25</v>
      </c>
      <c r="Z305">
        <v>1.25</v>
      </c>
      <c r="AA305">
        <v>1.25</v>
      </c>
      <c r="AB305">
        <v>1.25</v>
      </c>
      <c r="AC305">
        <v>1.25</v>
      </c>
      <c r="AD305">
        <v>1.25</v>
      </c>
      <c r="AE305">
        <v>1.25</v>
      </c>
      <c r="AF305">
        <v>1.25</v>
      </c>
      <c r="AG305">
        <v>1.25</v>
      </c>
      <c r="AH305">
        <v>1.25</v>
      </c>
      <c r="AI305">
        <v>1.25</v>
      </c>
      <c r="AJ305">
        <v>1.25</v>
      </c>
      <c r="AK305">
        <v>1.25</v>
      </c>
      <c r="AL305">
        <v>1.25</v>
      </c>
      <c r="AM305">
        <v>1.25</v>
      </c>
      <c r="AN305">
        <v>1.25</v>
      </c>
      <c r="AO305">
        <v>1.25</v>
      </c>
      <c r="AP305">
        <v>1.25</v>
      </c>
      <c r="AQ305">
        <v>1.25</v>
      </c>
      <c r="AR305">
        <v>1.25</v>
      </c>
      <c r="AS305">
        <v>1.25</v>
      </c>
      <c r="AT305">
        <v>1.25</v>
      </c>
      <c r="AU305">
        <v>1.25</v>
      </c>
      <c r="AV305">
        <v>1.25</v>
      </c>
      <c r="AW305" t="s">
        <v>296</v>
      </c>
    </row>
    <row r="306" spans="1:49" ht="12.75">
      <c r="A306" t="s">
        <v>295</v>
      </c>
      <c r="B306" t="s">
        <v>289</v>
      </c>
      <c r="C306" t="s">
        <v>400</v>
      </c>
      <c r="D306" t="s">
        <v>421</v>
      </c>
      <c r="E306" t="s">
        <v>296</v>
      </c>
      <c r="F306" t="s">
        <v>83</v>
      </c>
      <c r="G306" t="s">
        <v>474</v>
      </c>
      <c r="H306" t="s">
        <v>296</v>
      </c>
      <c r="I306" t="s">
        <v>296</v>
      </c>
      <c r="J306" t="s">
        <v>296</v>
      </c>
      <c r="K306" t="s">
        <v>296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 t="s">
        <v>296</v>
      </c>
    </row>
    <row r="307" spans="1:49" ht="12.75">
      <c r="A307" t="s">
        <v>295</v>
      </c>
      <c r="B307" t="s">
        <v>289</v>
      </c>
      <c r="C307" t="s">
        <v>401</v>
      </c>
      <c r="D307" t="s">
        <v>43</v>
      </c>
      <c r="E307" t="s">
        <v>296</v>
      </c>
      <c r="F307" t="s">
        <v>83</v>
      </c>
      <c r="G307" t="s">
        <v>474</v>
      </c>
      <c r="H307" t="s">
        <v>296</v>
      </c>
      <c r="I307" t="s">
        <v>296</v>
      </c>
      <c r="J307" t="s">
        <v>296</v>
      </c>
      <c r="K307" t="s">
        <v>296</v>
      </c>
      <c r="L307">
        <v>1.25</v>
      </c>
      <c r="M307">
        <v>1.25</v>
      </c>
      <c r="N307">
        <v>1.25</v>
      </c>
      <c r="O307">
        <v>1.25</v>
      </c>
      <c r="P307">
        <v>1.25</v>
      </c>
      <c r="Q307">
        <v>1.25</v>
      </c>
      <c r="R307">
        <v>1.25</v>
      </c>
      <c r="S307">
        <v>1.25</v>
      </c>
      <c r="T307">
        <v>1.25</v>
      </c>
      <c r="U307">
        <v>1.25</v>
      </c>
      <c r="V307">
        <v>1.25</v>
      </c>
      <c r="W307">
        <v>1.25</v>
      </c>
      <c r="X307">
        <v>1.25</v>
      </c>
      <c r="Y307">
        <v>1.25</v>
      </c>
      <c r="Z307">
        <v>1.25</v>
      </c>
      <c r="AA307">
        <v>1.25</v>
      </c>
      <c r="AB307">
        <v>1.25</v>
      </c>
      <c r="AC307">
        <v>1.25</v>
      </c>
      <c r="AD307">
        <v>1.25</v>
      </c>
      <c r="AE307">
        <v>1.25</v>
      </c>
      <c r="AF307">
        <v>1.25</v>
      </c>
      <c r="AG307">
        <v>1.25</v>
      </c>
      <c r="AH307">
        <v>1.25</v>
      </c>
      <c r="AI307">
        <v>1.25</v>
      </c>
      <c r="AJ307">
        <v>1.25</v>
      </c>
      <c r="AK307">
        <v>1.25</v>
      </c>
      <c r="AL307">
        <v>1.25</v>
      </c>
      <c r="AM307">
        <v>1.25</v>
      </c>
      <c r="AN307">
        <v>1.25</v>
      </c>
      <c r="AO307">
        <v>1.25</v>
      </c>
      <c r="AP307">
        <v>1.25</v>
      </c>
      <c r="AQ307">
        <v>1.25</v>
      </c>
      <c r="AR307">
        <v>1.25</v>
      </c>
      <c r="AS307">
        <v>1.25</v>
      </c>
      <c r="AT307">
        <v>1.25</v>
      </c>
      <c r="AU307">
        <v>1.25</v>
      </c>
      <c r="AV307">
        <v>1.25</v>
      </c>
      <c r="AW307" t="s">
        <v>296</v>
      </c>
    </row>
    <row r="308" spans="1:49" ht="12.75">
      <c r="A308" t="s">
        <v>295</v>
      </c>
      <c r="B308" t="s">
        <v>289</v>
      </c>
      <c r="C308" t="s">
        <v>401</v>
      </c>
      <c r="D308" t="s">
        <v>421</v>
      </c>
      <c r="E308" t="s">
        <v>296</v>
      </c>
      <c r="F308" t="s">
        <v>83</v>
      </c>
      <c r="G308" t="s">
        <v>474</v>
      </c>
      <c r="H308" t="s">
        <v>296</v>
      </c>
      <c r="I308" t="s">
        <v>296</v>
      </c>
      <c r="J308" t="s">
        <v>296</v>
      </c>
      <c r="K308" t="s">
        <v>296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 t="s">
        <v>296</v>
      </c>
    </row>
    <row r="309" spans="1:49" ht="12.75">
      <c r="A309" t="s">
        <v>295</v>
      </c>
      <c r="B309" t="s">
        <v>289</v>
      </c>
      <c r="C309" t="s">
        <v>402</v>
      </c>
      <c r="D309" t="s">
        <v>114</v>
      </c>
      <c r="E309" t="s">
        <v>296</v>
      </c>
      <c r="F309" t="s">
        <v>83</v>
      </c>
      <c r="G309" t="s">
        <v>474</v>
      </c>
      <c r="H309" t="s">
        <v>296</v>
      </c>
      <c r="I309" t="s">
        <v>296</v>
      </c>
      <c r="J309" t="s">
        <v>296</v>
      </c>
      <c r="K309" t="s">
        <v>296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1.0204081632653099</v>
      </c>
      <c r="AW309" t="s">
        <v>296</v>
      </c>
    </row>
    <row r="310" spans="1:49" ht="12.75">
      <c r="A310" t="s">
        <v>295</v>
      </c>
      <c r="B310" t="s">
        <v>289</v>
      </c>
      <c r="C310" t="s">
        <v>402</v>
      </c>
      <c r="D310" t="s">
        <v>421</v>
      </c>
      <c r="E310" t="s">
        <v>296</v>
      </c>
      <c r="F310" t="s">
        <v>83</v>
      </c>
      <c r="G310" t="s">
        <v>474</v>
      </c>
      <c r="H310" t="s">
        <v>296</v>
      </c>
      <c r="I310" t="s">
        <v>296</v>
      </c>
      <c r="J310" t="s">
        <v>296</v>
      </c>
      <c r="K310" t="s">
        <v>296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 t="s">
        <v>296</v>
      </c>
    </row>
    <row r="311" spans="1:49" ht="12.75">
      <c r="A311" t="s">
        <v>295</v>
      </c>
      <c r="B311" t="s">
        <v>289</v>
      </c>
      <c r="C311" t="s">
        <v>403</v>
      </c>
      <c r="D311" t="s">
        <v>39</v>
      </c>
      <c r="E311" t="s">
        <v>296</v>
      </c>
      <c r="F311" t="s">
        <v>83</v>
      </c>
      <c r="G311" t="s">
        <v>474</v>
      </c>
      <c r="H311" t="s">
        <v>296</v>
      </c>
      <c r="I311" t="s">
        <v>296</v>
      </c>
      <c r="J311" t="s">
        <v>296</v>
      </c>
      <c r="K311" t="s">
        <v>296</v>
      </c>
      <c r="L311">
        <v>1.25</v>
      </c>
      <c r="M311">
        <v>1.25</v>
      </c>
      <c r="N311">
        <v>1.25</v>
      </c>
      <c r="O311">
        <v>1.25</v>
      </c>
      <c r="P311">
        <v>1.25</v>
      </c>
      <c r="Q311">
        <v>1.25</v>
      </c>
      <c r="R311">
        <v>1.25</v>
      </c>
      <c r="S311">
        <v>1.25</v>
      </c>
      <c r="T311">
        <v>1.25</v>
      </c>
      <c r="U311">
        <v>1.25</v>
      </c>
      <c r="V311">
        <v>1.25</v>
      </c>
      <c r="W311">
        <v>1.25</v>
      </c>
      <c r="X311">
        <v>1.25</v>
      </c>
      <c r="Y311">
        <v>1.25</v>
      </c>
      <c r="Z311">
        <v>1.25</v>
      </c>
      <c r="AA311">
        <v>1.25</v>
      </c>
      <c r="AB311">
        <v>1.25</v>
      </c>
      <c r="AC311">
        <v>1.25</v>
      </c>
      <c r="AD311">
        <v>1.25</v>
      </c>
      <c r="AE311">
        <v>1.25</v>
      </c>
      <c r="AF311">
        <v>1.25</v>
      </c>
      <c r="AG311">
        <v>1.25</v>
      </c>
      <c r="AH311">
        <v>1.25</v>
      </c>
      <c r="AI311">
        <v>1.25</v>
      </c>
      <c r="AJ311">
        <v>1.25</v>
      </c>
      <c r="AK311">
        <v>1.25</v>
      </c>
      <c r="AL311">
        <v>1.25</v>
      </c>
      <c r="AM311">
        <v>1.25</v>
      </c>
      <c r="AN311">
        <v>1.25</v>
      </c>
      <c r="AO311">
        <v>1.25</v>
      </c>
      <c r="AP311">
        <v>1.25</v>
      </c>
      <c r="AQ311">
        <v>1.25</v>
      </c>
      <c r="AR311">
        <v>1.25</v>
      </c>
      <c r="AS311">
        <v>1.25</v>
      </c>
      <c r="AT311">
        <v>1.25</v>
      </c>
      <c r="AU311">
        <v>1.25</v>
      </c>
      <c r="AV311">
        <v>1.1111111111111101</v>
      </c>
      <c r="AW311" t="s">
        <v>296</v>
      </c>
    </row>
    <row r="312" spans="1:49" ht="12.75">
      <c r="A312" t="s">
        <v>295</v>
      </c>
      <c r="B312" t="s">
        <v>289</v>
      </c>
      <c r="C312" t="s">
        <v>403</v>
      </c>
      <c r="D312" t="s">
        <v>421</v>
      </c>
      <c r="E312" t="s">
        <v>296</v>
      </c>
      <c r="F312" t="s">
        <v>83</v>
      </c>
      <c r="G312" t="s">
        <v>474</v>
      </c>
      <c r="H312" t="s">
        <v>296</v>
      </c>
      <c r="I312" t="s">
        <v>296</v>
      </c>
      <c r="J312" t="s">
        <v>296</v>
      </c>
      <c r="K312" t="s">
        <v>296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 t="s">
        <v>296</v>
      </c>
    </row>
    <row r="313" spans="1:49" ht="12.75">
      <c r="A313" t="s">
        <v>295</v>
      </c>
      <c r="B313" t="s">
        <v>289</v>
      </c>
      <c r="C313" t="s">
        <v>404</v>
      </c>
      <c r="D313" t="s">
        <v>44</v>
      </c>
      <c r="E313" t="s">
        <v>296</v>
      </c>
      <c r="F313" t="s">
        <v>83</v>
      </c>
      <c r="G313" t="s">
        <v>474</v>
      </c>
      <c r="H313" t="s">
        <v>296</v>
      </c>
      <c r="I313" t="s">
        <v>296</v>
      </c>
      <c r="J313" t="s">
        <v>296</v>
      </c>
      <c r="K313" t="s">
        <v>296</v>
      </c>
      <c r="L313">
        <v>1.25</v>
      </c>
      <c r="M313">
        <v>1.25</v>
      </c>
      <c r="N313">
        <v>1.25</v>
      </c>
      <c r="O313">
        <v>1.25</v>
      </c>
      <c r="P313">
        <v>1.25</v>
      </c>
      <c r="Q313">
        <v>1.25</v>
      </c>
      <c r="R313">
        <v>1.25</v>
      </c>
      <c r="S313">
        <v>1.25</v>
      </c>
      <c r="T313">
        <v>1.25</v>
      </c>
      <c r="U313">
        <v>1.25</v>
      </c>
      <c r="V313">
        <v>1.25</v>
      </c>
      <c r="W313">
        <v>1.25</v>
      </c>
      <c r="X313">
        <v>1.25</v>
      </c>
      <c r="Y313">
        <v>1.25</v>
      </c>
      <c r="Z313">
        <v>1.25</v>
      </c>
      <c r="AA313">
        <v>1.25</v>
      </c>
      <c r="AB313">
        <v>1.25</v>
      </c>
      <c r="AC313">
        <v>1.25</v>
      </c>
      <c r="AD313">
        <v>1.25</v>
      </c>
      <c r="AE313">
        <v>1.25</v>
      </c>
      <c r="AF313">
        <v>1.25</v>
      </c>
      <c r="AG313">
        <v>1.25</v>
      </c>
      <c r="AH313">
        <v>1.25</v>
      </c>
      <c r="AI313">
        <v>1.25</v>
      </c>
      <c r="AJ313">
        <v>1.25</v>
      </c>
      <c r="AK313">
        <v>1.25</v>
      </c>
      <c r="AL313">
        <v>1.25</v>
      </c>
      <c r="AM313">
        <v>1.25</v>
      </c>
      <c r="AN313">
        <v>1.25</v>
      </c>
      <c r="AO313">
        <v>1.25</v>
      </c>
      <c r="AP313">
        <v>1.25</v>
      </c>
      <c r="AQ313">
        <v>1.25</v>
      </c>
      <c r="AR313">
        <v>1.25</v>
      </c>
      <c r="AS313">
        <v>1.25</v>
      </c>
      <c r="AT313">
        <v>1.25</v>
      </c>
      <c r="AU313">
        <v>1.25</v>
      </c>
      <c r="AV313">
        <v>1.25</v>
      </c>
      <c r="AW313" t="s">
        <v>296</v>
      </c>
    </row>
    <row r="314" spans="1:49" ht="12.75">
      <c r="A314" t="s">
        <v>295</v>
      </c>
      <c r="B314" t="s">
        <v>289</v>
      </c>
      <c r="C314" t="s">
        <v>404</v>
      </c>
      <c r="D314" t="s">
        <v>421</v>
      </c>
      <c r="E314" t="s">
        <v>296</v>
      </c>
      <c r="F314" t="s">
        <v>83</v>
      </c>
      <c r="G314" t="s">
        <v>474</v>
      </c>
      <c r="H314" t="s">
        <v>296</v>
      </c>
      <c r="I314" t="s">
        <v>296</v>
      </c>
      <c r="J314" t="s">
        <v>296</v>
      </c>
      <c r="K314" t="s">
        <v>296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 t="s">
        <v>296</v>
      </c>
    </row>
    <row r="315" spans="1:49" ht="12.75">
      <c r="A315" t="s">
        <v>295</v>
      </c>
      <c r="B315" t="s">
        <v>289</v>
      </c>
      <c r="C315" t="s">
        <v>153</v>
      </c>
      <c r="D315" t="s">
        <v>37</v>
      </c>
      <c r="E315" t="s">
        <v>296</v>
      </c>
      <c r="F315" t="s">
        <v>83</v>
      </c>
      <c r="G315" t="s">
        <v>474</v>
      </c>
      <c r="H315" t="s">
        <v>296</v>
      </c>
      <c r="I315" t="s">
        <v>296</v>
      </c>
      <c r="J315" t="s">
        <v>296</v>
      </c>
      <c r="K315" t="s">
        <v>296</v>
      </c>
      <c r="L315">
        <v>2.415</v>
      </c>
      <c r="M315">
        <v>2.1000000000000001</v>
      </c>
      <c r="N315">
        <v>3.0449999999999999</v>
      </c>
      <c r="O315">
        <v>2.226</v>
      </c>
      <c r="P315">
        <v>2.52</v>
      </c>
      <c r="Q315">
        <v>2.52</v>
      </c>
      <c r="R315">
        <v>4.95714285714286</v>
      </c>
      <c r="S315">
        <v>2.835</v>
      </c>
      <c r="T315">
        <v>2.1000000000000001</v>
      </c>
      <c r="U315">
        <v>2.1000000000000001</v>
      </c>
      <c r="V315">
        <v>3.1185</v>
      </c>
      <c r="W315">
        <v>1.8899999999999999</v>
      </c>
      <c r="X315">
        <v>1.4175</v>
      </c>
      <c r="Y315">
        <v>3.5070000000000001</v>
      </c>
      <c r="Z315">
        <v>2.1840000000000002</v>
      </c>
      <c r="AA315">
        <v>2.0895000000000001</v>
      </c>
      <c r="AB315">
        <v>2.1000000000000001</v>
      </c>
      <c r="AC315">
        <v>4.0110000000000001</v>
      </c>
      <c r="AD315">
        <v>2.1000000000000001</v>
      </c>
      <c r="AE315">
        <v>2.0579999999999998</v>
      </c>
      <c r="AF315">
        <v>2.1000000000000001</v>
      </c>
      <c r="AG315">
        <v>2.625</v>
      </c>
      <c r="AH315">
        <v>2.8140000000000001</v>
      </c>
      <c r="AI315">
        <v>1.6316999999999999</v>
      </c>
      <c r="AJ315">
        <v>2.1000000000000001</v>
      </c>
      <c r="AK315">
        <v>2.625</v>
      </c>
      <c r="AL315">
        <v>2</v>
      </c>
      <c r="AM315">
        <v>1.7849999999999999</v>
      </c>
      <c r="AN315">
        <v>2.4674999999999998</v>
      </c>
      <c r="AO315">
        <v>2.3100000000000001</v>
      </c>
      <c r="AP315">
        <v>3.5699999999999998</v>
      </c>
      <c r="AQ315">
        <v>2.3100000000000001</v>
      </c>
      <c r="AR315">
        <v>2.1000000000000001</v>
      </c>
      <c r="AS315">
        <v>3.7799999999999998</v>
      </c>
      <c r="AT315">
        <v>2.016</v>
      </c>
      <c r="AU315">
        <v>2.52</v>
      </c>
      <c r="AV315">
        <v>2.9609999999999999</v>
      </c>
      <c r="AW315" t="s">
        <v>296</v>
      </c>
    </row>
    <row r="316" spans="1:49" ht="12.75">
      <c r="A316" t="s">
        <v>295</v>
      </c>
      <c r="B316" t="s">
        <v>289</v>
      </c>
      <c r="C316" t="s">
        <v>153</v>
      </c>
      <c r="D316" t="s">
        <v>59</v>
      </c>
      <c r="E316" t="s">
        <v>296</v>
      </c>
      <c r="F316" t="s">
        <v>83</v>
      </c>
      <c r="G316" t="s">
        <v>474</v>
      </c>
      <c r="H316" t="s">
        <v>296</v>
      </c>
      <c r="I316" t="s">
        <v>296</v>
      </c>
      <c r="J316" t="s">
        <v>296</v>
      </c>
      <c r="K316" t="s">
        <v>296</v>
      </c>
      <c r="L316">
        <v>10.199999999999999</v>
      </c>
      <c r="M316">
        <v>9.4719999999999995</v>
      </c>
      <c r="N316">
        <v>11.6</v>
      </c>
      <c r="O316">
        <v>8.8000000000000007</v>
      </c>
      <c r="P316">
        <v>10.880000000000001</v>
      </c>
      <c r="Q316">
        <v>6.5119999999999996</v>
      </c>
      <c r="R316">
        <v>0</v>
      </c>
      <c r="S316">
        <v>12.32</v>
      </c>
      <c r="T316">
        <v>7.3120000000000003</v>
      </c>
      <c r="U316">
        <v>8</v>
      </c>
      <c r="V316">
        <v>8.7200000000000006</v>
      </c>
      <c r="W316">
        <v>6.6559999999999997</v>
      </c>
      <c r="X316">
        <v>7.4000000000000004</v>
      </c>
      <c r="Y316">
        <v>11.199999999999999</v>
      </c>
      <c r="Z316">
        <v>8</v>
      </c>
      <c r="AA316">
        <v>7.96</v>
      </c>
      <c r="AB316">
        <v>6.8799999999999999</v>
      </c>
      <c r="AC316">
        <v>2.04</v>
      </c>
      <c r="AD316">
        <v>8</v>
      </c>
      <c r="AE316">
        <v>7.8399999999999999</v>
      </c>
      <c r="AF316">
        <v>8</v>
      </c>
      <c r="AG316">
        <v>7.2000000000000002</v>
      </c>
      <c r="AH316">
        <v>6.9199999999999999</v>
      </c>
      <c r="AI316">
        <v>6.2160000000000002</v>
      </c>
      <c r="AJ316">
        <v>8</v>
      </c>
      <c r="AK316">
        <v>4.9199999999999999</v>
      </c>
      <c r="AL316">
        <v>8</v>
      </c>
      <c r="AM316">
        <v>7.7199999999999998</v>
      </c>
      <c r="AN316">
        <v>6.5359999999999996</v>
      </c>
      <c r="AO316">
        <v>8.8000000000000007</v>
      </c>
      <c r="AP316">
        <v>14.800000000000001</v>
      </c>
      <c r="AQ316">
        <v>8.4000000000000004</v>
      </c>
      <c r="AR316">
        <v>8</v>
      </c>
      <c r="AS316">
        <v>11.800000000000001</v>
      </c>
      <c r="AT316">
        <v>7.7919999999999998</v>
      </c>
      <c r="AU316">
        <v>11.6</v>
      </c>
      <c r="AV316">
        <v>7.2800000000000002</v>
      </c>
      <c r="AW316" t="s">
        <v>296</v>
      </c>
    </row>
    <row r="317" spans="1:49" ht="12.75">
      <c r="A317" t="s">
        <v>295</v>
      </c>
      <c r="B317" t="s">
        <v>289</v>
      </c>
      <c r="C317" t="s">
        <v>153</v>
      </c>
      <c r="D317" t="s">
        <v>101</v>
      </c>
      <c r="E317" t="s">
        <v>296</v>
      </c>
      <c r="F317" t="s">
        <v>83</v>
      </c>
      <c r="G317" t="s">
        <v>474</v>
      </c>
      <c r="H317" t="s">
        <v>296</v>
      </c>
      <c r="I317" t="s">
        <v>296</v>
      </c>
      <c r="J317" t="s">
        <v>296</v>
      </c>
      <c r="K317" t="s">
        <v>296</v>
      </c>
      <c r="L317">
        <v>1.02</v>
      </c>
      <c r="M317">
        <v>1.02</v>
      </c>
      <c r="N317">
        <v>1.02</v>
      </c>
      <c r="O317">
        <v>1.02</v>
      </c>
      <c r="P317">
        <v>1.02</v>
      </c>
      <c r="Q317">
        <v>1.02</v>
      </c>
      <c r="R317">
        <v>1.02</v>
      </c>
      <c r="S317">
        <v>1.02</v>
      </c>
      <c r="T317">
        <v>1.02</v>
      </c>
      <c r="U317">
        <v>1.02</v>
      </c>
      <c r="V317">
        <v>1.224</v>
      </c>
      <c r="W317">
        <v>1.02</v>
      </c>
      <c r="X317">
        <v>0.71399999999999997</v>
      </c>
      <c r="Y317">
        <v>1.3260000000000001</v>
      </c>
      <c r="Z317">
        <v>1.02</v>
      </c>
      <c r="AA317">
        <v>1.02</v>
      </c>
      <c r="AB317">
        <v>1.02</v>
      </c>
      <c r="AC317">
        <v>1.02</v>
      </c>
      <c r="AD317">
        <v>1.02</v>
      </c>
      <c r="AE317">
        <v>1.02</v>
      </c>
      <c r="AF317">
        <v>1.02</v>
      </c>
      <c r="AG317">
        <v>1.02</v>
      </c>
      <c r="AH317">
        <v>1.02</v>
      </c>
      <c r="AI317">
        <v>1.02</v>
      </c>
      <c r="AJ317">
        <v>1.02</v>
      </c>
      <c r="AK317">
        <v>1.02</v>
      </c>
      <c r="AL317">
        <v>1.02</v>
      </c>
      <c r="AM317">
        <v>1.02</v>
      </c>
      <c r="AN317">
        <v>1.02</v>
      </c>
      <c r="AO317">
        <v>1.02</v>
      </c>
      <c r="AP317">
        <v>1.02</v>
      </c>
      <c r="AQ317">
        <v>1.02</v>
      </c>
      <c r="AR317">
        <v>1.02</v>
      </c>
      <c r="AS317">
        <v>1.02</v>
      </c>
      <c r="AT317">
        <v>1.02</v>
      </c>
      <c r="AU317">
        <v>1.02</v>
      </c>
      <c r="AV317">
        <v>1.02</v>
      </c>
      <c r="AW317" t="s">
        <v>296</v>
      </c>
    </row>
    <row r="318" spans="1:49" ht="12.75">
      <c r="A318" t="s">
        <v>295</v>
      </c>
      <c r="B318" t="s">
        <v>289</v>
      </c>
      <c r="C318" t="s">
        <v>154</v>
      </c>
      <c r="D318" t="s">
        <v>155</v>
      </c>
      <c r="E318" t="s">
        <v>296</v>
      </c>
      <c r="F318" t="s">
        <v>83</v>
      </c>
      <c r="G318" t="s">
        <v>474</v>
      </c>
      <c r="H318" t="s">
        <v>296</v>
      </c>
      <c r="I318" t="s">
        <v>296</v>
      </c>
      <c r="J318" t="s">
        <v>296</v>
      </c>
      <c r="K318" t="s">
        <v>296</v>
      </c>
      <c r="O318">
        <v>0.14799999999999999</v>
      </c>
      <c r="P318">
        <v>0.438</v>
      </c>
      <c r="Q318">
        <v>0.438</v>
      </c>
      <c r="T318">
        <v>0.14999999999999999</v>
      </c>
      <c r="U318">
        <v>0.14999999999999999</v>
      </c>
      <c r="AW318" t="s">
        <v>296</v>
      </c>
    </row>
    <row r="319" spans="1:49" ht="12.75">
      <c r="A319" t="s">
        <v>295</v>
      </c>
      <c r="B319" t="s">
        <v>289</v>
      </c>
      <c r="C319" t="s">
        <v>154</v>
      </c>
      <c r="D319" t="s">
        <v>37</v>
      </c>
      <c r="E319" t="s">
        <v>296</v>
      </c>
      <c r="F319" t="s">
        <v>83</v>
      </c>
      <c r="G319" t="s">
        <v>474</v>
      </c>
      <c r="H319" t="s">
        <v>296</v>
      </c>
      <c r="I319" t="s">
        <v>296</v>
      </c>
      <c r="J319" t="s">
        <v>296</v>
      </c>
      <c r="K319" t="s">
        <v>296</v>
      </c>
      <c r="L319">
        <v>2.2999999999999998</v>
      </c>
      <c r="M319">
        <v>2</v>
      </c>
      <c r="N319">
        <v>2.8999999999999999</v>
      </c>
      <c r="O319">
        <v>2.1200000000000001</v>
      </c>
      <c r="P319">
        <v>2.3999999999999999</v>
      </c>
      <c r="Q319">
        <v>2.3999999999999999</v>
      </c>
      <c r="R319">
        <v>2</v>
      </c>
      <c r="S319">
        <v>2.7000000000000002</v>
      </c>
      <c r="T319">
        <v>2</v>
      </c>
      <c r="U319">
        <v>2</v>
      </c>
      <c r="V319">
        <v>2.9700000000000002</v>
      </c>
      <c r="W319">
        <v>1.8</v>
      </c>
      <c r="X319">
        <v>1.3500000000000001</v>
      </c>
      <c r="Y319">
        <v>3.3399999999999999</v>
      </c>
      <c r="Z319">
        <v>2.0800000000000001</v>
      </c>
      <c r="AA319">
        <v>1.99</v>
      </c>
      <c r="AB319">
        <v>2</v>
      </c>
      <c r="AC319">
        <v>3.8199999999999998</v>
      </c>
      <c r="AD319">
        <v>2</v>
      </c>
      <c r="AE319">
        <v>1.96</v>
      </c>
      <c r="AF319">
        <v>2</v>
      </c>
      <c r="AG319">
        <v>2.5</v>
      </c>
      <c r="AH319">
        <v>2.6800000000000002</v>
      </c>
      <c r="AI319">
        <v>1.554</v>
      </c>
      <c r="AJ319">
        <v>2</v>
      </c>
      <c r="AK319">
        <v>2.5</v>
      </c>
      <c r="AL319">
        <v>2</v>
      </c>
      <c r="AM319">
        <v>1.7</v>
      </c>
      <c r="AN319">
        <v>2.3500000000000001</v>
      </c>
      <c r="AO319">
        <v>2.2000000000000002</v>
      </c>
      <c r="AP319">
        <v>3.3999999999999999</v>
      </c>
      <c r="AQ319">
        <v>2.2000000000000002</v>
      </c>
      <c r="AR319">
        <v>2</v>
      </c>
      <c r="AS319">
        <v>3.6000000000000001</v>
      </c>
      <c r="AT319">
        <v>1.9199999999999999</v>
      </c>
      <c r="AU319">
        <v>2.3999999999999999</v>
      </c>
      <c r="AV319">
        <v>2.8199999999999998</v>
      </c>
      <c r="AW319" t="s">
        <v>296</v>
      </c>
    </row>
    <row r="320" spans="1:49" ht="12.75">
      <c r="A320" t="s">
        <v>295</v>
      </c>
      <c r="B320" t="s">
        <v>289</v>
      </c>
      <c r="C320" t="s">
        <v>154</v>
      </c>
      <c r="D320" t="s">
        <v>38</v>
      </c>
      <c r="E320" t="s">
        <v>296</v>
      </c>
      <c r="F320" t="s">
        <v>83</v>
      </c>
      <c r="G320" t="s">
        <v>474</v>
      </c>
      <c r="H320" t="s">
        <v>296</v>
      </c>
      <c r="I320" t="s">
        <v>296</v>
      </c>
      <c r="J320" t="s">
        <v>296</v>
      </c>
      <c r="K320" t="s">
        <v>296</v>
      </c>
      <c r="L320">
        <v>0</v>
      </c>
      <c r="M320">
        <v>0.28999999999999998</v>
      </c>
      <c r="N320">
        <v>0.28999999999999998</v>
      </c>
      <c r="O320">
        <v>0</v>
      </c>
      <c r="P320">
        <v>0</v>
      </c>
      <c r="Q320">
        <v>0</v>
      </c>
      <c r="R320">
        <v>0.28999999999999998</v>
      </c>
      <c r="S320">
        <v>0.28999999999999998</v>
      </c>
      <c r="T320">
        <v>0.28999999999999998</v>
      </c>
      <c r="U320">
        <v>0.25</v>
      </c>
      <c r="V320">
        <v>0.25955</v>
      </c>
      <c r="W320">
        <v>0.28999999999999998</v>
      </c>
      <c r="X320">
        <v>0</v>
      </c>
      <c r="Y320">
        <v>0</v>
      </c>
      <c r="Z320">
        <v>0</v>
      </c>
      <c r="AA320">
        <v>0.28999999999999998</v>
      </c>
      <c r="AB320">
        <v>0.28999999999999998</v>
      </c>
      <c r="AC320">
        <v>0</v>
      </c>
      <c r="AD320">
        <v>0.28999999999999998</v>
      </c>
      <c r="AE320">
        <v>0.28999999999999998</v>
      </c>
      <c r="AF320">
        <v>0.28999999999999998</v>
      </c>
      <c r="AG320">
        <v>0.28999999999999998</v>
      </c>
      <c r="AH320">
        <v>0.28999999999999998</v>
      </c>
      <c r="AI320">
        <v>0.28999999999999998</v>
      </c>
      <c r="AJ320">
        <v>0.28999999999999998</v>
      </c>
      <c r="AK320">
        <v>0.28999999999999998</v>
      </c>
      <c r="AL320">
        <v>0.28999999999999998</v>
      </c>
      <c r="AM320">
        <v>0.28999999999999998</v>
      </c>
      <c r="AN320">
        <v>0</v>
      </c>
      <c r="AO320">
        <v>0.28999999999999998</v>
      </c>
      <c r="AP320">
        <v>0</v>
      </c>
      <c r="AQ320">
        <v>0.28999999999999998</v>
      </c>
      <c r="AR320">
        <v>0.28999999999999998</v>
      </c>
      <c r="AS320">
        <v>0</v>
      </c>
      <c r="AT320">
        <v>0.28999999999999998</v>
      </c>
      <c r="AU320">
        <v>0.28999999999999998</v>
      </c>
      <c r="AV320">
        <v>0.28999999999999998</v>
      </c>
      <c r="AW320" t="s">
        <v>296</v>
      </c>
    </row>
    <row r="321" spans="1:49" ht="12.75">
      <c r="A321" t="s">
        <v>295</v>
      </c>
      <c r="B321" t="s">
        <v>289</v>
      </c>
      <c r="C321" t="s">
        <v>154</v>
      </c>
      <c r="D321" t="s">
        <v>44</v>
      </c>
      <c r="E321" t="s">
        <v>296</v>
      </c>
      <c r="F321" t="s">
        <v>83</v>
      </c>
      <c r="G321" t="s">
        <v>474</v>
      </c>
      <c r="H321" t="s">
        <v>296</v>
      </c>
      <c r="I321" t="s">
        <v>296</v>
      </c>
      <c r="J321" t="s">
        <v>296</v>
      </c>
      <c r="K321" t="s">
        <v>296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0.14799999999999999</v>
      </c>
      <c r="S321">
        <v>0</v>
      </c>
      <c r="T321">
        <v>0</v>
      </c>
      <c r="U321">
        <v>0</v>
      </c>
      <c r="V321">
        <v>0</v>
      </c>
      <c r="W321">
        <v>0.14799999999999999</v>
      </c>
      <c r="X321">
        <v>0</v>
      </c>
      <c r="Y321">
        <v>0.14799999999999999</v>
      </c>
      <c r="Z321">
        <v>0</v>
      </c>
      <c r="AA321">
        <v>0.14799999999999999</v>
      </c>
      <c r="AB321">
        <v>0</v>
      </c>
      <c r="AC321">
        <v>0.14799999999999999</v>
      </c>
      <c r="AD321">
        <v>0.14799999999999999</v>
      </c>
      <c r="AE321">
        <v>0</v>
      </c>
      <c r="AF321">
        <v>0.14799999999999999</v>
      </c>
      <c r="AG321">
        <v>0</v>
      </c>
      <c r="AH321">
        <v>0</v>
      </c>
      <c r="AI321">
        <v>0</v>
      </c>
      <c r="AJ321">
        <v>0.14799999999999999</v>
      </c>
      <c r="AK321">
        <v>0.14799999999999999</v>
      </c>
      <c r="AL321">
        <v>0.14799999999999999</v>
      </c>
      <c r="AM321">
        <v>0</v>
      </c>
      <c r="AN321">
        <v>0.14799999999999999</v>
      </c>
      <c r="AO321">
        <v>0</v>
      </c>
      <c r="AP321">
        <v>0</v>
      </c>
      <c r="AQ321">
        <v>0.14799999999999999</v>
      </c>
      <c r="AR321">
        <v>0.14799999999999999</v>
      </c>
      <c r="AS321">
        <v>0</v>
      </c>
      <c r="AT321">
        <v>0</v>
      </c>
      <c r="AU321">
        <v>0</v>
      </c>
      <c r="AV321">
        <v>0</v>
      </c>
      <c r="AW321" t="s">
        <v>296</v>
      </c>
    </row>
    <row r="322" spans="1:49" ht="12.75">
      <c r="A322" t="s">
        <v>295</v>
      </c>
      <c r="B322" t="s">
        <v>289</v>
      </c>
      <c r="C322" t="s">
        <v>154</v>
      </c>
      <c r="D322" t="s">
        <v>59</v>
      </c>
      <c r="E322" t="s">
        <v>296</v>
      </c>
      <c r="F322" t="s">
        <v>83</v>
      </c>
      <c r="G322" t="s">
        <v>474</v>
      </c>
      <c r="H322" t="s">
        <v>296</v>
      </c>
      <c r="I322" t="s">
        <v>296</v>
      </c>
      <c r="J322" t="s">
        <v>296</v>
      </c>
      <c r="K322" t="s">
        <v>296</v>
      </c>
      <c r="L322">
        <v>8.9250000000000007</v>
      </c>
      <c r="M322">
        <v>8.2880000000000003</v>
      </c>
      <c r="N322">
        <v>10.15</v>
      </c>
      <c r="O322">
        <v>7.7000000000000002</v>
      </c>
      <c r="P322">
        <v>9.5199999999999996</v>
      </c>
      <c r="Q322">
        <v>5.6980000000000004</v>
      </c>
      <c r="R322">
        <v>7</v>
      </c>
      <c r="S322">
        <v>10.779999999999999</v>
      </c>
      <c r="T322">
        <v>6.3979999999999997</v>
      </c>
      <c r="U322">
        <v>7</v>
      </c>
      <c r="V322">
        <v>7.6299999999999999</v>
      </c>
      <c r="W322">
        <v>5.8239999999999998</v>
      </c>
      <c r="X322">
        <v>6.4749999999999996</v>
      </c>
      <c r="Y322">
        <v>9.8000000000000007</v>
      </c>
      <c r="Z322">
        <v>7</v>
      </c>
      <c r="AA322">
        <v>6.9649999999999999</v>
      </c>
      <c r="AB322">
        <v>6.0199999999999996</v>
      </c>
      <c r="AC322">
        <v>1.7849999999999999</v>
      </c>
      <c r="AD322">
        <v>7</v>
      </c>
      <c r="AE322">
        <v>6.6500000000000004</v>
      </c>
      <c r="AF322">
        <v>7</v>
      </c>
      <c r="AG322">
        <v>6.2999999999999998</v>
      </c>
      <c r="AH322">
        <v>6.0549999999999997</v>
      </c>
      <c r="AI322">
        <v>5.4390000000000001</v>
      </c>
      <c r="AJ322">
        <v>7</v>
      </c>
      <c r="AK322">
        <v>4.3049999999999997</v>
      </c>
      <c r="AL322">
        <v>7</v>
      </c>
      <c r="AM322">
        <v>6.7549999999999999</v>
      </c>
      <c r="AN322">
        <v>5.7190000000000003</v>
      </c>
      <c r="AO322">
        <v>7.7000000000000002</v>
      </c>
      <c r="AP322">
        <v>12.949999999999999</v>
      </c>
      <c r="AQ322">
        <v>7.3499999999999996</v>
      </c>
      <c r="AR322">
        <v>7</v>
      </c>
      <c r="AS322">
        <v>10.324999999999999</v>
      </c>
      <c r="AT322">
        <v>6.8179999999999996</v>
      </c>
      <c r="AU322">
        <v>10.15</v>
      </c>
      <c r="AV322">
        <v>6.3700000000000001</v>
      </c>
      <c r="AW322" t="s">
        <v>296</v>
      </c>
    </row>
    <row r="323" spans="1:49" ht="12.75">
      <c r="A323" t="s">
        <v>295</v>
      </c>
      <c r="B323" t="s">
        <v>289</v>
      </c>
      <c r="C323" t="s">
        <v>154</v>
      </c>
      <c r="D323" t="s">
        <v>156</v>
      </c>
      <c r="E323" t="s">
        <v>296</v>
      </c>
      <c r="F323" t="s">
        <v>83</v>
      </c>
      <c r="G323" t="s">
        <v>474</v>
      </c>
      <c r="H323" t="s">
        <v>296</v>
      </c>
      <c r="I323" t="s">
        <v>296</v>
      </c>
      <c r="J323" t="s">
        <v>296</v>
      </c>
      <c r="K323" t="s">
        <v>296</v>
      </c>
      <c r="L323">
        <v>0.22</v>
      </c>
      <c r="M323">
        <v>0.22</v>
      </c>
      <c r="N323">
        <v>0.22</v>
      </c>
      <c r="O323">
        <v>0.22</v>
      </c>
      <c r="P323">
        <v>0.22</v>
      </c>
      <c r="Q323">
        <v>0.22</v>
      </c>
      <c r="R323">
        <v>0.22</v>
      </c>
      <c r="S323">
        <v>0.22</v>
      </c>
      <c r="T323">
        <v>0.22</v>
      </c>
      <c r="U323">
        <v>0.22</v>
      </c>
      <c r="V323">
        <v>0.22</v>
      </c>
      <c r="W323">
        <v>0.22</v>
      </c>
      <c r="X323">
        <v>0.22</v>
      </c>
      <c r="Y323">
        <v>0.22</v>
      </c>
      <c r="Z323">
        <v>0.22</v>
      </c>
      <c r="AA323">
        <v>0.22</v>
      </c>
      <c r="AB323">
        <v>0.22</v>
      </c>
      <c r="AC323">
        <v>0.22</v>
      </c>
      <c r="AD323">
        <v>0.22</v>
      </c>
      <c r="AE323">
        <v>0.22</v>
      </c>
      <c r="AF323">
        <v>0.22</v>
      </c>
      <c r="AG323">
        <v>0.22</v>
      </c>
      <c r="AH323">
        <v>0.22</v>
      </c>
      <c r="AI323">
        <v>0.22</v>
      </c>
      <c r="AJ323">
        <v>0.22</v>
      </c>
      <c r="AK323">
        <v>0.22</v>
      </c>
      <c r="AL323">
        <v>0.22</v>
      </c>
      <c r="AM323">
        <v>0.22</v>
      </c>
      <c r="AN323">
        <v>0.22</v>
      </c>
      <c r="AO323">
        <v>0.22</v>
      </c>
      <c r="AP323">
        <v>0.22</v>
      </c>
      <c r="AQ323">
        <v>0.22</v>
      </c>
      <c r="AR323">
        <v>0.22</v>
      </c>
      <c r="AS323">
        <v>0.22</v>
      </c>
      <c r="AT323">
        <v>0.22</v>
      </c>
      <c r="AU323">
        <v>0.22</v>
      </c>
      <c r="AV323">
        <v>0.22</v>
      </c>
      <c r="AW323" t="s">
        <v>296</v>
      </c>
    </row>
    <row r="324" spans="1:49" ht="12.75">
      <c r="A324" t="s">
        <v>295</v>
      </c>
      <c r="B324" t="s">
        <v>289</v>
      </c>
      <c r="C324" t="s">
        <v>154</v>
      </c>
      <c r="D324" t="s">
        <v>157</v>
      </c>
      <c r="E324" t="s">
        <v>296</v>
      </c>
      <c r="F324" t="s">
        <v>83</v>
      </c>
      <c r="G324" t="s">
        <v>474</v>
      </c>
      <c r="H324" t="s">
        <v>296</v>
      </c>
      <c r="I324" t="s">
        <v>296</v>
      </c>
      <c r="J324" t="s">
        <v>296</v>
      </c>
      <c r="K324" t="s">
        <v>296</v>
      </c>
      <c r="L324">
        <v>0.050000000000000003</v>
      </c>
      <c r="M324">
        <v>0.050000000000000003</v>
      </c>
      <c r="N324">
        <v>0.050000000000000003</v>
      </c>
      <c r="O324">
        <v>0.050000000000000003</v>
      </c>
      <c r="P324">
        <v>0.050000000000000003</v>
      </c>
      <c r="Q324">
        <v>0.050000000000000003</v>
      </c>
      <c r="R324">
        <v>0.050000000000000003</v>
      </c>
      <c r="S324">
        <v>0.050000000000000003</v>
      </c>
      <c r="T324">
        <v>0.050000000000000003</v>
      </c>
      <c r="U324">
        <v>0.050000000000000003</v>
      </c>
      <c r="V324">
        <v>0.050000000000000003</v>
      </c>
      <c r="W324">
        <v>0.050000000000000003</v>
      </c>
      <c r="X324">
        <v>0.050000000000000003</v>
      </c>
      <c r="Y324">
        <v>0.050000000000000003</v>
      </c>
      <c r="Z324">
        <v>0.050000000000000003</v>
      </c>
      <c r="AA324">
        <v>0.050000000000000003</v>
      </c>
      <c r="AB324">
        <v>0.050000000000000003</v>
      </c>
      <c r="AC324">
        <v>0.050000000000000003</v>
      </c>
      <c r="AD324">
        <v>0.050000000000000003</v>
      </c>
      <c r="AE324">
        <v>0.050000000000000003</v>
      </c>
      <c r="AF324">
        <v>0.050000000000000003</v>
      </c>
      <c r="AG324">
        <v>0.050000000000000003</v>
      </c>
      <c r="AH324">
        <v>0.050000000000000003</v>
      </c>
      <c r="AI324">
        <v>0.050000000000000003</v>
      </c>
      <c r="AJ324">
        <v>0.050000000000000003</v>
      </c>
      <c r="AK324">
        <v>0.050000000000000003</v>
      </c>
      <c r="AL324">
        <v>0.050000000000000003</v>
      </c>
      <c r="AM324">
        <v>0.050000000000000003</v>
      </c>
      <c r="AN324">
        <v>0.050000000000000003</v>
      </c>
      <c r="AO324">
        <v>0.050000000000000003</v>
      </c>
      <c r="AP324">
        <v>0.050000000000000003</v>
      </c>
      <c r="AQ324">
        <v>0.050000000000000003</v>
      </c>
      <c r="AR324">
        <v>0.050000000000000003</v>
      </c>
      <c r="AS324">
        <v>0.050000000000000003</v>
      </c>
      <c r="AT324">
        <v>0.050000000000000003</v>
      </c>
      <c r="AU324">
        <v>0.050000000000000003</v>
      </c>
      <c r="AV324">
        <v>0.050000000000000003</v>
      </c>
      <c r="AW324" t="s">
        <v>296</v>
      </c>
    </row>
    <row r="325" spans="1:49" ht="12.75">
      <c r="A325" t="s">
        <v>295</v>
      </c>
      <c r="B325" t="s">
        <v>289</v>
      </c>
      <c r="C325" t="s">
        <v>154</v>
      </c>
      <c r="D325" t="s">
        <v>101</v>
      </c>
      <c r="E325" t="s">
        <v>296</v>
      </c>
      <c r="F325" t="s">
        <v>83</v>
      </c>
      <c r="G325" t="s">
        <v>474</v>
      </c>
      <c r="H325" t="s">
        <v>296</v>
      </c>
      <c r="I325" t="s">
        <v>296</v>
      </c>
      <c r="J325" t="s">
        <v>296</v>
      </c>
      <c r="K325" t="s">
        <v>296</v>
      </c>
      <c r="L325">
        <v>0.68000000000000005</v>
      </c>
      <c r="M325">
        <v>0.68000000000000005</v>
      </c>
      <c r="N325">
        <v>0.748</v>
      </c>
      <c r="O325">
        <v>0.68000000000000005</v>
      </c>
      <c r="P325">
        <v>0.68000000000000005</v>
      </c>
      <c r="Q325">
        <v>0.68000000000000005</v>
      </c>
      <c r="R325">
        <v>0.68000000000000005</v>
      </c>
      <c r="S325">
        <v>0.68000000000000005</v>
      </c>
      <c r="T325">
        <v>0.68000000000000005</v>
      </c>
      <c r="U325">
        <v>0.68000000000000005</v>
      </c>
      <c r="V325">
        <v>1.0029999999999999</v>
      </c>
      <c r="W325">
        <v>0.68000000000000005</v>
      </c>
      <c r="X325">
        <v>0.61199999999999999</v>
      </c>
      <c r="Y325">
        <v>0.88400000000000001</v>
      </c>
      <c r="Z325">
        <v>0.68000000000000005</v>
      </c>
      <c r="AA325">
        <v>0.68000000000000005</v>
      </c>
      <c r="AB325">
        <v>0.68000000000000005</v>
      </c>
      <c r="AC325">
        <v>0.68000000000000005</v>
      </c>
      <c r="AD325">
        <v>0.68000000000000005</v>
      </c>
      <c r="AE325">
        <v>0.68000000000000005</v>
      </c>
      <c r="AF325">
        <v>0.68000000000000005</v>
      </c>
      <c r="AG325">
        <v>0.68000000000000005</v>
      </c>
      <c r="AH325">
        <v>0.68000000000000005</v>
      </c>
      <c r="AI325">
        <v>0.68000000000000005</v>
      </c>
      <c r="AJ325">
        <v>0.68000000000000005</v>
      </c>
      <c r="AK325">
        <v>0.68000000000000005</v>
      </c>
      <c r="AL325">
        <v>0.68000000000000005</v>
      </c>
      <c r="AM325">
        <v>0.68000000000000005</v>
      </c>
      <c r="AN325">
        <v>0.68000000000000005</v>
      </c>
      <c r="AO325">
        <v>0.68000000000000005</v>
      </c>
      <c r="AP325">
        <v>0.748</v>
      </c>
      <c r="AQ325">
        <v>0.68000000000000005</v>
      </c>
      <c r="AR325">
        <v>0.68000000000000005</v>
      </c>
      <c r="AS325">
        <v>1.1424000000000001</v>
      </c>
      <c r="AT325">
        <v>0.68000000000000005</v>
      </c>
      <c r="AU325">
        <v>0.91800000000000004</v>
      </c>
      <c r="AV325">
        <v>0.68000000000000005</v>
      </c>
      <c r="AW325" t="s">
        <v>296</v>
      </c>
    </row>
    <row r="326" spans="1:49" ht="12.75">
      <c r="A326" t="s">
        <v>295</v>
      </c>
      <c r="B326" t="s">
        <v>289</v>
      </c>
      <c r="C326" t="s">
        <v>154</v>
      </c>
      <c r="D326" t="s">
        <v>158</v>
      </c>
      <c r="E326" t="s">
        <v>296</v>
      </c>
      <c r="F326" t="s">
        <v>83</v>
      </c>
      <c r="G326" t="s">
        <v>474</v>
      </c>
      <c r="H326" t="s">
        <v>296</v>
      </c>
      <c r="I326" t="s">
        <v>296</v>
      </c>
      <c r="J326" t="s">
        <v>296</v>
      </c>
      <c r="K326" t="s">
        <v>296</v>
      </c>
      <c r="L326">
        <v>0.089999999999999997</v>
      </c>
      <c r="M326">
        <v>0.089999999999999997</v>
      </c>
      <c r="N326">
        <v>0.089999999999999997</v>
      </c>
      <c r="O326">
        <v>0.089999999999999997</v>
      </c>
      <c r="P326">
        <v>0.089999999999999997</v>
      </c>
      <c r="Q326">
        <v>0.089999999999999997</v>
      </c>
      <c r="R326">
        <v>0.089999999999999997</v>
      </c>
      <c r="S326">
        <v>0.089999999999999997</v>
      </c>
      <c r="T326">
        <v>0.089999999999999997</v>
      </c>
      <c r="U326">
        <v>0.089999999999999997</v>
      </c>
      <c r="V326">
        <v>0.089999999999999997</v>
      </c>
      <c r="W326">
        <v>0.089999999999999997</v>
      </c>
      <c r="X326">
        <v>0.089999999999999997</v>
      </c>
      <c r="Y326">
        <v>0.089999999999999997</v>
      </c>
      <c r="Z326">
        <v>0.089999999999999997</v>
      </c>
      <c r="AA326">
        <v>0.089999999999999997</v>
      </c>
      <c r="AB326">
        <v>0.089999999999999997</v>
      </c>
      <c r="AC326">
        <v>0.089999999999999997</v>
      </c>
      <c r="AD326">
        <v>0.089999999999999997</v>
      </c>
      <c r="AE326">
        <v>0.089999999999999997</v>
      </c>
      <c r="AF326">
        <v>0.089999999999999997</v>
      </c>
      <c r="AG326">
        <v>0.089999999999999997</v>
      </c>
      <c r="AH326">
        <v>0.089999999999999997</v>
      </c>
      <c r="AI326">
        <v>0.089999999999999997</v>
      </c>
      <c r="AJ326">
        <v>0.089999999999999997</v>
      </c>
      <c r="AK326">
        <v>0.089999999999999997</v>
      </c>
      <c r="AL326">
        <v>0.089999999999999997</v>
      </c>
      <c r="AM326">
        <v>0.089999999999999997</v>
      </c>
      <c r="AN326">
        <v>0.089999999999999997</v>
      </c>
      <c r="AO326">
        <v>0.089999999999999997</v>
      </c>
      <c r="AP326">
        <v>0.089999999999999997</v>
      </c>
      <c r="AQ326">
        <v>0.089999999999999997</v>
      </c>
      <c r="AR326">
        <v>0.089999999999999997</v>
      </c>
      <c r="AS326">
        <v>0.089999999999999997</v>
      </c>
      <c r="AT326">
        <v>0.089999999999999997</v>
      </c>
      <c r="AU326">
        <v>0.089999999999999997</v>
      </c>
      <c r="AV326">
        <v>0.089999999999999997</v>
      </c>
      <c r="AW326" t="s">
        <v>296</v>
      </c>
    </row>
    <row r="327" spans="1:49" ht="12.75">
      <c r="A327" t="s">
        <v>295</v>
      </c>
      <c r="B327" t="s">
        <v>289</v>
      </c>
      <c r="C327" t="s">
        <v>159</v>
      </c>
      <c r="D327" t="s">
        <v>155</v>
      </c>
      <c r="E327" t="s">
        <v>296</v>
      </c>
      <c r="F327" t="s">
        <v>83</v>
      </c>
      <c r="G327" t="s">
        <v>474</v>
      </c>
      <c r="H327" t="s">
        <v>296</v>
      </c>
      <c r="I327" t="s">
        <v>296</v>
      </c>
      <c r="J327" t="s">
        <v>296</v>
      </c>
      <c r="K327" t="s">
        <v>296</v>
      </c>
      <c r="L327">
        <v>4.7000000000000002</v>
      </c>
      <c r="M327">
        <v>4.7000000000000002</v>
      </c>
      <c r="N327">
        <v>4.7000000000000002</v>
      </c>
      <c r="O327">
        <v>4.7000000000000002</v>
      </c>
      <c r="P327">
        <v>2.3500000000000001</v>
      </c>
      <c r="Q327">
        <v>4.7000000000000002</v>
      </c>
      <c r="R327">
        <v>4.7000000000000002</v>
      </c>
      <c r="S327">
        <v>4.7000000000000002</v>
      </c>
      <c r="T327">
        <v>4.7000000000000002</v>
      </c>
      <c r="U327">
        <v>4.7000000000000002</v>
      </c>
      <c r="V327">
        <v>4.7000000000000002</v>
      </c>
      <c r="W327">
        <v>4.7000000000000002</v>
      </c>
      <c r="X327">
        <v>4.7000000000000002</v>
      </c>
      <c r="Y327">
        <v>4.7000000000000002</v>
      </c>
      <c r="Z327">
        <v>5.4050000000000002</v>
      </c>
      <c r="AA327">
        <v>4.7000000000000002</v>
      </c>
      <c r="AB327">
        <v>4.7000000000000002</v>
      </c>
      <c r="AC327">
        <v>4.7000000000000002</v>
      </c>
      <c r="AD327">
        <v>4.7000000000000002</v>
      </c>
      <c r="AE327">
        <v>4.7000000000000002</v>
      </c>
      <c r="AF327">
        <v>4.7000000000000002</v>
      </c>
      <c r="AG327">
        <v>4.7000000000000002</v>
      </c>
      <c r="AH327">
        <v>4.7000000000000002</v>
      </c>
      <c r="AI327">
        <v>4.7000000000000002</v>
      </c>
      <c r="AJ327">
        <v>4.7000000000000002</v>
      </c>
      <c r="AK327">
        <v>4.7000000000000002</v>
      </c>
      <c r="AL327">
        <v>4.7000000000000002</v>
      </c>
      <c r="AM327">
        <v>4.7000000000000002</v>
      </c>
      <c r="AN327">
        <v>4.7000000000000002</v>
      </c>
      <c r="AO327">
        <v>4.7000000000000002</v>
      </c>
      <c r="AP327">
        <v>4.7000000000000002</v>
      </c>
      <c r="AQ327">
        <v>4.7000000000000002</v>
      </c>
      <c r="AR327">
        <v>4.7000000000000002</v>
      </c>
      <c r="AS327">
        <v>4.7000000000000002</v>
      </c>
      <c r="AT327">
        <v>4.7000000000000002</v>
      </c>
      <c r="AU327">
        <v>4.7000000000000002</v>
      </c>
      <c r="AV327">
        <v>4.7000000000000002</v>
      </c>
      <c r="AW327" t="s">
        <v>296</v>
      </c>
    </row>
    <row r="328" spans="1:49" ht="12.75">
      <c r="A328" t="s">
        <v>295</v>
      </c>
      <c r="B328" t="s">
        <v>289</v>
      </c>
      <c r="C328" t="s">
        <v>159</v>
      </c>
      <c r="D328" t="s">
        <v>163</v>
      </c>
      <c r="E328" t="s">
        <v>296</v>
      </c>
      <c r="F328" t="s">
        <v>83</v>
      </c>
      <c r="G328" t="s">
        <v>474</v>
      </c>
      <c r="H328" t="s">
        <v>296</v>
      </c>
      <c r="I328" t="s">
        <v>296</v>
      </c>
      <c r="J328" t="s">
        <v>296</v>
      </c>
      <c r="K328" t="s">
        <v>296</v>
      </c>
      <c r="L328">
        <v>18</v>
      </c>
      <c r="M328">
        <v>18</v>
      </c>
      <c r="N328">
        <v>9</v>
      </c>
      <c r="O328">
        <v>18</v>
      </c>
      <c r="P328">
        <v>9</v>
      </c>
      <c r="Q328">
        <v>18</v>
      </c>
      <c r="R328">
        <v>18</v>
      </c>
      <c r="S328">
        <v>18</v>
      </c>
      <c r="T328">
        <v>18</v>
      </c>
      <c r="U328">
        <v>18</v>
      </c>
      <c r="V328">
        <v>18</v>
      </c>
      <c r="W328">
        <v>18</v>
      </c>
      <c r="X328">
        <v>18</v>
      </c>
      <c r="Y328">
        <v>18</v>
      </c>
      <c r="Z328">
        <v>20.699999999999999</v>
      </c>
      <c r="AA328">
        <v>18</v>
      </c>
      <c r="AB328">
        <v>18</v>
      </c>
      <c r="AC328">
        <v>18</v>
      </c>
      <c r="AD328">
        <v>18</v>
      </c>
      <c r="AE328">
        <v>18</v>
      </c>
      <c r="AF328">
        <v>18</v>
      </c>
      <c r="AG328">
        <v>18</v>
      </c>
      <c r="AH328">
        <v>18</v>
      </c>
      <c r="AI328">
        <v>18</v>
      </c>
      <c r="AJ328">
        <v>18</v>
      </c>
      <c r="AK328">
        <v>18</v>
      </c>
      <c r="AL328">
        <v>18</v>
      </c>
      <c r="AM328">
        <v>18</v>
      </c>
      <c r="AN328">
        <v>18</v>
      </c>
      <c r="AO328">
        <v>18</v>
      </c>
      <c r="AP328">
        <v>18</v>
      </c>
      <c r="AQ328">
        <v>18</v>
      </c>
      <c r="AR328">
        <v>18</v>
      </c>
      <c r="AS328">
        <v>18</v>
      </c>
      <c r="AT328">
        <v>18</v>
      </c>
      <c r="AU328">
        <v>18</v>
      </c>
      <c r="AV328">
        <v>18</v>
      </c>
      <c r="AW328" t="s">
        <v>296</v>
      </c>
    </row>
    <row r="329" spans="1:49" ht="12.75">
      <c r="A329" t="s">
        <v>295</v>
      </c>
      <c r="B329" t="s">
        <v>289</v>
      </c>
      <c r="C329" t="s">
        <v>159</v>
      </c>
      <c r="D329" t="s">
        <v>37</v>
      </c>
      <c r="E329" t="s">
        <v>296</v>
      </c>
      <c r="F329" t="s">
        <v>83</v>
      </c>
      <c r="G329" t="s">
        <v>474</v>
      </c>
      <c r="H329" t="s">
        <v>296</v>
      </c>
      <c r="I329" t="s">
        <v>296</v>
      </c>
      <c r="J329" t="s">
        <v>296</v>
      </c>
      <c r="K329" t="s">
        <v>296</v>
      </c>
      <c r="L329">
        <v>2.645</v>
      </c>
      <c r="M329">
        <v>2.2999999999999998</v>
      </c>
      <c r="N329">
        <v>3.335</v>
      </c>
      <c r="O329">
        <v>2.4380000000000002</v>
      </c>
      <c r="P329">
        <v>2.7599999999999998</v>
      </c>
      <c r="Q329">
        <v>2.7599999999999998</v>
      </c>
      <c r="R329">
        <v>2.2999999999999998</v>
      </c>
      <c r="S329">
        <v>3.105</v>
      </c>
      <c r="T329">
        <v>2.2999999999999998</v>
      </c>
      <c r="U329">
        <v>2.2999999999999998</v>
      </c>
      <c r="V329">
        <v>3.4155000000000002</v>
      </c>
      <c r="W329">
        <v>2.0699999999999998</v>
      </c>
      <c r="X329">
        <v>1.5525</v>
      </c>
      <c r="Y329">
        <v>2.52</v>
      </c>
      <c r="Z329">
        <v>2.3919999999999999</v>
      </c>
      <c r="AA329">
        <v>2.2885</v>
      </c>
      <c r="AB329">
        <v>2.2999999999999998</v>
      </c>
      <c r="AC329">
        <v>2.2999999999999998</v>
      </c>
      <c r="AD329">
        <v>2.2999999999999998</v>
      </c>
      <c r="AE329">
        <v>2.254</v>
      </c>
      <c r="AF329">
        <v>2.2999999999999998</v>
      </c>
      <c r="AG329">
        <v>2.875</v>
      </c>
      <c r="AH329">
        <v>3.0819999999999999</v>
      </c>
      <c r="AI329">
        <v>1.7870999999999999</v>
      </c>
      <c r="AJ329">
        <v>2.2999999999999998</v>
      </c>
      <c r="AK329">
        <v>2.875</v>
      </c>
      <c r="AL329">
        <v>2.2999999999999998</v>
      </c>
      <c r="AM329">
        <v>1.9550000000000001</v>
      </c>
      <c r="AN329">
        <v>2.7025000000000001</v>
      </c>
      <c r="AO329">
        <v>2.5299999999999998</v>
      </c>
      <c r="AP329">
        <v>3.9100000000000001</v>
      </c>
      <c r="AQ329">
        <v>2.5299999999999998</v>
      </c>
      <c r="AR329">
        <v>2.2999999999999998</v>
      </c>
      <c r="AS329">
        <v>4.1399999999999997</v>
      </c>
      <c r="AT329">
        <v>2.2080000000000002</v>
      </c>
      <c r="AU329">
        <v>2.7599999999999998</v>
      </c>
      <c r="AV329">
        <v>3.2429999999999999</v>
      </c>
      <c r="AW329" t="s">
        <v>296</v>
      </c>
    </row>
    <row r="330" spans="1:49" ht="12.75">
      <c r="A330" t="s">
        <v>295</v>
      </c>
      <c r="B330" t="s">
        <v>289</v>
      </c>
      <c r="C330" t="s">
        <v>159</v>
      </c>
      <c r="D330" t="s">
        <v>59</v>
      </c>
      <c r="E330" t="s">
        <v>296</v>
      </c>
      <c r="F330" t="s">
        <v>83</v>
      </c>
      <c r="G330" t="s">
        <v>474</v>
      </c>
      <c r="H330" t="s">
        <v>296</v>
      </c>
      <c r="I330" t="s">
        <v>296</v>
      </c>
      <c r="J330" t="s">
        <v>296</v>
      </c>
      <c r="K330" t="s">
        <v>296</v>
      </c>
      <c r="L330">
        <v>9.9450000000000003</v>
      </c>
      <c r="M330">
        <v>9.2352000000000007</v>
      </c>
      <c r="N330">
        <v>11.31</v>
      </c>
      <c r="O330">
        <v>8.5800000000000001</v>
      </c>
      <c r="P330">
        <v>10.608000000000001</v>
      </c>
      <c r="Q330">
        <v>6.3491999999999997</v>
      </c>
      <c r="R330">
        <v>7.7999999999999998</v>
      </c>
      <c r="S330">
        <v>12.012</v>
      </c>
      <c r="T330">
        <v>7.1292</v>
      </c>
      <c r="U330">
        <v>7.7999999999999998</v>
      </c>
      <c r="V330">
        <v>8.5020000000000007</v>
      </c>
      <c r="W330">
        <v>6.4896000000000003</v>
      </c>
      <c r="X330">
        <v>7.2149999999999999</v>
      </c>
      <c r="Y330">
        <v>7.7999999999999998</v>
      </c>
      <c r="Z330">
        <v>7.7999999999999998</v>
      </c>
      <c r="AA330">
        <v>7.7610000000000001</v>
      </c>
      <c r="AB330">
        <v>6.7080000000000002</v>
      </c>
      <c r="AC330">
        <v>7.7999999999999998</v>
      </c>
      <c r="AD330">
        <v>7.7999999999999998</v>
      </c>
      <c r="AE330">
        <v>7.4100000000000001</v>
      </c>
      <c r="AF330">
        <v>7.7999999999999998</v>
      </c>
      <c r="AG330">
        <v>7.0199999999999996</v>
      </c>
      <c r="AH330">
        <v>6.7469999999999999</v>
      </c>
      <c r="AI330">
        <v>6.0606</v>
      </c>
      <c r="AJ330">
        <v>7.7999999999999998</v>
      </c>
      <c r="AK330">
        <v>4.7969999999999997</v>
      </c>
      <c r="AL330">
        <v>7.7999999999999998</v>
      </c>
      <c r="AM330">
        <v>7.5270000000000001</v>
      </c>
      <c r="AN330">
        <v>6.3726000000000003</v>
      </c>
      <c r="AO330">
        <v>8.5800000000000001</v>
      </c>
      <c r="AP330">
        <v>14.43</v>
      </c>
      <c r="AQ330">
        <v>8.1899999999999995</v>
      </c>
      <c r="AR330">
        <v>7.7999999999999998</v>
      </c>
      <c r="AS330">
        <v>11.505000000000001</v>
      </c>
      <c r="AT330">
        <v>7.5972</v>
      </c>
      <c r="AU330">
        <v>11.31</v>
      </c>
      <c r="AV330">
        <v>7.0979999999999999</v>
      </c>
      <c r="AW330" t="s">
        <v>296</v>
      </c>
    </row>
    <row r="331" spans="1:49" ht="12.75">
      <c r="A331" t="s">
        <v>295</v>
      </c>
      <c r="B331" t="s">
        <v>289</v>
      </c>
      <c r="C331" t="s">
        <v>159</v>
      </c>
      <c r="D331" t="s">
        <v>160</v>
      </c>
      <c r="E331" t="s">
        <v>296</v>
      </c>
      <c r="F331" t="s">
        <v>83</v>
      </c>
      <c r="G331" t="s">
        <v>474</v>
      </c>
      <c r="H331" t="s">
        <v>296</v>
      </c>
      <c r="I331" t="s">
        <v>296</v>
      </c>
      <c r="J331" t="s">
        <v>296</v>
      </c>
      <c r="K331" t="s">
        <v>296</v>
      </c>
      <c r="L331">
        <v>0.035000000000000003</v>
      </c>
      <c r="M331">
        <v>0.035000000000000003</v>
      </c>
      <c r="N331">
        <v>0.035000000000000003</v>
      </c>
      <c r="O331">
        <v>0.035000000000000003</v>
      </c>
      <c r="P331">
        <v>0.035000000000000003</v>
      </c>
      <c r="Q331">
        <v>0.035000000000000003</v>
      </c>
      <c r="R331">
        <v>0.035000000000000003</v>
      </c>
      <c r="S331">
        <v>0.035000000000000003</v>
      </c>
      <c r="T331">
        <v>0.035000000000000003</v>
      </c>
      <c r="U331">
        <v>0.035000000000000003</v>
      </c>
      <c r="V331">
        <v>0.035000000000000003</v>
      </c>
      <c r="W331">
        <v>0.035000000000000003</v>
      </c>
      <c r="X331">
        <v>0.035000000000000003</v>
      </c>
      <c r="Y331">
        <v>0.035000000000000003</v>
      </c>
      <c r="Z331">
        <v>0.035000000000000003</v>
      </c>
      <c r="AA331">
        <v>0.035000000000000003</v>
      </c>
      <c r="AB331">
        <v>0.035000000000000003</v>
      </c>
      <c r="AC331">
        <v>0.035000000000000003</v>
      </c>
      <c r="AD331">
        <v>0.035000000000000003</v>
      </c>
      <c r="AE331">
        <v>0.035000000000000003</v>
      </c>
      <c r="AF331">
        <v>0.035000000000000003</v>
      </c>
      <c r="AG331">
        <v>0.035000000000000003</v>
      </c>
      <c r="AH331">
        <v>0.035000000000000003</v>
      </c>
      <c r="AI331">
        <v>0.035000000000000003</v>
      </c>
      <c r="AJ331">
        <v>0.035000000000000003</v>
      </c>
      <c r="AK331">
        <v>0.035000000000000003</v>
      </c>
      <c r="AL331">
        <v>0.035000000000000003</v>
      </c>
      <c r="AM331">
        <v>0.035000000000000003</v>
      </c>
      <c r="AN331">
        <v>0.035000000000000003</v>
      </c>
      <c r="AO331">
        <v>0.035000000000000003</v>
      </c>
      <c r="AP331">
        <v>0.035000000000000003</v>
      </c>
      <c r="AQ331">
        <v>0.035000000000000003</v>
      </c>
      <c r="AR331">
        <v>0.035000000000000003</v>
      </c>
      <c r="AS331">
        <v>0.035000000000000003</v>
      </c>
      <c r="AT331">
        <v>0.035000000000000003</v>
      </c>
      <c r="AU331">
        <v>0.035000000000000003</v>
      </c>
      <c r="AV331">
        <v>0.035000000000000003</v>
      </c>
      <c r="AW331" t="s">
        <v>296</v>
      </c>
    </row>
    <row r="332" spans="1:49" ht="12.75">
      <c r="A332" t="s">
        <v>295</v>
      </c>
      <c r="B332" t="s">
        <v>289</v>
      </c>
      <c r="C332" t="s">
        <v>159</v>
      </c>
      <c r="D332" t="s">
        <v>161</v>
      </c>
      <c r="E332" t="s">
        <v>296</v>
      </c>
      <c r="F332" t="s">
        <v>83</v>
      </c>
      <c r="G332" t="s">
        <v>474</v>
      </c>
      <c r="H332" t="s">
        <v>296</v>
      </c>
      <c r="I332" t="s">
        <v>296</v>
      </c>
      <c r="J332" t="s">
        <v>296</v>
      </c>
      <c r="K332" t="s">
        <v>296</v>
      </c>
      <c r="L332">
        <v>0.02</v>
      </c>
      <c r="M332">
        <v>0.02</v>
      </c>
      <c r="N332">
        <v>0.02</v>
      </c>
      <c r="O332">
        <v>0.02</v>
      </c>
      <c r="P332">
        <v>0.02</v>
      </c>
      <c r="Q332">
        <v>0.02</v>
      </c>
      <c r="R332">
        <v>0.02</v>
      </c>
      <c r="S332">
        <v>0.02</v>
      </c>
      <c r="T332">
        <v>0.02</v>
      </c>
      <c r="U332">
        <v>0.02</v>
      </c>
      <c r="V332">
        <v>0.02</v>
      </c>
      <c r="W332">
        <v>0.02</v>
      </c>
      <c r="X332">
        <v>0.02</v>
      </c>
      <c r="Y332">
        <v>0.02</v>
      </c>
      <c r="Z332">
        <v>0.02</v>
      </c>
      <c r="AA332">
        <v>0.02</v>
      </c>
      <c r="AB332">
        <v>0.02</v>
      </c>
      <c r="AC332">
        <v>0.02</v>
      </c>
      <c r="AD332">
        <v>0.02</v>
      </c>
      <c r="AE332">
        <v>0.02</v>
      </c>
      <c r="AF332">
        <v>0.02</v>
      </c>
      <c r="AG332">
        <v>0.02</v>
      </c>
      <c r="AH332">
        <v>0.02</v>
      </c>
      <c r="AI332">
        <v>0.02</v>
      </c>
      <c r="AJ332">
        <v>0.02</v>
      </c>
      <c r="AK332">
        <v>0.02</v>
      </c>
      <c r="AL332">
        <v>0.02</v>
      </c>
      <c r="AM332">
        <v>0.02</v>
      </c>
      <c r="AN332">
        <v>0.02</v>
      </c>
      <c r="AO332">
        <v>0.02</v>
      </c>
      <c r="AP332">
        <v>0.02</v>
      </c>
      <c r="AQ332">
        <v>0.02</v>
      </c>
      <c r="AR332">
        <v>0.02</v>
      </c>
      <c r="AS332">
        <v>0.02</v>
      </c>
      <c r="AT332">
        <v>0.02</v>
      </c>
      <c r="AU332">
        <v>0.02</v>
      </c>
      <c r="AV332">
        <v>0.02</v>
      </c>
      <c r="AW332" t="s">
        <v>296</v>
      </c>
    </row>
    <row r="333" spans="1:49" ht="12.75">
      <c r="A333" t="s">
        <v>295</v>
      </c>
      <c r="B333" t="s">
        <v>289</v>
      </c>
      <c r="C333" t="s">
        <v>159</v>
      </c>
      <c r="D333" t="s">
        <v>101</v>
      </c>
      <c r="E333" t="s">
        <v>296</v>
      </c>
      <c r="F333" t="s">
        <v>83</v>
      </c>
      <c r="G333" t="s">
        <v>474</v>
      </c>
      <c r="H333" t="s">
        <v>296</v>
      </c>
      <c r="I333" t="s">
        <v>296</v>
      </c>
      <c r="J333" t="s">
        <v>296</v>
      </c>
      <c r="K333" t="s">
        <v>296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 t="s">
        <v>296</v>
      </c>
    </row>
    <row r="334" spans="1:49" ht="12.75">
      <c r="A334" t="s">
        <v>295</v>
      </c>
      <c r="B334" t="s">
        <v>289</v>
      </c>
      <c r="C334" t="s">
        <v>159</v>
      </c>
      <c r="D334" t="s">
        <v>162</v>
      </c>
      <c r="E334" t="s">
        <v>296</v>
      </c>
      <c r="F334" t="s">
        <v>83</v>
      </c>
      <c r="G334" t="s">
        <v>474</v>
      </c>
      <c r="H334" t="s">
        <v>296</v>
      </c>
      <c r="I334" t="s">
        <v>296</v>
      </c>
      <c r="J334" t="s">
        <v>296</v>
      </c>
      <c r="K334" t="s">
        <v>296</v>
      </c>
      <c r="L334">
        <v>2.2999999999999998</v>
      </c>
      <c r="M334">
        <v>2.2999999999999998</v>
      </c>
      <c r="N334">
        <v>2.2999999999999998</v>
      </c>
      <c r="O334">
        <v>2.2999999999999998</v>
      </c>
      <c r="P334">
        <v>2.2999999999999998</v>
      </c>
      <c r="Q334">
        <v>2.2999999999999998</v>
      </c>
      <c r="R334">
        <v>2.2999999999999998</v>
      </c>
      <c r="S334">
        <v>2.2999999999999998</v>
      </c>
      <c r="T334">
        <v>2.2999999999999998</v>
      </c>
      <c r="U334">
        <v>2.2999999999999998</v>
      </c>
      <c r="V334">
        <v>2.2999999999999998</v>
      </c>
      <c r="W334">
        <v>2.2999999999999998</v>
      </c>
      <c r="X334">
        <v>2.2999999999999998</v>
      </c>
      <c r="Y334">
        <v>4.5999999999999996</v>
      </c>
      <c r="Z334">
        <v>2.2999999999999998</v>
      </c>
      <c r="AA334">
        <v>2.2999999999999998</v>
      </c>
      <c r="AB334">
        <v>2.2999999999999998</v>
      </c>
      <c r="AC334">
        <v>2.2999999999999998</v>
      </c>
      <c r="AD334">
        <v>2.2999999999999998</v>
      </c>
      <c r="AE334">
        <v>2.2999999999999998</v>
      </c>
      <c r="AF334">
        <v>2.2999999999999998</v>
      </c>
      <c r="AG334">
        <v>2.2999999999999998</v>
      </c>
      <c r="AH334">
        <v>2.2999999999999998</v>
      </c>
      <c r="AI334">
        <v>2.2999999999999998</v>
      </c>
      <c r="AJ334">
        <v>2.2999999999999998</v>
      </c>
      <c r="AK334">
        <v>2.2999999999999998</v>
      </c>
      <c r="AL334">
        <v>2.2999999999999998</v>
      </c>
      <c r="AM334">
        <v>2.2999999999999998</v>
      </c>
      <c r="AN334">
        <v>2.2999999999999998</v>
      </c>
      <c r="AO334">
        <v>2.2999999999999998</v>
      </c>
      <c r="AP334">
        <v>2.2999999999999998</v>
      </c>
      <c r="AQ334">
        <v>2.2999999999999998</v>
      </c>
      <c r="AR334">
        <v>2.2999999999999998</v>
      </c>
      <c r="AS334">
        <v>2.2999999999999998</v>
      </c>
      <c r="AT334">
        <v>2.2999999999999998</v>
      </c>
      <c r="AU334">
        <v>2.2999999999999998</v>
      </c>
      <c r="AV334">
        <v>2.2999999999999998</v>
      </c>
      <c r="AW334" t="s">
        <v>296</v>
      </c>
    </row>
    <row r="335" spans="1:49" ht="12.75">
      <c r="A335" t="s">
        <v>295</v>
      </c>
      <c r="B335" t="s">
        <v>289</v>
      </c>
      <c r="C335" t="s">
        <v>164</v>
      </c>
      <c r="D335" t="s">
        <v>155</v>
      </c>
      <c r="E335" t="s">
        <v>296</v>
      </c>
      <c r="F335" t="s">
        <v>83</v>
      </c>
      <c r="G335" t="s">
        <v>474</v>
      </c>
      <c r="H335" t="s">
        <v>296</v>
      </c>
      <c r="I335" t="s">
        <v>296</v>
      </c>
      <c r="J335" t="s">
        <v>296</v>
      </c>
      <c r="K335" t="s">
        <v>296</v>
      </c>
      <c r="L335">
        <v>2.1000000000000001</v>
      </c>
      <c r="M335">
        <v>2.1000000000000001</v>
      </c>
      <c r="N335">
        <v>2.1000000000000001</v>
      </c>
      <c r="O335">
        <v>2.1000000000000001</v>
      </c>
      <c r="P335">
        <v>1.05</v>
      </c>
      <c r="Q335">
        <v>2.1000000000000001</v>
      </c>
      <c r="R335">
        <v>2.1000000000000001</v>
      </c>
      <c r="S335">
        <v>2.1000000000000001</v>
      </c>
      <c r="T335">
        <v>2.1000000000000001</v>
      </c>
      <c r="U335">
        <v>2.1000000000000001</v>
      </c>
      <c r="V335">
        <v>2.1000000000000001</v>
      </c>
      <c r="W335">
        <v>2.1000000000000001</v>
      </c>
      <c r="X335">
        <v>2.1000000000000001</v>
      </c>
      <c r="Y335">
        <v>2.1000000000000001</v>
      </c>
      <c r="Z335">
        <v>2.1000000000000001</v>
      </c>
      <c r="AA335">
        <v>2.1000000000000001</v>
      </c>
      <c r="AB335">
        <v>2.1000000000000001</v>
      </c>
      <c r="AC335">
        <v>2.1000000000000001</v>
      </c>
      <c r="AD335">
        <v>2.1000000000000001</v>
      </c>
      <c r="AE335">
        <v>2.1000000000000001</v>
      </c>
      <c r="AF335">
        <v>2.1000000000000001</v>
      </c>
      <c r="AG335">
        <v>2.1000000000000001</v>
      </c>
      <c r="AH335">
        <v>2.1000000000000001</v>
      </c>
      <c r="AI335">
        <v>2.1000000000000001</v>
      </c>
      <c r="AJ335">
        <v>2.1000000000000001</v>
      </c>
      <c r="AK335">
        <v>2.1000000000000001</v>
      </c>
      <c r="AL335">
        <v>2.1000000000000001</v>
      </c>
      <c r="AM335">
        <v>2.1000000000000001</v>
      </c>
      <c r="AN335">
        <v>2.1000000000000001</v>
      </c>
      <c r="AO335">
        <v>2.1000000000000001</v>
      </c>
      <c r="AP335">
        <v>2.1000000000000001</v>
      </c>
      <c r="AQ335">
        <v>2.1000000000000001</v>
      </c>
      <c r="AR335">
        <v>2.1000000000000001</v>
      </c>
      <c r="AS335">
        <v>2.1000000000000001</v>
      </c>
      <c r="AT335">
        <v>2.1000000000000001</v>
      </c>
      <c r="AU335">
        <v>2.1000000000000001</v>
      </c>
      <c r="AV335">
        <v>2.1000000000000001</v>
      </c>
      <c r="AW335" t="s">
        <v>296</v>
      </c>
    </row>
    <row r="336" spans="1:49" ht="12.75">
      <c r="A336" t="s">
        <v>295</v>
      </c>
      <c r="B336" t="s">
        <v>289</v>
      </c>
      <c r="C336" t="s">
        <v>164</v>
      </c>
      <c r="D336" t="s">
        <v>37</v>
      </c>
      <c r="E336" t="s">
        <v>296</v>
      </c>
      <c r="F336" t="s">
        <v>83</v>
      </c>
      <c r="G336" t="s">
        <v>474</v>
      </c>
      <c r="H336" t="s">
        <v>296</v>
      </c>
      <c r="I336" t="s">
        <v>296</v>
      </c>
      <c r="J336" t="s">
        <v>296</v>
      </c>
      <c r="K336" t="s">
        <v>296</v>
      </c>
      <c r="L336">
        <v>8.0500000000000007</v>
      </c>
      <c r="M336">
        <v>7</v>
      </c>
      <c r="N336">
        <v>10.15</v>
      </c>
      <c r="O336">
        <v>7.4199999999999999</v>
      </c>
      <c r="P336">
        <v>8.4000000000000004</v>
      </c>
      <c r="Q336">
        <v>8.4000000000000004</v>
      </c>
      <c r="R336">
        <v>7</v>
      </c>
      <c r="S336">
        <v>9.4499999999999993</v>
      </c>
      <c r="T336">
        <v>7</v>
      </c>
      <c r="U336">
        <v>7</v>
      </c>
      <c r="V336">
        <v>10.395</v>
      </c>
      <c r="W336">
        <v>6.2999999999999998</v>
      </c>
      <c r="X336">
        <v>4.7249999999999996</v>
      </c>
      <c r="Y336">
        <v>11.69</v>
      </c>
      <c r="Z336">
        <v>7.2800000000000002</v>
      </c>
      <c r="AA336">
        <v>6.9649999999999999</v>
      </c>
      <c r="AB336">
        <v>7</v>
      </c>
      <c r="AC336">
        <v>7</v>
      </c>
      <c r="AD336">
        <v>7</v>
      </c>
      <c r="AE336">
        <v>6.8600000000000003</v>
      </c>
      <c r="AF336">
        <v>7</v>
      </c>
      <c r="AG336">
        <v>8.75</v>
      </c>
      <c r="AH336">
        <v>9.3800000000000008</v>
      </c>
      <c r="AI336">
        <v>5.4390000000000001</v>
      </c>
      <c r="AJ336">
        <v>7</v>
      </c>
      <c r="AK336">
        <v>8.75</v>
      </c>
      <c r="AL336">
        <v>7</v>
      </c>
      <c r="AM336">
        <v>5.9500000000000002</v>
      </c>
      <c r="AN336">
        <v>8.2249999999999996</v>
      </c>
      <c r="AO336">
        <v>7.7000000000000002</v>
      </c>
      <c r="AP336">
        <v>11.9</v>
      </c>
      <c r="AQ336">
        <v>7.7000000000000002</v>
      </c>
      <c r="AR336">
        <v>7</v>
      </c>
      <c r="AS336">
        <v>12.6</v>
      </c>
      <c r="AT336">
        <v>6.7199999999999998</v>
      </c>
      <c r="AU336">
        <v>8.4000000000000004</v>
      </c>
      <c r="AV336">
        <v>9.8699999999999992</v>
      </c>
      <c r="AW336" t="s">
        <v>296</v>
      </c>
    </row>
    <row r="337" spans="1:49" ht="12.75">
      <c r="A337" t="s">
        <v>295</v>
      </c>
      <c r="B337" t="s">
        <v>289</v>
      </c>
      <c r="C337" t="s">
        <v>164</v>
      </c>
      <c r="D337" t="s">
        <v>38</v>
      </c>
      <c r="E337" t="s">
        <v>296</v>
      </c>
      <c r="F337" t="s">
        <v>83</v>
      </c>
      <c r="G337" t="s">
        <v>474</v>
      </c>
      <c r="H337" t="s">
        <v>296</v>
      </c>
      <c r="I337" t="s">
        <v>296</v>
      </c>
      <c r="J337" t="s">
        <v>296</v>
      </c>
      <c r="K337" t="s">
        <v>296</v>
      </c>
      <c r="L337">
        <v>10.800000000000001</v>
      </c>
      <c r="M337">
        <v>10.800000000000001</v>
      </c>
      <c r="N337">
        <v>10.800000000000001</v>
      </c>
      <c r="O337">
        <v>10.151999999999999</v>
      </c>
      <c r="P337">
        <v>10.800000000000001</v>
      </c>
      <c r="Q337">
        <v>10.800000000000001</v>
      </c>
      <c r="R337">
        <v>10.800000000000001</v>
      </c>
      <c r="S337">
        <v>10.800000000000001</v>
      </c>
      <c r="T337">
        <v>10.800000000000001</v>
      </c>
      <c r="U337">
        <v>10.800000000000001</v>
      </c>
      <c r="V337">
        <v>9.6660000000000004</v>
      </c>
      <c r="W337">
        <v>10.800000000000001</v>
      </c>
      <c r="X337">
        <v>8.6400000000000006</v>
      </c>
      <c r="Y337">
        <v>10.800000000000001</v>
      </c>
      <c r="Z337">
        <v>10.800000000000001</v>
      </c>
      <c r="AA337">
        <v>10.800000000000001</v>
      </c>
      <c r="AB337">
        <v>10.800000000000001</v>
      </c>
      <c r="AC337">
        <v>10.800000000000001</v>
      </c>
      <c r="AD337">
        <v>10.800000000000001</v>
      </c>
      <c r="AE337">
        <v>10.800000000000001</v>
      </c>
      <c r="AF337">
        <v>10.800000000000001</v>
      </c>
      <c r="AG337">
        <v>10.800000000000001</v>
      </c>
      <c r="AH337">
        <v>10.800000000000001</v>
      </c>
      <c r="AI337">
        <v>10.800000000000001</v>
      </c>
      <c r="AJ337">
        <v>10.800000000000001</v>
      </c>
      <c r="AK337">
        <v>10.800000000000001</v>
      </c>
      <c r="AL337">
        <v>10.800000000000001</v>
      </c>
      <c r="AM337">
        <v>10.800000000000001</v>
      </c>
      <c r="AN337">
        <v>10.800000000000001</v>
      </c>
      <c r="AO337">
        <v>10.800000000000001</v>
      </c>
      <c r="AP337">
        <v>10.800000000000001</v>
      </c>
      <c r="AQ337">
        <v>10.800000000000001</v>
      </c>
      <c r="AR337">
        <v>10.800000000000001</v>
      </c>
      <c r="AS337">
        <v>10.800000000000001</v>
      </c>
      <c r="AT337">
        <v>10.800000000000001</v>
      </c>
      <c r="AU337">
        <v>10.800000000000001</v>
      </c>
      <c r="AV337">
        <v>10.800000000000001</v>
      </c>
      <c r="AW337" t="s">
        <v>296</v>
      </c>
    </row>
    <row r="338" spans="1:49" ht="12.75">
      <c r="A338" t="s">
        <v>295</v>
      </c>
      <c r="B338" t="s">
        <v>289</v>
      </c>
      <c r="C338" t="s">
        <v>164</v>
      </c>
      <c r="D338" t="s">
        <v>59</v>
      </c>
      <c r="E338" t="s">
        <v>296</v>
      </c>
      <c r="F338" t="s">
        <v>83</v>
      </c>
      <c r="G338" t="s">
        <v>474</v>
      </c>
      <c r="H338" t="s">
        <v>296</v>
      </c>
      <c r="I338" t="s">
        <v>296</v>
      </c>
      <c r="J338" t="s">
        <v>296</v>
      </c>
      <c r="K338" t="s">
        <v>296</v>
      </c>
      <c r="L338">
        <v>2.5299999999999998</v>
      </c>
      <c r="M338">
        <v>2.5299999999999998</v>
      </c>
      <c r="N338">
        <v>2.5299999999999998</v>
      </c>
      <c r="O338">
        <v>2.5299999999999998</v>
      </c>
      <c r="P338">
        <v>1.2649999999999999</v>
      </c>
      <c r="Q338">
        <v>3.7949999999999999</v>
      </c>
      <c r="R338">
        <v>2.5299999999999998</v>
      </c>
      <c r="S338">
        <v>1.6951000000000001</v>
      </c>
      <c r="T338">
        <v>2.5299999999999998</v>
      </c>
      <c r="U338">
        <v>2.5299999999999998</v>
      </c>
      <c r="V338">
        <v>2.5299999999999998</v>
      </c>
      <c r="W338">
        <v>2.5299999999999998</v>
      </c>
      <c r="X338">
        <v>2.5299999999999998</v>
      </c>
      <c r="Y338">
        <v>2.5299999999999998</v>
      </c>
      <c r="Z338">
        <v>2.5299999999999998</v>
      </c>
      <c r="AA338">
        <v>2.5299999999999998</v>
      </c>
      <c r="AB338">
        <v>2.5299999999999998</v>
      </c>
      <c r="AC338">
        <v>2.5299999999999998</v>
      </c>
      <c r="AD338">
        <v>2.5299999999999998</v>
      </c>
      <c r="AE338">
        <v>2.5299999999999998</v>
      </c>
      <c r="AF338">
        <v>2.5299999999999998</v>
      </c>
      <c r="AG338">
        <v>2.5299999999999998</v>
      </c>
      <c r="AH338">
        <v>2.5299999999999998</v>
      </c>
      <c r="AI338">
        <v>2.5299999999999998</v>
      </c>
      <c r="AJ338">
        <v>2.5299999999999998</v>
      </c>
      <c r="AK338">
        <v>2.5299999999999998</v>
      </c>
      <c r="AL338">
        <v>2.5299999999999998</v>
      </c>
      <c r="AM338">
        <v>2.5299999999999998</v>
      </c>
      <c r="AN338">
        <v>2.5299999999999998</v>
      </c>
      <c r="AO338">
        <v>0</v>
      </c>
      <c r="AP338">
        <v>2.5299999999999998</v>
      </c>
      <c r="AQ338">
        <v>2.5299999999999998</v>
      </c>
      <c r="AR338">
        <v>2.5299999999999998</v>
      </c>
      <c r="AS338">
        <v>2.5299999999999998</v>
      </c>
      <c r="AT338">
        <v>2.5299999999999998</v>
      </c>
      <c r="AU338">
        <v>2.5299999999999998</v>
      </c>
      <c r="AV338">
        <v>2.5299999999999998</v>
      </c>
      <c r="AW338" t="s">
        <v>296</v>
      </c>
    </row>
    <row r="339" spans="1:49" ht="12.75">
      <c r="A339" t="s">
        <v>295</v>
      </c>
      <c r="B339" t="s">
        <v>289</v>
      </c>
      <c r="C339" t="s">
        <v>164</v>
      </c>
      <c r="D339" t="s">
        <v>101</v>
      </c>
      <c r="E339" t="s">
        <v>296</v>
      </c>
      <c r="F339" t="s">
        <v>83</v>
      </c>
      <c r="G339" t="s">
        <v>474</v>
      </c>
      <c r="H339" t="s">
        <v>296</v>
      </c>
      <c r="I339" t="s">
        <v>296</v>
      </c>
      <c r="J339" t="s">
        <v>296</v>
      </c>
      <c r="K339" t="s">
        <v>296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 t="s">
        <v>296</v>
      </c>
    </row>
    <row r="340" spans="1:49" ht="12.75">
      <c r="A340" t="s">
        <v>295</v>
      </c>
      <c r="B340" t="s">
        <v>289</v>
      </c>
      <c r="C340" t="s">
        <v>164</v>
      </c>
      <c r="D340" t="s">
        <v>162</v>
      </c>
      <c r="E340" t="s">
        <v>296</v>
      </c>
      <c r="F340" t="s">
        <v>83</v>
      </c>
      <c r="G340" t="s">
        <v>474</v>
      </c>
      <c r="H340" t="s">
        <v>296</v>
      </c>
      <c r="I340" t="s">
        <v>296</v>
      </c>
      <c r="J340" t="s">
        <v>296</v>
      </c>
      <c r="K340" t="s">
        <v>296</v>
      </c>
      <c r="L340">
        <v>1.1000000000000001</v>
      </c>
      <c r="M340">
        <v>1.1000000000000001</v>
      </c>
      <c r="N340">
        <v>1.1000000000000001</v>
      </c>
      <c r="O340">
        <v>1.1000000000000001</v>
      </c>
      <c r="P340">
        <v>1.1000000000000001</v>
      </c>
      <c r="Q340">
        <v>1.1000000000000001</v>
      </c>
      <c r="R340">
        <v>1.1000000000000001</v>
      </c>
      <c r="S340">
        <v>1.1000000000000001</v>
      </c>
      <c r="T340">
        <v>1.1000000000000001</v>
      </c>
      <c r="U340">
        <v>1.1000000000000001</v>
      </c>
      <c r="V340">
        <v>1.1000000000000001</v>
      </c>
      <c r="W340">
        <v>1.1000000000000001</v>
      </c>
      <c r="X340">
        <v>1.1000000000000001</v>
      </c>
      <c r="Y340">
        <v>1.1000000000000001</v>
      </c>
      <c r="Z340">
        <v>1.1000000000000001</v>
      </c>
      <c r="AA340">
        <v>1.1000000000000001</v>
      </c>
      <c r="AB340">
        <v>1.1000000000000001</v>
      </c>
      <c r="AC340">
        <v>1.1000000000000001</v>
      </c>
      <c r="AD340">
        <v>1.1000000000000001</v>
      </c>
      <c r="AE340">
        <v>1.1000000000000001</v>
      </c>
      <c r="AF340">
        <v>1.1000000000000001</v>
      </c>
      <c r="AG340">
        <v>1.1000000000000001</v>
      </c>
      <c r="AH340">
        <v>1.1000000000000001</v>
      </c>
      <c r="AI340">
        <v>1.1000000000000001</v>
      </c>
      <c r="AJ340">
        <v>1.1000000000000001</v>
      </c>
      <c r="AK340">
        <v>1.1000000000000001</v>
      </c>
      <c r="AL340">
        <v>1.1000000000000001</v>
      </c>
      <c r="AM340">
        <v>1.1000000000000001</v>
      </c>
      <c r="AN340">
        <v>1.1000000000000001</v>
      </c>
      <c r="AO340">
        <v>1.1000000000000001</v>
      </c>
      <c r="AP340">
        <v>1.1000000000000001</v>
      </c>
      <c r="AQ340">
        <v>1.1000000000000001</v>
      </c>
      <c r="AR340">
        <v>1.1000000000000001</v>
      </c>
      <c r="AS340">
        <v>1.1000000000000001</v>
      </c>
      <c r="AT340">
        <v>1.1000000000000001</v>
      </c>
      <c r="AU340">
        <v>1.1000000000000001</v>
      </c>
      <c r="AV340">
        <v>1.1000000000000001</v>
      </c>
      <c r="AW340" t="s">
        <v>296</v>
      </c>
    </row>
    <row r="341" spans="1:49" ht="12.75">
      <c r="A341" t="s">
        <v>295</v>
      </c>
      <c r="B341" t="s">
        <v>289</v>
      </c>
      <c r="C341" t="s">
        <v>165</v>
      </c>
      <c r="D341" t="s">
        <v>37</v>
      </c>
      <c r="E341" t="s">
        <v>296</v>
      </c>
      <c r="F341" t="s">
        <v>83</v>
      </c>
      <c r="G341" t="s">
        <v>474</v>
      </c>
      <c r="H341" t="s">
        <v>296</v>
      </c>
      <c r="I341" t="s">
        <v>296</v>
      </c>
      <c r="J341" t="s">
        <v>296</v>
      </c>
      <c r="K341" t="s">
        <v>296</v>
      </c>
      <c r="L341">
        <v>1.9550000000000001</v>
      </c>
      <c r="M341">
        <v>1.7</v>
      </c>
      <c r="N341">
        <v>2.4649999999999999</v>
      </c>
      <c r="O341">
        <v>1.802</v>
      </c>
      <c r="P341">
        <v>2.04</v>
      </c>
      <c r="Q341">
        <v>2.04</v>
      </c>
      <c r="R341">
        <v>2.05714285714286</v>
      </c>
      <c r="S341">
        <v>2.2949999999999999</v>
      </c>
      <c r="T341">
        <v>1.7</v>
      </c>
      <c r="U341">
        <v>1.7</v>
      </c>
      <c r="V341">
        <v>2.5245000000000002</v>
      </c>
      <c r="W341">
        <v>1.53</v>
      </c>
      <c r="X341">
        <v>1.1475</v>
      </c>
      <c r="Y341">
        <v>2.839</v>
      </c>
      <c r="Z341">
        <v>1.768</v>
      </c>
      <c r="AA341">
        <v>1.6915</v>
      </c>
      <c r="AB341">
        <v>1.7</v>
      </c>
      <c r="AC341">
        <v>3.2469999999999999</v>
      </c>
      <c r="AD341">
        <v>1.7</v>
      </c>
      <c r="AE341">
        <v>1.6659999999999999</v>
      </c>
      <c r="AF341">
        <v>1.7</v>
      </c>
      <c r="AG341">
        <v>2.125</v>
      </c>
      <c r="AH341">
        <v>2.278</v>
      </c>
      <c r="AI341">
        <v>1.3209</v>
      </c>
      <c r="AJ341">
        <v>1.7</v>
      </c>
      <c r="AK341">
        <v>2.125</v>
      </c>
      <c r="AL341">
        <v>1.7</v>
      </c>
      <c r="AM341">
        <v>1.4450000000000001</v>
      </c>
      <c r="AN341">
        <v>1.9975000000000001</v>
      </c>
      <c r="AO341">
        <v>1.8700000000000001</v>
      </c>
      <c r="AP341">
        <v>2.8900000000000001</v>
      </c>
      <c r="AQ341">
        <v>1.8700000000000001</v>
      </c>
      <c r="AR341">
        <v>1.7</v>
      </c>
      <c r="AS341">
        <v>3.0600000000000001</v>
      </c>
      <c r="AT341">
        <v>1.6319999999999999</v>
      </c>
      <c r="AU341">
        <v>2.04</v>
      </c>
      <c r="AV341">
        <v>2.3969999999999998</v>
      </c>
      <c r="AW341" t="s">
        <v>296</v>
      </c>
    </row>
    <row r="342" spans="1:49" ht="12.75">
      <c r="A342" t="s">
        <v>295</v>
      </c>
      <c r="B342" t="s">
        <v>289</v>
      </c>
      <c r="C342" t="s">
        <v>165</v>
      </c>
      <c r="D342" t="s">
        <v>59</v>
      </c>
      <c r="E342" t="s">
        <v>296</v>
      </c>
      <c r="F342" t="s">
        <v>83</v>
      </c>
      <c r="G342" t="s">
        <v>474</v>
      </c>
      <c r="H342" t="s">
        <v>296</v>
      </c>
      <c r="I342" t="s">
        <v>296</v>
      </c>
      <c r="J342" t="s">
        <v>296</v>
      </c>
      <c r="K342" t="s">
        <v>296</v>
      </c>
      <c r="L342">
        <v>1.2749999999999999</v>
      </c>
      <c r="M342">
        <v>1.1839999999999999</v>
      </c>
      <c r="N342">
        <v>1.45</v>
      </c>
      <c r="O342">
        <v>1.1000000000000001</v>
      </c>
      <c r="P342">
        <v>1.3600000000000001</v>
      </c>
      <c r="Q342">
        <v>0.81399999999999995</v>
      </c>
      <c r="R342">
        <v>0</v>
      </c>
      <c r="S342">
        <v>1.54</v>
      </c>
      <c r="T342">
        <v>0.91400000000000003</v>
      </c>
      <c r="U342">
        <v>1</v>
      </c>
      <c r="V342">
        <v>1.0900000000000001</v>
      </c>
      <c r="W342">
        <v>0.83199999999999996</v>
      </c>
      <c r="X342">
        <v>0.92500000000000004</v>
      </c>
      <c r="Y342">
        <v>1.3999999999999999</v>
      </c>
      <c r="Z342">
        <v>1</v>
      </c>
      <c r="AA342">
        <v>0.995</v>
      </c>
      <c r="AB342">
        <v>0.85999999999999999</v>
      </c>
      <c r="AC342">
        <v>0.255</v>
      </c>
      <c r="AD342">
        <v>1</v>
      </c>
      <c r="AE342">
        <v>0.94999999999999996</v>
      </c>
      <c r="AF342">
        <v>1</v>
      </c>
      <c r="AG342">
        <v>0.90000000000000002</v>
      </c>
      <c r="AH342">
        <v>0.86499999999999999</v>
      </c>
      <c r="AI342">
        <v>0.77700000000000002</v>
      </c>
      <c r="AJ342">
        <v>1</v>
      </c>
      <c r="AK342">
        <v>0.61499999999999999</v>
      </c>
      <c r="AL342">
        <v>1</v>
      </c>
      <c r="AM342">
        <v>0.96499999999999997</v>
      </c>
      <c r="AN342">
        <v>0.81699999999999995</v>
      </c>
      <c r="AO342">
        <v>1.1000000000000001</v>
      </c>
      <c r="AP342">
        <v>1.8500000000000001</v>
      </c>
      <c r="AQ342">
        <v>1.05</v>
      </c>
      <c r="AR342">
        <v>1</v>
      </c>
      <c r="AS342">
        <v>1.4750000000000001</v>
      </c>
      <c r="AT342">
        <v>0.97499999999999998</v>
      </c>
      <c r="AU342">
        <v>1.45</v>
      </c>
      <c r="AV342">
        <v>0.91000000000000003</v>
      </c>
      <c r="AW342" t="s">
        <v>296</v>
      </c>
    </row>
    <row r="343" spans="1:49" ht="12.75">
      <c r="A343" t="s">
        <v>295</v>
      </c>
      <c r="B343" t="s">
        <v>289</v>
      </c>
      <c r="C343" t="s">
        <v>165</v>
      </c>
      <c r="D343" t="s">
        <v>101</v>
      </c>
      <c r="E343" t="s">
        <v>296</v>
      </c>
      <c r="F343" t="s">
        <v>83</v>
      </c>
      <c r="G343" t="s">
        <v>474</v>
      </c>
      <c r="H343" t="s">
        <v>296</v>
      </c>
      <c r="I343" t="s">
        <v>296</v>
      </c>
      <c r="J343" t="s">
        <v>296</v>
      </c>
      <c r="K343" t="s">
        <v>296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 t="s">
        <v>296</v>
      </c>
    </row>
    <row r="344" spans="1:49" ht="12.75">
      <c r="A344" t="s">
        <v>295</v>
      </c>
      <c r="B344" t="s">
        <v>289</v>
      </c>
      <c r="C344" t="s">
        <v>165</v>
      </c>
      <c r="D344" t="s">
        <v>158</v>
      </c>
      <c r="E344" t="s">
        <v>296</v>
      </c>
      <c r="F344" t="s">
        <v>83</v>
      </c>
      <c r="G344" t="s">
        <v>474</v>
      </c>
      <c r="H344" t="s">
        <v>296</v>
      </c>
      <c r="I344" t="s">
        <v>296</v>
      </c>
      <c r="J344" t="s">
        <v>296</v>
      </c>
      <c r="K344" t="s">
        <v>296</v>
      </c>
      <c r="L344">
        <v>1.1499999999999999</v>
      </c>
      <c r="M344">
        <v>1.1499999999999999</v>
      </c>
      <c r="N344">
        <v>1.1499999999999999</v>
      </c>
      <c r="O344">
        <v>1.1499999999999999</v>
      </c>
      <c r="P344">
        <v>1.1499999999999999</v>
      </c>
      <c r="Q344">
        <v>1.1499999999999999</v>
      </c>
      <c r="R344">
        <v>1.1499999999999999</v>
      </c>
      <c r="S344">
        <v>1.1499999999999999</v>
      </c>
      <c r="T344">
        <v>1.1499999999999999</v>
      </c>
      <c r="U344">
        <v>1.1499999999999999</v>
      </c>
      <c r="V344">
        <v>1.1499999999999999</v>
      </c>
      <c r="W344">
        <v>1.1499999999999999</v>
      </c>
      <c r="X344">
        <v>1.1499999999999999</v>
      </c>
      <c r="Y344">
        <v>1.1499999999999999</v>
      </c>
      <c r="Z344">
        <v>1.1499999999999999</v>
      </c>
      <c r="AA344">
        <v>1.1499999999999999</v>
      </c>
      <c r="AB344">
        <v>1.1499999999999999</v>
      </c>
      <c r="AC344">
        <v>1.1499999999999999</v>
      </c>
      <c r="AD344">
        <v>1.1499999999999999</v>
      </c>
      <c r="AE344">
        <v>1.1499999999999999</v>
      </c>
      <c r="AF344">
        <v>1.1499999999999999</v>
      </c>
      <c r="AG344">
        <v>1.1499999999999999</v>
      </c>
      <c r="AH344">
        <v>1.1499999999999999</v>
      </c>
      <c r="AI344">
        <v>1.1499999999999999</v>
      </c>
      <c r="AJ344">
        <v>1.1499999999999999</v>
      </c>
      <c r="AK344">
        <v>1.1499999999999999</v>
      </c>
      <c r="AL344">
        <v>1.1499999999999999</v>
      </c>
      <c r="AM344">
        <v>1.1499999999999999</v>
      </c>
      <c r="AN344">
        <v>1.1499999999999999</v>
      </c>
      <c r="AO344">
        <v>1.1499999999999999</v>
      </c>
      <c r="AP344">
        <v>1.1499999999999999</v>
      </c>
      <c r="AQ344">
        <v>1.1499999999999999</v>
      </c>
      <c r="AR344">
        <v>1.1499999999999999</v>
      </c>
      <c r="AS344">
        <v>1.1499999999999999</v>
      </c>
      <c r="AT344">
        <v>1.1499999999999999</v>
      </c>
      <c r="AU344">
        <v>1.1499999999999999</v>
      </c>
      <c r="AV344">
        <v>1.1499999999999999</v>
      </c>
      <c r="AW344" t="s">
        <v>296</v>
      </c>
    </row>
    <row r="345" spans="1:49" ht="12.75">
      <c r="A345" t="s">
        <v>295</v>
      </c>
      <c r="B345" t="s">
        <v>289</v>
      </c>
      <c r="C345" t="s">
        <v>405</v>
      </c>
      <c r="D345" t="s">
        <v>37</v>
      </c>
      <c r="E345" t="s">
        <v>296</v>
      </c>
      <c r="F345" t="s">
        <v>83</v>
      </c>
      <c r="G345" t="s">
        <v>474</v>
      </c>
      <c r="H345" t="s">
        <v>296</v>
      </c>
      <c r="I345" t="s">
        <v>296</v>
      </c>
      <c r="J345" t="s">
        <v>296</v>
      </c>
      <c r="K345" t="s">
        <v>296</v>
      </c>
      <c r="L345">
        <v>0.025176750000000001</v>
      </c>
      <c r="M345">
        <v>0.0071364200000000001</v>
      </c>
      <c r="N345">
        <v>0.0062547593103448301</v>
      </c>
      <c r="O345">
        <v>0.0042930299999999998</v>
      </c>
      <c r="P345">
        <v>0.0053899000000000004</v>
      </c>
      <c r="Q345">
        <v>0.0062547593103448301</v>
      </c>
      <c r="R345">
        <v>0.0014785200000000001</v>
      </c>
      <c r="S345">
        <v>0.0043855099999999996</v>
      </c>
      <c r="T345">
        <v>0.0051412300000000001</v>
      </c>
      <c r="U345">
        <v>0.0033268899999999999</v>
      </c>
      <c r="V345">
        <v>0.0062547593103448301</v>
      </c>
      <c r="W345">
        <v>0.00357443</v>
      </c>
      <c r="X345">
        <v>0.0042509499999999999</v>
      </c>
      <c r="Y345">
        <v>0.0058954000000000003</v>
      </c>
      <c r="Z345">
        <v>0.0040030300000000003</v>
      </c>
      <c r="AA345">
        <v>0.0048086700000000001</v>
      </c>
      <c r="AB345">
        <v>0.0054405199999999999</v>
      </c>
      <c r="AC345">
        <v>0.0019226</v>
      </c>
      <c r="AD345">
        <v>0.0062547593103448301</v>
      </c>
      <c r="AE345">
        <v>0.0045125499999999997</v>
      </c>
      <c r="AF345">
        <v>0.0062547593103448301</v>
      </c>
      <c r="AG345">
        <v>0.00666382</v>
      </c>
      <c r="AH345">
        <v>0.0062547593103448301</v>
      </c>
      <c r="AI345">
        <v>0.0062547593103448301</v>
      </c>
      <c r="AJ345">
        <v>0.0062547593103448301</v>
      </c>
      <c r="AK345">
        <v>0.039379860000000003</v>
      </c>
      <c r="AL345">
        <v>0.0062547593103448301</v>
      </c>
      <c r="AM345">
        <v>0.00337448</v>
      </c>
      <c r="AN345">
        <v>0.0029623700000000002</v>
      </c>
      <c r="AO345">
        <v>0.0027666399999999999</v>
      </c>
      <c r="AP345">
        <v>0.00346262</v>
      </c>
      <c r="AQ345">
        <v>0.0082562</v>
      </c>
      <c r="AR345">
        <v>0.0041415599999999999</v>
      </c>
      <c r="AS345">
        <v>0.00330942</v>
      </c>
      <c r="AT345">
        <v>0.0052296599999999997</v>
      </c>
      <c r="AU345">
        <v>0.0062432299999999998</v>
      </c>
      <c r="AV345">
        <v>0.0048617599999999997</v>
      </c>
      <c r="AW345" t="s">
        <v>296</v>
      </c>
    </row>
  </sheetData>
  <pageMargins left="0.7" right="0.7" top="0.75" bottom="0.75" header="0.3" footer="0.3"/>
  <pageSetup orientation="portrait" paperSize="1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W440"/>
  <sheetViews>
    <sheetView workbookViewId="0" topLeftCell="A1">
      <selection pane="topLeft" activeCell="A448" sqref="A448"/>
    </sheetView>
  </sheetViews>
  <sheetFormatPr defaultRowHeight="12.75"/>
  <cols>
    <col min="3" max="3" width="16.4285714285714" customWidth="1"/>
  </cols>
  <sheetData>
    <row r="1" spans="1:49" ht="12.75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  <c r="K1" t="s">
        <v>455</v>
      </c>
      <c r="L1" t="s">
        <v>169</v>
      </c>
      <c r="M1" t="s">
        <v>8</v>
      </c>
      <c r="N1" t="s">
        <v>252</v>
      </c>
      <c r="O1" t="s">
        <v>9</v>
      </c>
      <c r="P1" t="s">
        <v>61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294</v>
      </c>
      <c r="X1" t="s">
        <v>16</v>
      </c>
      <c r="Y1" t="s">
        <v>17</v>
      </c>
      <c r="Z1" t="s">
        <v>18</v>
      </c>
      <c r="AA1" t="s">
        <v>62</v>
      </c>
      <c r="AB1" t="s">
        <v>20</v>
      </c>
      <c r="AC1" t="s">
        <v>21</v>
      </c>
      <c r="AD1" t="s">
        <v>22</v>
      </c>
      <c r="AE1" t="s">
        <v>36</v>
      </c>
      <c r="AF1" t="s">
        <v>253</v>
      </c>
      <c r="AG1" t="s">
        <v>23</v>
      </c>
      <c r="AH1" t="s">
        <v>24</v>
      </c>
      <c r="AI1" t="s">
        <v>25</v>
      </c>
      <c r="AJ1" t="s">
        <v>170</v>
      </c>
      <c r="AK1" t="s">
        <v>63</v>
      </c>
      <c r="AL1" t="s">
        <v>26</v>
      </c>
      <c r="AM1" t="s">
        <v>27</v>
      </c>
      <c r="AN1" t="s">
        <v>28</v>
      </c>
      <c r="AO1" t="s">
        <v>29</v>
      </c>
      <c r="AP1" t="s">
        <v>30</v>
      </c>
      <c r="AQ1" t="s">
        <v>31</v>
      </c>
      <c r="AR1" t="s">
        <v>171</v>
      </c>
      <c r="AS1" t="s">
        <v>32</v>
      </c>
      <c r="AT1" t="s">
        <v>33</v>
      </c>
      <c r="AU1" t="s">
        <v>34</v>
      </c>
      <c r="AV1" t="s">
        <v>35</v>
      </c>
      <c r="AW1" t="s">
        <v>473</v>
      </c>
    </row>
    <row r="2" spans="1:49" ht="12.75">
      <c r="A2" t="s">
        <v>295</v>
      </c>
      <c r="B2" t="s">
        <v>291</v>
      </c>
      <c r="C2" t="s">
        <v>105</v>
      </c>
      <c r="D2" t="s">
        <v>424</v>
      </c>
      <c r="E2" t="s">
        <v>296</v>
      </c>
      <c r="F2" t="s">
        <v>83</v>
      </c>
      <c r="G2" t="s">
        <v>474</v>
      </c>
      <c r="H2" t="s">
        <v>296</v>
      </c>
      <c r="I2" t="s">
        <v>296</v>
      </c>
      <c r="J2" t="s">
        <v>296</v>
      </c>
      <c r="K2" t="s">
        <v>296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 t="s">
        <v>296</v>
      </c>
    </row>
    <row r="3" spans="1:49" ht="12.75">
      <c r="A3" t="s">
        <v>295</v>
      </c>
      <c r="B3" t="s">
        <v>291</v>
      </c>
      <c r="C3" t="s">
        <v>105</v>
      </c>
      <c r="D3" t="s">
        <v>56</v>
      </c>
      <c r="E3" t="s">
        <v>296</v>
      </c>
      <c r="F3" t="s">
        <v>83</v>
      </c>
      <c r="G3" t="s">
        <v>474</v>
      </c>
      <c r="H3" t="s">
        <v>296</v>
      </c>
      <c r="I3" t="s">
        <v>296</v>
      </c>
      <c r="J3" t="s">
        <v>296</v>
      </c>
      <c r="K3" t="s">
        <v>296</v>
      </c>
      <c r="Y3">
        <v>5</v>
      </c>
      <c r="AW3" t="s">
        <v>296</v>
      </c>
    </row>
    <row r="4" spans="1:49" ht="12.75">
      <c r="A4" t="s">
        <v>295</v>
      </c>
      <c r="B4" t="s">
        <v>291</v>
      </c>
      <c r="C4" t="s">
        <v>105</v>
      </c>
      <c r="D4" t="s">
        <v>37</v>
      </c>
      <c r="E4" t="s">
        <v>296</v>
      </c>
      <c r="F4" t="s">
        <v>83</v>
      </c>
      <c r="G4" t="s">
        <v>474</v>
      </c>
      <c r="H4" t="s">
        <v>296</v>
      </c>
      <c r="I4" t="s">
        <v>296</v>
      </c>
      <c r="J4" t="s">
        <v>296</v>
      </c>
      <c r="K4" t="s">
        <v>296</v>
      </c>
      <c r="L4">
        <v>10</v>
      </c>
      <c r="M4">
        <v>1.14963933241062</v>
      </c>
      <c r="N4">
        <v>10</v>
      </c>
      <c r="O4">
        <v>10</v>
      </c>
      <c r="P4">
        <v>10</v>
      </c>
      <c r="Q4">
        <v>8.5623391942133402</v>
      </c>
      <c r="R4">
        <v>10</v>
      </c>
      <c r="S4">
        <v>10</v>
      </c>
      <c r="T4">
        <v>1.3680000000000001</v>
      </c>
      <c r="U4">
        <v>10</v>
      </c>
      <c r="V4">
        <v>10</v>
      </c>
      <c r="W4">
        <v>15</v>
      </c>
      <c r="X4">
        <v>10</v>
      </c>
      <c r="Y4">
        <v>10</v>
      </c>
      <c r="Z4">
        <v>0.021171843237011701</v>
      </c>
      <c r="AA4">
        <v>2.1800000000000002</v>
      </c>
      <c r="AB4">
        <v>10</v>
      </c>
      <c r="AC4">
        <v>10</v>
      </c>
      <c r="AD4">
        <v>10</v>
      </c>
      <c r="AE4">
        <v>4</v>
      </c>
      <c r="AF4">
        <v>10</v>
      </c>
      <c r="AG4">
        <v>10</v>
      </c>
      <c r="AH4">
        <v>10</v>
      </c>
      <c r="AI4">
        <v>10</v>
      </c>
      <c r="AJ4">
        <v>10</v>
      </c>
      <c r="AK4">
        <v>10</v>
      </c>
      <c r="AL4">
        <v>10</v>
      </c>
      <c r="AM4">
        <v>10</v>
      </c>
      <c r="AN4">
        <v>10</v>
      </c>
      <c r="AO4">
        <v>10</v>
      </c>
      <c r="AP4">
        <v>10</v>
      </c>
      <c r="AQ4">
        <v>10</v>
      </c>
      <c r="AR4">
        <v>10</v>
      </c>
      <c r="AS4">
        <v>14.9834969925596</v>
      </c>
      <c r="AT4">
        <v>10</v>
      </c>
      <c r="AU4">
        <v>10</v>
      </c>
      <c r="AV4">
        <v>10</v>
      </c>
      <c r="AW4" t="s">
        <v>296</v>
      </c>
    </row>
    <row r="5" spans="1:49" ht="12.75">
      <c r="A5" t="s">
        <v>295</v>
      </c>
      <c r="B5" t="s">
        <v>291</v>
      </c>
      <c r="C5" t="s">
        <v>105</v>
      </c>
      <c r="D5" t="s">
        <v>38</v>
      </c>
      <c r="E5" t="s">
        <v>296</v>
      </c>
      <c r="F5" t="s">
        <v>83</v>
      </c>
      <c r="G5" t="s">
        <v>474</v>
      </c>
      <c r="H5" t="s">
        <v>296</v>
      </c>
      <c r="I5" t="s">
        <v>296</v>
      </c>
      <c r="J5" t="s">
        <v>296</v>
      </c>
      <c r="K5" t="s">
        <v>296</v>
      </c>
      <c r="L5">
        <v>4.9834969925596297</v>
      </c>
      <c r="M5">
        <v>4.2645620193199498</v>
      </c>
      <c r="N5">
        <v>0</v>
      </c>
      <c r="O5">
        <v>4.9834969925596297</v>
      </c>
      <c r="P5">
        <v>4.9834969925596297</v>
      </c>
      <c r="Q5">
        <v>5.4402263705140097</v>
      </c>
      <c r="R5">
        <v>4.9834969925596297</v>
      </c>
      <c r="S5">
        <v>8.1611957920487601</v>
      </c>
      <c r="T5">
        <v>6.0999999999999996</v>
      </c>
      <c r="U5">
        <v>4.9834969925596297</v>
      </c>
      <c r="V5">
        <v>4.9834969925596297</v>
      </c>
      <c r="W5">
        <v>10</v>
      </c>
      <c r="X5">
        <v>4.9834969925596297</v>
      </c>
      <c r="Y5">
        <v>0</v>
      </c>
      <c r="Z5">
        <v>0.101969732973252</v>
      </c>
      <c r="AA5">
        <v>0</v>
      </c>
      <c r="AB5">
        <v>4.9834969925596297</v>
      </c>
      <c r="AC5">
        <v>4.9834969925596297</v>
      </c>
      <c r="AD5">
        <v>0</v>
      </c>
      <c r="AE5">
        <v>4.4422104714547697</v>
      </c>
      <c r="AF5">
        <v>4.9834969925596297</v>
      </c>
      <c r="AG5">
        <v>4.9834969925596297</v>
      </c>
      <c r="AH5">
        <v>4.9834969925596297</v>
      </c>
      <c r="AI5">
        <v>4.9834969925596297</v>
      </c>
      <c r="AJ5">
        <v>0</v>
      </c>
      <c r="AK5">
        <v>4.9834969925596297</v>
      </c>
      <c r="AL5">
        <v>4.9834969925596297</v>
      </c>
      <c r="AM5">
        <v>4.9834969925596297</v>
      </c>
      <c r="AN5">
        <v>0</v>
      </c>
      <c r="AO5">
        <v>4.9834969925596297</v>
      </c>
      <c r="AP5">
        <v>4.9834969925596297</v>
      </c>
      <c r="AQ5">
        <v>4.9834969925596297</v>
      </c>
      <c r="AR5">
        <v>4.9834969925596297</v>
      </c>
      <c r="AS5">
        <v>0</v>
      </c>
      <c r="AT5">
        <v>4.9834969925596297</v>
      </c>
      <c r="AU5">
        <v>3</v>
      </c>
      <c r="AV5">
        <v>4.9834969925596297</v>
      </c>
      <c r="AW5" t="s">
        <v>296</v>
      </c>
    </row>
    <row r="6" spans="1:49" ht="12.75">
      <c r="A6" t="s">
        <v>295</v>
      </c>
      <c r="B6" t="s">
        <v>291</v>
      </c>
      <c r="C6" t="s">
        <v>105</v>
      </c>
      <c r="D6" t="s">
        <v>39</v>
      </c>
      <c r="E6" t="s">
        <v>296</v>
      </c>
      <c r="F6" t="s">
        <v>83</v>
      </c>
      <c r="G6" t="s">
        <v>474</v>
      </c>
      <c r="H6" t="s">
        <v>296</v>
      </c>
      <c r="I6" t="s">
        <v>296</v>
      </c>
      <c r="J6" t="s">
        <v>296</v>
      </c>
      <c r="K6" t="s">
        <v>296</v>
      </c>
      <c r="L6">
        <v>0.034000000000000002</v>
      </c>
      <c r="M6">
        <v>0</v>
      </c>
      <c r="N6">
        <v>0.034000000000000002</v>
      </c>
      <c r="O6">
        <v>0.034000000000000002</v>
      </c>
      <c r="P6">
        <v>0.034000000000000002</v>
      </c>
      <c r="Q6">
        <v>0.034000000000000002</v>
      </c>
      <c r="R6">
        <v>0.034000000000000002</v>
      </c>
      <c r="S6">
        <v>0.034000000000000002</v>
      </c>
      <c r="T6">
        <v>0.034000000000000002</v>
      </c>
      <c r="U6">
        <v>0.034000000000000002</v>
      </c>
      <c r="V6">
        <v>0.034000000000000002</v>
      </c>
      <c r="W6">
        <v>0.034000000000000002</v>
      </c>
      <c r="X6">
        <v>0.034000000000000002</v>
      </c>
      <c r="Y6">
        <v>0.034000000000000002</v>
      </c>
      <c r="Z6">
        <v>0.0342713796905188</v>
      </c>
      <c r="AA6">
        <v>0.034000000000000002</v>
      </c>
      <c r="AB6">
        <v>0.034000000000000002</v>
      </c>
      <c r="AC6">
        <v>0.034000000000000002</v>
      </c>
      <c r="AD6">
        <v>0.034000000000000002</v>
      </c>
      <c r="AE6">
        <v>0.034000000000000002</v>
      </c>
      <c r="AF6">
        <v>0.034000000000000002</v>
      </c>
      <c r="AG6">
        <v>0.034000000000000002</v>
      </c>
      <c r="AH6">
        <v>0.034000000000000002</v>
      </c>
      <c r="AI6">
        <v>0.034000000000000002</v>
      </c>
      <c r="AJ6">
        <v>0.034000000000000002</v>
      </c>
      <c r="AK6">
        <v>0.034000000000000002</v>
      </c>
      <c r="AL6">
        <v>0.034000000000000002</v>
      </c>
      <c r="AM6">
        <v>0</v>
      </c>
      <c r="AN6">
        <v>0.034000000000000002</v>
      </c>
      <c r="AO6">
        <v>0.034000000000000002</v>
      </c>
      <c r="AP6">
        <v>0.034000000000000002</v>
      </c>
      <c r="AQ6">
        <v>0.034000000000000002</v>
      </c>
      <c r="AR6">
        <v>0.034000000000000002</v>
      </c>
      <c r="AS6">
        <v>0.034000000000000002</v>
      </c>
      <c r="AT6">
        <v>0.034000000000000002</v>
      </c>
      <c r="AU6">
        <v>0</v>
      </c>
      <c r="AV6">
        <v>0.034000000000000002</v>
      </c>
      <c r="AW6" t="s">
        <v>296</v>
      </c>
    </row>
    <row r="7" spans="1:49" ht="12.75">
      <c r="A7" t="s">
        <v>295</v>
      </c>
      <c r="B7" t="s">
        <v>291</v>
      </c>
      <c r="C7" t="s">
        <v>105</v>
      </c>
      <c r="D7" t="s">
        <v>40</v>
      </c>
      <c r="E7" t="s">
        <v>296</v>
      </c>
      <c r="F7" t="s">
        <v>83</v>
      </c>
      <c r="G7" t="s">
        <v>474</v>
      </c>
      <c r="H7" t="s">
        <v>296</v>
      </c>
      <c r="I7" t="s">
        <v>296</v>
      </c>
      <c r="J7" t="s">
        <v>296</v>
      </c>
      <c r="K7" t="s">
        <v>296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 t="s">
        <v>296</v>
      </c>
    </row>
    <row r="8" spans="1:49" ht="12.75">
      <c r="A8" t="s">
        <v>295</v>
      </c>
      <c r="B8" t="s">
        <v>291</v>
      </c>
      <c r="C8" t="s">
        <v>106</v>
      </c>
      <c r="D8" t="s">
        <v>37</v>
      </c>
      <c r="E8" t="s">
        <v>296</v>
      </c>
      <c r="F8" t="s">
        <v>83</v>
      </c>
      <c r="G8" t="s">
        <v>474</v>
      </c>
      <c r="H8" t="s">
        <v>296</v>
      </c>
      <c r="I8" t="s">
        <v>296</v>
      </c>
      <c r="J8" t="s">
        <v>296</v>
      </c>
      <c r="K8" t="s">
        <v>296</v>
      </c>
      <c r="L8">
        <v>35.200000000000003</v>
      </c>
      <c r="M8">
        <v>35.200000000000003</v>
      </c>
      <c r="N8">
        <v>35.200000000000003</v>
      </c>
      <c r="O8">
        <v>35.200000000000003</v>
      </c>
      <c r="P8">
        <v>35.200000000000003</v>
      </c>
      <c r="Q8">
        <v>35.200000000000003</v>
      </c>
      <c r="R8">
        <v>35.200000000000003</v>
      </c>
      <c r="S8">
        <v>35.200000000000003</v>
      </c>
      <c r="T8">
        <v>35.200000000000003</v>
      </c>
      <c r="U8">
        <v>35.200000000000003</v>
      </c>
      <c r="V8">
        <v>35.200000000000003</v>
      </c>
      <c r="W8">
        <v>35.200000000000003</v>
      </c>
      <c r="X8">
        <v>35.200000000000003</v>
      </c>
      <c r="Y8">
        <v>35.200000000000003</v>
      </c>
      <c r="Z8">
        <v>35.200000000000003</v>
      </c>
      <c r="AA8">
        <v>35.200000000000003</v>
      </c>
      <c r="AB8">
        <v>35.200000000000003</v>
      </c>
      <c r="AC8">
        <v>35.200000000000003</v>
      </c>
      <c r="AD8">
        <v>35.200000000000003</v>
      </c>
      <c r="AE8">
        <v>35.200000000000003</v>
      </c>
      <c r="AF8">
        <v>35.200000000000003</v>
      </c>
      <c r="AG8">
        <v>35.200000000000003</v>
      </c>
      <c r="AH8">
        <v>35.200000000000003</v>
      </c>
      <c r="AI8">
        <v>35.200000000000003</v>
      </c>
      <c r="AJ8">
        <v>35.200000000000003</v>
      </c>
      <c r="AK8">
        <v>35.200000000000003</v>
      </c>
      <c r="AL8">
        <v>35.200000000000003</v>
      </c>
      <c r="AM8">
        <v>35.200000000000003</v>
      </c>
      <c r="AN8">
        <v>35.200000000000003</v>
      </c>
      <c r="AO8">
        <v>35.200000000000003</v>
      </c>
      <c r="AP8">
        <v>35.200000000000003</v>
      </c>
      <c r="AQ8">
        <v>35.200000000000003</v>
      </c>
      <c r="AR8">
        <v>35.200000000000003</v>
      </c>
      <c r="AS8">
        <v>35.536000000000001</v>
      </c>
      <c r="AT8">
        <v>35.200000000000003</v>
      </c>
      <c r="AU8">
        <v>35.200000000000003</v>
      </c>
      <c r="AV8">
        <v>35.200000000000003</v>
      </c>
      <c r="AW8" t="s">
        <v>296</v>
      </c>
    </row>
    <row r="9" spans="1:49" ht="12.75">
      <c r="A9" t="s">
        <v>295</v>
      </c>
      <c r="B9" t="s">
        <v>291</v>
      </c>
      <c r="C9" t="s">
        <v>106</v>
      </c>
      <c r="D9" t="s">
        <v>38</v>
      </c>
      <c r="E9" t="s">
        <v>296</v>
      </c>
      <c r="F9" t="s">
        <v>83</v>
      </c>
      <c r="G9" t="s">
        <v>474</v>
      </c>
      <c r="H9" t="s">
        <v>296</v>
      </c>
      <c r="I9" t="s">
        <v>296</v>
      </c>
      <c r="J9" t="s">
        <v>296</v>
      </c>
      <c r="K9" t="s">
        <v>296</v>
      </c>
      <c r="L9">
        <v>3.3599999999999999</v>
      </c>
      <c r="M9">
        <v>3.3599999999999999</v>
      </c>
      <c r="N9">
        <v>3.3599999999999999</v>
      </c>
      <c r="O9">
        <v>3.3599999999999999</v>
      </c>
      <c r="P9">
        <v>3.3599999999999999</v>
      </c>
      <c r="Q9">
        <v>3.3599999999999999</v>
      </c>
      <c r="R9">
        <v>3.3599999999999999</v>
      </c>
      <c r="S9">
        <v>3.3599999999999999</v>
      </c>
      <c r="T9">
        <v>3.3599999999999999</v>
      </c>
      <c r="U9">
        <v>3.3599999999999999</v>
      </c>
      <c r="V9">
        <v>3.3599999999999999</v>
      </c>
      <c r="W9">
        <v>3.3599999999999999</v>
      </c>
      <c r="X9">
        <v>3.3599999999999999</v>
      </c>
      <c r="Y9">
        <v>3.3599999999999999</v>
      </c>
      <c r="Z9">
        <v>3.3599999999999999</v>
      </c>
      <c r="AA9">
        <v>3.3599999999999999</v>
      </c>
      <c r="AB9">
        <v>3.3599999999999999</v>
      </c>
      <c r="AC9">
        <v>3.3599999999999999</v>
      </c>
      <c r="AD9">
        <v>3.3599999999999999</v>
      </c>
      <c r="AE9">
        <v>3.3599999999999999</v>
      </c>
      <c r="AF9">
        <v>3.3599999999999999</v>
      </c>
      <c r="AG9">
        <v>3.3599999999999999</v>
      </c>
      <c r="AH9">
        <v>3.3599999999999999</v>
      </c>
      <c r="AI9">
        <v>3.3599999999999999</v>
      </c>
      <c r="AJ9">
        <v>3.3599999999999999</v>
      </c>
      <c r="AK9">
        <v>3.3599999999999999</v>
      </c>
      <c r="AL9">
        <v>3.3599999999999999</v>
      </c>
      <c r="AM9">
        <v>3.3599999999999999</v>
      </c>
      <c r="AN9">
        <v>3.3599999999999999</v>
      </c>
      <c r="AO9">
        <v>3.3599999999999999</v>
      </c>
      <c r="AP9">
        <v>3.3599999999999999</v>
      </c>
      <c r="AQ9">
        <v>3.3599999999999999</v>
      </c>
      <c r="AR9">
        <v>3.3599999999999999</v>
      </c>
      <c r="AS9">
        <v>3.024</v>
      </c>
      <c r="AT9">
        <v>3.3599999999999999</v>
      </c>
      <c r="AU9">
        <v>3.3599999999999999</v>
      </c>
      <c r="AV9">
        <v>3.3599999999999999</v>
      </c>
      <c r="AW9" t="s">
        <v>296</v>
      </c>
    </row>
    <row r="10" spans="1:49" ht="12.75">
      <c r="A10" t="s">
        <v>295</v>
      </c>
      <c r="B10" t="s">
        <v>291</v>
      </c>
      <c r="C10" t="s">
        <v>106</v>
      </c>
      <c r="D10" t="s">
        <v>39</v>
      </c>
      <c r="E10" t="s">
        <v>296</v>
      </c>
      <c r="F10" t="s">
        <v>83</v>
      </c>
      <c r="G10" t="s">
        <v>474</v>
      </c>
      <c r="H10" t="s">
        <v>296</v>
      </c>
      <c r="I10" t="s">
        <v>296</v>
      </c>
      <c r="J10" t="s">
        <v>296</v>
      </c>
      <c r="K10" t="s">
        <v>296</v>
      </c>
      <c r="L10">
        <v>8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  <c r="V10">
        <v>8</v>
      </c>
      <c r="W10">
        <v>8</v>
      </c>
      <c r="X10">
        <v>8</v>
      </c>
      <c r="Y10">
        <v>8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8</v>
      </c>
      <c r="AM10">
        <v>8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8</v>
      </c>
      <c r="AV10">
        <v>8</v>
      </c>
      <c r="AW10" t="s">
        <v>296</v>
      </c>
    </row>
    <row r="11" spans="1:49" ht="12.75">
      <c r="A11" t="s">
        <v>295</v>
      </c>
      <c r="B11" t="s">
        <v>291</v>
      </c>
      <c r="C11" t="s">
        <v>106</v>
      </c>
      <c r="D11" t="s">
        <v>107</v>
      </c>
      <c r="E11" t="s">
        <v>296</v>
      </c>
      <c r="F11" t="s">
        <v>83</v>
      </c>
      <c r="G11" t="s">
        <v>474</v>
      </c>
      <c r="H11" t="s">
        <v>296</v>
      </c>
      <c r="I11" t="s">
        <v>296</v>
      </c>
      <c r="J11" t="s">
        <v>296</v>
      </c>
      <c r="K11" t="s">
        <v>296</v>
      </c>
      <c r="L11">
        <v>1.6000000000000001</v>
      </c>
      <c r="M11">
        <v>1.6000000000000001</v>
      </c>
      <c r="N11">
        <v>1.6000000000000001</v>
      </c>
      <c r="O11">
        <v>1.6000000000000001</v>
      </c>
      <c r="P11">
        <v>1.6000000000000001</v>
      </c>
      <c r="Q11">
        <v>1.6000000000000001</v>
      </c>
      <c r="R11">
        <v>1.6000000000000001</v>
      </c>
      <c r="S11">
        <v>1.6000000000000001</v>
      </c>
      <c r="T11">
        <v>1.6000000000000001</v>
      </c>
      <c r="U11">
        <v>1.6000000000000001</v>
      </c>
      <c r="V11">
        <v>1.6000000000000001</v>
      </c>
      <c r="W11">
        <v>1.6000000000000001</v>
      </c>
      <c r="X11">
        <v>1.6000000000000001</v>
      </c>
      <c r="Y11">
        <v>1.6000000000000001</v>
      </c>
      <c r="Z11">
        <v>1.6000000000000001</v>
      </c>
      <c r="AA11">
        <v>1.6000000000000001</v>
      </c>
      <c r="AB11">
        <v>1.6000000000000001</v>
      </c>
      <c r="AC11">
        <v>1.6000000000000001</v>
      </c>
      <c r="AD11">
        <v>1.6000000000000001</v>
      </c>
      <c r="AE11">
        <v>1.6000000000000001</v>
      </c>
      <c r="AF11">
        <v>1.6000000000000001</v>
      </c>
      <c r="AG11">
        <v>1.6000000000000001</v>
      </c>
      <c r="AH11">
        <v>1.6000000000000001</v>
      </c>
      <c r="AI11">
        <v>1.6000000000000001</v>
      </c>
      <c r="AJ11">
        <v>1.6000000000000001</v>
      </c>
      <c r="AK11">
        <v>1.6000000000000001</v>
      </c>
      <c r="AL11">
        <v>1.6000000000000001</v>
      </c>
      <c r="AM11">
        <v>1.6000000000000001</v>
      </c>
      <c r="AN11">
        <v>1.6000000000000001</v>
      </c>
      <c r="AO11">
        <v>1.6000000000000001</v>
      </c>
      <c r="AP11">
        <v>1.6000000000000001</v>
      </c>
      <c r="AQ11">
        <v>1.6000000000000001</v>
      </c>
      <c r="AR11">
        <v>1.6000000000000001</v>
      </c>
      <c r="AS11">
        <v>1.6000000000000001</v>
      </c>
      <c r="AT11">
        <v>1.6000000000000001</v>
      </c>
      <c r="AU11">
        <v>1.6000000000000001</v>
      </c>
      <c r="AV11">
        <v>1.6000000000000001</v>
      </c>
      <c r="AW11" t="s">
        <v>296</v>
      </c>
    </row>
    <row r="12" spans="1:49" ht="12.75">
      <c r="A12" t="s">
        <v>295</v>
      </c>
      <c r="B12" t="s">
        <v>291</v>
      </c>
      <c r="C12" t="s">
        <v>106</v>
      </c>
      <c r="D12" t="s">
        <v>40</v>
      </c>
      <c r="E12" t="s">
        <v>296</v>
      </c>
      <c r="F12" t="s">
        <v>83</v>
      </c>
      <c r="G12" t="s">
        <v>474</v>
      </c>
      <c r="H12" t="s">
        <v>296</v>
      </c>
      <c r="I12" t="s">
        <v>296</v>
      </c>
      <c r="J12" t="s">
        <v>296</v>
      </c>
      <c r="K12" t="s">
        <v>296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t="s">
        <v>296</v>
      </c>
    </row>
    <row r="13" spans="1:49" ht="12.75">
      <c r="A13" t="s">
        <v>295</v>
      </c>
      <c r="B13" t="s">
        <v>291</v>
      </c>
      <c r="C13" t="s">
        <v>108</v>
      </c>
      <c r="D13" t="s">
        <v>37</v>
      </c>
      <c r="E13" t="s">
        <v>296</v>
      </c>
      <c r="F13" t="s">
        <v>83</v>
      </c>
      <c r="G13" t="s">
        <v>474</v>
      </c>
      <c r="H13" t="s">
        <v>296</v>
      </c>
      <c r="I13" t="s">
        <v>296</v>
      </c>
      <c r="J13" t="s">
        <v>296</v>
      </c>
      <c r="K13" t="s">
        <v>296</v>
      </c>
      <c r="L13">
        <v>39.840000000000003</v>
      </c>
      <c r="M13">
        <v>39.840000000000003</v>
      </c>
      <c r="N13">
        <v>39.840000000000003</v>
      </c>
      <c r="O13">
        <v>39.840000000000003</v>
      </c>
      <c r="P13">
        <v>39.840000000000003</v>
      </c>
      <c r="Q13">
        <v>39.840000000000003</v>
      </c>
      <c r="R13">
        <v>39.840000000000003</v>
      </c>
      <c r="S13">
        <v>39.840000000000003</v>
      </c>
      <c r="T13">
        <v>39.840000000000003</v>
      </c>
      <c r="U13">
        <v>39.840000000000003</v>
      </c>
      <c r="V13">
        <v>39.840000000000003</v>
      </c>
      <c r="W13">
        <v>39.840000000000003</v>
      </c>
      <c r="X13">
        <v>39.840000000000003</v>
      </c>
      <c r="Y13">
        <v>39.840000000000003</v>
      </c>
      <c r="Z13">
        <v>39.840000000000003</v>
      </c>
      <c r="AA13">
        <v>39.840000000000003</v>
      </c>
      <c r="AB13">
        <v>39.840000000000003</v>
      </c>
      <c r="AC13">
        <v>39.840000000000003</v>
      </c>
      <c r="AD13">
        <v>39.840000000000003</v>
      </c>
      <c r="AE13">
        <v>39.840000000000003</v>
      </c>
      <c r="AF13">
        <v>39.840000000000003</v>
      </c>
      <c r="AG13">
        <v>39.840000000000003</v>
      </c>
      <c r="AH13">
        <v>39.840000000000003</v>
      </c>
      <c r="AI13">
        <v>39.840000000000003</v>
      </c>
      <c r="AJ13">
        <v>39.840000000000003</v>
      </c>
      <c r="AK13">
        <v>39.840000000000003</v>
      </c>
      <c r="AL13">
        <v>39.840000000000003</v>
      </c>
      <c r="AM13">
        <v>39.840000000000003</v>
      </c>
      <c r="AN13">
        <v>39.840000000000003</v>
      </c>
      <c r="AO13">
        <v>39.840000000000003</v>
      </c>
      <c r="AP13">
        <v>39.840000000000003</v>
      </c>
      <c r="AQ13">
        <v>39.840000000000003</v>
      </c>
      <c r="AR13">
        <v>39.840000000000003</v>
      </c>
      <c r="AS13">
        <v>40.176000000000002</v>
      </c>
      <c r="AT13">
        <v>39.840000000000003</v>
      </c>
      <c r="AU13">
        <v>39.840000000000003</v>
      </c>
      <c r="AV13">
        <v>39.840000000000003</v>
      </c>
      <c r="AW13" t="s">
        <v>296</v>
      </c>
    </row>
    <row r="14" spans="1:49" ht="12.75">
      <c r="A14" t="s">
        <v>295</v>
      </c>
      <c r="B14" t="s">
        <v>291</v>
      </c>
      <c r="C14" t="s">
        <v>108</v>
      </c>
      <c r="D14" t="s">
        <v>38</v>
      </c>
      <c r="E14" t="s">
        <v>296</v>
      </c>
      <c r="F14" t="s">
        <v>83</v>
      </c>
      <c r="G14" t="s">
        <v>474</v>
      </c>
      <c r="H14" t="s">
        <v>296</v>
      </c>
      <c r="I14" t="s">
        <v>296</v>
      </c>
      <c r="J14" t="s">
        <v>296</v>
      </c>
      <c r="K14" t="s">
        <v>296</v>
      </c>
      <c r="L14">
        <v>3.3599999999999999</v>
      </c>
      <c r="M14">
        <v>3.3599999999999999</v>
      </c>
      <c r="N14">
        <v>3.3599999999999999</v>
      </c>
      <c r="O14">
        <v>3.3599999999999999</v>
      </c>
      <c r="P14">
        <v>3.3599999999999999</v>
      </c>
      <c r="Q14">
        <v>3.3599999999999999</v>
      </c>
      <c r="R14">
        <v>3.3599999999999999</v>
      </c>
      <c r="S14">
        <v>3.3599999999999999</v>
      </c>
      <c r="T14">
        <v>3.3599999999999999</v>
      </c>
      <c r="U14">
        <v>3.3599999999999999</v>
      </c>
      <c r="V14">
        <v>3.3599999999999999</v>
      </c>
      <c r="W14">
        <v>3.3599999999999999</v>
      </c>
      <c r="X14">
        <v>3.3599999999999999</v>
      </c>
      <c r="Y14">
        <v>3.3599999999999999</v>
      </c>
      <c r="Z14">
        <v>3.3599999999999999</v>
      </c>
      <c r="AA14">
        <v>3.3599999999999999</v>
      </c>
      <c r="AB14">
        <v>3.3599999999999999</v>
      </c>
      <c r="AC14">
        <v>3.3599999999999999</v>
      </c>
      <c r="AD14">
        <v>3.3599999999999999</v>
      </c>
      <c r="AE14">
        <v>3.3599999999999999</v>
      </c>
      <c r="AF14">
        <v>3.3599999999999999</v>
      </c>
      <c r="AG14">
        <v>3.3599999999999999</v>
      </c>
      <c r="AH14">
        <v>3.3599999999999999</v>
      </c>
      <c r="AI14">
        <v>3.3599999999999999</v>
      </c>
      <c r="AJ14">
        <v>3.3599999999999999</v>
      </c>
      <c r="AK14">
        <v>3.3599999999999999</v>
      </c>
      <c r="AL14">
        <v>3.3599999999999999</v>
      </c>
      <c r="AM14">
        <v>13.68</v>
      </c>
      <c r="AN14">
        <v>3.3599999999999999</v>
      </c>
      <c r="AO14">
        <v>3.3599999999999999</v>
      </c>
      <c r="AP14">
        <v>3.3599999999999999</v>
      </c>
      <c r="AQ14">
        <v>3.3599999999999999</v>
      </c>
      <c r="AR14">
        <v>3.3599999999999999</v>
      </c>
      <c r="AS14">
        <v>3.024</v>
      </c>
      <c r="AT14">
        <v>3.3599999999999999</v>
      </c>
      <c r="AU14">
        <v>3.3599999999999999</v>
      </c>
      <c r="AV14">
        <v>3.3599999999999999</v>
      </c>
      <c r="AW14" t="s">
        <v>296</v>
      </c>
    </row>
    <row r="15" spans="1:49" ht="12.75">
      <c r="A15" t="s">
        <v>295</v>
      </c>
      <c r="B15" t="s">
        <v>291</v>
      </c>
      <c r="C15" t="s">
        <v>108</v>
      </c>
      <c r="D15" t="s">
        <v>39</v>
      </c>
      <c r="E15" t="s">
        <v>296</v>
      </c>
      <c r="F15" t="s">
        <v>83</v>
      </c>
      <c r="G15" t="s">
        <v>474</v>
      </c>
      <c r="H15" t="s">
        <v>296</v>
      </c>
      <c r="I15" t="s">
        <v>296</v>
      </c>
      <c r="J15" t="s">
        <v>296</v>
      </c>
      <c r="K15" t="s">
        <v>296</v>
      </c>
      <c r="L15">
        <v>10.32</v>
      </c>
      <c r="M15">
        <v>10.32</v>
      </c>
      <c r="N15">
        <v>10.32</v>
      </c>
      <c r="O15">
        <v>10.32</v>
      </c>
      <c r="P15">
        <v>10.32</v>
      </c>
      <c r="Q15">
        <v>10.32</v>
      </c>
      <c r="R15">
        <v>10.32</v>
      </c>
      <c r="S15">
        <v>10.32</v>
      </c>
      <c r="T15">
        <v>10.32</v>
      </c>
      <c r="U15">
        <v>10.32</v>
      </c>
      <c r="V15">
        <v>10.32</v>
      </c>
      <c r="W15">
        <v>10.32</v>
      </c>
      <c r="X15">
        <v>10.32</v>
      </c>
      <c r="Y15">
        <v>10.32</v>
      </c>
      <c r="Z15">
        <v>10.32</v>
      </c>
      <c r="AA15">
        <v>10.32</v>
      </c>
      <c r="AB15">
        <v>10.32</v>
      </c>
      <c r="AC15">
        <v>10.32</v>
      </c>
      <c r="AD15">
        <v>10.32</v>
      </c>
      <c r="AE15">
        <v>10.32</v>
      </c>
      <c r="AF15">
        <v>10.32</v>
      </c>
      <c r="AG15">
        <v>10.32</v>
      </c>
      <c r="AH15">
        <v>10.32</v>
      </c>
      <c r="AI15">
        <v>10.32</v>
      </c>
      <c r="AJ15">
        <v>10.32</v>
      </c>
      <c r="AK15">
        <v>10.32</v>
      </c>
      <c r="AL15">
        <v>10.32</v>
      </c>
      <c r="AM15">
        <v>0</v>
      </c>
      <c r="AN15">
        <v>10.32</v>
      </c>
      <c r="AO15">
        <v>10.32</v>
      </c>
      <c r="AP15">
        <v>10.32</v>
      </c>
      <c r="AQ15">
        <v>10.32</v>
      </c>
      <c r="AR15">
        <v>10.32</v>
      </c>
      <c r="AS15">
        <v>10.32</v>
      </c>
      <c r="AT15">
        <v>10.32</v>
      </c>
      <c r="AU15">
        <v>10.32</v>
      </c>
      <c r="AV15">
        <v>10.32</v>
      </c>
      <c r="AW15" t="s">
        <v>296</v>
      </c>
    </row>
    <row r="16" spans="1:49" ht="12.75">
      <c r="A16" t="s">
        <v>295</v>
      </c>
      <c r="B16" t="s">
        <v>291</v>
      </c>
      <c r="C16" t="s">
        <v>108</v>
      </c>
      <c r="D16" t="s">
        <v>107</v>
      </c>
      <c r="E16" t="s">
        <v>296</v>
      </c>
      <c r="F16" t="s">
        <v>83</v>
      </c>
      <c r="G16" t="s">
        <v>474</v>
      </c>
      <c r="H16" t="s">
        <v>296</v>
      </c>
      <c r="I16" t="s">
        <v>296</v>
      </c>
      <c r="J16" t="s">
        <v>296</v>
      </c>
      <c r="K16" t="s">
        <v>296</v>
      </c>
      <c r="L16">
        <v>1.6000000000000001</v>
      </c>
      <c r="M16">
        <v>1.6000000000000001</v>
      </c>
      <c r="N16">
        <v>1.6000000000000001</v>
      </c>
      <c r="O16">
        <v>1.6000000000000001</v>
      </c>
      <c r="P16">
        <v>1.6000000000000001</v>
      </c>
      <c r="Q16">
        <v>1.6000000000000001</v>
      </c>
      <c r="R16">
        <v>1.6000000000000001</v>
      </c>
      <c r="S16">
        <v>1.6000000000000001</v>
      </c>
      <c r="T16">
        <v>1.6000000000000001</v>
      </c>
      <c r="U16">
        <v>1.6000000000000001</v>
      </c>
      <c r="V16">
        <v>1.6000000000000001</v>
      </c>
      <c r="W16">
        <v>1.6000000000000001</v>
      </c>
      <c r="X16">
        <v>1.6000000000000001</v>
      </c>
      <c r="Y16">
        <v>1.6000000000000001</v>
      </c>
      <c r="Z16">
        <v>1.6000000000000001</v>
      </c>
      <c r="AA16">
        <v>1.6000000000000001</v>
      </c>
      <c r="AB16">
        <v>1.6000000000000001</v>
      </c>
      <c r="AC16">
        <v>1.6000000000000001</v>
      </c>
      <c r="AD16">
        <v>1.6000000000000001</v>
      </c>
      <c r="AE16">
        <v>1.6000000000000001</v>
      </c>
      <c r="AF16">
        <v>1.6000000000000001</v>
      </c>
      <c r="AG16">
        <v>1.6000000000000001</v>
      </c>
      <c r="AH16">
        <v>1.6000000000000001</v>
      </c>
      <c r="AI16">
        <v>1.6000000000000001</v>
      </c>
      <c r="AJ16">
        <v>1.6000000000000001</v>
      </c>
      <c r="AK16">
        <v>1.6000000000000001</v>
      </c>
      <c r="AL16">
        <v>1.6000000000000001</v>
      </c>
      <c r="AM16">
        <v>1.6000000000000001</v>
      </c>
      <c r="AN16">
        <v>1.6000000000000001</v>
      </c>
      <c r="AO16">
        <v>1.6000000000000001</v>
      </c>
      <c r="AP16">
        <v>1.6000000000000001</v>
      </c>
      <c r="AQ16">
        <v>1.6000000000000001</v>
      </c>
      <c r="AR16">
        <v>1.6000000000000001</v>
      </c>
      <c r="AS16">
        <v>1.6000000000000001</v>
      </c>
      <c r="AT16">
        <v>1.6000000000000001</v>
      </c>
      <c r="AU16">
        <v>1.6000000000000001</v>
      </c>
      <c r="AV16">
        <v>1.6000000000000001</v>
      </c>
      <c r="AW16" t="s">
        <v>296</v>
      </c>
    </row>
    <row r="17" spans="1:49" ht="12.75">
      <c r="A17" t="s">
        <v>295</v>
      </c>
      <c r="B17" t="s">
        <v>291</v>
      </c>
      <c r="C17" t="s">
        <v>108</v>
      </c>
      <c r="D17" t="s">
        <v>40</v>
      </c>
      <c r="E17" t="s">
        <v>296</v>
      </c>
      <c r="F17" t="s">
        <v>83</v>
      </c>
      <c r="G17" t="s">
        <v>474</v>
      </c>
      <c r="H17" t="s">
        <v>296</v>
      </c>
      <c r="I17" t="s">
        <v>296</v>
      </c>
      <c r="J17" t="s">
        <v>296</v>
      </c>
      <c r="K17" t="s">
        <v>296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296</v>
      </c>
    </row>
    <row r="18" spans="1:49" ht="12.75">
      <c r="A18" t="s">
        <v>295</v>
      </c>
      <c r="B18" t="s">
        <v>291</v>
      </c>
      <c r="C18" t="s">
        <v>109</v>
      </c>
      <c r="D18" t="s">
        <v>37</v>
      </c>
      <c r="E18" t="s">
        <v>296</v>
      </c>
      <c r="F18" t="s">
        <v>83</v>
      </c>
      <c r="G18" t="s">
        <v>474</v>
      </c>
      <c r="H18" t="s">
        <v>296</v>
      </c>
      <c r="I18" t="s">
        <v>296</v>
      </c>
      <c r="J18" t="s">
        <v>296</v>
      </c>
      <c r="K18" t="s">
        <v>296</v>
      </c>
      <c r="L18">
        <v>32</v>
      </c>
      <c r="M18">
        <v>32</v>
      </c>
      <c r="N18">
        <v>32</v>
      </c>
      <c r="O18">
        <v>32</v>
      </c>
      <c r="P18">
        <v>32</v>
      </c>
      <c r="Q18">
        <v>32</v>
      </c>
      <c r="R18">
        <v>32</v>
      </c>
      <c r="S18">
        <v>32</v>
      </c>
      <c r="T18">
        <v>32</v>
      </c>
      <c r="U18">
        <v>32</v>
      </c>
      <c r="V18">
        <v>32</v>
      </c>
      <c r="W18">
        <v>32</v>
      </c>
      <c r="X18">
        <v>32</v>
      </c>
      <c r="Y18">
        <v>32</v>
      </c>
      <c r="Z18">
        <v>32</v>
      </c>
      <c r="AA18">
        <v>32</v>
      </c>
      <c r="AB18">
        <v>32</v>
      </c>
      <c r="AC18">
        <v>32</v>
      </c>
      <c r="AD18">
        <v>32</v>
      </c>
      <c r="AE18">
        <v>32</v>
      </c>
      <c r="AF18">
        <v>32</v>
      </c>
      <c r="AG18">
        <v>32</v>
      </c>
      <c r="AH18">
        <v>32</v>
      </c>
      <c r="AI18">
        <v>32</v>
      </c>
      <c r="AJ18">
        <v>32</v>
      </c>
      <c r="AK18">
        <v>32</v>
      </c>
      <c r="AL18">
        <v>32</v>
      </c>
      <c r="AM18">
        <v>32</v>
      </c>
      <c r="AN18">
        <v>32</v>
      </c>
      <c r="AO18">
        <v>32</v>
      </c>
      <c r="AP18">
        <v>32</v>
      </c>
      <c r="AQ18">
        <v>32</v>
      </c>
      <c r="AR18">
        <v>32</v>
      </c>
      <c r="AS18">
        <v>32</v>
      </c>
      <c r="AT18">
        <v>32</v>
      </c>
      <c r="AU18">
        <v>32</v>
      </c>
      <c r="AV18">
        <v>32</v>
      </c>
      <c r="AW18" t="s">
        <v>296</v>
      </c>
    </row>
    <row r="19" spans="1:49" ht="12.75">
      <c r="A19" t="s">
        <v>295</v>
      </c>
      <c r="B19" t="s">
        <v>291</v>
      </c>
      <c r="C19" t="s">
        <v>109</v>
      </c>
      <c r="D19" t="s">
        <v>38</v>
      </c>
      <c r="E19" t="s">
        <v>296</v>
      </c>
      <c r="F19" t="s">
        <v>83</v>
      </c>
      <c r="G19" t="s">
        <v>474</v>
      </c>
      <c r="H19" t="s">
        <v>296</v>
      </c>
      <c r="I19" t="s">
        <v>296</v>
      </c>
      <c r="J19" t="s">
        <v>296</v>
      </c>
      <c r="K19" t="s">
        <v>296</v>
      </c>
      <c r="L19">
        <v>1.2</v>
      </c>
      <c r="M19">
        <v>1.2</v>
      </c>
      <c r="N19">
        <v>1.2</v>
      </c>
      <c r="O19">
        <v>1.2</v>
      </c>
      <c r="P19">
        <v>1.2</v>
      </c>
      <c r="Q19">
        <v>1.2</v>
      </c>
      <c r="R19">
        <v>1.2</v>
      </c>
      <c r="S19">
        <v>1.2</v>
      </c>
      <c r="T19">
        <v>1.2</v>
      </c>
      <c r="U19">
        <v>1.2</v>
      </c>
      <c r="V19">
        <v>1.2</v>
      </c>
      <c r="W19">
        <v>1.2</v>
      </c>
      <c r="X19">
        <v>1.2</v>
      </c>
      <c r="Y19">
        <v>1.2</v>
      </c>
      <c r="Z19">
        <v>1.2</v>
      </c>
      <c r="AA19">
        <v>1.2</v>
      </c>
      <c r="AB19">
        <v>1.2</v>
      </c>
      <c r="AC19">
        <v>1.2</v>
      </c>
      <c r="AD19">
        <v>1.2</v>
      </c>
      <c r="AE19">
        <v>1.2</v>
      </c>
      <c r="AF19">
        <v>1.2</v>
      </c>
      <c r="AG19">
        <v>1.2</v>
      </c>
      <c r="AH19">
        <v>1.2</v>
      </c>
      <c r="AI19">
        <v>1.2</v>
      </c>
      <c r="AJ19">
        <v>1.2</v>
      </c>
      <c r="AK19">
        <v>1.2</v>
      </c>
      <c r="AL19">
        <v>1.2</v>
      </c>
      <c r="AM19">
        <v>1.2</v>
      </c>
      <c r="AN19">
        <v>1.2</v>
      </c>
      <c r="AO19">
        <v>1.2</v>
      </c>
      <c r="AP19">
        <v>1.2</v>
      </c>
      <c r="AQ19">
        <v>1.2</v>
      </c>
      <c r="AR19">
        <v>1.2</v>
      </c>
      <c r="AS19">
        <v>1.2</v>
      </c>
      <c r="AT19">
        <v>1.2</v>
      </c>
      <c r="AU19">
        <v>1.2</v>
      </c>
      <c r="AV19">
        <v>1.2</v>
      </c>
      <c r="AW19" t="s">
        <v>296</v>
      </c>
    </row>
    <row r="20" spans="1:49" ht="12.75">
      <c r="A20" t="s">
        <v>295</v>
      </c>
      <c r="B20" t="s">
        <v>291</v>
      </c>
      <c r="C20" t="s">
        <v>109</v>
      </c>
      <c r="D20" t="s">
        <v>107</v>
      </c>
      <c r="E20" t="s">
        <v>296</v>
      </c>
      <c r="F20" t="s">
        <v>83</v>
      </c>
      <c r="G20" t="s">
        <v>474</v>
      </c>
      <c r="H20" t="s">
        <v>296</v>
      </c>
      <c r="I20" t="s">
        <v>296</v>
      </c>
      <c r="J20" t="s">
        <v>296</v>
      </c>
      <c r="K20" t="s">
        <v>296</v>
      </c>
      <c r="L20">
        <v>1.6000000000000001</v>
      </c>
      <c r="M20">
        <v>1.6000000000000001</v>
      </c>
      <c r="N20">
        <v>1.6000000000000001</v>
      </c>
      <c r="O20">
        <v>1.6000000000000001</v>
      </c>
      <c r="P20">
        <v>1.6000000000000001</v>
      </c>
      <c r="Q20">
        <v>1.6000000000000001</v>
      </c>
      <c r="R20">
        <v>1.6000000000000001</v>
      </c>
      <c r="S20">
        <v>1.6000000000000001</v>
      </c>
      <c r="T20">
        <v>1.6000000000000001</v>
      </c>
      <c r="U20">
        <v>1.6000000000000001</v>
      </c>
      <c r="V20">
        <v>1.6000000000000001</v>
      </c>
      <c r="W20">
        <v>1.6000000000000001</v>
      </c>
      <c r="X20">
        <v>1.6000000000000001</v>
      </c>
      <c r="Y20">
        <v>1.6000000000000001</v>
      </c>
      <c r="Z20">
        <v>1.6000000000000001</v>
      </c>
      <c r="AA20">
        <v>1.6000000000000001</v>
      </c>
      <c r="AB20">
        <v>1.6000000000000001</v>
      </c>
      <c r="AC20">
        <v>1.6000000000000001</v>
      </c>
      <c r="AD20">
        <v>1.6000000000000001</v>
      </c>
      <c r="AE20">
        <v>1.6000000000000001</v>
      </c>
      <c r="AF20">
        <v>1.6000000000000001</v>
      </c>
      <c r="AG20">
        <v>1.6000000000000001</v>
      </c>
      <c r="AH20">
        <v>1.6000000000000001</v>
      </c>
      <c r="AI20">
        <v>1.6000000000000001</v>
      </c>
      <c r="AJ20">
        <v>1.6000000000000001</v>
      </c>
      <c r="AK20">
        <v>1.6000000000000001</v>
      </c>
      <c r="AL20">
        <v>1.6000000000000001</v>
      </c>
      <c r="AM20">
        <v>1.6000000000000001</v>
      </c>
      <c r="AN20">
        <v>1.6000000000000001</v>
      </c>
      <c r="AO20">
        <v>1.6000000000000001</v>
      </c>
      <c r="AP20">
        <v>1.6000000000000001</v>
      </c>
      <c r="AQ20">
        <v>1.6000000000000001</v>
      </c>
      <c r="AR20">
        <v>1.6000000000000001</v>
      </c>
      <c r="AS20">
        <v>1.6000000000000001</v>
      </c>
      <c r="AT20">
        <v>1.6000000000000001</v>
      </c>
      <c r="AU20">
        <v>1.6000000000000001</v>
      </c>
      <c r="AV20">
        <v>1.6000000000000001</v>
      </c>
      <c r="AW20" t="s">
        <v>296</v>
      </c>
    </row>
    <row r="21" spans="1:49" ht="12.75">
      <c r="A21" t="s">
        <v>295</v>
      </c>
      <c r="B21" t="s">
        <v>291</v>
      </c>
      <c r="C21" t="s">
        <v>109</v>
      </c>
      <c r="D21" t="s">
        <v>40</v>
      </c>
      <c r="E21" t="s">
        <v>296</v>
      </c>
      <c r="F21" t="s">
        <v>83</v>
      </c>
      <c r="G21" t="s">
        <v>474</v>
      </c>
      <c r="H21" t="s">
        <v>296</v>
      </c>
      <c r="I21" t="s">
        <v>296</v>
      </c>
      <c r="J21" t="s">
        <v>296</v>
      </c>
      <c r="K21" t="s">
        <v>296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 t="s">
        <v>296</v>
      </c>
    </row>
    <row r="22" spans="1:49" ht="12.75">
      <c r="A22" t="s">
        <v>295</v>
      </c>
      <c r="B22" t="s">
        <v>291</v>
      </c>
      <c r="C22" t="s">
        <v>110</v>
      </c>
      <c r="D22" t="s">
        <v>37</v>
      </c>
      <c r="E22" t="s">
        <v>296</v>
      </c>
      <c r="F22" t="s">
        <v>83</v>
      </c>
      <c r="G22" t="s">
        <v>474</v>
      </c>
      <c r="H22" t="s">
        <v>296</v>
      </c>
      <c r="I22" t="s">
        <v>296</v>
      </c>
      <c r="J22" t="s">
        <v>296</v>
      </c>
      <c r="K22" t="s">
        <v>296</v>
      </c>
      <c r="L22">
        <v>1.4399999999999999</v>
      </c>
      <c r="M22">
        <v>1.4399999999999999</v>
      </c>
      <c r="N22">
        <v>1.4399999999999999</v>
      </c>
      <c r="O22">
        <v>1.4399999999999999</v>
      </c>
      <c r="P22">
        <v>1.4399999999999999</v>
      </c>
      <c r="Q22">
        <v>1.4399999999999999</v>
      </c>
      <c r="R22">
        <v>1.4399999999999999</v>
      </c>
      <c r="S22">
        <v>1.4399999999999999</v>
      </c>
      <c r="T22">
        <v>1.4399999999999999</v>
      </c>
      <c r="U22">
        <v>1.4399999999999999</v>
      </c>
      <c r="V22">
        <v>1.4399999999999999</v>
      </c>
      <c r="W22">
        <v>1.4399999999999999</v>
      </c>
      <c r="X22">
        <v>1.4399999999999999</v>
      </c>
      <c r="Y22">
        <v>1.4399999999999999</v>
      </c>
      <c r="Z22">
        <v>1.4399999999999999</v>
      </c>
      <c r="AA22">
        <v>1.4399999999999999</v>
      </c>
      <c r="AB22">
        <v>1.4399999999999999</v>
      </c>
      <c r="AC22">
        <v>1.4399999999999999</v>
      </c>
      <c r="AD22">
        <v>1.4399999999999999</v>
      </c>
      <c r="AE22">
        <v>1.4399999999999999</v>
      </c>
      <c r="AF22">
        <v>1.4399999999999999</v>
      </c>
      <c r="AG22">
        <v>1.4399999999999999</v>
      </c>
      <c r="AH22">
        <v>1.4399999999999999</v>
      </c>
      <c r="AI22">
        <v>1.4399999999999999</v>
      </c>
      <c r="AJ22">
        <v>1.4399999999999999</v>
      </c>
      <c r="AK22">
        <v>1.4399999999999999</v>
      </c>
      <c r="AL22">
        <v>1.4399999999999999</v>
      </c>
      <c r="AM22">
        <v>1.4399999999999999</v>
      </c>
      <c r="AN22">
        <v>6.04</v>
      </c>
      <c r="AO22">
        <v>1.4399999999999999</v>
      </c>
      <c r="AP22">
        <v>1.4399999999999999</v>
      </c>
      <c r="AQ22">
        <v>1.4399999999999999</v>
      </c>
      <c r="AR22">
        <v>1.4399999999999999</v>
      </c>
      <c r="AS22">
        <v>6.3399999999999999</v>
      </c>
      <c r="AT22">
        <v>1.4399999999999999</v>
      </c>
      <c r="AU22">
        <v>1.4399999999999999</v>
      </c>
      <c r="AV22">
        <v>1.4399999999999999</v>
      </c>
      <c r="AW22" t="s">
        <v>296</v>
      </c>
    </row>
    <row r="23" spans="1:49" ht="12.75">
      <c r="A23" t="s">
        <v>295</v>
      </c>
      <c r="B23" t="s">
        <v>291</v>
      </c>
      <c r="C23" t="s">
        <v>110</v>
      </c>
      <c r="D23" t="s">
        <v>38</v>
      </c>
      <c r="E23" t="s">
        <v>296</v>
      </c>
      <c r="F23" t="s">
        <v>83</v>
      </c>
      <c r="G23" t="s">
        <v>474</v>
      </c>
      <c r="H23" t="s">
        <v>296</v>
      </c>
      <c r="I23" t="s">
        <v>296</v>
      </c>
      <c r="J23" t="s">
        <v>296</v>
      </c>
      <c r="K23" t="s">
        <v>296</v>
      </c>
      <c r="L23">
        <v>6.7999999999999998</v>
      </c>
      <c r="M23">
        <v>6.7999999999999998</v>
      </c>
      <c r="N23">
        <v>6.7999999999999998</v>
      </c>
      <c r="O23">
        <v>6.7999999999999998</v>
      </c>
      <c r="P23">
        <v>6.7999999999999998</v>
      </c>
      <c r="Q23">
        <v>6.7999999999999998</v>
      </c>
      <c r="R23">
        <v>6.7999999999999998</v>
      </c>
      <c r="S23">
        <v>6.7999999999999998</v>
      </c>
      <c r="T23">
        <v>6.7999999999999998</v>
      </c>
      <c r="U23">
        <v>6.7999999999999998</v>
      </c>
      <c r="V23">
        <v>6.7999999999999998</v>
      </c>
      <c r="W23">
        <v>6.7999999999999998</v>
      </c>
      <c r="X23">
        <v>6.7999999999999998</v>
      </c>
      <c r="Y23">
        <v>6.7999999999999998</v>
      </c>
      <c r="Z23">
        <v>6.7999999999999998</v>
      </c>
      <c r="AA23">
        <v>6.7999999999999998</v>
      </c>
      <c r="AB23">
        <v>6.7999999999999998</v>
      </c>
      <c r="AC23">
        <v>6.7999999999999998</v>
      </c>
      <c r="AD23">
        <v>6.7999999999999998</v>
      </c>
      <c r="AE23">
        <v>6.7999999999999998</v>
      </c>
      <c r="AF23">
        <v>6.7999999999999998</v>
      </c>
      <c r="AG23">
        <v>6.7999999999999998</v>
      </c>
      <c r="AH23">
        <v>6.7999999999999998</v>
      </c>
      <c r="AI23">
        <v>6.7999999999999998</v>
      </c>
      <c r="AJ23">
        <v>6.7999999999999998</v>
      </c>
      <c r="AK23">
        <v>6.7999999999999998</v>
      </c>
      <c r="AL23">
        <v>6.7999999999999998</v>
      </c>
      <c r="AM23">
        <v>6.7999999999999998</v>
      </c>
      <c r="AN23">
        <v>2.2000000000000002</v>
      </c>
      <c r="AO23">
        <v>6.7999999999999998</v>
      </c>
      <c r="AP23">
        <v>6.7999999999999998</v>
      </c>
      <c r="AQ23">
        <v>6.7999999999999998</v>
      </c>
      <c r="AR23">
        <v>6.7999999999999998</v>
      </c>
      <c r="AS23">
        <v>1.8999999999999999</v>
      </c>
      <c r="AT23">
        <v>6.7999999999999998</v>
      </c>
      <c r="AU23">
        <v>6.7999999999999998</v>
      </c>
      <c r="AV23">
        <v>6.7999999999999998</v>
      </c>
      <c r="AW23" t="s">
        <v>296</v>
      </c>
    </row>
    <row r="24" spans="1:49" ht="12.75">
      <c r="A24" t="s">
        <v>295</v>
      </c>
      <c r="B24" t="s">
        <v>291</v>
      </c>
      <c r="C24" t="s">
        <v>110</v>
      </c>
      <c r="D24" t="s">
        <v>107</v>
      </c>
      <c r="E24" t="s">
        <v>296</v>
      </c>
      <c r="F24" t="s">
        <v>83</v>
      </c>
      <c r="G24" t="s">
        <v>474</v>
      </c>
      <c r="H24" t="s">
        <v>296</v>
      </c>
      <c r="I24" t="s">
        <v>296</v>
      </c>
      <c r="J24" t="s">
        <v>296</v>
      </c>
      <c r="K24" t="s">
        <v>296</v>
      </c>
      <c r="L24">
        <v>1.6000000000000001</v>
      </c>
      <c r="M24">
        <v>1.6000000000000001</v>
      </c>
      <c r="N24">
        <v>1.6000000000000001</v>
      </c>
      <c r="O24">
        <v>1.6000000000000001</v>
      </c>
      <c r="P24">
        <v>1.6000000000000001</v>
      </c>
      <c r="Q24">
        <v>1.6000000000000001</v>
      </c>
      <c r="R24">
        <v>1.6000000000000001</v>
      </c>
      <c r="S24">
        <v>1.6000000000000001</v>
      </c>
      <c r="T24">
        <v>1.6000000000000001</v>
      </c>
      <c r="U24">
        <v>1.6000000000000001</v>
      </c>
      <c r="V24">
        <v>1.6000000000000001</v>
      </c>
      <c r="W24">
        <v>1.6000000000000001</v>
      </c>
      <c r="X24">
        <v>1.6000000000000001</v>
      </c>
      <c r="Y24">
        <v>1.6000000000000001</v>
      </c>
      <c r="Z24">
        <v>1.6000000000000001</v>
      </c>
      <c r="AA24">
        <v>1.6000000000000001</v>
      </c>
      <c r="AB24">
        <v>1.6000000000000001</v>
      </c>
      <c r="AC24">
        <v>1.6000000000000001</v>
      </c>
      <c r="AD24">
        <v>1.6000000000000001</v>
      </c>
      <c r="AE24">
        <v>1.6000000000000001</v>
      </c>
      <c r="AF24">
        <v>1.6000000000000001</v>
      </c>
      <c r="AG24">
        <v>1.6000000000000001</v>
      </c>
      <c r="AH24">
        <v>1.6000000000000001</v>
      </c>
      <c r="AI24">
        <v>1.6000000000000001</v>
      </c>
      <c r="AJ24">
        <v>1.6000000000000001</v>
      </c>
      <c r="AK24">
        <v>1.6000000000000001</v>
      </c>
      <c r="AL24">
        <v>1.6000000000000001</v>
      </c>
      <c r="AM24">
        <v>1.6000000000000001</v>
      </c>
      <c r="AN24">
        <v>1.6000000000000001</v>
      </c>
      <c r="AO24">
        <v>1.6000000000000001</v>
      </c>
      <c r="AP24">
        <v>1.6000000000000001</v>
      </c>
      <c r="AQ24">
        <v>1.6000000000000001</v>
      </c>
      <c r="AR24">
        <v>1.6000000000000001</v>
      </c>
      <c r="AS24">
        <v>1.6000000000000001</v>
      </c>
      <c r="AT24">
        <v>1.6000000000000001</v>
      </c>
      <c r="AU24">
        <v>1.6000000000000001</v>
      </c>
      <c r="AV24">
        <v>1.6000000000000001</v>
      </c>
      <c r="AW24" t="s">
        <v>296</v>
      </c>
    </row>
    <row r="25" spans="1:49" ht="12.75">
      <c r="A25" t="s">
        <v>295</v>
      </c>
      <c r="B25" t="s">
        <v>291</v>
      </c>
      <c r="C25" t="s">
        <v>110</v>
      </c>
      <c r="D25" t="s">
        <v>40</v>
      </c>
      <c r="E25" t="s">
        <v>296</v>
      </c>
      <c r="F25" t="s">
        <v>83</v>
      </c>
      <c r="G25" t="s">
        <v>474</v>
      </c>
      <c r="H25" t="s">
        <v>296</v>
      </c>
      <c r="I25" t="s">
        <v>296</v>
      </c>
      <c r="J25" t="s">
        <v>296</v>
      </c>
      <c r="K25" t="s">
        <v>296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 t="s">
        <v>296</v>
      </c>
    </row>
    <row r="26" spans="1:49" ht="12.75">
      <c r="A26" t="s">
        <v>295</v>
      </c>
      <c r="B26" t="s">
        <v>291</v>
      </c>
      <c r="C26" t="s">
        <v>110</v>
      </c>
      <c r="D26" t="s">
        <v>111</v>
      </c>
      <c r="E26" t="s">
        <v>296</v>
      </c>
      <c r="F26" t="s">
        <v>83</v>
      </c>
      <c r="G26" t="s">
        <v>474</v>
      </c>
      <c r="H26" t="s">
        <v>296</v>
      </c>
      <c r="I26" t="s">
        <v>296</v>
      </c>
      <c r="J26" t="s">
        <v>296</v>
      </c>
      <c r="K26" t="s">
        <v>296</v>
      </c>
      <c r="L26">
        <v>0.83999999999999997</v>
      </c>
      <c r="M26">
        <v>0.83999999999999997</v>
      </c>
      <c r="N26">
        <v>0.83999999999999997</v>
      </c>
      <c r="O26">
        <v>0.83999999999999997</v>
      </c>
      <c r="P26">
        <v>0.83999999999999997</v>
      </c>
      <c r="Q26">
        <v>0.83999999999999997</v>
      </c>
      <c r="R26">
        <v>0.83999999999999997</v>
      </c>
      <c r="S26">
        <v>0.83999999999999997</v>
      </c>
      <c r="T26">
        <v>0.83999999999999997</v>
      </c>
      <c r="U26">
        <v>0.83999999999999997</v>
      </c>
      <c r="V26">
        <v>0.83999999999999997</v>
      </c>
      <c r="W26">
        <v>0.83999999999999997</v>
      </c>
      <c r="X26">
        <v>0.83999999999999997</v>
      </c>
      <c r="Y26">
        <v>0.83999999999999997</v>
      </c>
      <c r="Z26">
        <v>0.83999999999999997</v>
      </c>
      <c r="AA26">
        <v>0.83999999999999997</v>
      </c>
      <c r="AB26">
        <v>0.83999999999999997</v>
      </c>
      <c r="AC26">
        <v>0.83999999999999997</v>
      </c>
      <c r="AD26">
        <v>0.83999999999999997</v>
      </c>
      <c r="AE26">
        <v>0.83999999999999997</v>
      </c>
      <c r="AF26">
        <v>0.83999999999999997</v>
      </c>
      <c r="AG26">
        <v>0.83999999999999997</v>
      </c>
      <c r="AH26">
        <v>0.83999999999999997</v>
      </c>
      <c r="AI26">
        <v>0.83999999999999997</v>
      </c>
      <c r="AJ26">
        <v>0.83999999999999997</v>
      </c>
      <c r="AK26">
        <v>0.83999999999999997</v>
      </c>
      <c r="AL26">
        <v>0.83999999999999997</v>
      </c>
      <c r="AM26">
        <v>0.83999999999999997</v>
      </c>
      <c r="AN26">
        <v>0.83999999999999997</v>
      </c>
      <c r="AO26">
        <v>0.83999999999999997</v>
      </c>
      <c r="AP26">
        <v>0.83999999999999997</v>
      </c>
      <c r="AQ26">
        <v>0.83999999999999997</v>
      </c>
      <c r="AR26">
        <v>0.83999999999999997</v>
      </c>
      <c r="AS26">
        <v>0.83999999999999997</v>
      </c>
      <c r="AT26">
        <v>0.83999999999999997</v>
      </c>
      <c r="AU26">
        <v>0.83999999999999997</v>
      </c>
      <c r="AV26">
        <v>0.83999999999999997</v>
      </c>
      <c r="AW26" t="s">
        <v>296</v>
      </c>
    </row>
    <row r="27" spans="1:49" ht="12.75">
      <c r="A27" t="s">
        <v>295</v>
      </c>
      <c r="B27" t="s">
        <v>291</v>
      </c>
      <c r="C27" t="s">
        <v>112</v>
      </c>
      <c r="D27" t="s">
        <v>406</v>
      </c>
      <c r="E27" t="s">
        <v>296</v>
      </c>
      <c r="F27" t="s">
        <v>83</v>
      </c>
      <c r="G27" t="s">
        <v>474</v>
      </c>
      <c r="H27" t="s">
        <v>296</v>
      </c>
      <c r="I27" t="s">
        <v>296</v>
      </c>
      <c r="J27" t="s">
        <v>296</v>
      </c>
      <c r="K27" t="s">
        <v>296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 t="s">
        <v>296</v>
      </c>
    </row>
    <row r="28" spans="1:49" ht="12.75">
      <c r="A28" t="s">
        <v>295</v>
      </c>
      <c r="B28" t="s">
        <v>291</v>
      </c>
      <c r="C28" t="s">
        <v>112</v>
      </c>
      <c r="D28" t="s">
        <v>37</v>
      </c>
      <c r="E28" t="s">
        <v>296</v>
      </c>
      <c r="F28" t="s">
        <v>83</v>
      </c>
      <c r="G28" t="s">
        <v>474</v>
      </c>
      <c r="H28" t="s">
        <v>296</v>
      </c>
      <c r="I28" t="s">
        <v>296</v>
      </c>
      <c r="J28" t="s">
        <v>296</v>
      </c>
      <c r="K28" t="s">
        <v>296</v>
      </c>
      <c r="L28">
        <v>1.03</v>
      </c>
      <c r="M28">
        <v>1.03</v>
      </c>
      <c r="N28">
        <v>1.03</v>
      </c>
      <c r="O28">
        <v>1.03</v>
      </c>
      <c r="P28">
        <v>1.03</v>
      </c>
      <c r="Q28">
        <v>1.03</v>
      </c>
      <c r="R28">
        <v>1.03</v>
      </c>
      <c r="S28">
        <v>1.03</v>
      </c>
      <c r="T28">
        <v>1.03</v>
      </c>
      <c r="U28">
        <v>1.03</v>
      </c>
      <c r="V28">
        <v>1.03</v>
      </c>
      <c r="W28">
        <v>1.03</v>
      </c>
      <c r="X28">
        <v>1.03</v>
      </c>
      <c r="Y28">
        <v>1.03</v>
      </c>
      <c r="Z28">
        <v>1.03</v>
      </c>
      <c r="AA28">
        <v>1.03</v>
      </c>
      <c r="AB28">
        <v>1.03</v>
      </c>
      <c r="AC28">
        <v>1.03</v>
      </c>
      <c r="AD28">
        <v>1.03</v>
      </c>
      <c r="AE28">
        <v>1.03</v>
      </c>
      <c r="AF28">
        <v>1.03</v>
      </c>
      <c r="AG28">
        <v>1.03</v>
      </c>
      <c r="AH28">
        <v>1.03</v>
      </c>
      <c r="AI28">
        <v>1.03</v>
      </c>
      <c r="AJ28">
        <v>1.03</v>
      </c>
      <c r="AK28">
        <v>1.03</v>
      </c>
      <c r="AL28">
        <v>1.03</v>
      </c>
      <c r="AM28">
        <v>1.03</v>
      </c>
      <c r="AN28">
        <v>1.03</v>
      </c>
      <c r="AO28">
        <v>1.03</v>
      </c>
      <c r="AP28">
        <v>1.03</v>
      </c>
      <c r="AQ28">
        <v>1.03</v>
      </c>
      <c r="AR28">
        <v>1.03</v>
      </c>
      <c r="AS28">
        <v>1.03</v>
      </c>
      <c r="AT28">
        <v>1.03</v>
      </c>
      <c r="AU28">
        <v>1.03</v>
      </c>
      <c r="AV28">
        <v>1.03</v>
      </c>
      <c r="AW28" t="s">
        <v>296</v>
      </c>
    </row>
    <row r="29" spans="1:49" ht="12.75">
      <c r="A29" t="s">
        <v>295</v>
      </c>
      <c r="B29" t="s">
        <v>291</v>
      </c>
      <c r="C29" t="s">
        <v>112</v>
      </c>
      <c r="D29" t="s">
        <v>38</v>
      </c>
      <c r="E29" t="s">
        <v>296</v>
      </c>
      <c r="F29" t="s">
        <v>83</v>
      </c>
      <c r="G29" t="s">
        <v>474</v>
      </c>
      <c r="H29" t="s">
        <v>296</v>
      </c>
      <c r="I29" t="s">
        <v>296</v>
      </c>
      <c r="J29" t="s">
        <v>296</v>
      </c>
      <c r="K29" t="s">
        <v>296</v>
      </c>
      <c r="L29">
        <v>15.300000000000001</v>
      </c>
      <c r="M29">
        <v>15.300000000000001</v>
      </c>
      <c r="N29">
        <v>15.300000000000001</v>
      </c>
      <c r="O29">
        <v>15.300000000000001</v>
      </c>
      <c r="P29">
        <v>15.300000000000001</v>
      </c>
      <c r="Q29">
        <v>15.300000000000001</v>
      </c>
      <c r="R29">
        <v>15.300000000000001</v>
      </c>
      <c r="S29">
        <v>15.300000000000001</v>
      </c>
      <c r="T29">
        <v>15.300000000000001</v>
      </c>
      <c r="U29">
        <v>15.300000000000001</v>
      </c>
      <c r="V29">
        <v>15.300000000000001</v>
      </c>
      <c r="W29">
        <v>15.300000000000001</v>
      </c>
      <c r="X29">
        <v>15.300000000000001</v>
      </c>
      <c r="Y29">
        <v>15.300000000000001</v>
      </c>
      <c r="Z29">
        <v>15.300000000000001</v>
      </c>
      <c r="AA29">
        <v>15.300000000000001</v>
      </c>
      <c r="AB29">
        <v>15.300000000000001</v>
      </c>
      <c r="AC29">
        <v>15.300000000000001</v>
      </c>
      <c r="AD29">
        <v>15.300000000000001</v>
      </c>
      <c r="AE29">
        <v>15.300000000000001</v>
      </c>
      <c r="AF29">
        <v>15.300000000000001</v>
      </c>
      <c r="AG29">
        <v>15.300000000000001</v>
      </c>
      <c r="AH29">
        <v>15.300000000000001</v>
      </c>
      <c r="AI29">
        <v>15.300000000000001</v>
      </c>
      <c r="AJ29">
        <v>15.300000000000001</v>
      </c>
      <c r="AK29">
        <v>15.300000000000001</v>
      </c>
      <c r="AL29">
        <v>15.300000000000001</v>
      </c>
      <c r="AM29">
        <v>15.300000000000001</v>
      </c>
      <c r="AN29">
        <v>15.300000000000001</v>
      </c>
      <c r="AO29">
        <v>15.300000000000001</v>
      </c>
      <c r="AP29">
        <v>15.300000000000001</v>
      </c>
      <c r="AQ29">
        <v>15.300000000000001</v>
      </c>
      <c r="AR29">
        <v>15.300000000000001</v>
      </c>
      <c r="AS29">
        <v>15.300000000000001</v>
      </c>
      <c r="AT29">
        <v>15.300000000000001</v>
      </c>
      <c r="AU29">
        <v>15.300000000000001</v>
      </c>
      <c r="AV29">
        <v>15.300000000000001</v>
      </c>
      <c r="AW29" t="s">
        <v>296</v>
      </c>
    </row>
    <row r="30" spans="1:49" ht="12.75">
      <c r="A30" t="s">
        <v>295</v>
      </c>
      <c r="B30" t="s">
        <v>291</v>
      </c>
      <c r="C30" t="s">
        <v>113</v>
      </c>
      <c r="D30" t="s">
        <v>406</v>
      </c>
      <c r="E30" t="s">
        <v>296</v>
      </c>
      <c r="F30" t="s">
        <v>83</v>
      </c>
      <c r="G30" t="s">
        <v>474</v>
      </c>
      <c r="H30" t="s">
        <v>296</v>
      </c>
      <c r="I30" t="s">
        <v>296</v>
      </c>
      <c r="J30" t="s">
        <v>296</v>
      </c>
      <c r="K30" t="s">
        <v>296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 t="s">
        <v>296</v>
      </c>
    </row>
    <row r="31" spans="1:49" ht="12.75">
      <c r="A31" t="s">
        <v>295</v>
      </c>
      <c r="B31" t="s">
        <v>291</v>
      </c>
      <c r="C31" t="s">
        <v>113</v>
      </c>
      <c r="D31" t="s">
        <v>37</v>
      </c>
      <c r="E31" t="s">
        <v>296</v>
      </c>
      <c r="F31" t="s">
        <v>83</v>
      </c>
      <c r="G31" t="s">
        <v>474</v>
      </c>
      <c r="H31" t="s">
        <v>296</v>
      </c>
      <c r="I31" t="s">
        <v>296</v>
      </c>
      <c r="J31" t="s">
        <v>296</v>
      </c>
      <c r="K31" t="s">
        <v>296</v>
      </c>
      <c r="L31">
        <v>0.5</v>
      </c>
      <c r="M31">
        <v>0.5</v>
      </c>
      <c r="N31">
        <v>0.5</v>
      </c>
      <c r="O31">
        <v>0.5</v>
      </c>
      <c r="P31">
        <v>0.5</v>
      </c>
      <c r="Q31">
        <v>0.5</v>
      </c>
      <c r="R31">
        <v>0.5</v>
      </c>
      <c r="S31">
        <v>0.5</v>
      </c>
      <c r="T31">
        <v>0.5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0.5</v>
      </c>
      <c r="AJ31">
        <v>0.5</v>
      </c>
      <c r="AK31">
        <v>0.5</v>
      </c>
      <c r="AL31">
        <v>0.5</v>
      </c>
      <c r="AM31">
        <v>0.5</v>
      </c>
      <c r="AN31">
        <v>0.5</v>
      </c>
      <c r="AO31">
        <v>0.5</v>
      </c>
      <c r="AP31">
        <v>0.5</v>
      </c>
      <c r="AQ31">
        <v>0.5</v>
      </c>
      <c r="AR31">
        <v>0.5</v>
      </c>
      <c r="AS31">
        <v>0.5</v>
      </c>
      <c r="AT31">
        <v>0.5</v>
      </c>
      <c r="AU31">
        <v>0.5</v>
      </c>
      <c r="AV31">
        <v>0.5</v>
      </c>
      <c r="AW31" t="s">
        <v>296</v>
      </c>
    </row>
    <row r="32" spans="1:49" ht="12.75">
      <c r="A32" t="s">
        <v>295</v>
      </c>
      <c r="B32" t="s">
        <v>291</v>
      </c>
      <c r="C32" t="s">
        <v>113</v>
      </c>
      <c r="D32" t="s">
        <v>38</v>
      </c>
      <c r="E32" t="s">
        <v>296</v>
      </c>
      <c r="F32" t="s">
        <v>83</v>
      </c>
      <c r="G32" t="s">
        <v>474</v>
      </c>
      <c r="H32" t="s">
        <v>296</v>
      </c>
      <c r="I32" t="s">
        <v>296</v>
      </c>
      <c r="J32" t="s">
        <v>296</v>
      </c>
      <c r="K32" t="s">
        <v>296</v>
      </c>
      <c r="L32">
        <v>15.300000000000001</v>
      </c>
      <c r="M32">
        <v>15.300000000000001</v>
      </c>
      <c r="N32">
        <v>15.300000000000001</v>
      </c>
      <c r="O32">
        <v>15.300000000000001</v>
      </c>
      <c r="P32">
        <v>15.300000000000001</v>
      </c>
      <c r="Q32">
        <v>15.300000000000001</v>
      </c>
      <c r="R32">
        <v>15.300000000000001</v>
      </c>
      <c r="S32">
        <v>15.300000000000001</v>
      </c>
      <c r="T32">
        <v>15.300000000000001</v>
      </c>
      <c r="U32">
        <v>15.300000000000001</v>
      </c>
      <c r="V32">
        <v>14.535</v>
      </c>
      <c r="W32">
        <v>10.098000000000001</v>
      </c>
      <c r="X32">
        <v>15.300000000000001</v>
      </c>
      <c r="Y32">
        <v>15.300000000000001</v>
      </c>
      <c r="Z32">
        <v>15.300000000000001</v>
      </c>
      <c r="AA32">
        <v>15.300000000000001</v>
      </c>
      <c r="AB32">
        <v>13.77</v>
      </c>
      <c r="AC32">
        <v>15.300000000000001</v>
      </c>
      <c r="AD32">
        <v>15.300000000000001</v>
      </c>
      <c r="AE32">
        <v>15.300000000000001</v>
      </c>
      <c r="AF32">
        <v>15.300000000000001</v>
      </c>
      <c r="AG32">
        <v>14.535</v>
      </c>
      <c r="AH32">
        <v>15.300000000000001</v>
      </c>
      <c r="AI32">
        <v>15.300000000000001</v>
      </c>
      <c r="AJ32">
        <v>15.300000000000001</v>
      </c>
      <c r="AK32">
        <v>15.300000000000001</v>
      </c>
      <c r="AL32">
        <v>15.300000000000001</v>
      </c>
      <c r="AM32">
        <v>15.300000000000001</v>
      </c>
      <c r="AN32">
        <v>15.300000000000001</v>
      </c>
      <c r="AO32">
        <v>15.300000000000001</v>
      </c>
      <c r="AP32">
        <v>15.300000000000001</v>
      </c>
      <c r="AQ32">
        <v>15.300000000000001</v>
      </c>
      <c r="AR32">
        <v>9.9450000000000003</v>
      </c>
      <c r="AS32">
        <v>15.300000000000001</v>
      </c>
      <c r="AT32">
        <v>15.300000000000001</v>
      </c>
      <c r="AU32">
        <v>15.300000000000001</v>
      </c>
      <c r="AV32">
        <v>15.300000000000001</v>
      </c>
      <c r="AW32" t="s">
        <v>296</v>
      </c>
    </row>
    <row r="33" spans="1:49" ht="12.75">
      <c r="A33" t="s">
        <v>295</v>
      </c>
      <c r="B33" t="s">
        <v>291</v>
      </c>
      <c r="C33" t="s">
        <v>115</v>
      </c>
      <c r="D33" t="s">
        <v>406</v>
      </c>
      <c r="E33" t="s">
        <v>296</v>
      </c>
      <c r="F33" t="s">
        <v>83</v>
      </c>
      <c r="G33" t="s">
        <v>474</v>
      </c>
      <c r="H33" t="s">
        <v>296</v>
      </c>
      <c r="I33" t="s">
        <v>296</v>
      </c>
      <c r="J33" t="s">
        <v>296</v>
      </c>
      <c r="K33" t="s">
        <v>296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 t="s">
        <v>296</v>
      </c>
    </row>
    <row r="34" spans="1:49" ht="12.75">
      <c r="A34" t="s">
        <v>295</v>
      </c>
      <c r="B34" t="s">
        <v>291</v>
      </c>
      <c r="C34" t="s">
        <v>115</v>
      </c>
      <c r="D34" t="s">
        <v>37</v>
      </c>
      <c r="E34" t="s">
        <v>296</v>
      </c>
      <c r="F34" t="s">
        <v>83</v>
      </c>
      <c r="G34" t="s">
        <v>474</v>
      </c>
      <c r="H34" t="s">
        <v>296</v>
      </c>
      <c r="I34" t="s">
        <v>296</v>
      </c>
      <c r="J34" t="s">
        <v>296</v>
      </c>
      <c r="K34" t="s">
        <v>296</v>
      </c>
      <c r="L34">
        <v>0.5</v>
      </c>
      <c r="M34">
        <v>0.5</v>
      </c>
      <c r="N34">
        <v>0.5</v>
      </c>
      <c r="O34">
        <v>0.5</v>
      </c>
      <c r="P34">
        <v>0.5</v>
      </c>
      <c r="Q34">
        <v>0.5</v>
      </c>
      <c r="R34">
        <v>0.5</v>
      </c>
      <c r="S34">
        <v>0.5</v>
      </c>
      <c r="T34">
        <v>0.5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0.5</v>
      </c>
      <c r="AI34">
        <v>0.5</v>
      </c>
      <c r="AJ34">
        <v>0.5</v>
      </c>
      <c r="AK34">
        <v>0.5</v>
      </c>
      <c r="AL34">
        <v>0.5</v>
      </c>
      <c r="AM34">
        <v>0.5</v>
      </c>
      <c r="AN34">
        <v>0.5</v>
      </c>
      <c r="AO34">
        <v>0.5</v>
      </c>
      <c r="AP34">
        <v>0.5</v>
      </c>
      <c r="AQ34">
        <v>0.5</v>
      </c>
      <c r="AR34">
        <v>0.5</v>
      </c>
      <c r="AS34">
        <v>0.5</v>
      </c>
      <c r="AT34">
        <v>0.5</v>
      </c>
      <c r="AU34">
        <v>0.5</v>
      </c>
      <c r="AV34">
        <v>0.5</v>
      </c>
      <c r="AW34" t="s">
        <v>296</v>
      </c>
    </row>
    <row r="35" spans="1:49" ht="12.75">
      <c r="A35" t="s">
        <v>295</v>
      </c>
      <c r="B35" t="s">
        <v>291</v>
      </c>
      <c r="C35" t="s">
        <v>115</v>
      </c>
      <c r="D35" t="s">
        <v>38</v>
      </c>
      <c r="E35" t="s">
        <v>296</v>
      </c>
      <c r="F35" t="s">
        <v>83</v>
      </c>
      <c r="G35" t="s">
        <v>474</v>
      </c>
      <c r="H35" t="s">
        <v>296</v>
      </c>
      <c r="I35" t="s">
        <v>296</v>
      </c>
      <c r="J35" t="s">
        <v>296</v>
      </c>
      <c r="K35" t="s">
        <v>296</v>
      </c>
      <c r="L35">
        <v>22.5</v>
      </c>
      <c r="M35">
        <v>22.5</v>
      </c>
      <c r="N35">
        <v>22.5</v>
      </c>
      <c r="O35">
        <v>22.5</v>
      </c>
      <c r="P35">
        <v>22.5</v>
      </c>
      <c r="Q35">
        <v>22.5</v>
      </c>
      <c r="R35">
        <v>22.5</v>
      </c>
      <c r="S35">
        <v>22.5</v>
      </c>
      <c r="T35">
        <v>22.5</v>
      </c>
      <c r="U35">
        <v>22.5</v>
      </c>
      <c r="V35">
        <v>22.5</v>
      </c>
      <c r="W35">
        <v>22.5</v>
      </c>
      <c r="X35">
        <v>22.5</v>
      </c>
      <c r="Y35">
        <v>22.5</v>
      </c>
      <c r="Z35">
        <v>14.625</v>
      </c>
      <c r="AA35">
        <v>22.5</v>
      </c>
      <c r="AB35">
        <v>14.625</v>
      </c>
      <c r="AC35">
        <v>22.5</v>
      </c>
      <c r="AD35">
        <v>22.5</v>
      </c>
      <c r="AE35">
        <v>22.5</v>
      </c>
      <c r="AF35">
        <v>22.5</v>
      </c>
      <c r="AG35">
        <v>22.5</v>
      </c>
      <c r="AH35">
        <v>22.5</v>
      </c>
      <c r="AI35">
        <v>22.5</v>
      </c>
      <c r="AJ35">
        <v>22.5</v>
      </c>
      <c r="AK35">
        <v>22.5</v>
      </c>
      <c r="AL35">
        <v>22.5</v>
      </c>
      <c r="AM35">
        <v>22.5</v>
      </c>
      <c r="AN35">
        <v>22.5</v>
      </c>
      <c r="AO35">
        <v>22.5</v>
      </c>
      <c r="AP35">
        <v>18.449999999999999</v>
      </c>
      <c r="AQ35">
        <v>22.5</v>
      </c>
      <c r="AR35">
        <v>22.5</v>
      </c>
      <c r="AS35">
        <v>22.5</v>
      </c>
      <c r="AT35">
        <v>22.5</v>
      </c>
      <c r="AU35">
        <v>22.5</v>
      </c>
      <c r="AV35">
        <v>22.5</v>
      </c>
      <c r="AW35" t="s">
        <v>296</v>
      </c>
    </row>
    <row r="36" spans="1:49" ht="12.75">
      <c r="A36" t="s">
        <v>295</v>
      </c>
      <c r="B36" t="s">
        <v>291</v>
      </c>
      <c r="C36" t="s">
        <v>297</v>
      </c>
      <c r="D36" t="s">
        <v>407</v>
      </c>
      <c r="E36" t="s">
        <v>296</v>
      </c>
      <c r="F36" t="s">
        <v>83</v>
      </c>
      <c r="G36" t="s">
        <v>474</v>
      </c>
      <c r="H36" t="s">
        <v>296</v>
      </c>
      <c r="I36" t="s">
        <v>296</v>
      </c>
      <c r="J36" t="s">
        <v>296</v>
      </c>
      <c r="K36" t="s">
        <v>296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 t="s">
        <v>296</v>
      </c>
    </row>
    <row r="37" spans="1:49" ht="12.75">
      <c r="A37" t="s">
        <v>295</v>
      </c>
      <c r="B37" t="s">
        <v>291</v>
      </c>
      <c r="C37" t="s">
        <v>297</v>
      </c>
      <c r="D37" t="s">
        <v>37</v>
      </c>
      <c r="E37" t="s">
        <v>296</v>
      </c>
      <c r="F37" t="s">
        <v>83</v>
      </c>
      <c r="G37" t="s">
        <v>474</v>
      </c>
      <c r="H37" t="s">
        <v>296</v>
      </c>
      <c r="I37" t="s">
        <v>296</v>
      </c>
      <c r="J37" t="s">
        <v>296</v>
      </c>
      <c r="K37" t="s">
        <v>296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 t="s">
        <v>296</v>
      </c>
    </row>
    <row r="38" spans="1:49" ht="12.75">
      <c r="A38" t="s">
        <v>295</v>
      </c>
      <c r="B38" t="s">
        <v>291</v>
      </c>
      <c r="C38" t="s">
        <v>298</v>
      </c>
      <c r="D38" t="s">
        <v>408</v>
      </c>
      <c r="E38" t="s">
        <v>296</v>
      </c>
      <c r="F38" t="s">
        <v>83</v>
      </c>
      <c r="G38" t="s">
        <v>474</v>
      </c>
      <c r="H38" t="s">
        <v>296</v>
      </c>
      <c r="I38" t="s">
        <v>296</v>
      </c>
      <c r="J38" t="s">
        <v>296</v>
      </c>
      <c r="K38" t="s">
        <v>296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 t="s">
        <v>296</v>
      </c>
    </row>
    <row r="39" spans="1:49" ht="12.75">
      <c r="A39" t="s">
        <v>295</v>
      </c>
      <c r="B39" t="s">
        <v>291</v>
      </c>
      <c r="C39" t="s">
        <v>298</v>
      </c>
      <c r="D39" t="s">
        <v>155</v>
      </c>
      <c r="E39" t="s">
        <v>296</v>
      </c>
      <c r="F39" t="s">
        <v>83</v>
      </c>
      <c r="G39" t="s">
        <v>474</v>
      </c>
      <c r="H39" t="s">
        <v>296</v>
      </c>
      <c r="I39" t="s">
        <v>296</v>
      </c>
      <c r="J39" t="s">
        <v>296</v>
      </c>
      <c r="K39" t="s">
        <v>296</v>
      </c>
      <c r="L39">
        <v>2</v>
      </c>
      <c r="M39">
        <v>2</v>
      </c>
      <c r="N39">
        <v>2</v>
      </c>
      <c r="O39">
        <v>2.8700000000000001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2</v>
      </c>
      <c r="X39">
        <v>2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1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2</v>
      </c>
      <c r="AV39">
        <v>2</v>
      </c>
      <c r="AW39" t="s">
        <v>296</v>
      </c>
    </row>
    <row r="40" spans="1:49" ht="12.75">
      <c r="A40" t="s">
        <v>295</v>
      </c>
      <c r="B40" t="s">
        <v>291</v>
      </c>
      <c r="C40" t="s">
        <v>299</v>
      </c>
      <c r="D40" t="s">
        <v>408</v>
      </c>
      <c r="E40" t="s">
        <v>296</v>
      </c>
      <c r="F40" t="s">
        <v>83</v>
      </c>
      <c r="G40" t="s">
        <v>474</v>
      </c>
      <c r="H40" t="s">
        <v>296</v>
      </c>
      <c r="I40" t="s">
        <v>296</v>
      </c>
      <c r="J40" t="s">
        <v>296</v>
      </c>
      <c r="K40" t="s">
        <v>296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 t="s">
        <v>296</v>
      </c>
    </row>
    <row r="41" spans="1:49" ht="12.75">
      <c r="A41" t="s">
        <v>295</v>
      </c>
      <c r="B41" t="s">
        <v>291</v>
      </c>
      <c r="C41" t="s">
        <v>299</v>
      </c>
      <c r="D41" t="s">
        <v>49</v>
      </c>
      <c r="E41" t="s">
        <v>296</v>
      </c>
      <c r="F41" t="s">
        <v>83</v>
      </c>
      <c r="G41" t="s">
        <v>474</v>
      </c>
      <c r="H41" t="s">
        <v>296</v>
      </c>
      <c r="I41" t="s">
        <v>296</v>
      </c>
      <c r="J41" t="s">
        <v>296</v>
      </c>
      <c r="K41" t="s">
        <v>296</v>
      </c>
      <c r="L41">
        <v>2</v>
      </c>
      <c r="M41">
        <v>2</v>
      </c>
      <c r="N41">
        <v>2</v>
      </c>
      <c r="O41">
        <v>2.8700000000000001</v>
      </c>
      <c r="P41">
        <v>2</v>
      </c>
      <c r="Q41">
        <v>2</v>
      </c>
      <c r="R41">
        <v>2</v>
      </c>
      <c r="S41">
        <v>2</v>
      </c>
      <c r="T41">
        <v>2</v>
      </c>
      <c r="U41">
        <v>2</v>
      </c>
      <c r="V41">
        <v>2</v>
      </c>
      <c r="W41">
        <v>2</v>
      </c>
      <c r="X41">
        <v>2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1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2</v>
      </c>
      <c r="AU41">
        <v>2</v>
      </c>
      <c r="AV41">
        <v>2</v>
      </c>
      <c r="AW41" t="s">
        <v>296</v>
      </c>
    </row>
    <row r="42" spans="1:49" ht="12.75">
      <c r="A42" t="s">
        <v>295</v>
      </c>
      <c r="B42" t="s">
        <v>291</v>
      </c>
      <c r="C42" t="s">
        <v>300</v>
      </c>
      <c r="D42" t="s">
        <v>408</v>
      </c>
      <c r="E42" t="s">
        <v>296</v>
      </c>
      <c r="F42" t="s">
        <v>83</v>
      </c>
      <c r="G42" t="s">
        <v>474</v>
      </c>
      <c r="H42" t="s">
        <v>296</v>
      </c>
      <c r="I42" t="s">
        <v>296</v>
      </c>
      <c r="J42" t="s">
        <v>296</v>
      </c>
      <c r="K42" t="s">
        <v>296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 t="s">
        <v>296</v>
      </c>
    </row>
    <row r="43" spans="1:49" ht="12.75">
      <c r="A43" t="s">
        <v>295</v>
      </c>
      <c r="B43" t="s">
        <v>291</v>
      </c>
      <c r="C43" t="s">
        <v>300</v>
      </c>
      <c r="D43" t="s">
        <v>51</v>
      </c>
      <c r="E43" t="s">
        <v>296</v>
      </c>
      <c r="F43" t="s">
        <v>83</v>
      </c>
      <c r="G43" t="s">
        <v>474</v>
      </c>
      <c r="H43" t="s">
        <v>296</v>
      </c>
      <c r="I43" t="s">
        <v>296</v>
      </c>
      <c r="J43" t="s">
        <v>296</v>
      </c>
      <c r="K43" t="s">
        <v>296</v>
      </c>
      <c r="L43">
        <v>2</v>
      </c>
      <c r="M43">
        <v>2</v>
      </c>
      <c r="N43">
        <v>2</v>
      </c>
      <c r="O43">
        <v>2.8700000000000001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2</v>
      </c>
      <c r="AC43">
        <v>2</v>
      </c>
      <c r="AD43">
        <v>2</v>
      </c>
      <c r="AE43">
        <v>2</v>
      </c>
      <c r="AF43">
        <v>2</v>
      </c>
      <c r="AG43">
        <v>2</v>
      </c>
      <c r="AH43">
        <v>2</v>
      </c>
      <c r="AI43">
        <v>2</v>
      </c>
      <c r="AJ43">
        <v>2</v>
      </c>
      <c r="AK43">
        <v>2</v>
      </c>
      <c r="AL43">
        <v>2</v>
      </c>
      <c r="AM43">
        <v>2</v>
      </c>
      <c r="AN43">
        <v>1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2</v>
      </c>
      <c r="AU43">
        <v>2</v>
      </c>
      <c r="AV43">
        <v>2</v>
      </c>
      <c r="AW43" t="s">
        <v>296</v>
      </c>
    </row>
    <row r="44" spans="1:49" ht="12.75">
      <c r="A44" t="s">
        <v>295</v>
      </c>
      <c r="B44" t="s">
        <v>291</v>
      </c>
      <c r="C44" t="s">
        <v>301</v>
      </c>
      <c r="D44" t="s">
        <v>408</v>
      </c>
      <c r="E44" t="s">
        <v>296</v>
      </c>
      <c r="F44" t="s">
        <v>83</v>
      </c>
      <c r="G44" t="s">
        <v>474</v>
      </c>
      <c r="H44" t="s">
        <v>296</v>
      </c>
      <c r="I44" t="s">
        <v>296</v>
      </c>
      <c r="J44" t="s">
        <v>296</v>
      </c>
      <c r="K44" t="s">
        <v>296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 t="s">
        <v>296</v>
      </c>
    </row>
    <row r="45" spans="1:49" ht="12.75">
      <c r="A45" t="s">
        <v>295</v>
      </c>
      <c r="B45" t="s">
        <v>291</v>
      </c>
      <c r="C45" t="s">
        <v>301</v>
      </c>
      <c r="D45" t="s">
        <v>37</v>
      </c>
      <c r="E45" t="s">
        <v>296</v>
      </c>
      <c r="F45" t="s">
        <v>83</v>
      </c>
      <c r="G45" t="s">
        <v>474</v>
      </c>
      <c r="H45" t="s">
        <v>296</v>
      </c>
      <c r="I45" t="s">
        <v>296</v>
      </c>
      <c r="J45" t="s">
        <v>296</v>
      </c>
      <c r="K45" t="s">
        <v>296</v>
      </c>
      <c r="L45">
        <v>1.0526315789473699</v>
      </c>
      <c r="M45">
        <v>1.0526315789473699</v>
      </c>
      <c r="N45">
        <v>1.0526315789473699</v>
      </c>
      <c r="O45">
        <v>1.06595744680851</v>
      </c>
      <c r="P45">
        <v>1.0526315789473699</v>
      </c>
      <c r="Q45">
        <v>1.1111111111111101</v>
      </c>
      <c r="R45">
        <v>1.0526315789473699</v>
      </c>
      <c r="S45">
        <v>1.0526315789473699</v>
      </c>
      <c r="T45">
        <v>1.0526315789473699</v>
      </c>
      <c r="U45">
        <v>1.0526315789473699</v>
      </c>
      <c r="V45">
        <v>1.1111111111111101</v>
      </c>
      <c r="W45">
        <v>1.0526315789473699</v>
      </c>
      <c r="X45">
        <v>1.1111111111111101</v>
      </c>
      <c r="Y45">
        <v>1.1111111111111101</v>
      </c>
      <c r="Z45">
        <v>1.0526315789473699</v>
      </c>
      <c r="AA45">
        <v>1.0526315789473699</v>
      </c>
      <c r="AB45">
        <v>1.0526315789473699</v>
      </c>
      <c r="AC45">
        <v>1.1100000000000001</v>
      </c>
      <c r="AD45">
        <v>1.0526315789473699</v>
      </c>
      <c r="AE45">
        <v>1.1111111111111101</v>
      </c>
      <c r="AF45">
        <v>1.0526315789473699</v>
      </c>
      <c r="AG45">
        <v>1.1111111111111101</v>
      </c>
      <c r="AH45">
        <v>1.0526315789473699</v>
      </c>
      <c r="AI45">
        <v>1.1111111111111101</v>
      </c>
      <c r="AJ45">
        <v>1.0526315789473699</v>
      </c>
      <c r="AK45">
        <v>1.0526315789473699</v>
      </c>
      <c r="AL45">
        <v>1.0526315789473699</v>
      </c>
      <c r="AM45">
        <v>1.1111111111111101</v>
      </c>
      <c r="AN45">
        <v>1</v>
      </c>
      <c r="AO45">
        <v>1.0526315789473699</v>
      </c>
      <c r="AP45">
        <v>1.1111111111111101</v>
      </c>
      <c r="AQ45">
        <v>1.1764705882352899</v>
      </c>
      <c r="AR45">
        <v>1.0526315789473699</v>
      </c>
      <c r="AS45">
        <v>1.1111111111111101</v>
      </c>
      <c r="AT45">
        <v>1.1111111111111101</v>
      </c>
      <c r="AU45">
        <v>1.0526315789473699</v>
      </c>
      <c r="AV45">
        <v>1</v>
      </c>
      <c r="AW45" t="s">
        <v>296</v>
      </c>
    </row>
    <row r="46" spans="1:49" ht="12.75">
      <c r="A46" t="s">
        <v>295</v>
      </c>
      <c r="B46" t="s">
        <v>291</v>
      </c>
      <c r="C46" t="s">
        <v>302</v>
      </c>
      <c r="D46" t="s">
        <v>408</v>
      </c>
      <c r="E46" t="s">
        <v>296</v>
      </c>
      <c r="F46" t="s">
        <v>83</v>
      </c>
      <c r="G46" t="s">
        <v>474</v>
      </c>
      <c r="H46" t="s">
        <v>296</v>
      </c>
      <c r="I46" t="s">
        <v>296</v>
      </c>
      <c r="J46" t="s">
        <v>296</v>
      </c>
      <c r="K46" t="s">
        <v>296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 t="s">
        <v>296</v>
      </c>
    </row>
    <row r="47" spans="1:49" ht="12.75">
      <c r="A47" t="s">
        <v>295</v>
      </c>
      <c r="B47" t="s">
        <v>291</v>
      </c>
      <c r="C47" t="s">
        <v>302</v>
      </c>
      <c r="D47" t="s">
        <v>38</v>
      </c>
      <c r="E47" t="s">
        <v>296</v>
      </c>
      <c r="F47" t="s">
        <v>83</v>
      </c>
      <c r="G47" t="s">
        <v>474</v>
      </c>
      <c r="H47" t="s">
        <v>296</v>
      </c>
      <c r="I47" t="s">
        <v>296</v>
      </c>
      <c r="J47" t="s">
        <v>296</v>
      </c>
      <c r="K47" t="s">
        <v>296</v>
      </c>
      <c r="L47">
        <v>2</v>
      </c>
      <c r="M47">
        <v>2</v>
      </c>
      <c r="N47">
        <v>2</v>
      </c>
      <c r="O47">
        <v>2.8700000000000001</v>
      </c>
      <c r="P47">
        <v>2</v>
      </c>
      <c r="Q47">
        <v>2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2</v>
      </c>
      <c r="AG47">
        <v>2</v>
      </c>
      <c r="AH47">
        <v>2</v>
      </c>
      <c r="AI47">
        <v>2</v>
      </c>
      <c r="AJ47">
        <v>2</v>
      </c>
      <c r="AK47">
        <v>2</v>
      </c>
      <c r="AL47">
        <v>2</v>
      </c>
      <c r="AM47">
        <v>2</v>
      </c>
      <c r="AN47">
        <v>1</v>
      </c>
      <c r="AO47">
        <v>2</v>
      </c>
      <c r="AP47">
        <v>2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 t="s">
        <v>296</v>
      </c>
    </row>
    <row r="48" spans="1:49" ht="12.75">
      <c r="A48" t="s">
        <v>295</v>
      </c>
      <c r="B48" t="s">
        <v>291</v>
      </c>
      <c r="C48" t="s">
        <v>303</v>
      </c>
      <c r="D48" t="s">
        <v>408</v>
      </c>
      <c r="E48" t="s">
        <v>296</v>
      </c>
      <c r="F48" t="s">
        <v>83</v>
      </c>
      <c r="G48" t="s">
        <v>474</v>
      </c>
      <c r="H48" t="s">
        <v>296</v>
      </c>
      <c r="I48" t="s">
        <v>296</v>
      </c>
      <c r="J48" t="s">
        <v>296</v>
      </c>
      <c r="K48" t="s">
        <v>296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 t="s">
        <v>296</v>
      </c>
    </row>
    <row r="49" spans="1:49" ht="12.75">
      <c r="A49" t="s">
        <v>295</v>
      </c>
      <c r="B49" t="s">
        <v>291</v>
      </c>
      <c r="C49" t="s">
        <v>303</v>
      </c>
      <c r="D49" t="s">
        <v>43</v>
      </c>
      <c r="E49" t="s">
        <v>296</v>
      </c>
      <c r="F49" t="s">
        <v>83</v>
      </c>
      <c r="G49" t="s">
        <v>474</v>
      </c>
      <c r="H49" t="s">
        <v>296</v>
      </c>
      <c r="I49" t="s">
        <v>296</v>
      </c>
      <c r="J49" t="s">
        <v>296</v>
      </c>
      <c r="K49" t="s">
        <v>296</v>
      </c>
      <c r="L49">
        <v>2</v>
      </c>
      <c r="M49">
        <v>2</v>
      </c>
      <c r="N49">
        <v>2</v>
      </c>
      <c r="O49">
        <v>2.8700000000000001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2</v>
      </c>
      <c r="Z49">
        <v>2</v>
      </c>
      <c r="AA49">
        <v>2</v>
      </c>
      <c r="AB49">
        <v>2</v>
      </c>
      <c r="AC49">
        <v>2</v>
      </c>
      <c r="AD49">
        <v>2</v>
      </c>
      <c r="AE49">
        <v>2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>
        <v>2</v>
      </c>
      <c r="AM49">
        <v>2</v>
      </c>
      <c r="AN49">
        <v>1</v>
      </c>
      <c r="AO49">
        <v>2</v>
      </c>
      <c r="AP49">
        <v>2</v>
      </c>
      <c r="AQ49">
        <v>2</v>
      </c>
      <c r="AR49">
        <v>2</v>
      </c>
      <c r="AS49">
        <v>2</v>
      </c>
      <c r="AT49">
        <v>2</v>
      </c>
      <c r="AU49">
        <v>2</v>
      </c>
      <c r="AV49">
        <v>2</v>
      </c>
      <c r="AW49" t="s">
        <v>296</v>
      </c>
    </row>
    <row r="50" spans="1:49" ht="12.75">
      <c r="A50" t="s">
        <v>295</v>
      </c>
      <c r="B50" t="s">
        <v>291</v>
      </c>
      <c r="C50" t="s">
        <v>304</v>
      </c>
      <c r="D50" t="s">
        <v>408</v>
      </c>
      <c r="E50" t="s">
        <v>296</v>
      </c>
      <c r="F50" t="s">
        <v>83</v>
      </c>
      <c r="G50" t="s">
        <v>474</v>
      </c>
      <c r="H50" t="s">
        <v>296</v>
      </c>
      <c r="I50" t="s">
        <v>296</v>
      </c>
      <c r="J50" t="s">
        <v>296</v>
      </c>
      <c r="K50" t="s">
        <v>296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 t="s">
        <v>296</v>
      </c>
    </row>
    <row r="51" spans="1:49" ht="12.75">
      <c r="A51" t="s">
        <v>295</v>
      </c>
      <c r="B51" t="s">
        <v>291</v>
      </c>
      <c r="C51" t="s">
        <v>304</v>
      </c>
      <c r="D51" t="s">
        <v>39</v>
      </c>
      <c r="E51" t="s">
        <v>296</v>
      </c>
      <c r="F51" t="s">
        <v>83</v>
      </c>
      <c r="G51" t="s">
        <v>474</v>
      </c>
      <c r="H51" t="s">
        <v>296</v>
      </c>
      <c r="I51" t="s">
        <v>296</v>
      </c>
      <c r="J51" t="s">
        <v>296</v>
      </c>
      <c r="K51" t="s">
        <v>296</v>
      </c>
      <c r="L51">
        <v>2</v>
      </c>
      <c r="M51">
        <v>2</v>
      </c>
      <c r="N51">
        <v>2</v>
      </c>
      <c r="O51">
        <v>2.8700000000000001</v>
      </c>
      <c r="P51">
        <v>2</v>
      </c>
      <c r="Q51">
        <v>2</v>
      </c>
      <c r="R51">
        <v>2</v>
      </c>
      <c r="S51">
        <v>2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>
        <v>2</v>
      </c>
      <c r="AM51">
        <v>2</v>
      </c>
      <c r="AN51">
        <v>1</v>
      </c>
      <c r="AO51">
        <v>2</v>
      </c>
      <c r="AP51">
        <v>2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 t="s">
        <v>296</v>
      </c>
    </row>
    <row r="52" spans="1:49" ht="12.75">
      <c r="A52" t="s">
        <v>295</v>
      </c>
      <c r="B52" t="s">
        <v>291</v>
      </c>
      <c r="C52" t="s">
        <v>305</v>
      </c>
      <c r="D52" t="s">
        <v>408</v>
      </c>
      <c r="E52" t="s">
        <v>296</v>
      </c>
      <c r="F52" t="s">
        <v>83</v>
      </c>
      <c r="G52" t="s">
        <v>474</v>
      </c>
      <c r="H52" t="s">
        <v>296</v>
      </c>
      <c r="I52" t="s">
        <v>296</v>
      </c>
      <c r="J52" t="s">
        <v>296</v>
      </c>
      <c r="K52" t="s">
        <v>296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 t="s">
        <v>296</v>
      </c>
    </row>
    <row r="53" spans="1:49" ht="12.75">
      <c r="A53" t="s">
        <v>295</v>
      </c>
      <c r="B53" t="s">
        <v>291</v>
      </c>
      <c r="C53" t="s">
        <v>305</v>
      </c>
      <c r="D53" t="s">
        <v>44</v>
      </c>
      <c r="E53" t="s">
        <v>296</v>
      </c>
      <c r="F53" t="s">
        <v>83</v>
      </c>
      <c r="G53" t="s">
        <v>474</v>
      </c>
      <c r="H53" t="s">
        <v>296</v>
      </c>
      <c r="I53" t="s">
        <v>296</v>
      </c>
      <c r="J53" t="s">
        <v>296</v>
      </c>
      <c r="K53" t="s">
        <v>296</v>
      </c>
      <c r="L53">
        <v>2</v>
      </c>
      <c r="M53">
        <v>2</v>
      </c>
      <c r="N53">
        <v>2</v>
      </c>
      <c r="O53">
        <v>2.8700000000000001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2</v>
      </c>
      <c r="Y53">
        <v>2</v>
      </c>
      <c r="Z53">
        <v>2</v>
      </c>
      <c r="AA53">
        <v>2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1</v>
      </c>
      <c r="AO53">
        <v>2</v>
      </c>
      <c r="AP53">
        <v>2</v>
      </c>
      <c r="AQ53">
        <v>2</v>
      </c>
      <c r="AR53">
        <v>2</v>
      </c>
      <c r="AS53">
        <v>2</v>
      </c>
      <c r="AT53">
        <v>2</v>
      </c>
      <c r="AU53">
        <v>2</v>
      </c>
      <c r="AV53">
        <v>2</v>
      </c>
      <c r="AW53" t="s">
        <v>296</v>
      </c>
    </row>
    <row r="54" spans="1:49" ht="12.75">
      <c r="A54" t="s">
        <v>295</v>
      </c>
      <c r="B54" t="s">
        <v>291</v>
      </c>
      <c r="C54" t="s">
        <v>306</v>
      </c>
      <c r="D54" t="s">
        <v>409</v>
      </c>
      <c r="E54" t="s">
        <v>296</v>
      </c>
      <c r="F54" t="s">
        <v>83</v>
      </c>
      <c r="G54" t="s">
        <v>474</v>
      </c>
      <c r="H54" t="s">
        <v>296</v>
      </c>
      <c r="I54" t="s">
        <v>296</v>
      </c>
      <c r="J54" t="s">
        <v>296</v>
      </c>
      <c r="K54" t="s">
        <v>296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 t="s">
        <v>296</v>
      </c>
    </row>
    <row r="55" spans="1:49" ht="12.75">
      <c r="A55" t="s">
        <v>295</v>
      </c>
      <c r="B55" t="s">
        <v>291</v>
      </c>
      <c r="C55" t="s">
        <v>306</v>
      </c>
      <c r="D55" t="s">
        <v>155</v>
      </c>
      <c r="E55" t="s">
        <v>296</v>
      </c>
      <c r="F55" t="s">
        <v>83</v>
      </c>
      <c r="G55" t="s">
        <v>474</v>
      </c>
      <c r="H55" t="s">
        <v>296</v>
      </c>
      <c r="I55" t="s">
        <v>296</v>
      </c>
      <c r="J55" t="s">
        <v>296</v>
      </c>
      <c r="K55" t="s">
        <v>296</v>
      </c>
      <c r="L55">
        <v>1.25</v>
      </c>
      <c r="M55">
        <v>1.25</v>
      </c>
      <c r="N55">
        <v>1.25</v>
      </c>
      <c r="O55">
        <v>1.25</v>
      </c>
      <c r="P55">
        <v>1.25</v>
      </c>
      <c r="Q55">
        <v>1.25</v>
      </c>
      <c r="R55">
        <v>1.25</v>
      </c>
      <c r="S55">
        <v>1.25</v>
      </c>
      <c r="T55">
        <v>1.25</v>
      </c>
      <c r="U55">
        <v>1.25</v>
      </c>
      <c r="V55">
        <v>1.25</v>
      </c>
      <c r="W55">
        <v>1.25</v>
      </c>
      <c r="X55">
        <v>1.25</v>
      </c>
      <c r="Y55">
        <v>1.25</v>
      </c>
      <c r="Z55">
        <v>1.25</v>
      </c>
      <c r="AA55">
        <v>1.25</v>
      </c>
      <c r="AB55">
        <v>1.25</v>
      </c>
      <c r="AC55">
        <v>1.25</v>
      </c>
      <c r="AD55">
        <v>1.25</v>
      </c>
      <c r="AE55">
        <v>1.25</v>
      </c>
      <c r="AF55">
        <v>1.25</v>
      </c>
      <c r="AG55">
        <v>1.25</v>
      </c>
      <c r="AH55">
        <v>1.25</v>
      </c>
      <c r="AI55">
        <v>1.25</v>
      </c>
      <c r="AJ55">
        <v>1.25</v>
      </c>
      <c r="AK55">
        <v>1.25</v>
      </c>
      <c r="AL55">
        <v>1.25</v>
      </c>
      <c r="AM55">
        <v>1.25</v>
      </c>
      <c r="AN55">
        <v>1.25</v>
      </c>
      <c r="AO55">
        <v>1.25</v>
      </c>
      <c r="AP55">
        <v>1.25</v>
      </c>
      <c r="AQ55">
        <v>1.25</v>
      </c>
      <c r="AR55">
        <v>1.25</v>
      </c>
      <c r="AS55">
        <v>1.25</v>
      </c>
      <c r="AT55">
        <v>1.25</v>
      </c>
      <c r="AU55">
        <v>1.25</v>
      </c>
      <c r="AV55">
        <v>1.25</v>
      </c>
      <c r="AW55" t="s">
        <v>296</v>
      </c>
    </row>
    <row r="56" spans="1:49" ht="12.75">
      <c r="A56" t="s">
        <v>295</v>
      </c>
      <c r="B56" t="s">
        <v>291</v>
      </c>
      <c r="C56" t="s">
        <v>307</v>
      </c>
      <c r="D56" t="s">
        <v>409</v>
      </c>
      <c r="E56" t="s">
        <v>296</v>
      </c>
      <c r="F56" t="s">
        <v>83</v>
      </c>
      <c r="G56" t="s">
        <v>474</v>
      </c>
      <c r="H56" t="s">
        <v>296</v>
      </c>
      <c r="I56" t="s">
        <v>296</v>
      </c>
      <c r="J56" t="s">
        <v>296</v>
      </c>
      <c r="K56" t="s">
        <v>296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 t="s">
        <v>296</v>
      </c>
    </row>
    <row r="57" spans="1:49" ht="12.75">
      <c r="A57" t="s">
        <v>295</v>
      </c>
      <c r="B57" t="s">
        <v>291</v>
      </c>
      <c r="C57" t="s">
        <v>307</v>
      </c>
      <c r="D57" t="s">
        <v>49</v>
      </c>
      <c r="E57" t="s">
        <v>296</v>
      </c>
      <c r="F57" t="s">
        <v>83</v>
      </c>
      <c r="G57" t="s">
        <v>474</v>
      </c>
      <c r="H57" t="s">
        <v>296</v>
      </c>
      <c r="I57" t="s">
        <v>296</v>
      </c>
      <c r="J57" t="s">
        <v>296</v>
      </c>
      <c r="K57" t="s">
        <v>296</v>
      </c>
      <c r="L57">
        <v>1.25</v>
      </c>
      <c r="M57">
        <v>1.25</v>
      </c>
      <c r="N57">
        <v>1.25</v>
      </c>
      <c r="O57">
        <v>1.25</v>
      </c>
      <c r="P57">
        <v>1.25</v>
      </c>
      <c r="Q57">
        <v>1.25</v>
      </c>
      <c r="R57">
        <v>1.25</v>
      </c>
      <c r="S57">
        <v>1.25</v>
      </c>
      <c r="T57">
        <v>1.25</v>
      </c>
      <c r="U57">
        <v>1.25</v>
      </c>
      <c r="V57">
        <v>1.25</v>
      </c>
      <c r="W57">
        <v>1.25</v>
      </c>
      <c r="X57">
        <v>1.25</v>
      </c>
      <c r="Y57">
        <v>1.25</v>
      </c>
      <c r="Z57">
        <v>1.25</v>
      </c>
      <c r="AA57">
        <v>1.25</v>
      </c>
      <c r="AB57">
        <v>1.25</v>
      </c>
      <c r="AC57">
        <v>1.25</v>
      </c>
      <c r="AD57">
        <v>1.25</v>
      </c>
      <c r="AE57">
        <v>1.25</v>
      </c>
      <c r="AF57">
        <v>1.25</v>
      </c>
      <c r="AG57">
        <v>1.25</v>
      </c>
      <c r="AH57">
        <v>1.25</v>
      </c>
      <c r="AI57">
        <v>1.25</v>
      </c>
      <c r="AJ57">
        <v>1.25</v>
      </c>
      <c r="AK57">
        <v>1.25</v>
      </c>
      <c r="AL57">
        <v>1.25</v>
      </c>
      <c r="AM57">
        <v>1.25</v>
      </c>
      <c r="AN57">
        <v>1</v>
      </c>
      <c r="AO57">
        <v>1.25</v>
      </c>
      <c r="AP57">
        <v>1.25</v>
      </c>
      <c r="AQ57">
        <v>1.25</v>
      </c>
      <c r="AR57">
        <v>1.25</v>
      </c>
      <c r="AS57">
        <v>1.25</v>
      </c>
      <c r="AT57">
        <v>1.25</v>
      </c>
      <c r="AU57">
        <v>1.25</v>
      </c>
      <c r="AV57">
        <v>1.25</v>
      </c>
      <c r="AW57" t="s">
        <v>296</v>
      </c>
    </row>
    <row r="58" spans="1:49" ht="12.75">
      <c r="A58" t="s">
        <v>295</v>
      </c>
      <c r="B58" t="s">
        <v>291</v>
      </c>
      <c r="C58" t="s">
        <v>308</v>
      </c>
      <c r="D58" t="s">
        <v>409</v>
      </c>
      <c r="E58" t="s">
        <v>296</v>
      </c>
      <c r="F58" t="s">
        <v>83</v>
      </c>
      <c r="G58" t="s">
        <v>474</v>
      </c>
      <c r="H58" t="s">
        <v>296</v>
      </c>
      <c r="I58" t="s">
        <v>296</v>
      </c>
      <c r="J58" t="s">
        <v>296</v>
      </c>
      <c r="K58" t="s">
        <v>296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 t="s">
        <v>296</v>
      </c>
    </row>
    <row r="59" spans="1:49" ht="12.75">
      <c r="A59" t="s">
        <v>295</v>
      </c>
      <c r="B59" t="s">
        <v>291</v>
      </c>
      <c r="C59" t="s">
        <v>308</v>
      </c>
      <c r="D59" t="s">
        <v>51</v>
      </c>
      <c r="E59" t="s">
        <v>296</v>
      </c>
      <c r="F59" t="s">
        <v>83</v>
      </c>
      <c r="G59" t="s">
        <v>474</v>
      </c>
      <c r="H59" t="s">
        <v>296</v>
      </c>
      <c r="I59" t="s">
        <v>296</v>
      </c>
      <c r="J59" t="s">
        <v>296</v>
      </c>
      <c r="K59" t="s">
        <v>296</v>
      </c>
      <c r="L59">
        <v>1.25</v>
      </c>
      <c r="M59">
        <v>1.25</v>
      </c>
      <c r="N59">
        <v>1.25</v>
      </c>
      <c r="O59">
        <v>1.25</v>
      </c>
      <c r="P59">
        <v>1.25</v>
      </c>
      <c r="Q59">
        <v>1.25</v>
      </c>
      <c r="R59">
        <v>1.25</v>
      </c>
      <c r="S59">
        <v>1.25</v>
      </c>
      <c r="T59">
        <v>1.25</v>
      </c>
      <c r="U59">
        <v>1.25</v>
      </c>
      <c r="V59">
        <v>1.25</v>
      </c>
      <c r="W59">
        <v>1.25</v>
      </c>
      <c r="X59">
        <v>1.25</v>
      </c>
      <c r="Y59">
        <v>1.25</v>
      </c>
      <c r="Z59">
        <v>1.25</v>
      </c>
      <c r="AA59">
        <v>1.25</v>
      </c>
      <c r="AB59">
        <v>1.25</v>
      </c>
      <c r="AC59">
        <v>1.25</v>
      </c>
      <c r="AD59">
        <v>1.25</v>
      </c>
      <c r="AE59">
        <v>1.25</v>
      </c>
      <c r="AF59">
        <v>1.25</v>
      </c>
      <c r="AG59">
        <v>1.25</v>
      </c>
      <c r="AH59">
        <v>1.25</v>
      </c>
      <c r="AI59">
        <v>1.25</v>
      </c>
      <c r="AJ59">
        <v>1.25</v>
      </c>
      <c r="AK59">
        <v>1.25</v>
      </c>
      <c r="AL59">
        <v>1.25</v>
      </c>
      <c r="AM59">
        <v>1.25</v>
      </c>
      <c r="AN59">
        <v>1</v>
      </c>
      <c r="AO59">
        <v>1.25</v>
      </c>
      <c r="AP59">
        <v>1.25</v>
      </c>
      <c r="AQ59">
        <v>1.25</v>
      </c>
      <c r="AR59">
        <v>1.25</v>
      </c>
      <c r="AS59">
        <v>1.25</v>
      </c>
      <c r="AT59">
        <v>1.25</v>
      </c>
      <c r="AU59">
        <v>1.25</v>
      </c>
      <c r="AV59">
        <v>1.2987012987013</v>
      </c>
      <c r="AW59" t="s">
        <v>296</v>
      </c>
    </row>
    <row r="60" spans="1:49" ht="12.75">
      <c r="A60" t="s">
        <v>295</v>
      </c>
      <c r="B60" t="s">
        <v>291</v>
      </c>
      <c r="C60" t="s">
        <v>309</v>
      </c>
      <c r="D60" t="s">
        <v>409</v>
      </c>
      <c r="E60" t="s">
        <v>296</v>
      </c>
      <c r="F60" t="s">
        <v>83</v>
      </c>
      <c r="G60" t="s">
        <v>474</v>
      </c>
      <c r="H60" t="s">
        <v>296</v>
      </c>
      <c r="I60" t="s">
        <v>296</v>
      </c>
      <c r="J60" t="s">
        <v>296</v>
      </c>
      <c r="K60" t="s">
        <v>296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 t="s">
        <v>296</v>
      </c>
    </row>
    <row r="61" spans="1:49" ht="12.75">
      <c r="A61" t="s">
        <v>295</v>
      </c>
      <c r="B61" t="s">
        <v>291</v>
      </c>
      <c r="C61" t="s">
        <v>309</v>
      </c>
      <c r="D61" t="s">
        <v>37</v>
      </c>
      <c r="E61" t="s">
        <v>296</v>
      </c>
      <c r="F61" t="s">
        <v>83</v>
      </c>
      <c r="G61" t="s">
        <v>474</v>
      </c>
      <c r="H61" t="s">
        <v>296</v>
      </c>
      <c r="I61" t="s">
        <v>296</v>
      </c>
      <c r="J61" t="s">
        <v>296</v>
      </c>
      <c r="K61" t="s">
        <v>296</v>
      </c>
      <c r="L61">
        <v>1</v>
      </c>
      <c r="M61">
        <v>1</v>
      </c>
      <c r="N61">
        <v>1</v>
      </c>
      <c r="O61">
        <v>1.1764705882352899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1.13636363636364</v>
      </c>
      <c r="AW61" t="s">
        <v>296</v>
      </c>
    </row>
    <row r="62" spans="1:49" ht="12.75">
      <c r="A62" t="s">
        <v>295</v>
      </c>
      <c r="B62" t="s">
        <v>291</v>
      </c>
      <c r="C62" t="s">
        <v>310</v>
      </c>
      <c r="D62" t="s">
        <v>409</v>
      </c>
      <c r="E62" t="s">
        <v>296</v>
      </c>
      <c r="F62" t="s">
        <v>83</v>
      </c>
      <c r="G62" t="s">
        <v>474</v>
      </c>
      <c r="H62" t="s">
        <v>296</v>
      </c>
      <c r="I62" t="s">
        <v>296</v>
      </c>
      <c r="J62" t="s">
        <v>296</v>
      </c>
      <c r="K62" t="s">
        <v>296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 t="s">
        <v>296</v>
      </c>
    </row>
    <row r="63" spans="1:49" ht="12.75">
      <c r="A63" t="s">
        <v>295</v>
      </c>
      <c r="B63" t="s">
        <v>291</v>
      </c>
      <c r="C63" t="s">
        <v>310</v>
      </c>
      <c r="D63" t="s">
        <v>38</v>
      </c>
      <c r="E63" t="s">
        <v>296</v>
      </c>
      <c r="F63" t="s">
        <v>83</v>
      </c>
      <c r="G63" t="s">
        <v>474</v>
      </c>
      <c r="H63" t="s">
        <v>296</v>
      </c>
      <c r="I63" t="s">
        <v>296</v>
      </c>
      <c r="J63" t="s">
        <v>296</v>
      </c>
      <c r="K63" t="s">
        <v>296</v>
      </c>
      <c r="L63">
        <v>1.25</v>
      </c>
      <c r="M63">
        <v>1.25</v>
      </c>
      <c r="N63">
        <v>1.25</v>
      </c>
      <c r="O63">
        <v>1.25</v>
      </c>
      <c r="P63">
        <v>1.25</v>
      </c>
      <c r="Q63">
        <v>1.25</v>
      </c>
      <c r="R63">
        <v>1.25</v>
      </c>
      <c r="S63">
        <v>1.25</v>
      </c>
      <c r="T63">
        <v>1.25</v>
      </c>
      <c r="U63">
        <v>1.25</v>
      </c>
      <c r="V63">
        <v>1.25</v>
      </c>
      <c r="W63">
        <v>1.25</v>
      </c>
      <c r="X63">
        <v>1.25</v>
      </c>
      <c r="Y63">
        <v>1.25</v>
      </c>
      <c r="Z63">
        <v>1.25</v>
      </c>
      <c r="AA63">
        <v>1.25</v>
      </c>
      <c r="AB63">
        <v>1.25</v>
      </c>
      <c r="AC63">
        <v>1.25</v>
      </c>
      <c r="AD63">
        <v>1.25</v>
      </c>
      <c r="AE63">
        <v>1.25</v>
      </c>
      <c r="AF63">
        <v>1.25</v>
      </c>
      <c r="AG63">
        <v>1.25</v>
      </c>
      <c r="AH63">
        <v>1.25</v>
      </c>
      <c r="AI63">
        <v>1.25</v>
      </c>
      <c r="AJ63">
        <v>1.25</v>
      </c>
      <c r="AK63">
        <v>1.25</v>
      </c>
      <c r="AL63">
        <v>1.25</v>
      </c>
      <c r="AM63">
        <v>1.25</v>
      </c>
      <c r="AN63">
        <v>1</v>
      </c>
      <c r="AO63">
        <v>1.25</v>
      </c>
      <c r="AP63">
        <v>1.25</v>
      </c>
      <c r="AQ63">
        <v>1.25</v>
      </c>
      <c r="AR63">
        <v>1.25</v>
      </c>
      <c r="AS63">
        <v>1.25</v>
      </c>
      <c r="AT63">
        <v>1.25</v>
      </c>
      <c r="AU63">
        <v>1.25</v>
      </c>
      <c r="AV63">
        <v>1.14942528735632</v>
      </c>
      <c r="AW63" t="s">
        <v>296</v>
      </c>
    </row>
    <row r="64" spans="1:49" ht="12.75">
      <c r="A64" t="s">
        <v>295</v>
      </c>
      <c r="B64" t="s">
        <v>291</v>
      </c>
      <c r="C64" t="s">
        <v>311</v>
      </c>
      <c r="D64" t="s">
        <v>409</v>
      </c>
      <c r="E64" t="s">
        <v>296</v>
      </c>
      <c r="F64" t="s">
        <v>83</v>
      </c>
      <c r="G64" t="s">
        <v>474</v>
      </c>
      <c r="H64" t="s">
        <v>296</v>
      </c>
      <c r="I64" t="s">
        <v>296</v>
      </c>
      <c r="J64" t="s">
        <v>296</v>
      </c>
      <c r="K64" t="s">
        <v>296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 t="s">
        <v>296</v>
      </c>
    </row>
    <row r="65" spans="1:49" ht="12.75">
      <c r="A65" t="s">
        <v>295</v>
      </c>
      <c r="B65" t="s">
        <v>291</v>
      </c>
      <c r="C65" t="s">
        <v>311</v>
      </c>
      <c r="D65" t="s">
        <v>43</v>
      </c>
      <c r="E65" t="s">
        <v>296</v>
      </c>
      <c r="F65" t="s">
        <v>83</v>
      </c>
      <c r="G65" t="s">
        <v>474</v>
      </c>
      <c r="H65" t="s">
        <v>296</v>
      </c>
      <c r="I65" t="s">
        <v>296</v>
      </c>
      <c r="J65" t="s">
        <v>296</v>
      </c>
      <c r="K65" t="s">
        <v>296</v>
      </c>
      <c r="L65">
        <v>1.25</v>
      </c>
      <c r="M65">
        <v>1.25</v>
      </c>
      <c r="N65">
        <v>1.25</v>
      </c>
      <c r="O65">
        <v>1.2195121951219501</v>
      </c>
      <c r="P65">
        <v>1.25</v>
      </c>
      <c r="Q65">
        <v>1.25</v>
      </c>
      <c r="R65">
        <v>1.25</v>
      </c>
      <c r="S65">
        <v>1.25</v>
      </c>
      <c r="T65">
        <v>1.25</v>
      </c>
      <c r="U65">
        <v>1.25</v>
      </c>
      <c r="V65">
        <v>1.25</v>
      </c>
      <c r="W65">
        <v>1.25</v>
      </c>
      <c r="X65">
        <v>1.25</v>
      </c>
      <c r="Y65">
        <v>1.25</v>
      </c>
      <c r="Z65">
        <v>1.25</v>
      </c>
      <c r="AA65">
        <v>1.25</v>
      </c>
      <c r="AB65">
        <v>1.25</v>
      </c>
      <c r="AC65">
        <v>1.25</v>
      </c>
      <c r="AD65">
        <v>1.25</v>
      </c>
      <c r="AE65">
        <v>1.25</v>
      </c>
      <c r="AF65">
        <v>1.25</v>
      </c>
      <c r="AG65">
        <v>1.25</v>
      </c>
      <c r="AH65">
        <v>1.25</v>
      </c>
      <c r="AI65">
        <v>1.25</v>
      </c>
      <c r="AJ65">
        <v>1.25</v>
      </c>
      <c r="AK65">
        <v>1.25</v>
      </c>
      <c r="AL65">
        <v>1.25</v>
      </c>
      <c r="AM65">
        <v>1.25</v>
      </c>
      <c r="AN65">
        <v>1</v>
      </c>
      <c r="AO65">
        <v>1.25</v>
      </c>
      <c r="AP65">
        <v>1.25</v>
      </c>
      <c r="AQ65">
        <v>1.25</v>
      </c>
      <c r="AR65">
        <v>1.25</v>
      </c>
      <c r="AS65">
        <v>1.25</v>
      </c>
      <c r="AT65">
        <v>1.25</v>
      </c>
      <c r="AU65">
        <v>1.25</v>
      </c>
      <c r="AV65">
        <v>1.1764705882352899</v>
      </c>
      <c r="AW65" t="s">
        <v>296</v>
      </c>
    </row>
    <row r="66" spans="1:49" ht="12.75">
      <c r="A66" t="s">
        <v>295</v>
      </c>
      <c r="B66" t="s">
        <v>291</v>
      </c>
      <c r="C66" t="s">
        <v>312</v>
      </c>
      <c r="D66" t="s">
        <v>409</v>
      </c>
      <c r="E66" t="s">
        <v>296</v>
      </c>
      <c r="F66" t="s">
        <v>83</v>
      </c>
      <c r="G66" t="s">
        <v>474</v>
      </c>
      <c r="H66" t="s">
        <v>296</v>
      </c>
      <c r="I66" t="s">
        <v>296</v>
      </c>
      <c r="J66" t="s">
        <v>296</v>
      </c>
      <c r="K66" t="s">
        <v>296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 t="s">
        <v>296</v>
      </c>
    </row>
    <row r="67" spans="1:49" ht="12.75">
      <c r="A67" t="s">
        <v>295</v>
      </c>
      <c r="B67" t="s">
        <v>291</v>
      </c>
      <c r="C67" t="s">
        <v>312</v>
      </c>
      <c r="D67" t="s">
        <v>39</v>
      </c>
      <c r="E67" t="s">
        <v>296</v>
      </c>
      <c r="F67" t="s">
        <v>83</v>
      </c>
      <c r="G67" t="s">
        <v>474</v>
      </c>
      <c r="H67" t="s">
        <v>296</v>
      </c>
      <c r="I67" t="s">
        <v>296</v>
      </c>
      <c r="J67" t="s">
        <v>296</v>
      </c>
      <c r="K67" t="s">
        <v>296</v>
      </c>
      <c r="L67">
        <v>1.25</v>
      </c>
      <c r="M67">
        <v>1.25</v>
      </c>
      <c r="N67">
        <v>1.25</v>
      </c>
      <c r="O67">
        <v>1.2195121951219501</v>
      </c>
      <c r="P67">
        <v>1.25</v>
      </c>
      <c r="Q67">
        <v>1.25</v>
      </c>
      <c r="R67">
        <v>1.25</v>
      </c>
      <c r="S67">
        <v>1.25</v>
      </c>
      <c r="T67">
        <v>1.25</v>
      </c>
      <c r="U67">
        <v>1.25</v>
      </c>
      <c r="V67">
        <v>1.25</v>
      </c>
      <c r="W67">
        <v>1.25</v>
      </c>
      <c r="X67">
        <v>1.25</v>
      </c>
      <c r="Y67">
        <v>1.25</v>
      </c>
      <c r="Z67">
        <v>1.25</v>
      </c>
      <c r="AA67">
        <v>1.25</v>
      </c>
      <c r="AB67">
        <v>1.25</v>
      </c>
      <c r="AC67">
        <v>1.25</v>
      </c>
      <c r="AD67">
        <v>1.25</v>
      </c>
      <c r="AE67">
        <v>1.25</v>
      </c>
      <c r="AF67">
        <v>1.25</v>
      </c>
      <c r="AG67">
        <v>1.25</v>
      </c>
      <c r="AH67">
        <v>1.25</v>
      </c>
      <c r="AI67">
        <v>1.25</v>
      </c>
      <c r="AJ67">
        <v>1.25</v>
      </c>
      <c r="AK67">
        <v>1.25</v>
      </c>
      <c r="AL67">
        <v>1.25</v>
      </c>
      <c r="AM67">
        <v>1.25</v>
      </c>
      <c r="AN67">
        <v>1</v>
      </c>
      <c r="AO67">
        <v>1.25</v>
      </c>
      <c r="AP67">
        <v>1.25</v>
      </c>
      <c r="AQ67">
        <v>1.25</v>
      </c>
      <c r="AR67">
        <v>1.25</v>
      </c>
      <c r="AS67">
        <v>1.25</v>
      </c>
      <c r="AT67">
        <v>1.25</v>
      </c>
      <c r="AU67">
        <v>1.25</v>
      </c>
      <c r="AV67">
        <v>1.2195121951219501</v>
      </c>
      <c r="AW67" t="s">
        <v>296</v>
      </c>
    </row>
    <row r="68" spans="1:49" ht="12.75">
      <c r="A68" t="s">
        <v>295</v>
      </c>
      <c r="B68" t="s">
        <v>291</v>
      </c>
      <c r="C68" t="s">
        <v>313</v>
      </c>
      <c r="D68" t="s">
        <v>409</v>
      </c>
      <c r="E68" t="s">
        <v>296</v>
      </c>
      <c r="F68" t="s">
        <v>83</v>
      </c>
      <c r="G68" t="s">
        <v>474</v>
      </c>
      <c r="H68" t="s">
        <v>296</v>
      </c>
      <c r="I68" t="s">
        <v>296</v>
      </c>
      <c r="J68" t="s">
        <v>296</v>
      </c>
      <c r="K68" t="s">
        <v>296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 t="s">
        <v>296</v>
      </c>
    </row>
    <row r="69" spans="1:49" ht="12.75">
      <c r="A69" t="s">
        <v>295</v>
      </c>
      <c r="B69" t="s">
        <v>291</v>
      </c>
      <c r="C69" t="s">
        <v>313</v>
      </c>
      <c r="D69" t="s">
        <v>44</v>
      </c>
      <c r="E69" t="s">
        <v>296</v>
      </c>
      <c r="F69" t="s">
        <v>83</v>
      </c>
      <c r="G69" t="s">
        <v>474</v>
      </c>
      <c r="H69" t="s">
        <v>296</v>
      </c>
      <c r="I69" t="s">
        <v>296</v>
      </c>
      <c r="J69" t="s">
        <v>296</v>
      </c>
      <c r="K69" t="s">
        <v>296</v>
      </c>
      <c r="L69">
        <v>1.25</v>
      </c>
      <c r="M69">
        <v>1.25</v>
      </c>
      <c r="N69">
        <v>1.25</v>
      </c>
      <c r="O69">
        <v>1.2195121951219501</v>
      </c>
      <c r="P69">
        <v>1.25</v>
      </c>
      <c r="Q69">
        <v>1.25</v>
      </c>
      <c r="R69">
        <v>1.25</v>
      </c>
      <c r="S69">
        <v>1.25</v>
      </c>
      <c r="T69">
        <v>1.25</v>
      </c>
      <c r="U69">
        <v>1.25</v>
      </c>
      <c r="V69">
        <v>1.25</v>
      </c>
      <c r="W69">
        <v>1.25</v>
      </c>
      <c r="X69">
        <v>1.25</v>
      </c>
      <c r="Y69">
        <v>1.25</v>
      </c>
      <c r="Z69">
        <v>1.25</v>
      </c>
      <c r="AA69">
        <v>1.25</v>
      </c>
      <c r="AB69">
        <v>1.25</v>
      </c>
      <c r="AC69">
        <v>1.25</v>
      </c>
      <c r="AD69">
        <v>1.25</v>
      </c>
      <c r="AE69">
        <v>1.25</v>
      </c>
      <c r="AF69">
        <v>1.25</v>
      </c>
      <c r="AG69">
        <v>1.25</v>
      </c>
      <c r="AH69">
        <v>1.25</v>
      </c>
      <c r="AI69">
        <v>1.25</v>
      </c>
      <c r="AJ69">
        <v>1.25</v>
      </c>
      <c r="AK69">
        <v>1.25</v>
      </c>
      <c r="AL69">
        <v>1.25</v>
      </c>
      <c r="AM69">
        <v>1.25</v>
      </c>
      <c r="AN69">
        <v>1</v>
      </c>
      <c r="AO69">
        <v>1.25</v>
      </c>
      <c r="AP69">
        <v>1.25</v>
      </c>
      <c r="AQ69">
        <v>1.25</v>
      </c>
      <c r="AR69">
        <v>1.25</v>
      </c>
      <c r="AS69">
        <v>1.25</v>
      </c>
      <c r="AT69">
        <v>1.25</v>
      </c>
      <c r="AU69">
        <v>1.25</v>
      </c>
      <c r="AV69">
        <v>1.2195121951219501</v>
      </c>
      <c r="AW69" t="s">
        <v>296</v>
      </c>
    </row>
    <row r="70" spans="1:49" ht="12.75">
      <c r="A70" t="s">
        <v>295</v>
      </c>
      <c r="B70" t="s">
        <v>291</v>
      </c>
      <c r="C70" t="s">
        <v>314</v>
      </c>
      <c r="D70" t="s">
        <v>410</v>
      </c>
      <c r="E70" t="s">
        <v>296</v>
      </c>
      <c r="F70" t="s">
        <v>83</v>
      </c>
      <c r="G70" t="s">
        <v>474</v>
      </c>
      <c r="H70" t="s">
        <v>296</v>
      </c>
      <c r="I70" t="s">
        <v>296</v>
      </c>
      <c r="J70" t="s">
        <v>296</v>
      </c>
      <c r="K70" t="s">
        <v>296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 t="s">
        <v>296</v>
      </c>
    </row>
    <row r="71" spans="1:49" ht="12.75">
      <c r="A71" t="s">
        <v>295</v>
      </c>
      <c r="B71" t="s">
        <v>291</v>
      </c>
      <c r="C71" t="s">
        <v>314</v>
      </c>
      <c r="D71" t="s">
        <v>155</v>
      </c>
      <c r="E71" t="s">
        <v>296</v>
      </c>
      <c r="F71" t="s">
        <v>83</v>
      </c>
      <c r="G71" t="s">
        <v>474</v>
      </c>
      <c r="H71" t="s">
        <v>296</v>
      </c>
      <c r="I71" t="s">
        <v>296</v>
      </c>
      <c r="J71" t="s">
        <v>296</v>
      </c>
      <c r="K71" t="s">
        <v>296</v>
      </c>
      <c r="L71">
        <v>1.25</v>
      </c>
      <c r="M71">
        <v>1.25</v>
      </c>
      <c r="N71">
        <v>1.25</v>
      </c>
      <c r="O71">
        <v>1.25</v>
      </c>
      <c r="P71">
        <v>1.25</v>
      </c>
      <c r="Q71">
        <v>1.25</v>
      </c>
      <c r="R71">
        <v>1.25</v>
      </c>
      <c r="S71">
        <v>1.25</v>
      </c>
      <c r="T71">
        <v>1.25</v>
      </c>
      <c r="U71">
        <v>1.25</v>
      </c>
      <c r="V71">
        <v>1.25</v>
      </c>
      <c r="W71">
        <v>1.25</v>
      </c>
      <c r="X71">
        <v>1.25</v>
      </c>
      <c r="Y71">
        <v>1.25</v>
      </c>
      <c r="Z71">
        <v>1.25</v>
      </c>
      <c r="AA71">
        <v>1.25</v>
      </c>
      <c r="AB71">
        <v>1.25</v>
      </c>
      <c r="AC71">
        <v>1.25</v>
      </c>
      <c r="AD71">
        <v>1.25</v>
      </c>
      <c r="AE71">
        <v>1.25</v>
      </c>
      <c r="AF71">
        <v>1.25</v>
      </c>
      <c r="AG71">
        <v>1.25</v>
      </c>
      <c r="AH71">
        <v>1.25</v>
      </c>
      <c r="AI71">
        <v>1.25</v>
      </c>
      <c r="AJ71">
        <v>1.25</v>
      </c>
      <c r="AK71">
        <v>1.25</v>
      </c>
      <c r="AL71">
        <v>1.25</v>
      </c>
      <c r="AM71">
        <v>1.25</v>
      </c>
      <c r="AN71">
        <v>1.25</v>
      </c>
      <c r="AO71">
        <v>1.25</v>
      </c>
      <c r="AP71">
        <v>1.25</v>
      </c>
      <c r="AQ71">
        <v>1.25</v>
      </c>
      <c r="AR71">
        <v>1.25</v>
      </c>
      <c r="AS71">
        <v>1.25</v>
      </c>
      <c r="AT71">
        <v>1.25</v>
      </c>
      <c r="AU71">
        <v>1.25</v>
      </c>
      <c r="AV71">
        <v>1.25</v>
      </c>
      <c r="AW71" t="s">
        <v>296</v>
      </c>
    </row>
    <row r="72" spans="1:49" ht="12.75">
      <c r="A72" t="s">
        <v>295</v>
      </c>
      <c r="B72" t="s">
        <v>291</v>
      </c>
      <c r="C72" t="s">
        <v>315</v>
      </c>
      <c r="D72" t="s">
        <v>410</v>
      </c>
      <c r="E72" t="s">
        <v>296</v>
      </c>
      <c r="F72" t="s">
        <v>83</v>
      </c>
      <c r="G72" t="s">
        <v>474</v>
      </c>
      <c r="H72" t="s">
        <v>296</v>
      </c>
      <c r="I72" t="s">
        <v>296</v>
      </c>
      <c r="J72" t="s">
        <v>296</v>
      </c>
      <c r="K72" t="s">
        <v>296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 t="s">
        <v>296</v>
      </c>
    </row>
    <row r="73" spans="1:49" ht="12.75">
      <c r="A73" t="s">
        <v>295</v>
      </c>
      <c r="B73" t="s">
        <v>291</v>
      </c>
      <c r="C73" t="s">
        <v>315</v>
      </c>
      <c r="D73" t="s">
        <v>49</v>
      </c>
      <c r="E73" t="s">
        <v>296</v>
      </c>
      <c r="F73" t="s">
        <v>83</v>
      </c>
      <c r="G73" t="s">
        <v>474</v>
      </c>
      <c r="H73" t="s">
        <v>296</v>
      </c>
      <c r="I73" t="s">
        <v>296</v>
      </c>
      <c r="J73" t="s">
        <v>296</v>
      </c>
      <c r="K73" t="s">
        <v>296</v>
      </c>
      <c r="L73">
        <v>1.25</v>
      </c>
      <c r="M73">
        <v>1.25</v>
      </c>
      <c r="N73">
        <v>1.25</v>
      </c>
      <c r="O73">
        <v>1.25</v>
      </c>
      <c r="P73">
        <v>1.25</v>
      </c>
      <c r="Q73">
        <v>1.25</v>
      </c>
      <c r="R73">
        <v>1.25</v>
      </c>
      <c r="S73">
        <v>1.25</v>
      </c>
      <c r="T73">
        <v>1.25</v>
      </c>
      <c r="U73">
        <v>1.25</v>
      </c>
      <c r="V73">
        <v>1.25</v>
      </c>
      <c r="W73">
        <v>1.25</v>
      </c>
      <c r="X73">
        <v>1.25</v>
      </c>
      <c r="Y73">
        <v>1.25</v>
      </c>
      <c r="Z73">
        <v>1.25</v>
      </c>
      <c r="AA73">
        <v>1.25</v>
      </c>
      <c r="AB73">
        <v>1.25</v>
      </c>
      <c r="AC73">
        <v>1.25</v>
      </c>
      <c r="AD73">
        <v>1.25</v>
      </c>
      <c r="AE73">
        <v>1.25</v>
      </c>
      <c r="AF73">
        <v>1.25</v>
      </c>
      <c r="AG73">
        <v>1.25</v>
      </c>
      <c r="AH73">
        <v>1.25</v>
      </c>
      <c r="AI73">
        <v>1.25</v>
      </c>
      <c r="AJ73">
        <v>1.25</v>
      </c>
      <c r="AK73">
        <v>1.25</v>
      </c>
      <c r="AL73">
        <v>1.25</v>
      </c>
      <c r="AM73">
        <v>1.25</v>
      </c>
      <c r="AN73">
        <v>1.25</v>
      </c>
      <c r="AO73">
        <v>1.25</v>
      </c>
      <c r="AP73">
        <v>1.25</v>
      </c>
      <c r="AQ73">
        <v>1.25</v>
      </c>
      <c r="AR73">
        <v>1.25</v>
      </c>
      <c r="AS73">
        <v>1.25</v>
      </c>
      <c r="AT73">
        <v>1.25</v>
      </c>
      <c r="AU73">
        <v>1.25</v>
      </c>
      <c r="AV73">
        <v>1.25</v>
      </c>
      <c r="AW73" t="s">
        <v>296</v>
      </c>
    </row>
    <row r="74" spans="1:49" ht="12.75">
      <c r="A74" t="s">
        <v>295</v>
      </c>
      <c r="B74" t="s">
        <v>291</v>
      </c>
      <c r="C74" t="s">
        <v>316</v>
      </c>
      <c r="D74" t="s">
        <v>410</v>
      </c>
      <c r="E74" t="s">
        <v>296</v>
      </c>
      <c r="F74" t="s">
        <v>83</v>
      </c>
      <c r="G74" t="s">
        <v>474</v>
      </c>
      <c r="H74" t="s">
        <v>296</v>
      </c>
      <c r="I74" t="s">
        <v>296</v>
      </c>
      <c r="J74" t="s">
        <v>296</v>
      </c>
      <c r="K74" t="s">
        <v>296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 t="s">
        <v>296</v>
      </c>
    </row>
    <row r="75" spans="1:49" ht="12.75">
      <c r="A75" t="s">
        <v>295</v>
      </c>
      <c r="B75" t="s">
        <v>291</v>
      </c>
      <c r="C75" t="s">
        <v>316</v>
      </c>
      <c r="D75" t="s">
        <v>51</v>
      </c>
      <c r="E75" t="s">
        <v>296</v>
      </c>
      <c r="F75" t="s">
        <v>83</v>
      </c>
      <c r="G75" t="s">
        <v>474</v>
      </c>
      <c r="H75" t="s">
        <v>296</v>
      </c>
      <c r="I75" t="s">
        <v>296</v>
      </c>
      <c r="J75" t="s">
        <v>296</v>
      </c>
      <c r="K75" t="s">
        <v>296</v>
      </c>
      <c r="L75">
        <v>1.25</v>
      </c>
      <c r="M75">
        <v>1.25</v>
      </c>
      <c r="N75">
        <v>1.25</v>
      </c>
      <c r="O75">
        <v>1.25</v>
      </c>
      <c r="P75">
        <v>1.25</v>
      </c>
      <c r="Q75">
        <v>1.25</v>
      </c>
      <c r="R75">
        <v>1.25</v>
      </c>
      <c r="S75">
        <v>1.25</v>
      </c>
      <c r="T75">
        <v>1.25</v>
      </c>
      <c r="U75">
        <v>1.25</v>
      </c>
      <c r="V75">
        <v>1.25</v>
      </c>
      <c r="W75">
        <v>1.25</v>
      </c>
      <c r="X75">
        <v>1.25</v>
      </c>
      <c r="Y75">
        <v>1.25</v>
      </c>
      <c r="Z75">
        <v>1.25</v>
      </c>
      <c r="AA75">
        <v>1.25</v>
      </c>
      <c r="AB75">
        <v>1.25</v>
      </c>
      <c r="AC75">
        <v>1.25</v>
      </c>
      <c r="AD75">
        <v>1.25</v>
      </c>
      <c r="AE75">
        <v>1.25</v>
      </c>
      <c r="AF75">
        <v>1.25</v>
      </c>
      <c r="AG75">
        <v>1.25</v>
      </c>
      <c r="AH75">
        <v>1.25</v>
      </c>
      <c r="AI75">
        <v>1.25</v>
      </c>
      <c r="AJ75">
        <v>1.25</v>
      </c>
      <c r="AK75">
        <v>1.25</v>
      </c>
      <c r="AL75">
        <v>1.25</v>
      </c>
      <c r="AM75">
        <v>1.25</v>
      </c>
      <c r="AN75">
        <v>1.25</v>
      </c>
      <c r="AO75">
        <v>1.25</v>
      </c>
      <c r="AP75">
        <v>1.25</v>
      </c>
      <c r="AQ75">
        <v>1.25</v>
      </c>
      <c r="AR75">
        <v>1.25</v>
      </c>
      <c r="AS75">
        <v>1.25</v>
      </c>
      <c r="AT75">
        <v>1.25</v>
      </c>
      <c r="AU75">
        <v>1.25</v>
      </c>
      <c r="AV75">
        <v>1.25</v>
      </c>
      <c r="AW75" t="s">
        <v>296</v>
      </c>
    </row>
    <row r="76" spans="1:49" ht="12.75">
      <c r="A76" t="s">
        <v>295</v>
      </c>
      <c r="B76" t="s">
        <v>291</v>
      </c>
      <c r="C76" t="s">
        <v>317</v>
      </c>
      <c r="D76" t="s">
        <v>410</v>
      </c>
      <c r="E76" t="s">
        <v>296</v>
      </c>
      <c r="F76" t="s">
        <v>83</v>
      </c>
      <c r="G76" t="s">
        <v>474</v>
      </c>
      <c r="H76" t="s">
        <v>296</v>
      </c>
      <c r="I76" t="s">
        <v>296</v>
      </c>
      <c r="J76" t="s">
        <v>296</v>
      </c>
      <c r="K76" t="s">
        <v>296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 t="s">
        <v>296</v>
      </c>
    </row>
    <row r="77" spans="1:49" ht="12.75">
      <c r="A77" t="s">
        <v>295</v>
      </c>
      <c r="B77" t="s">
        <v>291</v>
      </c>
      <c r="C77" t="s">
        <v>317</v>
      </c>
      <c r="D77" t="s">
        <v>37</v>
      </c>
      <c r="E77" t="s">
        <v>296</v>
      </c>
      <c r="F77" t="s">
        <v>83</v>
      </c>
      <c r="G77" t="s">
        <v>474</v>
      </c>
      <c r="H77" t="s">
        <v>296</v>
      </c>
      <c r="I77" t="s">
        <v>296</v>
      </c>
      <c r="J77" t="s">
        <v>296</v>
      </c>
      <c r="K77" t="s">
        <v>296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 t="s">
        <v>296</v>
      </c>
    </row>
    <row r="78" spans="1:49" ht="12.75">
      <c r="A78" t="s">
        <v>295</v>
      </c>
      <c r="B78" t="s">
        <v>291</v>
      </c>
      <c r="C78" t="s">
        <v>318</v>
      </c>
      <c r="D78" t="s">
        <v>410</v>
      </c>
      <c r="E78" t="s">
        <v>296</v>
      </c>
      <c r="F78" t="s">
        <v>83</v>
      </c>
      <c r="G78" t="s">
        <v>474</v>
      </c>
      <c r="H78" t="s">
        <v>296</v>
      </c>
      <c r="I78" t="s">
        <v>296</v>
      </c>
      <c r="J78" t="s">
        <v>296</v>
      </c>
      <c r="K78" t="s">
        <v>296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 t="s">
        <v>296</v>
      </c>
    </row>
    <row r="79" spans="1:49" ht="12.75">
      <c r="A79" t="s">
        <v>295</v>
      </c>
      <c r="B79" t="s">
        <v>291</v>
      </c>
      <c r="C79" t="s">
        <v>318</v>
      </c>
      <c r="D79" t="s">
        <v>38</v>
      </c>
      <c r="E79" t="s">
        <v>296</v>
      </c>
      <c r="F79" t="s">
        <v>83</v>
      </c>
      <c r="G79" t="s">
        <v>474</v>
      </c>
      <c r="H79" t="s">
        <v>296</v>
      </c>
      <c r="I79" t="s">
        <v>296</v>
      </c>
      <c r="J79" t="s">
        <v>296</v>
      </c>
      <c r="K79" t="s">
        <v>296</v>
      </c>
      <c r="L79">
        <v>1.25</v>
      </c>
      <c r="M79">
        <v>1.25</v>
      </c>
      <c r="N79">
        <v>1.25</v>
      </c>
      <c r="O79">
        <v>1.25</v>
      </c>
      <c r="P79">
        <v>1.25</v>
      </c>
      <c r="Q79">
        <v>1.25</v>
      </c>
      <c r="R79">
        <v>1.25</v>
      </c>
      <c r="S79">
        <v>1.25</v>
      </c>
      <c r="T79">
        <v>1.25</v>
      </c>
      <c r="U79">
        <v>1.25</v>
      </c>
      <c r="V79">
        <v>1.25</v>
      </c>
      <c r="W79">
        <v>1.25</v>
      </c>
      <c r="X79">
        <v>1.25</v>
      </c>
      <c r="Y79">
        <v>1.25</v>
      </c>
      <c r="Z79">
        <v>1.25</v>
      </c>
      <c r="AA79">
        <v>1.25</v>
      </c>
      <c r="AB79">
        <v>1.25</v>
      </c>
      <c r="AC79">
        <v>1.25</v>
      </c>
      <c r="AD79">
        <v>1.25</v>
      </c>
      <c r="AE79">
        <v>1.25</v>
      </c>
      <c r="AF79">
        <v>1.25</v>
      </c>
      <c r="AG79">
        <v>1.25</v>
      </c>
      <c r="AH79">
        <v>1.25</v>
      </c>
      <c r="AI79">
        <v>1.25</v>
      </c>
      <c r="AJ79">
        <v>1.25</v>
      </c>
      <c r="AK79">
        <v>1.25</v>
      </c>
      <c r="AL79">
        <v>1.25</v>
      </c>
      <c r="AM79">
        <v>1.25</v>
      </c>
      <c r="AN79">
        <v>1.2345679012345701</v>
      </c>
      <c r="AO79">
        <v>1.25</v>
      </c>
      <c r="AP79">
        <v>1.25</v>
      </c>
      <c r="AQ79">
        <v>1.25</v>
      </c>
      <c r="AR79">
        <v>1.25</v>
      </c>
      <c r="AS79">
        <v>1.25</v>
      </c>
      <c r="AT79">
        <v>1.25</v>
      </c>
      <c r="AU79">
        <v>1.25</v>
      </c>
      <c r="AV79">
        <v>1.0869565217391299</v>
      </c>
      <c r="AW79" t="s">
        <v>296</v>
      </c>
    </row>
    <row r="80" spans="1:49" ht="12.75">
      <c r="A80" t="s">
        <v>295</v>
      </c>
      <c r="B80" t="s">
        <v>291</v>
      </c>
      <c r="C80" t="s">
        <v>319</v>
      </c>
      <c r="D80" t="s">
        <v>410</v>
      </c>
      <c r="E80" t="s">
        <v>296</v>
      </c>
      <c r="F80" t="s">
        <v>83</v>
      </c>
      <c r="G80" t="s">
        <v>474</v>
      </c>
      <c r="H80" t="s">
        <v>296</v>
      </c>
      <c r="I80" t="s">
        <v>296</v>
      </c>
      <c r="J80" t="s">
        <v>296</v>
      </c>
      <c r="K80" t="s">
        <v>296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 t="s">
        <v>296</v>
      </c>
    </row>
    <row r="81" spans="1:49" ht="12.75">
      <c r="A81" t="s">
        <v>295</v>
      </c>
      <c r="B81" t="s">
        <v>291</v>
      </c>
      <c r="C81" t="s">
        <v>319</v>
      </c>
      <c r="D81" t="s">
        <v>43</v>
      </c>
      <c r="E81" t="s">
        <v>296</v>
      </c>
      <c r="F81" t="s">
        <v>83</v>
      </c>
      <c r="G81" t="s">
        <v>474</v>
      </c>
      <c r="H81" t="s">
        <v>296</v>
      </c>
      <c r="I81" t="s">
        <v>296</v>
      </c>
      <c r="J81" t="s">
        <v>296</v>
      </c>
      <c r="K81" t="s">
        <v>296</v>
      </c>
      <c r="L81">
        <v>1.25</v>
      </c>
      <c r="M81">
        <v>1.25</v>
      </c>
      <c r="N81">
        <v>1.25</v>
      </c>
      <c r="O81">
        <v>1.25</v>
      </c>
      <c r="P81">
        <v>1.25</v>
      </c>
      <c r="Q81">
        <v>1.25</v>
      </c>
      <c r="R81">
        <v>1.25</v>
      </c>
      <c r="S81">
        <v>1.25</v>
      </c>
      <c r="T81">
        <v>1.25</v>
      </c>
      <c r="U81">
        <v>1.25</v>
      </c>
      <c r="V81">
        <v>1.25</v>
      </c>
      <c r="W81">
        <v>1.25</v>
      </c>
      <c r="X81">
        <v>1.25</v>
      </c>
      <c r="Y81">
        <v>1.25</v>
      </c>
      <c r="Z81">
        <v>1.25</v>
      </c>
      <c r="AA81">
        <v>1.25</v>
      </c>
      <c r="AB81">
        <v>1.25</v>
      </c>
      <c r="AC81">
        <v>1.25</v>
      </c>
      <c r="AD81">
        <v>1.25</v>
      </c>
      <c r="AE81">
        <v>1.25</v>
      </c>
      <c r="AF81">
        <v>1.25</v>
      </c>
      <c r="AG81">
        <v>1.25</v>
      </c>
      <c r="AH81">
        <v>1.25</v>
      </c>
      <c r="AI81">
        <v>1.25</v>
      </c>
      <c r="AJ81">
        <v>1.25</v>
      </c>
      <c r="AK81">
        <v>1.25</v>
      </c>
      <c r="AL81">
        <v>1.25</v>
      </c>
      <c r="AM81">
        <v>1.25</v>
      </c>
      <c r="AN81">
        <v>1.2345679012345701</v>
      </c>
      <c r="AO81">
        <v>1.25</v>
      </c>
      <c r="AP81">
        <v>1.25</v>
      </c>
      <c r="AQ81">
        <v>1.25</v>
      </c>
      <c r="AR81">
        <v>1.25</v>
      </c>
      <c r="AS81">
        <v>1.25</v>
      </c>
      <c r="AT81">
        <v>1.25</v>
      </c>
      <c r="AU81">
        <v>1.25</v>
      </c>
      <c r="AV81">
        <v>1.13636363636364</v>
      </c>
      <c r="AW81" t="s">
        <v>296</v>
      </c>
    </row>
    <row r="82" spans="1:49" ht="12.75">
      <c r="A82" t="s">
        <v>295</v>
      </c>
      <c r="B82" t="s">
        <v>291</v>
      </c>
      <c r="C82" t="s">
        <v>320</v>
      </c>
      <c r="D82" t="s">
        <v>410</v>
      </c>
      <c r="E82" t="s">
        <v>296</v>
      </c>
      <c r="F82" t="s">
        <v>83</v>
      </c>
      <c r="G82" t="s">
        <v>474</v>
      </c>
      <c r="H82" t="s">
        <v>296</v>
      </c>
      <c r="I82" t="s">
        <v>296</v>
      </c>
      <c r="J82" t="s">
        <v>296</v>
      </c>
      <c r="K82" t="s">
        <v>296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 t="s">
        <v>296</v>
      </c>
    </row>
    <row r="83" spans="1:49" ht="12.75">
      <c r="A83" t="s">
        <v>295</v>
      </c>
      <c r="B83" t="s">
        <v>291</v>
      </c>
      <c r="C83" t="s">
        <v>320</v>
      </c>
      <c r="D83" t="s">
        <v>114</v>
      </c>
      <c r="E83" t="s">
        <v>296</v>
      </c>
      <c r="F83" t="s">
        <v>83</v>
      </c>
      <c r="G83" t="s">
        <v>474</v>
      </c>
      <c r="H83" t="s">
        <v>296</v>
      </c>
      <c r="I83" t="s">
        <v>296</v>
      </c>
      <c r="J83" t="s">
        <v>296</v>
      </c>
      <c r="K83" t="s">
        <v>296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 t="s">
        <v>296</v>
      </c>
    </row>
    <row r="84" spans="1:49" ht="12.75">
      <c r="A84" t="s">
        <v>295</v>
      </c>
      <c r="B84" t="s">
        <v>291</v>
      </c>
      <c r="C84" t="s">
        <v>321</v>
      </c>
      <c r="D84" t="s">
        <v>410</v>
      </c>
      <c r="E84" t="s">
        <v>296</v>
      </c>
      <c r="F84" t="s">
        <v>83</v>
      </c>
      <c r="G84" t="s">
        <v>474</v>
      </c>
      <c r="H84" t="s">
        <v>296</v>
      </c>
      <c r="I84" t="s">
        <v>296</v>
      </c>
      <c r="J84" t="s">
        <v>296</v>
      </c>
      <c r="K84" t="s">
        <v>296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 t="s">
        <v>296</v>
      </c>
    </row>
    <row r="85" spans="1:49" ht="12.75">
      <c r="A85" t="s">
        <v>295</v>
      </c>
      <c r="B85" t="s">
        <v>291</v>
      </c>
      <c r="C85" t="s">
        <v>321</v>
      </c>
      <c r="D85" t="s">
        <v>39</v>
      </c>
      <c r="E85" t="s">
        <v>296</v>
      </c>
      <c r="F85" t="s">
        <v>83</v>
      </c>
      <c r="G85" t="s">
        <v>474</v>
      </c>
      <c r="H85" t="s">
        <v>296</v>
      </c>
      <c r="I85" t="s">
        <v>296</v>
      </c>
      <c r="J85" t="s">
        <v>296</v>
      </c>
      <c r="K85" t="s">
        <v>296</v>
      </c>
      <c r="L85">
        <v>1.25</v>
      </c>
      <c r="M85">
        <v>1.25</v>
      </c>
      <c r="N85">
        <v>1.25</v>
      </c>
      <c r="O85">
        <v>1.25</v>
      </c>
      <c r="P85">
        <v>1.25</v>
      </c>
      <c r="Q85">
        <v>1.25</v>
      </c>
      <c r="R85">
        <v>1.25</v>
      </c>
      <c r="S85">
        <v>1.25</v>
      </c>
      <c r="T85">
        <v>1.25</v>
      </c>
      <c r="U85">
        <v>1.25</v>
      </c>
      <c r="V85">
        <v>1.25</v>
      </c>
      <c r="W85">
        <v>1.25</v>
      </c>
      <c r="X85">
        <v>1.25</v>
      </c>
      <c r="Y85">
        <v>1.25</v>
      </c>
      <c r="Z85">
        <v>1.25</v>
      </c>
      <c r="AA85">
        <v>1.25</v>
      </c>
      <c r="AB85">
        <v>1.25</v>
      </c>
      <c r="AC85">
        <v>1.25</v>
      </c>
      <c r="AD85">
        <v>1.25</v>
      </c>
      <c r="AE85">
        <v>1.25</v>
      </c>
      <c r="AF85">
        <v>1.25</v>
      </c>
      <c r="AG85">
        <v>1.25</v>
      </c>
      <c r="AH85">
        <v>1.25</v>
      </c>
      <c r="AI85">
        <v>1.25</v>
      </c>
      <c r="AJ85">
        <v>1.25</v>
      </c>
      <c r="AK85">
        <v>1.25</v>
      </c>
      <c r="AL85">
        <v>1.25</v>
      </c>
      <c r="AM85">
        <v>1.25</v>
      </c>
      <c r="AN85">
        <v>1.2345679012345701</v>
      </c>
      <c r="AO85">
        <v>1.25</v>
      </c>
      <c r="AP85">
        <v>1.25</v>
      </c>
      <c r="AQ85">
        <v>1.25</v>
      </c>
      <c r="AR85">
        <v>1.25</v>
      </c>
      <c r="AS85">
        <v>1.25</v>
      </c>
      <c r="AT85">
        <v>1.25</v>
      </c>
      <c r="AU85">
        <v>1.25</v>
      </c>
      <c r="AV85">
        <v>1.1111111111111101</v>
      </c>
      <c r="AW85" t="s">
        <v>296</v>
      </c>
    </row>
    <row r="86" spans="1:49" ht="12.75">
      <c r="A86" t="s">
        <v>295</v>
      </c>
      <c r="B86" t="s">
        <v>291</v>
      </c>
      <c r="C86" t="s">
        <v>322</v>
      </c>
      <c r="D86" t="s">
        <v>410</v>
      </c>
      <c r="E86" t="s">
        <v>296</v>
      </c>
      <c r="F86" t="s">
        <v>83</v>
      </c>
      <c r="G86" t="s">
        <v>474</v>
      </c>
      <c r="H86" t="s">
        <v>296</v>
      </c>
      <c r="I86" t="s">
        <v>296</v>
      </c>
      <c r="J86" t="s">
        <v>296</v>
      </c>
      <c r="K86" t="s">
        <v>296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 t="s">
        <v>296</v>
      </c>
    </row>
    <row r="87" spans="1:49" ht="12.75">
      <c r="A87" t="s">
        <v>295</v>
      </c>
      <c r="B87" t="s">
        <v>291</v>
      </c>
      <c r="C87" t="s">
        <v>322</v>
      </c>
      <c r="D87" t="s">
        <v>44</v>
      </c>
      <c r="E87" t="s">
        <v>296</v>
      </c>
      <c r="F87" t="s">
        <v>83</v>
      </c>
      <c r="G87" t="s">
        <v>474</v>
      </c>
      <c r="H87" t="s">
        <v>296</v>
      </c>
      <c r="I87" t="s">
        <v>296</v>
      </c>
      <c r="J87" t="s">
        <v>296</v>
      </c>
      <c r="K87" t="s">
        <v>296</v>
      </c>
      <c r="L87">
        <v>1.25</v>
      </c>
      <c r="M87">
        <v>1.25</v>
      </c>
      <c r="N87">
        <v>1.25</v>
      </c>
      <c r="O87">
        <v>1.25</v>
      </c>
      <c r="P87">
        <v>1.25</v>
      </c>
      <c r="Q87">
        <v>1.25</v>
      </c>
      <c r="R87">
        <v>1.25</v>
      </c>
      <c r="S87">
        <v>1.25</v>
      </c>
      <c r="T87">
        <v>1.25</v>
      </c>
      <c r="U87">
        <v>1.25</v>
      </c>
      <c r="V87">
        <v>1.25</v>
      </c>
      <c r="W87">
        <v>1.25</v>
      </c>
      <c r="X87">
        <v>1.25</v>
      </c>
      <c r="Y87">
        <v>1.25</v>
      </c>
      <c r="Z87">
        <v>1.25</v>
      </c>
      <c r="AA87">
        <v>1.25</v>
      </c>
      <c r="AB87">
        <v>1.25</v>
      </c>
      <c r="AC87">
        <v>1.25</v>
      </c>
      <c r="AD87">
        <v>1.25</v>
      </c>
      <c r="AE87">
        <v>1.25</v>
      </c>
      <c r="AF87">
        <v>1.25</v>
      </c>
      <c r="AG87">
        <v>1.25</v>
      </c>
      <c r="AH87">
        <v>1.25</v>
      </c>
      <c r="AI87">
        <v>1.25</v>
      </c>
      <c r="AJ87">
        <v>1.25</v>
      </c>
      <c r="AK87">
        <v>1.25</v>
      </c>
      <c r="AL87">
        <v>1.25</v>
      </c>
      <c r="AM87">
        <v>1.25</v>
      </c>
      <c r="AN87">
        <v>1.2345679012345701</v>
      </c>
      <c r="AO87">
        <v>1.25</v>
      </c>
      <c r="AP87">
        <v>1.25</v>
      </c>
      <c r="AQ87">
        <v>1.25</v>
      </c>
      <c r="AR87">
        <v>1.25</v>
      </c>
      <c r="AS87">
        <v>1.25</v>
      </c>
      <c r="AT87">
        <v>1.25</v>
      </c>
      <c r="AU87">
        <v>1.25</v>
      </c>
      <c r="AV87">
        <v>1.1111111111111101</v>
      </c>
      <c r="AW87" t="s">
        <v>296</v>
      </c>
    </row>
    <row r="88" spans="1:49" ht="12.75">
      <c r="A88" t="s">
        <v>295</v>
      </c>
      <c r="B88" t="s">
        <v>291</v>
      </c>
      <c r="C88" t="s">
        <v>323</v>
      </c>
      <c r="D88" t="s">
        <v>411</v>
      </c>
      <c r="E88" t="s">
        <v>296</v>
      </c>
      <c r="F88" t="s">
        <v>83</v>
      </c>
      <c r="G88" t="s">
        <v>474</v>
      </c>
      <c r="H88" t="s">
        <v>296</v>
      </c>
      <c r="I88" t="s">
        <v>296</v>
      </c>
      <c r="J88" t="s">
        <v>296</v>
      </c>
      <c r="K88" t="s">
        <v>296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 t="s">
        <v>296</v>
      </c>
    </row>
    <row r="89" spans="1:49" ht="12.75">
      <c r="A89" t="s">
        <v>295</v>
      </c>
      <c r="B89" t="s">
        <v>291</v>
      </c>
      <c r="C89" t="s">
        <v>323</v>
      </c>
      <c r="D89" t="s">
        <v>37</v>
      </c>
      <c r="E89" t="s">
        <v>296</v>
      </c>
      <c r="F89" t="s">
        <v>83</v>
      </c>
      <c r="G89" t="s">
        <v>474</v>
      </c>
      <c r="H89" t="s">
        <v>296</v>
      </c>
      <c r="I89" t="s">
        <v>296</v>
      </c>
      <c r="J89" t="s">
        <v>296</v>
      </c>
      <c r="K89" t="s">
        <v>296</v>
      </c>
      <c r="L89">
        <v>7.5</v>
      </c>
      <c r="M89">
        <v>7.5</v>
      </c>
      <c r="N89">
        <v>7.5</v>
      </c>
      <c r="O89">
        <v>10.044</v>
      </c>
      <c r="P89">
        <v>7.5</v>
      </c>
      <c r="Q89">
        <v>7.5</v>
      </c>
      <c r="R89">
        <v>7.5</v>
      </c>
      <c r="S89">
        <v>7.5</v>
      </c>
      <c r="T89">
        <v>7.5</v>
      </c>
      <c r="U89">
        <v>7.5</v>
      </c>
      <c r="V89">
        <v>7.5</v>
      </c>
      <c r="W89">
        <v>7.5</v>
      </c>
      <c r="X89">
        <v>7.5</v>
      </c>
      <c r="Y89">
        <v>7.5</v>
      </c>
      <c r="Z89">
        <v>7.5</v>
      </c>
      <c r="AA89">
        <v>7.5</v>
      </c>
      <c r="AB89">
        <v>7.5</v>
      </c>
      <c r="AC89">
        <v>7.5</v>
      </c>
      <c r="AD89">
        <v>7.5</v>
      </c>
      <c r="AE89">
        <v>7.5</v>
      </c>
      <c r="AF89">
        <v>7.5</v>
      </c>
      <c r="AG89">
        <v>7.5</v>
      </c>
      <c r="AH89">
        <v>7.5</v>
      </c>
      <c r="AI89">
        <v>7.5</v>
      </c>
      <c r="AJ89">
        <v>7.5</v>
      </c>
      <c r="AK89">
        <v>7.5</v>
      </c>
      <c r="AL89">
        <v>7.5</v>
      </c>
      <c r="AM89">
        <v>7.5</v>
      </c>
      <c r="AN89">
        <v>7.5</v>
      </c>
      <c r="AO89">
        <v>7.5</v>
      </c>
      <c r="AP89">
        <v>7.9199999999999999</v>
      </c>
      <c r="AQ89">
        <v>7.5</v>
      </c>
      <c r="AR89">
        <v>7.5</v>
      </c>
      <c r="AS89">
        <v>7.5</v>
      </c>
      <c r="AT89">
        <v>7.5</v>
      </c>
      <c r="AU89">
        <v>7.5</v>
      </c>
      <c r="AV89">
        <v>7.5</v>
      </c>
      <c r="AW89" t="s">
        <v>296</v>
      </c>
    </row>
    <row r="90" spans="1:49" ht="12.75">
      <c r="A90" t="s">
        <v>295</v>
      </c>
      <c r="B90" t="s">
        <v>291</v>
      </c>
      <c r="C90" t="s">
        <v>323</v>
      </c>
      <c r="D90" t="s">
        <v>324</v>
      </c>
      <c r="E90" t="s">
        <v>296</v>
      </c>
      <c r="F90" t="s">
        <v>83</v>
      </c>
      <c r="G90" t="s">
        <v>474</v>
      </c>
      <c r="H90" t="s">
        <v>296</v>
      </c>
      <c r="I90" t="s">
        <v>296</v>
      </c>
      <c r="J90" t="s">
        <v>296</v>
      </c>
      <c r="K90" t="s">
        <v>296</v>
      </c>
      <c r="L90">
        <v>3.3799999999999999</v>
      </c>
      <c r="M90">
        <v>3.3799999999999999</v>
      </c>
      <c r="N90">
        <v>3.3799999999999999</v>
      </c>
      <c r="O90">
        <v>3.3799999999999999</v>
      </c>
      <c r="P90">
        <v>3.3799999999999999</v>
      </c>
      <c r="Q90">
        <v>3.3799999999999999</v>
      </c>
      <c r="R90">
        <v>3.3799999999999999</v>
      </c>
      <c r="S90">
        <v>3.3799999999999999</v>
      </c>
      <c r="T90">
        <v>3.3799999999999999</v>
      </c>
      <c r="U90">
        <v>3.3799999999999999</v>
      </c>
      <c r="V90">
        <v>3.3799999999999999</v>
      </c>
      <c r="W90">
        <v>3.3799999999999999</v>
      </c>
      <c r="X90">
        <v>3.3799999999999999</v>
      </c>
      <c r="Y90">
        <v>3.3799999999999999</v>
      </c>
      <c r="Z90">
        <v>3.3799999999999999</v>
      </c>
      <c r="AA90">
        <v>3.3799999999999999</v>
      </c>
      <c r="AB90">
        <v>3.3799999999999999</v>
      </c>
      <c r="AC90">
        <v>3.3799999999999999</v>
      </c>
      <c r="AD90">
        <v>3.3799999999999999</v>
      </c>
      <c r="AE90">
        <v>3.3799999999999999</v>
      </c>
      <c r="AF90">
        <v>3.3799999999999999</v>
      </c>
      <c r="AG90">
        <v>3.3799999999999999</v>
      </c>
      <c r="AH90">
        <v>3.3799999999999999</v>
      </c>
      <c r="AI90">
        <v>3.3799999999999999</v>
      </c>
      <c r="AJ90">
        <v>3.3799999999999999</v>
      </c>
      <c r="AK90">
        <v>3.3799999999999999</v>
      </c>
      <c r="AL90">
        <v>3.3799999999999999</v>
      </c>
      <c r="AM90">
        <v>3.3799999999999999</v>
      </c>
      <c r="AN90">
        <v>3.3799999999999999</v>
      </c>
      <c r="AO90">
        <v>3.3799999999999999</v>
      </c>
      <c r="AP90">
        <v>3.3799999999999999</v>
      </c>
      <c r="AQ90">
        <v>3.3799999999999999</v>
      </c>
      <c r="AR90">
        <v>3.3799999999999999</v>
      </c>
      <c r="AS90">
        <v>3.3799999999999999</v>
      </c>
      <c r="AT90">
        <v>3.3799999999999999</v>
      </c>
      <c r="AU90">
        <v>3.3799999999999999</v>
      </c>
      <c r="AV90">
        <v>3.3799999999999999</v>
      </c>
      <c r="AW90" t="s">
        <v>296</v>
      </c>
    </row>
    <row r="91" spans="1:49" ht="12.75">
      <c r="A91" t="s">
        <v>295</v>
      </c>
      <c r="B91" t="s">
        <v>291</v>
      </c>
      <c r="C91" t="s">
        <v>325</v>
      </c>
      <c r="D91" t="s">
        <v>411</v>
      </c>
      <c r="E91" t="s">
        <v>296</v>
      </c>
      <c r="F91" t="s">
        <v>83</v>
      </c>
      <c r="G91" t="s">
        <v>474</v>
      </c>
      <c r="H91" t="s">
        <v>296</v>
      </c>
      <c r="I91" t="s">
        <v>296</v>
      </c>
      <c r="J91" t="s">
        <v>296</v>
      </c>
      <c r="K91" t="s">
        <v>296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 t="s">
        <v>296</v>
      </c>
    </row>
    <row r="92" spans="1:49" ht="12.75">
      <c r="A92" t="s">
        <v>295</v>
      </c>
      <c r="B92" t="s">
        <v>291</v>
      </c>
      <c r="C92" t="s">
        <v>325</v>
      </c>
      <c r="D92" t="s">
        <v>412</v>
      </c>
      <c r="E92" t="s">
        <v>296</v>
      </c>
      <c r="F92" t="s">
        <v>83</v>
      </c>
      <c r="G92" t="s">
        <v>474</v>
      </c>
      <c r="H92" t="s">
        <v>296</v>
      </c>
      <c r="I92" t="s">
        <v>296</v>
      </c>
      <c r="J92" t="s">
        <v>296</v>
      </c>
      <c r="K92" t="s">
        <v>296</v>
      </c>
      <c r="L92">
        <v>1.2</v>
      </c>
      <c r="M92">
        <v>1.2</v>
      </c>
      <c r="N92">
        <v>1.2</v>
      </c>
      <c r="O92">
        <v>0</v>
      </c>
      <c r="P92">
        <v>1.2</v>
      </c>
      <c r="Q92">
        <v>1.2</v>
      </c>
      <c r="R92">
        <v>1.2</v>
      </c>
      <c r="S92">
        <v>1.2</v>
      </c>
      <c r="T92">
        <v>1.2</v>
      </c>
      <c r="U92">
        <v>1.2</v>
      </c>
      <c r="V92">
        <v>1.2</v>
      </c>
      <c r="W92">
        <v>1.2</v>
      </c>
      <c r="X92">
        <v>1.2</v>
      </c>
      <c r="Y92">
        <v>1.2</v>
      </c>
      <c r="Z92">
        <v>1.2</v>
      </c>
      <c r="AA92">
        <v>1.2</v>
      </c>
      <c r="AB92">
        <v>1.2</v>
      </c>
      <c r="AC92">
        <v>1.2</v>
      </c>
      <c r="AD92">
        <v>1.2</v>
      </c>
      <c r="AE92">
        <v>1.2</v>
      </c>
      <c r="AF92">
        <v>1.2</v>
      </c>
      <c r="AG92">
        <v>1.2</v>
      </c>
      <c r="AH92">
        <v>1.2</v>
      </c>
      <c r="AI92">
        <v>1.2</v>
      </c>
      <c r="AJ92">
        <v>1.2</v>
      </c>
      <c r="AK92">
        <v>0.78000000000000003</v>
      </c>
      <c r="AL92">
        <v>1.2</v>
      </c>
      <c r="AM92">
        <v>1.2</v>
      </c>
      <c r="AN92">
        <v>1.2</v>
      </c>
      <c r="AO92">
        <v>1.2</v>
      </c>
      <c r="AP92">
        <v>3</v>
      </c>
      <c r="AQ92">
        <v>1.2</v>
      </c>
      <c r="AR92">
        <v>1.2</v>
      </c>
      <c r="AS92">
        <v>1.2</v>
      </c>
      <c r="AT92">
        <v>1.2</v>
      </c>
      <c r="AU92">
        <v>1.2</v>
      </c>
      <c r="AV92">
        <v>1.2</v>
      </c>
      <c r="AW92" t="s">
        <v>296</v>
      </c>
    </row>
    <row r="93" spans="1:49" ht="12.75">
      <c r="A93" t="s">
        <v>295</v>
      </c>
      <c r="B93" t="s">
        <v>291</v>
      </c>
      <c r="C93" t="s">
        <v>325</v>
      </c>
      <c r="D93" t="s">
        <v>37</v>
      </c>
      <c r="E93" t="s">
        <v>296</v>
      </c>
      <c r="F93" t="s">
        <v>83</v>
      </c>
      <c r="G93" t="s">
        <v>474</v>
      </c>
      <c r="H93" t="s">
        <v>296</v>
      </c>
      <c r="I93" t="s">
        <v>296</v>
      </c>
      <c r="J93" t="s">
        <v>296</v>
      </c>
      <c r="K93" t="s">
        <v>296</v>
      </c>
      <c r="L93">
        <v>9.9000000000000004</v>
      </c>
      <c r="M93">
        <v>9.9000000000000004</v>
      </c>
      <c r="N93">
        <v>9.9000000000000004</v>
      </c>
      <c r="O93">
        <v>12.816000000000001</v>
      </c>
      <c r="P93">
        <v>9.9000000000000004</v>
      </c>
      <c r="Q93">
        <v>9.9000000000000004</v>
      </c>
      <c r="R93">
        <v>9.9000000000000004</v>
      </c>
      <c r="S93">
        <v>9.9000000000000004</v>
      </c>
      <c r="T93">
        <v>9.9000000000000004</v>
      </c>
      <c r="U93">
        <v>9.9000000000000004</v>
      </c>
      <c r="V93">
        <v>9.9000000000000004</v>
      </c>
      <c r="W93">
        <v>9.9000000000000004</v>
      </c>
      <c r="X93">
        <v>9.9000000000000004</v>
      </c>
      <c r="Y93">
        <v>9.9000000000000004</v>
      </c>
      <c r="Z93">
        <v>9.9000000000000004</v>
      </c>
      <c r="AA93">
        <v>9.9000000000000004</v>
      </c>
      <c r="AB93">
        <v>9.9000000000000004</v>
      </c>
      <c r="AC93">
        <v>9.9000000000000004</v>
      </c>
      <c r="AD93">
        <v>9.9000000000000004</v>
      </c>
      <c r="AE93">
        <v>9.9000000000000004</v>
      </c>
      <c r="AF93">
        <v>9.9000000000000004</v>
      </c>
      <c r="AG93">
        <v>9.9000000000000004</v>
      </c>
      <c r="AH93">
        <v>9.9000000000000004</v>
      </c>
      <c r="AI93">
        <v>9.9000000000000004</v>
      </c>
      <c r="AJ93">
        <v>9.9000000000000004</v>
      </c>
      <c r="AK93">
        <v>9.9000000000000004</v>
      </c>
      <c r="AL93">
        <v>9.9000000000000004</v>
      </c>
      <c r="AM93">
        <v>9.9000000000000004</v>
      </c>
      <c r="AN93">
        <v>9.9000000000000004</v>
      </c>
      <c r="AO93">
        <v>9.9000000000000004</v>
      </c>
      <c r="AP93">
        <v>9.8287999999999993</v>
      </c>
      <c r="AQ93">
        <v>9.9000000000000004</v>
      </c>
      <c r="AR93">
        <v>9.9000000000000004</v>
      </c>
      <c r="AS93">
        <v>9.9000000000000004</v>
      </c>
      <c r="AT93">
        <v>9.9000000000000004</v>
      </c>
      <c r="AU93">
        <v>9.9000000000000004</v>
      </c>
      <c r="AV93">
        <v>9.9000000000000004</v>
      </c>
      <c r="AW93" t="s">
        <v>296</v>
      </c>
    </row>
    <row r="94" spans="1:49" ht="12.75">
      <c r="A94" t="s">
        <v>295</v>
      </c>
      <c r="B94" t="s">
        <v>291</v>
      </c>
      <c r="C94" t="s">
        <v>325</v>
      </c>
      <c r="D94" t="s">
        <v>324</v>
      </c>
      <c r="E94" t="s">
        <v>296</v>
      </c>
      <c r="F94" t="s">
        <v>83</v>
      </c>
      <c r="G94" t="s">
        <v>474</v>
      </c>
      <c r="H94" t="s">
        <v>296</v>
      </c>
      <c r="I94" t="s">
        <v>296</v>
      </c>
      <c r="J94" t="s">
        <v>296</v>
      </c>
      <c r="K94" t="s">
        <v>296</v>
      </c>
      <c r="L94">
        <v>3.3799999999999999</v>
      </c>
      <c r="M94">
        <v>3.3799999999999999</v>
      </c>
      <c r="N94">
        <v>3.3799999999999999</v>
      </c>
      <c r="O94">
        <v>3.3799999999999999</v>
      </c>
      <c r="P94">
        <v>3.3799999999999999</v>
      </c>
      <c r="Q94">
        <v>3.3799999999999999</v>
      </c>
      <c r="R94">
        <v>3.3799999999999999</v>
      </c>
      <c r="S94">
        <v>3.3799999999999999</v>
      </c>
      <c r="T94">
        <v>3.3799999999999999</v>
      </c>
      <c r="U94">
        <v>3.3799999999999999</v>
      </c>
      <c r="V94">
        <v>3.3799999999999999</v>
      </c>
      <c r="W94">
        <v>3.3799999999999999</v>
      </c>
      <c r="X94">
        <v>3.3799999999999999</v>
      </c>
      <c r="Y94">
        <v>3.3799999999999999</v>
      </c>
      <c r="Z94">
        <v>3.3799999999999999</v>
      </c>
      <c r="AA94">
        <v>3.3799999999999999</v>
      </c>
      <c r="AB94">
        <v>3.3799999999999999</v>
      </c>
      <c r="AC94">
        <v>3.3799999999999999</v>
      </c>
      <c r="AD94">
        <v>3.3799999999999999</v>
      </c>
      <c r="AE94">
        <v>3.3799999999999999</v>
      </c>
      <c r="AF94">
        <v>3.3799999999999999</v>
      </c>
      <c r="AG94">
        <v>3.3799999999999999</v>
      </c>
      <c r="AH94">
        <v>3.3799999999999999</v>
      </c>
      <c r="AI94">
        <v>3.3799999999999999</v>
      </c>
      <c r="AJ94">
        <v>3.3799999999999999</v>
      </c>
      <c r="AK94">
        <v>3.3799999999999999</v>
      </c>
      <c r="AL94">
        <v>3.3799999999999999</v>
      </c>
      <c r="AM94">
        <v>3.3799999999999999</v>
      </c>
      <c r="AN94">
        <v>3.3799999999999999</v>
      </c>
      <c r="AO94">
        <v>3.3799999999999999</v>
      </c>
      <c r="AP94">
        <v>3.3799999999999999</v>
      </c>
      <c r="AQ94">
        <v>3.3799999999999999</v>
      </c>
      <c r="AR94">
        <v>3.3799999999999999</v>
      </c>
      <c r="AS94">
        <v>3.3799999999999999</v>
      </c>
      <c r="AT94">
        <v>3.3799999999999999</v>
      </c>
      <c r="AU94">
        <v>3.3799999999999999</v>
      </c>
      <c r="AV94">
        <v>3.3799999999999999</v>
      </c>
      <c r="AW94" t="s">
        <v>296</v>
      </c>
    </row>
    <row r="95" spans="1:49" ht="12.75">
      <c r="A95" t="s">
        <v>295</v>
      </c>
      <c r="B95" t="s">
        <v>291</v>
      </c>
      <c r="C95" t="s">
        <v>167</v>
      </c>
      <c r="D95" t="s">
        <v>411</v>
      </c>
      <c r="E95" t="s">
        <v>296</v>
      </c>
      <c r="F95" t="s">
        <v>83</v>
      </c>
      <c r="G95" t="s">
        <v>474</v>
      </c>
      <c r="H95" t="s">
        <v>296</v>
      </c>
      <c r="I95" t="s">
        <v>296</v>
      </c>
      <c r="J95" t="s">
        <v>296</v>
      </c>
      <c r="K95" t="s">
        <v>296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 t="s">
        <v>296</v>
      </c>
    </row>
    <row r="96" spans="1:49" ht="12.75">
      <c r="A96" t="s">
        <v>295</v>
      </c>
      <c r="B96" t="s">
        <v>291</v>
      </c>
      <c r="C96" t="s">
        <v>167</v>
      </c>
      <c r="D96" t="s">
        <v>37</v>
      </c>
      <c r="E96" t="s">
        <v>296</v>
      </c>
      <c r="F96" t="s">
        <v>83</v>
      </c>
      <c r="G96" t="s">
        <v>474</v>
      </c>
      <c r="H96" t="s">
        <v>296</v>
      </c>
      <c r="I96" t="s">
        <v>296</v>
      </c>
      <c r="J96" t="s">
        <v>296</v>
      </c>
      <c r="K96" t="s">
        <v>296</v>
      </c>
      <c r="L96">
        <v>12.82</v>
      </c>
      <c r="M96">
        <v>12.82</v>
      </c>
      <c r="N96">
        <v>12.82</v>
      </c>
      <c r="O96">
        <v>12.82</v>
      </c>
      <c r="P96">
        <v>12.82</v>
      </c>
      <c r="Q96">
        <v>12.82</v>
      </c>
      <c r="R96">
        <v>12.82</v>
      </c>
      <c r="S96">
        <v>12.82</v>
      </c>
      <c r="T96">
        <v>12.82</v>
      </c>
      <c r="U96">
        <v>12.82</v>
      </c>
      <c r="V96">
        <v>12.82</v>
      </c>
      <c r="W96">
        <v>12.82</v>
      </c>
      <c r="X96">
        <v>12.82</v>
      </c>
      <c r="Y96">
        <v>12.82</v>
      </c>
      <c r="Z96">
        <v>12.82</v>
      </c>
      <c r="AA96">
        <v>12.82</v>
      </c>
      <c r="AB96">
        <v>12.82</v>
      </c>
      <c r="AC96">
        <v>12.82</v>
      </c>
      <c r="AD96">
        <v>12.82</v>
      </c>
      <c r="AE96">
        <v>12.82</v>
      </c>
      <c r="AF96">
        <v>12.82</v>
      </c>
      <c r="AG96">
        <v>12.82</v>
      </c>
      <c r="AH96">
        <v>12.82</v>
      </c>
      <c r="AI96">
        <v>12.82</v>
      </c>
      <c r="AJ96">
        <v>12.82</v>
      </c>
      <c r="AK96">
        <v>12.82</v>
      </c>
      <c r="AL96">
        <v>12.82</v>
      </c>
      <c r="AM96">
        <v>12.82</v>
      </c>
      <c r="AN96">
        <v>12.82</v>
      </c>
      <c r="AO96">
        <v>12.82</v>
      </c>
      <c r="AP96">
        <v>12.82</v>
      </c>
      <c r="AQ96">
        <v>12.82</v>
      </c>
      <c r="AR96">
        <v>12.82</v>
      </c>
      <c r="AS96">
        <v>12.82</v>
      </c>
      <c r="AT96">
        <v>12.82</v>
      </c>
      <c r="AU96">
        <v>12.82</v>
      </c>
      <c r="AV96">
        <v>12.82</v>
      </c>
      <c r="AW96" t="s">
        <v>296</v>
      </c>
    </row>
    <row r="97" spans="1:49" ht="12.75">
      <c r="A97" t="s">
        <v>295</v>
      </c>
      <c r="B97" t="s">
        <v>291</v>
      </c>
      <c r="C97" t="s">
        <v>167</v>
      </c>
      <c r="D97" t="s">
        <v>324</v>
      </c>
      <c r="E97" t="s">
        <v>296</v>
      </c>
      <c r="F97" t="s">
        <v>83</v>
      </c>
      <c r="G97" t="s">
        <v>474</v>
      </c>
      <c r="H97" t="s">
        <v>296</v>
      </c>
      <c r="I97" t="s">
        <v>296</v>
      </c>
      <c r="J97" t="s">
        <v>296</v>
      </c>
      <c r="K97" t="s">
        <v>296</v>
      </c>
      <c r="L97">
        <v>3.3799999999999999</v>
      </c>
      <c r="M97">
        <v>3.3799999999999999</v>
      </c>
      <c r="N97">
        <v>3.3799999999999999</v>
      </c>
      <c r="O97">
        <v>3.3799999999999999</v>
      </c>
      <c r="P97">
        <v>3.3799999999999999</v>
      </c>
      <c r="Q97">
        <v>3.3799999999999999</v>
      </c>
      <c r="R97">
        <v>3.3799999999999999</v>
      </c>
      <c r="S97">
        <v>3.3799999999999999</v>
      </c>
      <c r="T97">
        <v>3.3799999999999999</v>
      </c>
      <c r="U97">
        <v>3.3799999999999999</v>
      </c>
      <c r="V97">
        <v>3.3799999999999999</v>
      </c>
      <c r="W97">
        <v>3.3799999999999999</v>
      </c>
      <c r="X97">
        <v>3.3799999999999999</v>
      </c>
      <c r="Y97">
        <v>3.3799999999999999</v>
      </c>
      <c r="Z97">
        <v>3.3799999999999999</v>
      </c>
      <c r="AA97">
        <v>3.3799999999999999</v>
      </c>
      <c r="AB97">
        <v>3.3799999999999999</v>
      </c>
      <c r="AC97">
        <v>3.3799999999999999</v>
      </c>
      <c r="AD97">
        <v>3.3799999999999999</v>
      </c>
      <c r="AE97">
        <v>3.3799999999999999</v>
      </c>
      <c r="AF97">
        <v>3.3799999999999999</v>
      </c>
      <c r="AG97">
        <v>3.3799999999999999</v>
      </c>
      <c r="AH97">
        <v>3.3799999999999999</v>
      </c>
      <c r="AI97">
        <v>3.3799999999999999</v>
      </c>
      <c r="AJ97">
        <v>3.3799999999999999</v>
      </c>
      <c r="AK97">
        <v>3.3799999999999999</v>
      </c>
      <c r="AL97">
        <v>3.3799999999999999</v>
      </c>
      <c r="AM97">
        <v>3.3799999999999999</v>
      </c>
      <c r="AN97">
        <v>3.3799999999999999</v>
      </c>
      <c r="AO97">
        <v>3.3799999999999999</v>
      </c>
      <c r="AP97">
        <v>3.3799999999999999</v>
      </c>
      <c r="AQ97">
        <v>3.3799999999999999</v>
      </c>
      <c r="AR97">
        <v>3.3799999999999999</v>
      </c>
      <c r="AS97">
        <v>3.3799999999999999</v>
      </c>
      <c r="AT97">
        <v>3.3799999999999999</v>
      </c>
      <c r="AU97">
        <v>3.3799999999999999</v>
      </c>
      <c r="AV97">
        <v>3.3799999999999999</v>
      </c>
      <c r="AW97" t="s">
        <v>296</v>
      </c>
    </row>
    <row r="98" spans="1:49" ht="12.75">
      <c r="A98" t="s">
        <v>295</v>
      </c>
      <c r="B98" t="s">
        <v>291</v>
      </c>
      <c r="C98" t="s">
        <v>326</v>
      </c>
      <c r="D98" t="s">
        <v>411</v>
      </c>
      <c r="E98" t="s">
        <v>296</v>
      </c>
      <c r="F98" t="s">
        <v>83</v>
      </c>
      <c r="G98" t="s">
        <v>474</v>
      </c>
      <c r="H98" t="s">
        <v>296</v>
      </c>
      <c r="I98" t="s">
        <v>296</v>
      </c>
      <c r="J98" t="s">
        <v>296</v>
      </c>
      <c r="K98" t="s">
        <v>296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 t="s">
        <v>296</v>
      </c>
    </row>
    <row r="99" spans="1:49" ht="12.75">
      <c r="A99" t="s">
        <v>295</v>
      </c>
      <c r="B99" t="s">
        <v>291</v>
      </c>
      <c r="C99" t="s">
        <v>326</v>
      </c>
      <c r="D99" t="s">
        <v>412</v>
      </c>
      <c r="E99" t="s">
        <v>296</v>
      </c>
      <c r="F99" t="s">
        <v>83</v>
      </c>
      <c r="G99" t="s">
        <v>474</v>
      </c>
      <c r="H99" t="s">
        <v>296</v>
      </c>
      <c r="I99" t="s">
        <v>296</v>
      </c>
      <c r="J99" t="s">
        <v>296</v>
      </c>
      <c r="K99" t="s">
        <v>296</v>
      </c>
      <c r="L99">
        <v>2.1899999999999999</v>
      </c>
      <c r="M99">
        <v>2.1899999999999999</v>
      </c>
      <c r="N99">
        <v>2.1899999999999999</v>
      </c>
      <c r="O99">
        <v>2.1899999999999999</v>
      </c>
      <c r="P99">
        <v>2.1899999999999999</v>
      </c>
      <c r="Q99">
        <v>2.1899999999999999</v>
      </c>
      <c r="R99">
        <v>2.1899999999999999</v>
      </c>
      <c r="S99">
        <v>2.1899999999999999</v>
      </c>
      <c r="T99">
        <v>2.1899999999999999</v>
      </c>
      <c r="U99">
        <v>2.1899999999999999</v>
      </c>
      <c r="V99">
        <v>2.1899999999999999</v>
      </c>
      <c r="W99">
        <v>2.1899999999999999</v>
      </c>
      <c r="X99">
        <v>2.1899999999999999</v>
      </c>
      <c r="Y99">
        <v>2.1899999999999999</v>
      </c>
      <c r="Z99">
        <v>2.1899999999999999</v>
      </c>
      <c r="AA99">
        <v>2.1899999999999999</v>
      </c>
      <c r="AB99">
        <v>2.1899999999999999</v>
      </c>
      <c r="AC99">
        <v>2.1899999999999999</v>
      </c>
      <c r="AD99">
        <v>2.1899999999999999</v>
      </c>
      <c r="AE99">
        <v>2.1899999999999999</v>
      </c>
      <c r="AF99">
        <v>2.1899999999999999</v>
      </c>
      <c r="AG99">
        <v>2.1899999999999999</v>
      </c>
      <c r="AH99">
        <v>2.1899999999999999</v>
      </c>
      <c r="AI99">
        <v>2.1899999999999999</v>
      </c>
      <c r="AJ99">
        <v>2.1899999999999999</v>
      </c>
      <c r="AK99">
        <v>2.1899999999999999</v>
      </c>
      <c r="AL99">
        <v>2.1899999999999999</v>
      </c>
      <c r="AM99">
        <v>2.1899999999999999</v>
      </c>
      <c r="AN99">
        <v>2.1899999999999999</v>
      </c>
      <c r="AO99">
        <v>2.1899999999999999</v>
      </c>
      <c r="AP99">
        <v>2.1899999999999999</v>
      </c>
      <c r="AQ99">
        <v>2.1899999999999999</v>
      </c>
      <c r="AR99">
        <v>2.1899999999999999</v>
      </c>
      <c r="AS99">
        <v>2.1899999999999999</v>
      </c>
      <c r="AT99">
        <v>2.1899999999999999</v>
      </c>
      <c r="AU99">
        <v>2.1899999999999999</v>
      </c>
      <c r="AV99">
        <v>2.1899999999999999</v>
      </c>
      <c r="AW99" t="s">
        <v>296</v>
      </c>
    </row>
    <row r="100" spans="1:49" ht="12.75">
      <c r="A100" t="s">
        <v>295</v>
      </c>
      <c r="B100" t="s">
        <v>291</v>
      </c>
      <c r="C100" t="s">
        <v>326</v>
      </c>
      <c r="D100" t="s">
        <v>37</v>
      </c>
      <c r="E100" t="s">
        <v>296</v>
      </c>
      <c r="F100" t="s">
        <v>83</v>
      </c>
      <c r="G100" t="s">
        <v>474</v>
      </c>
      <c r="H100" t="s">
        <v>296</v>
      </c>
      <c r="I100" t="s">
        <v>296</v>
      </c>
      <c r="J100" t="s">
        <v>296</v>
      </c>
      <c r="K100" t="s">
        <v>296</v>
      </c>
      <c r="L100">
        <v>10.69</v>
      </c>
      <c r="M100">
        <v>10.69</v>
      </c>
      <c r="N100">
        <v>10.69</v>
      </c>
      <c r="O100">
        <v>10.69</v>
      </c>
      <c r="P100">
        <v>10.69</v>
      </c>
      <c r="Q100">
        <v>10.69</v>
      </c>
      <c r="R100">
        <v>10.69</v>
      </c>
      <c r="S100">
        <v>10.69</v>
      </c>
      <c r="T100">
        <v>10.69</v>
      </c>
      <c r="U100">
        <v>10.69</v>
      </c>
      <c r="V100">
        <v>10.69</v>
      </c>
      <c r="W100">
        <v>10.69</v>
      </c>
      <c r="X100">
        <v>10.69</v>
      </c>
      <c r="Y100">
        <v>10.69</v>
      </c>
      <c r="Z100">
        <v>10.69</v>
      </c>
      <c r="AA100">
        <v>10.69</v>
      </c>
      <c r="AB100">
        <v>10.69</v>
      </c>
      <c r="AC100">
        <v>10.69</v>
      </c>
      <c r="AD100">
        <v>10.69</v>
      </c>
      <c r="AE100">
        <v>10.69</v>
      </c>
      <c r="AF100">
        <v>10.69</v>
      </c>
      <c r="AG100">
        <v>10.69</v>
      </c>
      <c r="AH100">
        <v>10.69</v>
      </c>
      <c r="AI100">
        <v>10.69</v>
      </c>
      <c r="AJ100">
        <v>10.69</v>
      </c>
      <c r="AK100">
        <v>10.69</v>
      </c>
      <c r="AL100">
        <v>10.69</v>
      </c>
      <c r="AM100">
        <v>10.69</v>
      </c>
      <c r="AN100">
        <v>10.69</v>
      </c>
      <c r="AO100">
        <v>10.69</v>
      </c>
      <c r="AP100">
        <v>10.69</v>
      </c>
      <c r="AQ100">
        <v>10.69</v>
      </c>
      <c r="AR100">
        <v>10.69</v>
      </c>
      <c r="AS100">
        <v>10.69</v>
      </c>
      <c r="AT100">
        <v>10.69</v>
      </c>
      <c r="AU100">
        <v>10.69</v>
      </c>
      <c r="AV100">
        <v>10.69</v>
      </c>
      <c r="AW100" t="s">
        <v>296</v>
      </c>
    </row>
    <row r="101" spans="1:49" ht="12.75">
      <c r="A101" t="s">
        <v>295</v>
      </c>
      <c r="B101" t="s">
        <v>291</v>
      </c>
      <c r="C101" t="s">
        <v>326</v>
      </c>
      <c r="D101" t="s">
        <v>324</v>
      </c>
      <c r="E101" t="s">
        <v>296</v>
      </c>
      <c r="F101" t="s">
        <v>83</v>
      </c>
      <c r="G101" t="s">
        <v>474</v>
      </c>
      <c r="H101" t="s">
        <v>296</v>
      </c>
      <c r="I101" t="s">
        <v>296</v>
      </c>
      <c r="J101" t="s">
        <v>296</v>
      </c>
      <c r="K101" t="s">
        <v>296</v>
      </c>
      <c r="L101">
        <v>3.3799999999999999</v>
      </c>
      <c r="M101">
        <v>3.3799999999999999</v>
      </c>
      <c r="N101">
        <v>3.3799999999999999</v>
      </c>
      <c r="O101">
        <v>3.3799999999999999</v>
      </c>
      <c r="P101">
        <v>3.3799999999999999</v>
      </c>
      <c r="Q101">
        <v>3.3799999999999999</v>
      </c>
      <c r="R101">
        <v>3.3799999999999999</v>
      </c>
      <c r="S101">
        <v>3.3799999999999999</v>
      </c>
      <c r="T101">
        <v>3.3799999999999999</v>
      </c>
      <c r="U101">
        <v>3.3799999999999999</v>
      </c>
      <c r="V101">
        <v>3.3799999999999999</v>
      </c>
      <c r="W101">
        <v>3.3799999999999999</v>
      </c>
      <c r="X101">
        <v>3.3799999999999999</v>
      </c>
      <c r="Y101">
        <v>3.3799999999999999</v>
      </c>
      <c r="Z101">
        <v>3.3799999999999999</v>
      </c>
      <c r="AA101">
        <v>3.3799999999999999</v>
      </c>
      <c r="AB101">
        <v>3.3799999999999999</v>
      </c>
      <c r="AC101">
        <v>3.3799999999999999</v>
      </c>
      <c r="AD101">
        <v>3.3799999999999999</v>
      </c>
      <c r="AE101">
        <v>3.3799999999999999</v>
      </c>
      <c r="AF101">
        <v>3.3799999999999999</v>
      </c>
      <c r="AG101">
        <v>3.3799999999999999</v>
      </c>
      <c r="AH101">
        <v>3.3799999999999999</v>
      </c>
      <c r="AI101">
        <v>3.3799999999999999</v>
      </c>
      <c r="AJ101">
        <v>3.3799999999999999</v>
      </c>
      <c r="AK101">
        <v>3.3799999999999999</v>
      </c>
      <c r="AL101">
        <v>3.3799999999999999</v>
      </c>
      <c r="AM101">
        <v>3.3799999999999999</v>
      </c>
      <c r="AN101">
        <v>3.3799999999999999</v>
      </c>
      <c r="AO101">
        <v>3.3799999999999999</v>
      </c>
      <c r="AP101">
        <v>3.3799999999999999</v>
      </c>
      <c r="AQ101">
        <v>3.3799999999999999</v>
      </c>
      <c r="AR101">
        <v>3.3799999999999999</v>
      </c>
      <c r="AS101">
        <v>3.3799999999999999</v>
      </c>
      <c r="AT101">
        <v>3.3799999999999999</v>
      </c>
      <c r="AU101">
        <v>3.3799999999999999</v>
      </c>
      <c r="AV101">
        <v>3.3799999999999999</v>
      </c>
      <c r="AW101" t="s">
        <v>296</v>
      </c>
    </row>
    <row r="102" spans="1:49" ht="12.75">
      <c r="A102" t="s">
        <v>295</v>
      </c>
      <c r="B102" t="s">
        <v>291</v>
      </c>
      <c r="C102" t="s">
        <v>116</v>
      </c>
      <c r="D102" t="s">
        <v>102</v>
      </c>
      <c r="E102" t="s">
        <v>296</v>
      </c>
      <c r="F102" t="s">
        <v>83</v>
      </c>
      <c r="G102" t="s">
        <v>474</v>
      </c>
      <c r="H102" t="s">
        <v>296</v>
      </c>
      <c r="I102" t="s">
        <v>296</v>
      </c>
      <c r="J102" t="s">
        <v>296</v>
      </c>
      <c r="K102" t="s">
        <v>296</v>
      </c>
      <c r="L102">
        <v>3.3999999999999999</v>
      </c>
      <c r="M102">
        <v>3.3999999999999999</v>
      </c>
      <c r="N102">
        <v>3.3999999999999999</v>
      </c>
      <c r="O102">
        <v>3.23</v>
      </c>
      <c r="P102">
        <v>3.3999999999999999</v>
      </c>
      <c r="Q102">
        <v>3.23</v>
      </c>
      <c r="R102">
        <v>3.3999999999999999</v>
      </c>
      <c r="S102">
        <v>3.3999999999999999</v>
      </c>
      <c r="T102">
        <v>3.3999999999999999</v>
      </c>
      <c r="U102">
        <v>3.3999999999999999</v>
      </c>
      <c r="V102">
        <v>3.3999999999999999</v>
      </c>
      <c r="W102">
        <v>1.6499999999999999</v>
      </c>
      <c r="X102">
        <v>3.3999999999999999</v>
      </c>
      <c r="Y102">
        <v>3.3999999999999999</v>
      </c>
      <c r="Z102">
        <v>3.3999999999999999</v>
      </c>
      <c r="AA102">
        <v>3.3999999999999999</v>
      </c>
      <c r="AB102">
        <v>3.3999999999999999</v>
      </c>
      <c r="AC102">
        <v>1.6799999999999999</v>
      </c>
      <c r="AD102">
        <v>3.3999999999999999</v>
      </c>
      <c r="AE102">
        <v>3.3999999999999999</v>
      </c>
      <c r="AF102">
        <v>3.3999999999999999</v>
      </c>
      <c r="AG102">
        <v>3.3999999999999999</v>
      </c>
      <c r="AH102">
        <v>3.23</v>
      </c>
      <c r="AI102">
        <v>3.23</v>
      </c>
      <c r="AJ102">
        <v>3.3999999999999999</v>
      </c>
      <c r="AK102">
        <v>3.3999999999999999</v>
      </c>
      <c r="AL102">
        <v>3.3999999999999999</v>
      </c>
      <c r="AM102">
        <v>0.10000000000000001</v>
      </c>
      <c r="AN102">
        <v>3.23</v>
      </c>
      <c r="AO102">
        <v>3.3999999999999999</v>
      </c>
      <c r="AP102">
        <v>3.3999999999999999</v>
      </c>
      <c r="AQ102">
        <v>3.0600000000000001</v>
      </c>
      <c r="AR102">
        <v>3.3999999999999999</v>
      </c>
      <c r="AS102">
        <v>3.3999999999999999</v>
      </c>
      <c r="AT102">
        <v>3.3999999999999999</v>
      </c>
      <c r="AU102">
        <v>3.3999999999999999</v>
      </c>
      <c r="AV102">
        <v>3.3999999999999999</v>
      </c>
      <c r="AW102" t="s">
        <v>296</v>
      </c>
    </row>
    <row r="103" spans="1:49" ht="12.75">
      <c r="A103" t="s">
        <v>295</v>
      </c>
      <c r="B103" t="s">
        <v>291</v>
      </c>
      <c r="C103" t="s">
        <v>116</v>
      </c>
      <c r="D103" t="s">
        <v>37</v>
      </c>
      <c r="E103" t="s">
        <v>296</v>
      </c>
      <c r="F103" t="s">
        <v>83</v>
      </c>
      <c r="G103" t="s">
        <v>474</v>
      </c>
      <c r="H103" t="s">
        <v>296</v>
      </c>
      <c r="I103" t="s">
        <v>296</v>
      </c>
      <c r="J103" t="s">
        <v>296</v>
      </c>
      <c r="K103" t="s">
        <v>296</v>
      </c>
      <c r="L103">
        <v>0.108</v>
      </c>
      <c r="M103">
        <v>0.108</v>
      </c>
      <c r="N103">
        <v>0.108</v>
      </c>
      <c r="O103">
        <v>0.086400000000000005</v>
      </c>
      <c r="P103">
        <v>0.108</v>
      </c>
      <c r="Q103">
        <v>0.108</v>
      </c>
      <c r="R103">
        <v>0.108</v>
      </c>
      <c r="S103">
        <v>0.108</v>
      </c>
      <c r="T103">
        <v>0.108</v>
      </c>
      <c r="U103">
        <v>0.108</v>
      </c>
      <c r="V103">
        <v>0.108</v>
      </c>
      <c r="W103">
        <v>0.25685000000000002</v>
      </c>
      <c r="X103">
        <v>0.108</v>
      </c>
      <c r="Y103">
        <v>0.108</v>
      </c>
      <c r="Z103">
        <v>0.108</v>
      </c>
      <c r="AA103">
        <v>0.108</v>
      </c>
      <c r="AB103">
        <v>0.108</v>
      </c>
      <c r="AC103">
        <v>0.108</v>
      </c>
      <c r="AD103">
        <v>0.108</v>
      </c>
      <c r="AE103">
        <v>0.108</v>
      </c>
      <c r="AF103">
        <v>0.108</v>
      </c>
      <c r="AG103">
        <v>0.108</v>
      </c>
      <c r="AH103">
        <v>0.108</v>
      </c>
      <c r="AI103">
        <v>0.108</v>
      </c>
      <c r="AJ103">
        <v>0.108</v>
      </c>
      <c r="AK103">
        <v>0.108</v>
      </c>
      <c r="AL103">
        <v>0.108</v>
      </c>
      <c r="AM103">
        <v>0.25</v>
      </c>
      <c r="AN103">
        <v>0.108</v>
      </c>
      <c r="AO103">
        <v>0.108</v>
      </c>
      <c r="AP103">
        <v>0.108</v>
      </c>
      <c r="AQ103">
        <v>0.108</v>
      </c>
      <c r="AR103">
        <v>0.108</v>
      </c>
      <c r="AS103">
        <v>0.108</v>
      </c>
      <c r="AT103">
        <v>0.108</v>
      </c>
      <c r="AU103">
        <v>0.108</v>
      </c>
      <c r="AV103">
        <v>0.108</v>
      </c>
      <c r="AW103" t="s">
        <v>296</v>
      </c>
    </row>
    <row r="104" spans="1:49" ht="12.75">
      <c r="A104" t="s">
        <v>295</v>
      </c>
      <c r="B104" t="s">
        <v>291</v>
      </c>
      <c r="C104" t="s">
        <v>116</v>
      </c>
      <c r="D104" t="s">
        <v>41</v>
      </c>
      <c r="E104" t="s">
        <v>296</v>
      </c>
      <c r="F104" t="s">
        <v>83</v>
      </c>
      <c r="G104" t="s">
        <v>474</v>
      </c>
      <c r="H104" t="s">
        <v>296</v>
      </c>
      <c r="I104" t="s">
        <v>296</v>
      </c>
      <c r="J104" t="s">
        <v>296</v>
      </c>
      <c r="K104" t="s">
        <v>296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 t="s">
        <v>296</v>
      </c>
    </row>
    <row r="105" spans="1:49" ht="12.75">
      <c r="A105" t="s">
        <v>295</v>
      </c>
      <c r="B105" t="s">
        <v>291</v>
      </c>
      <c r="C105" t="s">
        <v>117</v>
      </c>
      <c r="D105" t="s">
        <v>426</v>
      </c>
      <c r="E105" t="s">
        <v>296</v>
      </c>
      <c r="F105" t="s">
        <v>83</v>
      </c>
      <c r="G105" t="s">
        <v>474</v>
      </c>
      <c r="H105" t="s">
        <v>296</v>
      </c>
      <c r="I105" t="s">
        <v>296</v>
      </c>
      <c r="J105" t="s">
        <v>296</v>
      </c>
      <c r="K105" t="s">
        <v>296</v>
      </c>
      <c r="L105">
        <v>1</v>
      </c>
      <c r="M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K105">
        <v>1</v>
      </c>
      <c r="AM105">
        <v>1</v>
      </c>
      <c r="AN105">
        <v>1</v>
      </c>
      <c r="AP105">
        <v>1</v>
      </c>
      <c r="AQ105">
        <v>1</v>
      </c>
      <c r="AT105">
        <v>1</v>
      </c>
      <c r="AU105">
        <v>1</v>
      </c>
      <c r="AV105">
        <v>1</v>
      </c>
      <c r="AW105" t="s">
        <v>296</v>
      </c>
    </row>
    <row r="106" spans="1:49" ht="12.75">
      <c r="A106" t="s">
        <v>295</v>
      </c>
      <c r="B106" t="s">
        <v>291</v>
      </c>
      <c r="C106" t="s">
        <v>117</v>
      </c>
      <c r="D106" t="s">
        <v>37</v>
      </c>
      <c r="E106" t="s">
        <v>296</v>
      </c>
      <c r="F106" t="s">
        <v>83</v>
      </c>
      <c r="G106" t="s">
        <v>474</v>
      </c>
      <c r="H106" t="s">
        <v>296</v>
      </c>
      <c r="I106" t="s">
        <v>296</v>
      </c>
      <c r="J106" t="s">
        <v>296</v>
      </c>
      <c r="K106" t="s">
        <v>296</v>
      </c>
      <c r="L106">
        <v>0.23801652892562</v>
      </c>
      <c r="M106">
        <v>1.4786535677655701</v>
      </c>
      <c r="P106">
        <v>0.96248719999999999</v>
      </c>
      <c r="Q106">
        <v>1</v>
      </c>
      <c r="R106">
        <v>0.17651072961373401</v>
      </c>
      <c r="S106">
        <v>0.84664979386626404</v>
      </c>
      <c r="T106">
        <v>0.73540000000000005</v>
      </c>
      <c r="U106">
        <v>0.89981568611347396</v>
      </c>
      <c r="V106">
        <v>1</v>
      </c>
      <c r="W106">
        <v>0.121951414408024</v>
      </c>
      <c r="X106">
        <v>0.16500000000000001</v>
      </c>
      <c r="Y106">
        <v>2.3107824472573801</v>
      </c>
      <c r="Z106">
        <v>0.75328215349908301</v>
      </c>
      <c r="AA106">
        <v>0.17000000000000001</v>
      </c>
      <c r="AB106">
        <v>0.67049056139823604</v>
      </c>
      <c r="AC106">
        <v>0.34200000000000003</v>
      </c>
      <c r="AK106">
        <v>0.42499999999999999</v>
      </c>
      <c r="AN106">
        <v>1.5</v>
      </c>
      <c r="AP106">
        <v>0.23400000000000001</v>
      </c>
      <c r="AQ106">
        <v>0.814469</v>
      </c>
      <c r="AT106">
        <v>3.3999999999999999</v>
      </c>
      <c r="AU106">
        <v>0.53939018110355297</v>
      </c>
      <c r="AV106">
        <v>0.358648578901482</v>
      </c>
      <c r="AW106" t="s">
        <v>296</v>
      </c>
    </row>
    <row r="107" spans="1:49" ht="12.75">
      <c r="A107" t="s">
        <v>295</v>
      </c>
      <c r="B107" t="s">
        <v>291</v>
      </c>
      <c r="C107" t="s">
        <v>117</v>
      </c>
      <c r="D107" t="s">
        <v>39</v>
      </c>
      <c r="E107" t="s">
        <v>296</v>
      </c>
      <c r="F107" t="s">
        <v>83</v>
      </c>
      <c r="G107" t="s">
        <v>474</v>
      </c>
      <c r="H107" t="s">
        <v>296</v>
      </c>
      <c r="I107" t="s">
        <v>296</v>
      </c>
      <c r="J107" t="s">
        <v>296</v>
      </c>
      <c r="K107" t="s">
        <v>296</v>
      </c>
      <c r="S107">
        <v>0.047</v>
      </c>
      <c r="U107">
        <v>0.047577272727272697</v>
      </c>
      <c r="W107">
        <v>0.010048319999999999</v>
      </c>
      <c r="AB107">
        <v>0.059811428571428599</v>
      </c>
      <c r="AC107">
        <v>0.014276987999999999</v>
      </c>
      <c r="AK107">
        <v>0.097000000000000003</v>
      </c>
      <c r="AM107">
        <v>0.083333333333333301</v>
      </c>
      <c r="AN107">
        <v>0.5</v>
      </c>
      <c r="AP107">
        <v>0.13700000000000001</v>
      </c>
      <c r="AQ107">
        <v>0.049834351535836201</v>
      </c>
      <c r="AV107">
        <v>0.65375403661726195</v>
      </c>
      <c r="AW107" t="s">
        <v>296</v>
      </c>
    </row>
    <row r="108" spans="1:49" ht="12.75">
      <c r="A108" t="s">
        <v>295</v>
      </c>
      <c r="B108" t="s">
        <v>291</v>
      </c>
      <c r="C108" t="s">
        <v>117</v>
      </c>
      <c r="D108" t="s">
        <v>41</v>
      </c>
      <c r="E108" t="s">
        <v>296</v>
      </c>
      <c r="F108" t="s">
        <v>83</v>
      </c>
      <c r="G108" t="s">
        <v>474</v>
      </c>
      <c r="H108" t="s">
        <v>296</v>
      </c>
      <c r="I108" t="s">
        <v>296</v>
      </c>
      <c r="J108" t="s">
        <v>296</v>
      </c>
      <c r="K108" t="s">
        <v>296</v>
      </c>
      <c r="L108">
        <v>0.91632231404958697</v>
      </c>
      <c r="M108">
        <v>0.38807120879120899</v>
      </c>
      <c r="P108">
        <v>0.76685124163516605</v>
      </c>
      <c r="Q108">
        <v>0.76685124163516605</v>
      </c>
      <c r="R108">
        <v>0.76685124163516605</v>
      </c>
      <c r="S108">
        <v>0.72374473532307704</v>
      </c>
      <c r="T108">
        <v>0.77171384220855799</v>
      </c>
      <c r="U108">
        <v>0.76685124163516605</v>
      </c>
      <c r="V108">
        <v>0.76685124163516605</v>
      </c>
      <c r="W108">
        <v>0.76685124163516605</v>
      </c>
      <c r="X108">
        <v>0.76685124163516605</v>
      </c>
      <c r="Y108">
        <v>0.51906860050729298</v>
      </c>
      <c r="Z108">
        <v>0.76685124163516605</v>
      </c>
      <c r="AA108">
        <v>0.76685124163516605</v>
      </c>
      <c r="AB108">
        <v>0.90983417499999997</v>
      </c>
      <c r="AC108">
        <v>0.76685124163516605</v>
      </c>
      <c r="AK108">
        <v>0.76685124163516605</v>
      </c>
      <c r="AM108">
        <v>0.48295334892340303</v>
      </c>
      <c r="AN108">
        <v>0.76685124163516605</v>
      </c>
      <c r="AP108">
        <v>0.79494009760995898</v>
      </c>
      <c r="AQ108">
        <v>0.828999015625</v>
      </c>
      <c r="AT108">
        <v>0.76685124163516605</v>
      </c>
      <c r="AU108">
        <v>0.67243897551020404</v>
      </c>
      <c r="AV108">
        <v>0.82711066020650204</v>
      </c>
      <c r="AW108" t="s">
        <v>296</v>
      </c>
    </row>
    <row r="109" spans="1:49" ht="12.75">
      <c r="A109" t="s">
        <v>295</v>
      </c>
      <c r="B109" t="s">
        <v>291</v>
      </c>
      <c r="C109" t="s">
        <v>117</v>
      </c>
      <c r="D109" t="s">
        <v>42</v>
      </c>
      <c r="E109" t="s">
        <v>296</v>
      </c>
      <c r="F109" t="s">
        <v>83</v>
      </c>
      <c r="G109" t="s">
        <v>474</v>
      </c>
      <c r="H109" t="s">
        <v>296</v>
      </c>
      <c r="I109" t="s">
        <v>296</v>
      </c>
      <c r="J109" t="s">
        <v>296</v>
      </c>
      <c r="K109" t="s">
        <v>296</v>
      </c>
      <c r="L109">
        <v>0.083677685950413194</v>
      </c>
      <c r="M109">
        <v>0.61192879120879096</v>
      </c>
      <c r="P109">
        <v>0.23314875836483401</v>
      </c>
      <c r="Q109">
        <v>0.23314875836483401</v>
      </c>
      <c r="R109">
        <v>0.23314875836483401</v>
      </c>
      <c r="S109">
        <v>0.27625526467692302</v>
      </c>
      <c r="T109">
        <v>0.22828615779144201</v>
      </c>
      <c r="U109">
        <v>0.23314875836483401</v>
      </c>
      <c r="V109">
        <v>0.23314875836483401</v>
      </c>
      <c r="W109">
        <v>0.23314875836483401</v>
      </c>
      <c r="X109">
        <v>0.0154552758069855</v>
      </c>
      <c r="Y109">
        <v>0.48093139949270702</v>
      </c>
      <c r="Z109">
        <v>0.0081646922934941104</v>
      </c>
      <c r="AA109">
        <v>0.23314875836483401</v>
      </c>
      <c r="AB109">
        <v>0.090165825000000005</v>
      </c>
      <c r="AC109">
        <v>0.23314875836483401</v>
      </c>
      <c r="AK109">
        <v>0.23314875836483401</v>
      </c>
      <c r="AM109">
        <v>0.51704665107659697</v>
      </c>
      <c r="AN109">
        <v>0.034749000000000002</v>
      </c>
      <c r="AP109">
        <v>0.23314875836483401</v>
      </c>
      <c r="AQ109">
        <v>0.171000984375</v>
      </c>
      <c r="AT109">
        <v>0.23314875836483401</v>
      </c>
      <c r="AU109">
        <v>0.32756102448979602</v>
      </c>
      <c r="AV109">
        <v>0.17288933979349799</v>
      </c>
      <c r="AW109" t="s">
        <v>296</v>
      </c>
    </row>
    <row r="110" spans="1:49" ht="12.75">
      <c r="A110" t="s">
        <v>295</v>
      </c>
      <c r="B110" t="s">
        <v>291</v>
      </c>
      <c r="C110" t="s">
        <v>118</v>
      </c>
      <c r="D110" t="s">
        <v>37</v>
      </c>
      <c r="E110" t="s">
        <v>296</v>
      </c>
      <c r="F110" t="s">
        <v>83</v>
      </c>
      <c r="G110" t="s">
        <v>474</v>
      </c>
      <c r="H110" t="s">
        <v>296</v>
      </c>
      <c r="I110" t="s">
        <v>296</v>
      </c>
      <c r="J110" t="s">
        <v>296</v>
      </c>
      <c r="K110" t="s">
        <v>296</v>
      </c>
      <c r="L110">
        <v>0.29999999999999999</v>
      </c>
      <c r="M110">
        <v>0.29999999999999999</v>
      </c>
      <c r="N110">
        <v>0.29999999999999999</v>
      </c>
      <c r="O110">
        <v>0.23999999999999999</v>
      </c>
      <c r="P110">
        <v>0.29999999999999999</v>
      </c>
      <c r="Q110">
        <v>0.29999999999999999</v>
      </c>
      <c r="R110">
        <v>0.29999999999999999</v>
      </c>
      <c r="S110">
        <v>0.29999999999999999</v>
      </c>
      <c r="T110">
        <v>0.29999999999999999</v>
      </c>
      <c r="U110">
        <v>0.29999999999999999</v>
      </c>
      <c r="V110">
        <v>0.29999999999999999</v>
      </c>
      <c r="W110">
        <v>0.29999999999999999</v>
      </c>
      <c r="X110">
        <v>0.29999999999999999</v>
      </c>
      <c r="Y110">
        <v>0.29999999999999999</v>
      </c>
      <c r="Z110">
        <v>0.29999999999999999</v>
      </c>
      <c r="AA110">
        <v>0.29999999999999999</v>
      </c>
      <c r="AB110">
        <v>0.29999999999999999</v>
      </c>
      <c r="AC110">
        <v>0.29999999999999999</v>
      </c>
      <c r="AD110">
        <v>0.29999999999999999</v>
      </c>
      <c r="AE110">
        <v>0.29999999999999999</v>
      </c>
      <c r="AF110">
        <v>0.29999999999999999</v>
      </c>
      <c r="AG110">
        <v>0.29999999999999999</v>
      </c>
      <c r="AH110">
        <v>0.29999999999999999</v>
      </c>
      <c r="AI110">
        <v>0.29999999999999999</v>
      </c>
      <c r="AJ110">
        <v>0.29999999999999999</v>
      </c>
      <c r="AK110">
        <v>0.29999999999999999</v>
      </c>
      <c r="AL110">
        <v>0.29999999999999999</v>
      </c>
      <c r="AM110">
        <v>0.29999999999999999</v>
      </c>
      <c r="AN110">
        <v>0.29999999999999999</v>
      </c>
      <c r="AO110">
        <v>0.29999999999999999</v>
      </c>
      <c r="AP110">
        <v>0.29999999999999999</v>
      </c>
      <c r="AQ110">
        <v>0.29999999999999999</v>
      </c>
      <c r="AR110">
        <v>0.29999999999999999</v>
      </c>
      <c r="AS110">
        <v>0.29999999999999999</v>
      </c>
      <c r="AT110">
        <v>0.29999999999999999</v>
      </c>
      <c r="AU110">
        <v>0.29999999999999999</v>
      </c>
      <c r="AV110">
        <v>0.29999999999999999</v>
      </c>
      <c r="AW110" t="s">
        <v>296</v>
      </c>
    </row>
    <row r="111" spans="1:49" ht="12.75">
      <c r="A111" t="s">
        <v>295</v>
      </c>
      <c r="B111" t="s">
        <v>291</v>
      </c>
      <c r="C111" t="s">
        <v>118</v>
      </c>
      <c r="D111" t="s">
        <v>43</v>
      </c>
      <c r="E111" t="s">
        <v>296</v>
      </c>
      <c r="F111" t="s">
        <v>83</v>
      </c>
      <c r="G111" t="s">
        <v>474</v>
      </c>
      <c r="H111" t="s">
        <v>296</v>
      </c>
      <c r="I111" t="s">
        <v>296</v>
      </c>
      <c r="J111" t="s">
        <v>296</v>
      </c>
      <c r="K111" t="s">
        <v>296</v>
      </c>
      <c r="L111">
        <v>6</v>
      </c>
      <c r="M111">
        <v>6</v>
      </c>
      <c r="N111">
        <v>6</v>
      </c>
      <c r="O111">
        <v>4.7999999999999998</v>
      </c>
      <c r="P111">
        <v>6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6</v>
      </c>
      <c r="Y111">
        <v>6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6</v>
      </c>
      <c r="AS111">
        <v>6</v>
      </c>
      <c r="AT111">
        <v>6</v>
      </c>
      <c r="AU111">
        <v>6</v>
      </c>
      <c r="AV111">
        <v>6</v>
      </c>
      <c r="AW111" t="s">
        <v>296</v>
      </c>
    </row>
    <row r="112" spans="1:49" ht="12.75">
      <c r="A112" t="s">
        <v>295</v>
      </c>
      <c r="B112" t="s">
        <v>291</v>
      </c>
      <c r="C112" t="s">
        <v>118</v>
      </c>
      <c r="D112" t="s">
        <v>41</v>
      </c>
      <c r="E112" t="s">
        <v>296</v>
      </c>
      <c r="F112" t="s">
        <v>83</v>
      </c>
      <c r="G112" t="s">
        <v>474</v>
      </c>
      <c r="H112" t="s">
        <v>296</v>
      </c>
      <c r="I112" t="s">
        <v>296</v>
      </c>
      <c r="J112" t="s">
        <v>296</v>
      </c>
      <c r="K112" t="s">
        <v>296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 t="s">
        <v>296</v>
      </c>
    </row>
    <row r="113" spans="1:49" ht="12.75">
      <c r="A113" t="s">
        <v>295</v>
      </c>
      <c r="B113" t="s">
        <v>291</v>
      </c>
      <c r="C113" t="s">
        <v>119</v>
      </c>
      <c r="D113" t="s">
        <v>413</v>
      </c>
      <c r="E113" t="s">
        <v>296</v>
      </c>
      <c r="F113" t="s">
        <v>83</v>
      </c>
      <c r="G113" t="s">
        <v>474</v>
      </c>
      <c r="H113" t="s">
        <v>296</v>
      </c>
      <c r="I113" t="s">
        <v>296</v>
      </c>
      <c r="J113" t="s">
        <v>296</v>
      </c>
      <c r="K113" t="s">
        <v>296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 t="s">
        <v>296</v>
      </c>
    </row>
    <row r="114" spans="1:49" ht="12.75">
      <c r="A114" t="s">
        <v>295</v>
      </c>
      <c r="B114" t="s">
        <v>291</v>
      </c>
      <c r="C114" t="s">
        <v>119</v>
      </c>
      <c r="D114" t="s">
        <v>37</v>
      </c>
      <c r="E114" t="s">
        <v>296</v>
      </c>
      <c r="F114" t="s">
        <v>83</v>
      </c>
      <c r="G114" t="s">
        <v>474</v>
      </c>
      <c r="H114" t="s">
        <v>296</v>
      </c>
      <c r="I114" t="s">
        <v>296</v>
      </c>
      <c r="J114" t="s">
        <v>296</v>
      </c>
      <c r="K114" t="s">
        <v>296</v>
      </c>
      <c r="L114">
        <v>1.6000000000000001</v>
      </c>
      <c r="M114">
        <v>1.6000000000000001</v>
      </c>
      <c r="N114">
        <v>0</v>
      </c>
      <c r="O114">
        <v>1.6000000000000001</v>
      </c>
      <c r="P114">
        <v>1.6000000000000001</v>
      </c>
      <c r="Q114">
        <v>1.6000000000000001</v>
      </c>
      <c r="R114">
        <v>1.6000000000000001</v>
      </c>
      <c r="S114">
        <v>1.6000000000000001</v>
      </c>
      <c r="T114">
        <v>1.6000000000000001</v>
      </c>
      <c r="U114">
        <v>1.6000000000000001</v>
      </c>
      <c r="V114">
        <v>1.6000000000000001</v>
      </c>
      <c r="W114">
        <v>1.6000000000000001</v>
      </c>
      <c r="X114">
        <v>1.6000000000000001</v>
      </c>
      <c r="Y114">
        <v>1.6000000000000001</v>
      </c>
      <c r="Z114">
        <v>1.6000000000000001</v>
      </c>
      <c r="AA114">
        <v>1.6000000000000001</v>
      </c>
      <c r="AB114">
        <v>1.6000000000000001</v>
      </c>
      <c r="AC114">
        <v>1.6000000000000001</v>
      </c>
      <c r="AD114">
        <v>1.6000000000000001</v>
      </c>
      <c r="AE114">
        <v>1.6000000000000001</v>
      </c>
      <c r="AF114">
        <v>1.6000000000000001</v>
      </c>
      <c r="AG114">
        <v>1.6000000000000001</v>
      </c>
      <c r="AH114">
        <v>1.6000000000000001</v>
      </c>
      <c r="AI114">
        <v>1.6000000000000001</v>
      </c>
      <c r="AJ114">
        <v>1.6000000000000001</v>
      </c>
      <c r="AK114">
        <v>1.6000000000000001</v>
      </c>
      <c r="AL114">
        <v>1.6000000000000001</v>
      </c>
      <c r="AM114">
        <v>1.6000000000000001</v>
      </c>
      <c r="AN114">
        <v>0</v>
      </c>
      <c r="AO114">
        <v>1.6000000000000001</v>
      </c>
      <c r="AP114">
        <v>1.6000000000000001</v>
      </c>
      <c r="AQ114">
        <v>1.6000000000000001</v>
      </c>
      <c r="AR114">
        <v>1.6000000000000001</v>
      </c>
      <c r="AS114">
        <v>1.6000000000000001</v>
      </c>
      <c r="AT114">
        <v>1.6000000000000001</v>
      </c>
      <c r="AU114">
        <v>1.6000000000000001</v>
      </c>
      <c r="AV114">
        <v>1.6000000000000001</v>
      </c>
      <c r="AW114" t="s">
        <v>296</v>
      </c>
    </row>
    <row r="115" spans="1:49" ht="12.75">
      <c r="A115" t="s">
        <v>295</v>
      </c>
      <c r="B115" t="s">
        <v>291</v>
      </c>
      <c r="C115" t="s">
        <v>119</v>
      </c>
      <c r="D115" t="s">
        <v>43</v>
      </c>
      <c r="E115" t="s">
        <v>296</v>
      </c>
      <c r="F115" t="s">
        <v>83</v>
      </c>
      <c r="G115" t="s">
        <v>474</v>
      </c>
      <c r="H115" t="s">
        <v>296</v>
      </c>
      <c r="I115" t="s">
        <v>296</v>
      </c>
      <c r="J115" t="s">
        <v>296</v>
      </c>
      <c r="K115" t="s">
        <v>296</v>
      </c>
      <c r="L115">
        <v>2.7999999999999998</v>
      </c>
      <c r="M115">
        <v>2.7999999999999998</v>
      </c>
      <c r="N115">
        <v>2.7999999999999998</v>
      </c>
      <c r="O115">
        <v>2.7999999999999998</v>
      </c>
      <c r="P115">
        <v>2.7999999999999998</v>
      </c>
      <c r="Q115">
        <v>2.7999999999999998</v>
      </c>
      <c r="R115">
        <v>2.7999999999999998</v>
      </c>
      <c r="S115">
        <v>2.7999999999999998</v>
      </c>
      <c r="T115">
        <v>2.7999999999999998</v>
      </c>
      <c r="U115">
        <v>2.7999999999999998</v>
      </c>
      <c r="V115">
        <v>2.7999999999999998</v>
      </c>
      <c r="W115">
        <v>2.7999999999999998</v>
      </c>
      <c r="X115">
        <v>2.7999999999999998</v>
      </c>
      <c r="Y115">
        <v>2.7999999999999998</v>
      </c>
      <c r="Z115">
        <v>2.7999999999999998</v>
      </c>
      <c r="AA115">
        <v>2.7999999999999998</v>
      </c>
      <c r="AB115">
        <v>2.7999999999999998</v>
      </c>
      <c r="AC115">
        <v>2.7999999999999998</v>
      </c>
      <c r="AD115">
        <v>2.7999999999999998</v>
      </c>
      <c r="AE115">
        <v>2.7999999999999998</v>
      </c>
      <c r="AF115">
        <v>2.7999999999999998</v>
      </c>
      <c r="AG115">
        <v>2.7999999999999998</v>
      </c>
      <c r="AH115">
        <v>2.7999999999999998</v>
      </c>
      <c r="AI115">
        <v>2.7999999999999998</v>
      </c>
      <c r="AJ115">
        <v>2.7999999999999998</v>
      </c>
      <c r="AK115">
        <v>2.7999999999999998</v>
      </c>
      <c r="AL115">
        <v>2.7999999999999998</v>
      </c>
      <c r="AM115">
        <v>2.7999999999999998</v>
      </c>
      <c r="AN115">
        <v>2.7999999999999998</v>
      </c>
      <c r="AO115">
        <v>2.52</v>
      </c>
      <c r="AP115">
        <v>2.7999999999999998</v>
      </c>
      <c r="AQ115">
        <v>2.7999999999999998</v>
      </c>
      <c r="AR115">
        <v>2.7999999999999998</v>
      </c>
      <c r="AS115">
        <v>2.7999999999999998</v>
      </c>
      <c r="AT115">
        <v>2.7999999999999998</v>
      </c>
      <c r="AU115">
        <v>2.7999999999999998</v>
      </c>
      <c r="AV115">
        <v>2.7999999999999998</v>
      </c>
      <c r="AW115" t="s">
        <v>296</v>
      </c>
    </row>
    <row r="116" spans="1:49" ht="12.75">
      <c r="A116" t="s">
        <v>295</v>
      </c>
      <c r="B116" t="s">
        <v>291</v>
      </c>
      <c r="C116" t="s">
        <v>119</v>
      </c>
      <c r="D116" t="s">
        <v>44</v>
      </c>
      <c r="E116" t="s">
        <v>296</v>
      </c>
      <c r="F116" t="s">
        <v>83</v>
      </c>
      <c r="G116" t="s">
        <v>474</v>
      </c>
      <c r="H116" t="s">
        <v>296</v>
      </c>
      <c r="I116" t="s">
        <v>296</v>
      </c>
      <c r="J116" t="s">
        <v>296</v>
      </c>
      <c r="K116" t="s">
        <v>296</v>
      </c>
      <c r="L116">
        <v>2.7999999999999998</v>
      </c>
      <c r="M116">
        <v>2.7999999999999998</v>
      </c>
      <c r="N116">
        <v>2.7999999999999998</v>
      </c>
      <c r="O116">
        <v>2.7999999999999998</v>
      </c>
      <c r="P116">
        <v>2.7999999999999998</v>
      </c>
      <c r="Q116">
        <v>2.7999999999999998</v>
      </c>
      <c r="R116">
        <v>2.7999999999999998</v>
      </c>
      <c r="S116">
        <v>2.7999999999999998</v>
      </c>
      <c r="T116">
        <v>2.7999999999999998</v>
      </c>
      <c r="U116">
        <v>2.7999999999999998</v>
      </c>
      <c r="V116">
        <v>2.7999999999999998</v>
      </c>
      <c r="W116">
        <v>2.7999999999999998</v>
      </c>
      <c r="X116">
        <v>2.7999999999999998</v>
      </c>
      <c r="Y116">
        <v>2.7999999999999998</v>
      </c>
      <c r="Z116">
        <v>2.7999999999999998</v>
      </c>
      <c r="AA116">
        <v>2.7999999999999998</v>
      </c>
      <c r="AB116">
        <v>2.7999999999999998</v>
      </c>
      <c r="AC116">
        <v>2.7999999999999998</v>
      </c>
      <c r="AD116">
        <v>2.7999999999999998</v>
      </c>
      <c r="AE116">
        <v>2.7999999999999998</v>
      </c>
      <c r="AF116">
        <v>2.7999999999999998</v>
      </c>
      <c r="AG116">
        <v>2.7999999999999998</v>
      </c>
      <c r="AH116">
        <v>2.7999999999999998</v>
      </c>
      <c r="AI116">
        <v>2.7999999999999998</v>
      </c>
      <c r="AJ116">
        <v>2.7999999999999998</v>
      </c>
      <c r="AK116">
        <v>2.7999999999999998</v>
      </c>
      <c r="AL116">
        <v>2.7999999999999998</v>
      </c>
      <c r="AM116">
        <v>2.7999999999999998</v>
      </c>
      <c r="AN116">
        <v>2.7999999999999998</v>
      </c>
      <c r="AO116">
        <v>2.7999999999999998</v>
      </c>
      <c r="AP116">
        <v>2.7999999999999998</v>
      </c>
      <c r="AQ116">
        <v>2.7999999999999998</v>
      </c>
      <c r="AR116">
        <v>2.7999999999999998</v>
      </c>
      <c r="AS116">
        <v>2.7999999999999998</v>
      </c>
      <c r="AT116">
        <v>2.7999999999999998</v>
      </c>
      <c r="AU116">
        <v>2.7999999999999998</v>
      </c>
      <c r="AV116">
        <v>2.7999999999999998</v>
      </c>
      <c r="AW116" t="s">
        <v>296</v>
      </c>
    </row>
    <row r="117" spans="1:49" ht="12.75">
      <c r="A117" t="s">
        <v>295</v>
      </c>
      <c r="B117" t="s">
        <v>291</v>
      </c>
      <c r="C117" t="s">
        <v>119</v>
      </c>
      <c r="D117" t="s">
        <v>45</v>
      </c>
      <c r="E117" t="s">
        <v>296</v>
      </c>
      <c r="F117" t="s">
        <v>83</v>
      </c>
      <c r="G117" t="s">
        <v>474</v>
      </c>
      <c r="H117" t="s">
        <v>296</v>
      </c>
      <c r="I117" t="s">
        <v>296</v>
      </c>
      <c r="J117" t="s">
        <v>296</v>
      </c>
      <c r="K117" t="s">
        <v>296</v>
      </c>
      <c r="L117">
        <v>0.040000000000000001</v>
      </c>
      <c r="M117">
        <v>0.040000000000000001</v>
      </c>
      <c r="N117">
        <v>0.040000000000000001</v>
      </c>
      <c r="O117">
        <v>0.040000000000000001</v>
      </c>
      <c r="P117">
        <v>0.040000000000000001</v>
      </c>
      <c r="Q117">
        <v>0.040000000000000001</v>
      </c>
      <c r="R117">
        <v>0.040000000000000001</v>
      </c>
      <c r="S117">
        <v>0.040000000000000001</v>
      </c>
      <c r="T117">
        <v>0.040000000000000001</v>
      </c>
      <c r="U117">
        <v>0.040000000000000001</v>
      </c>
      <c r="V117">
        <v>0.040000000000000001</v>
      </c>
      <c r="W117">
        <v>0.040000000000000001</v>
      </c>
      <c r="X117">
        <v>0.040000000000000001</v>
      </c>
      <c r="Y117">
        <v>0.040000000000000001</v>
      </c>
      <c r="Z117">
        <v>0.040000000000000001</v>
      </c>
      <c r="AA117">
        <v>0.040000000000000001</v>
      </c>
      <c r="AB117">
        <v>0.040000000000000001</v>
      </c>
      <c r="AC117">
        <v>0.040000000000000001</v>
      </c>
      <c r="AD117">
        <v>0.040000000000000001</v>
      </c>
      <c r="AE117">
        <v>0.040000000000000001</v>
      </c>
      <c r="AF117">
        <v>0.040000000000000001</v>
      </c>
      <c r="AG117">
        <v>0.040000000000000001</v>
      </c>
      <c r="AH117">
        <v>0.040000000000000001</v>
      </c>
      <c r="AI117">
        <v>0.040000000000000001</v>
      </c>
      <c r="AJ117">
        <v>0.040000000000000001</v>
      </c>
      <c r="AK117">
        <v>0.040000000000000001</v>
      </c>
      <c r="AL117">
        <v>0.040000000000000001</v>
      </c>
      <c r="AM117">
        <v>0.040000000000000001</v>
      </c>
      <c r="AN117">
        <v>0.040000000000000001</v>
      </c>
      <c r="AO117">
        <v>0.040000000000000001</v>
      </c>
      <c r="AP117">
        <v>0.040000000000000001</v>
      </c>
      <c r="AQ117">
        <v>0.040000000000000001</v>
      </c>
      <c r="AR117">
        <v>0.040000000000000001</v>
      </c>
      <c r="AS117">
        <v>0.040000000000000001</v>
      </c>
      <c r="AT117">
        <v>0.040000000000000001</v>
      </c>
      <c r="AU117">
        <v>0.040000000000000001</v>
      </c>
      <c r="AV117">
        <v>0.040000000000000001</v>
      </c>
      <c r="AW117" t="s">
        <v>296</v>
      </c>
    </row>
    <row r="118" spans="1:49" ht="12.75">
      <c r="A118" t="s">
        <v>295</v>
      </c>
      <c r="B118" t="s">
        <v>291</v>
      </c>
      <c r="C118" t="s">
        <v>119</v>
      </c>
      <c r="D118" t="s">
        <v>46</v>
      </c>
      <c r="E118" t="s">
        <v>296</v>
      </c>
      <c r="F118" t="s">
        <v>83</v>
      </c>
      <c r="G118" t="s">
        <v>474</v>
      </c>
      <c r="H118" t="s">
        <v>296</v>
      </c>
      <c r="I118" t="s">
        <v>296</v>
      </c>
      <c r="J118" t="s">
        <v>296</v>
      </c>
      <c r="K118" t="s">
        <v>296</v>
      </c>
      <c r="L118">
        <v>0.83199999999999996</v>
      </c>
      <c r="M118">
        <v>0.83199999999999996</v>
      </c>
      <c r="N118">
        <v>0.83199999999999996</v>
      </c>
      <c r="O118">
        <v>0.83199999999999996</v>
      </c>
      <c r="P118">
        <v>0.83199999999999996</v>
      </c>
      <c r="Q118">
        <v>0.83199999999999996</v>
      </c>
      <c r="R118">
        <v>0.83199999999999996</v>
      </c>
      <c r="S118">
        <v>0.83199999999999996</v>
      </c>
      <c r="T118">
        <v>0.83199999999999996</v>
      </c>
      <c r="U118">
        <v>0.83199999999999996</v>
      </c>
      <c r="V118">
        <v>0.83199999999999996</v>
      </c>
      <c r="W118">
        <v>0.83199999999999996</v>
      </c>
      <c r="X118">
        <v>0.83199999999999996</v>
      </c>
      <c r="Y118">
        <v>0.83199999999999996</v>
      </c>
      <c r="Z118">
        <v>0.83199999999999996</v>
      </c>
      <c r="AA118">
        <v>0.83199999999999996</v>
      </c>
      <c r="AB118">
        <v>0.83199999999999996</v>
      </c>
      <c r="AC118">
        <v>0.83199999999999996</v>
      </c>
      <c r="AD118">
        <v>0.83199999999999996</v>
      </c>
      <c r="AE118">
        <v>0.83199999999999996</v>
      </c>
      <c r="AF118">
        <v>0.83199999999999996</v>
      </c>
      <c r="AG118">
        <v>0.83199999999999996</v>
      </c>
      <c r="AH118">
        <v>0.83199999999999996</v>
      </c>
      <c r="AI118">
        <v>0.83199999999999996</v>
      </c>
      <c r="AJ118">
        <v>0.83199999999999996</v>
      </c>
      <c r="AK118">
        <v>0.83199999999999996</v>
      </c>
      <c r="AL118">
        <v>0.83199999999999996</v>
      </c>
      <c r="AM118">
        <v>0.83199999999999996</v>
      </c>
      <c r="AN118">
        <v>0.83199999999999996</v>
      </c>
      <c r="AO118">
        <v>0.83199999999999996</v>
      </c>
      <c r="AP118">
        <v>0.83199999999999996</v>
      </c>
      <c r="AQ118">
        <v>0.83199999999999996</v>
      </c>
      <c r="AR118">
        <v>0.83199999999999996</v>
      </c>
      <c r="AS118">
        <v>0.83199999999999996</v>
      </c>
      <c r="AT118">
        <v>0.83199999999999996</v>
      </c>
      <c r="AU118">
        <v>0.83199999999999996</v>
      </c>
      <c r="AV118">
        <v>0.83199999999999996</v>
      </c>
      <c r="AW118" t="s">
        <v>296</v>
      </c>
    </row>
    <row r="119" spans="1:49" ht="12.75">
      <c r="A119" t="s">
        <v>295</v>
      </c>
      <c r="B119" t="s">
        <v>291</v>
      </c>
      <c r="C119" t="s">
        <v>120</v>
      </c>
      <c r="D119" t="s">
        <v>58</v>
      </c>
      <c r="E119" t="s">
        <v>296</v>
      </c>
      <c r="F119" t="s">
        <v>83</v>
      </c>
      <c r="G119" t="s">
        <v>474</v>
      </c>
      <c r="H119" t="s">
        <v>296</v>
      </c>
      <c r="I119" t="s">
        <v>296</v>
      </c>
      <c r="J119" t="s">
        <v>296</v>
      </c>
      <c r="K119" t="s">
        <v>296</v>
      </c>
      <c r="L119">
        <v>0.80000000000000004</v>
      </c>
      <c r="M119">
        <v>0.80000000000000004</v>
      </c>
      <c r="N119">
        <v>0.80000000000000004</v>
      </c>
      <c r="O119">
        <v>0.80000000000000004</v>
      </c>
      <c r="P119">
        <v>0.80000000000000004</v>
      </c>
      <c r="Q119">
        <v>0.80000000000000004</v>
      </c>
      <c r="R119">
        <v>0.80000000000000004</v>
      </c>
      <c r="S119">
        <v>0.80000000000000004</v>
      </c>
      <c r="T119">
        <v>0.80000000000000004</v>
      </c>
      <c r="U119">
        <v>0.80000000000000004</v>
      </c>
      <c r="V119">
        <v>0.80000000000000004</v>
      </c>
      <c r="W119">
        <v>0.80000000000000004</v>
      </c>
      <c r="X119">
        <v>0</v>
      </c>
      <c r="Y119">
        <v>3.3599999999999999</v>
      </c>
      <c r="Z119">
        <v>0.80000000000000004</v>
      </c>
      <c r="AA119">
        <v>0.80000000000000004</v>
      </c>
      <c r="AB119">
        <v>0.80000000000000004</v>
      </c>
      <c r="AC119">
        <v>0.80000000000000004</v>
      </c>
      <c r="AD119">
        <v>0.80000000000000004</v>
      </c>
      <c r="AE119">
        <v>0.80000000000000004</v>
      </c>
      <c r="AF119">
        <v>0.80000000000000004</v>
      </c>
      <c r="AG119">
        <v>0.80000000000000004</v>
      </c>
      <c r="AH119">
        <v>0.80000000000000004</v>
      </c>
      <c r="AI119">
        <v>0.80000000000000004</v>
      </c>
      <c r="AJ119">
        <v>0.80000000000000004</v>
      </c>
      <c r="AK119">
        <v>0.80000000000000004</v>
      </c>
      <c r="AL119">
        <v>0.80000000000000004</v>
      </c>
      <c r="AM119">
        <v>0.80000000000000004</v>
      </c>
      <c r="AN119">
        <v>0</v>
      </c>
      <c r="AO119">
        <v>0.80000000000000004</v>
      </c>
      <c r="AP119">
        <v>0.80000000000000004</v>
      </c>
      <c r="AQ119">
        <v>0.80000000000000004</v>
      </c>
      <c r="AR119">
        <v>0.80000000000000004</v>
      </c>
      <c r="AS119">
        <v>0.80000000000000004</v>
      </c>
      <c r="AT119">
        <v>0.80000000000000004</v>
      </c>
      <c r="AU119">
        <v>0.80000000000000004</v>
      </c>
      <c r="AV119">
        <v>0.80000000000000004</v>
      </c>
      <c r="AW119" t="s">
        <v>296</v>
      </c>
    </row>
    <row r="120" spans="1:49" ht="12.75">
      <c r="A120" t="s">
        <v>295</v>
      </c>
      <c r="B120" t="s">
        <v>291</v>
      </c>
      <c r="C120" t="s">
        <v>120</v>
      </c>
      <c r="D120" t="s">
        <v>51</v>
      </c>
      <c r="E120" t="s">
        <v>296</v>
      </c>
      <c r="F120" t="s">
        <v>83</v>
      </c>
      <c r="G120" t="s">
        <v>474</v>
      </c>
      <c r="H120" t="s">
        <v>296</v>
      </c>
      <c r="I120" t="s">
        <v>296</v>
      </c>
      <c r="J120" t="s">
        <v>296</v>
      </c>
      <c r="K120" t="s">
        <v>296</v>
      </c>
      <c r="L120">
        <v>1.52</v>
      </c>
      <c r="M120">
        <v>1.52</v>
      </c>
      <c r="N120">
        <v>1.52</v>
      </c>
      <c r="O120">
        <v>1.52</v>
      </c>
      <c r="P120">
        <v>1.52</v>
      </c>
      <c r="Q120">
        <v>1.52</v>
      </c>
      <c r="R120">
        <v>1.52</v>
      </c>
      <c r="S120">
        <v>1.52</v>
      </c>
      <c r="T120">
        <v>1.52</v>
      </c>
      <c r="U120">
        <v>1.52</v>
      </c>
      <c r="V120">
        <v>1.52</v>
      </c>
      <c r="W120">
        <v>1.52</v>
      </c>
      <c r="X120">
        <v>1.52</v>
      </c>
      <c r="Y120">
        <v>1.52</v>
      </c>
      <c r="Z120">
        <v>1.52</v>
      </c>
      <c r="AA120">
        <v>1.52</v>
      </c>
      <c r="AB120">
        <v>1.52</v>
      </c>
      <c r="AC120">
        <v>1.52</v>
      </c>
      <c r="AD120">
        <v>1.52</v>
      </c>
      <c r="AE120">
        <v>1.52</v>
      </c>
      <c r="AF120">
        <v>1.52</v>
      </c>
      <c r="AG120">
        <v>1.52</v>
      </c>
      <c r="AH120">
        <v>1.52</v>
      </c>
      <c r="AI120">
        <v>1.52</v>
      </c>
      <c r="AJ120">
        <v>1.52</v>
      </c>
      <c r="AK120">
        <v>1.52</v>
      </c>
      <c r="AL120">
        <v>1.52</v>
      </c>
      <c r="AM120">
        <v>1.52</v>
      </c>
      <c r="AN120">
        <v>1.52</v>
      </c>
      <c r="AO120">
        <v>1.52</v>
      </c>
      <c r="AP120">
        <v>1.52</v>
      </c>
      <c r="AQ120">
        <v>1.52</v>
      </c>
      <c r="AR120">
        <v>1.52</v>
      </c>
      <c r="AS120">
        <v>1.52</v>
      </c>
      <c r="AT120">
        <v>1.52</v>
      </c>
      <c r="AU120">
        <v>1.52</v>
      </c>
      <c r="AV120">
        <v>1.52</v>
      </c>
      <c r="AW120" t="s">
        <v>296</v>
      </c>
    </row>
    <row r="121" spans="1:49" ht="12.75">
      <c r="A121" t="s">
        <v>295</v>
      </c>
      <c r="B121" t="s">
        <v>291</v>
      </c>
      <c r="C121" t="s">
        <v>120</v>
      </c>
      <c r="D121" t="s">
        <v>37</v>
      </c>
      <c r="E121" t="s">
        <v>296</v>
      </c>
      <c r="F121" t="s">
        <v>83</v>
      </c>
      <c r="G121" t="s">
        <v>474</v>
      </c>
      <c r="H121" t="s">
        <v>296</v>
      </c>
      <c r="I121" t="s">
        <v>296</v>
      </c>
      <c r="J121" t="s">
        <v>296</v>
      </c>
      <c r="K121" t="s">
        <v>296</v>
      </c>
      <c r="L121">
        <v>8</v>
      </c>
      <c r="M121">
        <v>8</v>
      </c>
      <c r="N121">
        <v>8</v>
      </c>
      <c r="O121">
        <v>8</v>
      </c>
      <c r="P121">
        <v>8</v>
      </c>
      <c r="Q121">
        <v>8</v>
      </c>
      <c r="R121">
        <v>8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8</v>
      </c>
      <c r="Y121">
        <v>8</v>
      </c>
      <c r="Z121">
        <v>8</v>
      </c>
      <c r="AA121">
        <v>8</v>
      </c>
      <c r="AB121">
        <v>8</v>
      </c>
      <c r="AC121">
        <v>8</v>
      </c>
      <c r="AD121">
        <v>8</v>
      </c>
      <c r="AE121">
        <v>8</v>
      </c>
      <c r="AF121">
        <v>8</v>
      </c>
      <c r="AG121">
        <v>8</v>
      </c>
      <c r="AH121">
        <v>8</v>
      </c>
      <c r="AI121">
        <v>8</v>
      </c>
      <c r="AJ121">
        <v>8</v>
      </c>
      <c r="AK121">
        <v>8</v>
      </c>
      <c r="AL121">
        <v>8</v>
      </c>
      <c r="AM121">
        <v>8</v>
      </c>
      <c r="AN121">
        <v>8</v>
      </c>
      <c r="AO121">
        <v>8</v>
      </c>
      <c r="AP121">
        <v>8</v>
      </c>
      <c r="AQ121">
        <v>8</v>
      </c>
      <c r="AR121">
        <v>8</v>
      </c>
      <c r="AS121">
        <v>8</v>
      </c>
      <c r="AT121">
        <v>8</v>
      </c>
      <c r="AU121">
        <v>8</v>
      </c>
      <c r="AV121">
        <v>8</v>
      </c>
      <c r="AW121" t="s">
        <v>296</v>
      </c>
    </row>
    <row r="122" spans="1:49" ht="12.75">
      <c r="A122" t="s">
        <v>295</v>
      </c>
      <c r="B122" t="s">
        <v>291</v>
      </c>
      <c r="C122" t="s">
        <v>120</v>
      </c>
      <c r="D122" t="s">
        <v>38</v>
      </c>
      <c r="E122" t="s">
        <v>296</v>
      </c>
      <c r="F122" t="s">
        <v>83</v>
      </c>
      <c r="G122" t="s">
        <v>474</v>
      </c>
      <c r="H122" t="s">
        <v>296</v>
      </c>
      <c r="I122" t="s">
        <v>296</v>
      </c>
      <c r="J122" t="s">
        <v>296</v>
      </c>
      <c r="K122" t="s">
        <v>296</v>
      </c>
      <c r="L122">
        <v>2.5600000000000001</v>
      </c>
      <c r="M122">
        <v>2.5600000000000001</v>
      </c>
      <c r="N122">
        <v>2.5600000000000001</v>
      </c>
      <c r="O122">
        <v>2.5600000000000001</v>
      </c>
      <c r="P122">
        <v>2.5600000000000001</v>
      </c>
      <c r="Q122">
        <v>2.5600000000000001</v>
      </c>
      <c r="R122">
        <v>2.5600000000000001</v>
      </c>
      <c r="S122">
        <v>2.5600000000000001</v>
      </c>
      <c r="T122">
        <v>2.5600000000000001</v>
      </c>
      <c r="U122">
        <v>2.5600000000000001</v>
      </c>
      <c r="V122">
        <v>2.5600000000000001</v>
      </c>
      <c r="W122">
        <v>2.5600000000000001</v>
      </c>
      <c r="X122">
        <v>3.3599999999999999</v>
      </c>
      <c r="Y122">
        <v>0</v>
      </c>
      <c r="Z122">
        <v>2.5600000000000001</v>
      </c>
      <c r="AA122">
        <v>2.5600000000000001</v>
      </c>
      <c r="AB122">
        <v>2.5600000000000001</v>
      </c>
      <c r="AC122">
        <v>2.5600000000000001</v>
      </c>
      <c r="AD122">
        <v>2.5600000000000001</v>
      </c>
      <c r="AE122">
        <v>2.5600000000000001</v>
      </c>
      <c r="AF122">
        <v>2.5600000000000001</v>
      </c>
      <c r="AG122">
        <v>2.5600000000000001</v>
      </c>
      <c r="AH122">
        <v>2.5600000000000001</v>
      </c>
      <c r="AI122">
        <v>2.5600000000000001</v>
      </c>
      <c r="AJ122">
        <v>2.5600000000000001</v>
      </c>
      <c r="AK122">
        <v>2.5600000000000001</v>
      </c>
      <c r="AL122">
        <v>2.5600000000000001</v>
      </c>
      <c r="AM122">
        <v>2.5600000000000001</v>
      </c>
      <c r="AN122">
        <v>2.5600000000000001</v>
      </c>
      <c r="AO122">
        <v>2.5600000000000001</v>
      </c>
      <c r="AP122">
        <v>2.5600000000000001</v>
      </c>
      <c r="AQ122">
        <v>2.5600000000000001</v>
      </c>
      <c r="AR122">
        <v>2.5600000000000001</v>
      </c>
      <c r="AS122">
        <v>2.5600000000000001</v>
      </c>
      <c r="AT122">
        <v>2.5600000000000001</v>
      </c>
      <c r="AU122">
        <v>2.5600000000000001</v>
      </c>
      <c r="AV122">
        <v>2.5600000000000001</v>
      </c>
      <c r="AW122" t="s">
        <v>296</v>
      </c>
    </row>
    <row r="123" spans="1:49" ht="12.75">
      <c r="A123" t="s">
        <v>295</v>
      </c>
      <c r="B123" t="s">
        <v>291</v>
      </c>
      <c r="C123" t="s">
        <v>120</v>
      </c>
      <c r="D123" t="s">
        <v>43</v>
      </c>
      <c r="E123" t="s">
        <v>296</v>
      </c>
      <c r="F123" t="s">
        <v>83</v>
      </c>
      <c r="G123" t="s">
        <v>474</v>
      </c>
      <c r="H123" t="s">
        <v>296</v>
      </c>
      <c r="I123" t="s">
        <v>296</v>
      </c>
      <c r="J123" t="s">
        <v>296</v>
      </c>
      <c r="K123" t="s">
        <v>296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8</v>
      </c>
      <c r="Z123">
        <v>8</v>
      </c>
      <c r="AA123">
        <v>8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8</v>
      </c>
      <c r="AM123">
        <v>8</v>
      </c>
      <c r="AN123">
        <v>8</v>
      </c>
      <c r="AO123">
        <v>7.2000000000000002</v>
      </c>
      <c r="AP123">
        <v>8</v>
      </c>
      <c r="AQ123">
        <v>8</v>
      </c>
      <c r="AR123">
        <v>8</v>
      </c>
      <c r="AS123">
        <v>8</v>
      </c>
      <c r="AT123">
        <v>8</v>
      </c>
      <c r="AU123">
        <v>8</v>
      </c>
      <c r="AV123">
        <v>8</v>
      </c>
      <c r="AW123" t="s">
        <v>296</v>
      </c>
    </row>
    <row r="124" spans="1:49" ht="12.75">
      <c r="A124" t="s">
        <v>295</v>
      </c>
      <c r="B124" t="s">
        <v>291</v>
      </c>
      <c r="C124" t="s">
        <v>120</v>
      </c>
      <c r="D124" t="s">
        <v>39</v>
      </c>
      <c r="E124" t="s">
        <v>296</v>
      </c>
      <c r="F124" t="s">
        <v>83</v>
      </c>
      <c r="G124" t="s">
        <v>474</v>
      </c>
      <c r="H124" t="s">
        <v>296</v>
      </c>
      <c r="I124" t="s">
        <v>296</v>
      </c>
      <c r="J124" t="s">
        <v>296</v>
      </c>
      <c r="K124" t="s">
        <v>296</v>
      </c>
      <c r="L124">
        <v>0.80000000000000004</v>
      </c>
      <c r="M124">
        <v>0</v>
      </c>
      <c r="N124">
        <v>0.80000000000000004</v>
      </c>
      <c r="O124">
        <v>0.80000000000000004</v>
      </c>
      <c r="P124">
        <v>0.80000000000000004</v>
      </c>
      <c r="Q124">
        <v>0.80000000000000004</v>
      </c>
      <c r="R124">
        <v>0.80000000000000004</v>
      </c>
      <c r="S124">
        <v>0.80000000000000004</v>
      </c>
      <c r="T124">
        <v>0.80000000000000004</v>
      </c>
      <c r="U124">
        <v>0.80000000000000004</v>
      </c>
      <c r="V124">
        <v>0.80000000000000004</v>
      </c>
      <c r="W124">
        <v>0.80000000000000004</v>
      </c>
      <c r="X124">
        <v>0.80000000000000004</v>
      </c>
      <c r="Y124">
        <v>0.80000000000000004</v>
      </c>
      <c r="Z124">
        <v>0.80000000000000004</v>
      </c>
      <c r="AA124">
        <v>0.80000000000000004</v>
      </c>
      <c r="AB124">
        <v>0.80000000000000004</v>
      </c>
      <c r="AC124">
        <v>0.80000000000000004</v>
      </c>
      <c r="AD124">
        <v>0.80000000000000004</v>
      </c>
      <c r="AE124">
        <v>0.80000000000000004</v>
      </c>
      <c r="AF124">
        <v>0.80000000000000004</v>
      </c>
      <c r="AG124">
        <v>0.80000000000000004</v>
      </c>
      <c r="AH124">
        <v>0.80000000000000004</v>
      </c>
      <c r="AI124">
        <v>0.80000000000000004</v>
      </c>
      <c r="AJ124">
        <v>0.80000000000000004</v>
      </c>
      <c r="AK124">
        <v>0.80000000000000004</v>
      </c>
      <c r="AL124">
        <v>0.80000000000000004</v>
      </c>
      <c r="AM124">
        <v>0.80000000000000004</v>
      </c>
      <c r="AN124">
        <v>0.80000000000000004</v>
      </c>
      <c r="AO124">
        <v>0.80000000000000004</v>
      </c>
      <c r="AP124">
        <v>0.80000000000000004</v>
      </c>
      <c r="AQ124">
        <v>0.80000000000000004</v>
      </c>
      <c r="AR124">
        <v>0.80000000000000004</v>
      </c>
      <c r="AS124">
        <v>0.80000000000000004</v>
      </c>
      <c r="AT124">
        <v>0.80000000000000004</v>
      </c>
      <c r="AU124">
        <v>0.80000000000000004</v>
      </c>
      <c r="AV124">
        <v>0.80000000000000004</v>
      </c>
      <c r="AW124" t="s">
        <v>296</v>
      </c>
    </row>
    <row r="125" spans="1:49" ht="12.75">
      <c r="A125" t="s">
        <v>295</v>
      </c>
      <c r="B125" t="s">
        <v>291</v>
      </c>
      <c r="C125" t="s">
        <v>120</v>
      </c>
      <c r="D125" t="s">
        <v>121</v>
      </c>
      <c r="E125" t="s">
        <v>296</v>
      </c>
      <c r="F125" t="s">
        <v>83</v>
      </c>
      <c r="G125" t="s">
        <v>474</v>
      </c>
      <c r="H125" t="s">
        <v>296</v>
      </c>
      <c r="I125" t="s">
        <v>296</v>
      </c>
      <c r="J125" t="s">
        <v>296</v>
      </c>
      <c r="K125" t="s">
        <v>296</v>
      </c>
      <c r="L125">
        <v>2.6400000000000001</v>
      </c>
      <c r="M125">
        <v>2.6400000000000001</v>
      </c>
      <c r="N125">
        <v>2.6400000000000001</v>
      </c>
      <c r="O125">
        <v>2.6400000000000001</v>
      </c>
      <c r="P125">
        <v>2.6400000000000001</v>
      </c>
      <c r="Q125">
        <v>2.6400000000000001</v>
      </c>
      <c r="R125">
        <v>2.6400000000000001</v>
      </c>
      <c r="S125">
        <v>2.6400000000000001</v>
      </c>
      <c r="T125">
        <v>2.6400000000000001</v>
      </c>
      <c r="U125">
        <v>2.6400000000000001</v>
      </c>
      <c r="V125">
        <v>2.6400000000000001</v>
      </c>
      <c r="W125">
        <v>2.6400000000000001</v>
      </c>
      <c r="X125">
        <v>2.6400000000000001</v>
      </c>
      <c r="Y125">
        <v>2.6400000000000001</v>
      </c>
      <c r="Z125">
        <v>2.6400000000000001</v>
      </c>
      <c r="AA125">
        <v>2.6400000000000001</v>
      </c>
      <c r="AB125">
        <v>2.6400000000000001</v>
      </c>
      <c r="AC125">
        <v>2.6400000000000001</v>
      </c>
      <c r="AD125">
        <v>2.6400000000000001</v>
      </c>
      <c r="AE125">
        <v>2.6400000000000001</v>
      </c>
      <c r="AF125">
        <v>2.6400000000000001</v>
      </c>
      <c r="AG125">
        <v>2.6400000000000001</v>
      </c>
      <c r="AH125">
        <v>2.6400000000000001</v>
      </c>
      <c r="AI125">
        <v>2.6400000000000001</v>
      </c>
      <c r="AJ125">
        <v>2.6400000000000001</v>
      </c>
      <c r="AK125">
        <v>2.6400000000000001</v>
      </c>
      <c r="AL125">
        <v>2.6400000000000001</v>
      </c>
      <c r="AM125">
        <v>2.6400000000000001</v>
      </c>
      <c r="AN125">
        <v>2.6400000000000001</v>
      </c>
      <c r="AO125">
        <v>2.6400000000000001</v>
      </c>
      <c r="AP125">
        <v>2.6400000000000001</v>
      </c>
      <c r="AQ125">
        <v>2.6400000000000001</v>
      </c>
      <c r="AR125">
        <v>2.6400000000000001</v>
      </c>
      <c r="AS125">
        <v>2.6400000000000001</v>
      </c>
      <c r="AT125">
        <v>2.6400000000000001</v>
      </c>
      <c r="AU125">
        <v>2.6400000000000001</v>
      </c>
      <c r="AV125">
        <v>2.6400000000000001</v>
      </c>
      <c r="AW125" t="s">
        <v>296</v>
      </c>
    </row>
    <row r="126" spans="1:49" ht="12.75">
      <c r="A126" t="s">
        <v>295</v>
      </c>
      <c r="B126" t="s">
        <v>291</v>
      </c>
      <c r="C126" t="s">
        <v>120</v>
      </c>
      <c r="D126" t="s">
        <v>46</v>
      </c>
      <c r="E126" t="s">
        <v>296</v>
      </c>
      <c r="F126" t="s">
        <v>83</v>
      </c>
      <c r="G126" t="s">
        <v>474</v>
      </c>
      <c r="H126" t="s">
        <v>296</v>
      </c>
      <c r="I126" t="s">
        <v>296</v>
      </c>
      <c r="J126" t="s">
        <v>296</v>
      </c>
      <c r="K126" t="s">
        <v>296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 t="s">
        <v>296</v>
      </c>
    </row>
    <row r="127" spans="1:49" ht="12.75">
      <c r="A127" t="s">
        <v>295</v>
      </c>
      <c r="B127" t="s">
        <v>291</v>
      </c>
      <c r="C127" t="s">
        <v>122</v>
      </c>
      <c r="D127" t="s">
        <v>58</v>
      </c>
      <c r="E127" t="s">
        <v>296</v>
      </c>
      <c r="F127" t="s">
        <v>83</v>
      </c>
      <c r="G127" t="s">
        <v>474</v>
      </c>
      <c r="H127" t="s">
        <v>296</v>
      </c>
      <c r="I127" t="s">
        <v>296</v>
      </c>
      <c r="J127" t="s">
        <v>296</v>
      </c>
      <c r="K127" t="s">
        <v>296</v>
      </c>
      <c r="L127">
        <v>0.80000000000000004</v>
      </c>
      <c r="M127">
        <v>0.80000000000000004</v>
      </c>
      <c r="N127">
        <v>0.80000000000000004</v>
      </c>
      <c r="O127">
        <v>0.80000000000000004</v>
      </c>
      <c r="P127">
        <v>0.80000000000000004</v>
      </c>
      <c r="Q127">
        <v>0.80000000000000004</v>
      </c>
      <c r="R127">
        <v>0</v>
      </c>
      <c r="S127">
        <v>0.80000000000000004</v>
      </c>
      <c r="T127">
        <v>0.80000000000000004</v>
      </c>
      <c r="U127">
        <v>0.80000000000000004</v>
      </c>
      <c r="V127">
        <v>0.80000000000000004</v>
      </c>
      <c r="W127">
        <v>0.80000000000000004</v>
      </c>
      <c r="X127">
        <v>0</v>
      </c>
      <c r="Y127">
        <v>0.80000000000000004</v>
      </c>
      <c r="Z127">
        <v>0.80000000000000004</v>
      </c>
      <c r="AA127">
        <v>0.80000000000000004</v>
      </c>
      <c r="AB127">
        <v>0.80000000000000004</v>
      </c>
      <c r="AC127">
        <v>0.80000000000000004</v>
      </c>
      <c r="AD127">
        <v>0.80000000000000004</v>
      </c>
      <c r="AE127">
        <v>0.80000000000000004</v>
      </c>
      <c r="AF127">
        <v>0.80000000000000004</v>
      </c>
      <c r="AG127">
        <v>0.80000000000000004</v>
      </c>
      <c r="AH127">
        <v>0.80000000000000004</v>
      </c>
      <c r="AI127">
        <v>0.80000000000000004</v>
      </c>
      <c r="AJ127">
        <v>0.80000000000000004</v>
      </c>
      <c r="AK127">
        <v>0.80000000000000004</v>
      </c>
      <c r="AL127">
        <v>0.80000000000000004</v>
      </c>
      <c r="AM127">
        <v>0.80000000000000004</v>
      </c>
      <c r="AN127">
        <v>0</v>
      </c>
      <c r="AO127">
        <v>0.80000000000000004</v>
      </c>
      <c r="AP127">
        <v>0.80000000000000004</v>
      </c>
      <c r="AQ127">
        <v>0.80000000000000004</v>
      </c>
      <c r="AR127">
        <v>0.80000000000000004</v>
      </c>
      <c r="AS127">
        <v>0.80000000000000004</v>
      </c>
      <c r="AT127">
        <v>0.80000000000000004</v>
      </c>
      <c r="AU127">
        <v>0.80000000000000004</v>
      </c>
      <c r="AV127">
        <v>0.80000000000000004</v>
      </c>
      <c r="AW127" t="s">
        <v>296</v>
      </c>
    </row>
    <row r="128" spans="1:49" ht="12.75">
      <c r="A128" t="s">
        <v>295</v>
      </c>
      <c r="B128" t="s">
        <v>291</v>
      </c>
      <c r="C128" t="s">
        <v>122</v>
      </c>
      <c r="D128" t="s">
        <v>49</v>
      </c>
      <c r="E128" t="s">
        <v>296</v>
      </c>
      <c r="F128" t="s">
        <v>83</v>
      </c>
      <c r="G128" t="s">
        <v>474</v>
      </c>
      <c r="H128" t="s">
        <v>296</v>
      </c>
      <c r="I128" t="s">
        <v>296</v>
      </c>
      <c r="J128" t="s">
        <v>296</v>
      </c>
      <c r="K128" t="s">
        <v>296</v>
      </c>
      <c r="L128">
        <v>1.28</v>
      </c>
      <c r="M128">
        <v>1.28</v>
      </c>
      <c r="N128">
        <v>1.28</v>
      </c>
      <c r="O128">
        <v>0</v>
      </c>
      <c r="P128">
        <v>1.28</v>
      </c>
      <c r="Q128">
        <v>1.28</v>
      </c>
      <c r="R128">
        <v>1.28</v>
      </c>
      <c r="S128">
        <v>1.28</v>
      </c>
      <c r="T128">
        <v>1.28</v>
      </c>
      <c r="U128">
        <v>1.28</v>
      </c>
      <c r="V128">
        <v>1.28</v>
      </c>
      <c r="W128">
        <v>1.28</v>
      </c>
      <c r="X128">
        <v>0</v>
      </c>
      <c r="Y128">
        <v>1.28</v>
      </c>
      <c r="Z128">
        <v>1.28</v>
      </c>
      <c r="AA128">
        <v>1.28</v>
      </c>
      <c r="AB128">
        <v>1.28</v>
      </c>
      <c r="AC128">
        <v>1.28</v>
      </c>
      <c r="AD128">
        <v>1.28</v>
      </c>
      <c r="AE128">
        <v>1.28</v>
      </c>
      <c r="AF128">
        <v>1.28</v>
      </c>
      <c r="AG128">
        <v>1.28</v>
      </c>
      <c r="AH128">
        <v>1.28</v>
      </c>
      <c r="AI128">
        <v>1.28</v>
      </c>
      <c r="AJ128">
        <v>1.28</v>
      </c>
      <c r="AK128">
        <v>1.28</v>
      </c>
      <c r="AL128">
        <v>1.28</v>
      </c>
      <c r="AM128">
        <v>1.28</v>
      </c>
      <c r="AN128">
        <v>0</v>
      </c>
      <c r="AO128">
        <v>1.28</v>
      </c>
      <c r="AP128">
        <v>1.28</v>
      </c>
      <c r="AQ128">
        <v>1.28</v>
      </c>
      <c r="AR128">
        <v>1.28</v>
      </c>
      <c r="AS128">
        <v>1.28</v>
      </c>
      <c r="AT128">
        <v>1.28</v>
      </c>
      <c r="AU128">
        <v>1.28</v>
      </c>
      <c r="AV128">
        <v>1.28</v>
      </c>
      <c r="AW128" t="s">
        <v>296</v>
      </c>
    </row>
    <row r="129" spans="1:49" ht="12.75">
      <c r="A129" t="s">
        <v>295</v>
      </c>
      <c r="B129" t="s">
        <v>291</v>
      </c>
      <c r="C129" t="s">
        <v>122</v>
      </c>
      <c r="D129" t="s">
        <v>37</v>
      </c>
      <c r="E129" t="s">
        <v>296</v>
      </c>
      <c r="F129" t="s">
        <v>83</v>
      </c>
      <c r="G129" t="s">
        <v>474</v>
      </c>
      <c r="H129" t="s">
        <v>296</v>
      </c>
      <c r="I129" t="s">
        <v>296</v>
      </c>
      <c r="J129" t="s">
        <v>296</v>
      </c>
      <c r="K129" t="s">
        <v>296</v>
      </c>
      <c r="L129">
        <v>1.0800000000000001</v>
      </c>
      <c r="M129">
        <v>1.0800000000000001</v>
      </c>
      <c r="N129">
        <v>1.0800000000000001</v>
      </c>
      <c r="O129">
        <v>1.0800000000000001</v>
      </c>
      <c r="P129">
        <v>1.0800000000000001</v>
      </c>
      <c r="Q129">
        <v>1.0800000000000001</v>
      </c>
      <c r="R129">
        <v>1.0800000000000001</v>
      </c>
      <c r="S129">
        <v>1.0800000000000001</v>
      </c>
      <c r="T129">
        <v>1.0800000000000001</v>
      </c>
      <c r="U129">
        <v>1.0800000000000001</v>
      </c>
      <c r="V129">
        <v>1.0800000000000001</v>
      </c>
      <c r="W129">
        <v>1.0800000000000001</v>
      </c>
      <c r="X129">
        <v>1.0800000000000001</v>
      </c>
      <c r="Y129">
        <v>1.0800000000000001</v>
      </c>
      <c r="Z129">
        <v>1.0800000000000001</v>
      </c>
      <c r="AA129">
        <v>1.0800000000000001</v>
      </c>
      <c r="AB129">
        <v>1.0800000000000001</v>
      </c>
      <c r="AC129">
        <v>1.0800000000000001</v>
      </c>
      <c r="AD129">
        <v>1.0800000000000001</v>
      </c>
      <c r="AE129">
        <v>1.0800000000000001</v>
      </c>
      <c r="AF129">
        <v>1.0800000000000001</v>
      </c>
      <c r="AG129">
        <v>1.0800000000000001</v>
      </c>
      <c r="AH129">
        <v>1.0800000000000001</v>
      </c>
      <c r="AI129">
        <v>1.0800000000000001</v>
      </c>
      <c r="AJ129">
        <v>1.0800000000000001</v>
      </c>
      <c r="AK129">
        <v>1.0800000000000001</v>
      </c>
      <c r="AL129">
        <v>1.0800000000000001</v>
      </c>
      <c r="AM129">
        <v>1.0800000000000001</v>
      </c>
      <c r="AN129">
        <v>1.0800000000000001</v>
      </c>
      <c r="AO129">
        <v>1.0800000000000001</v>
      </c>
      <c r="AP129">
        <v>1.0800000000000001</v>
      </c>
      <c r="AQ129">
        <v>1.0800000000000001</v>
      </c>
      <c r="AR129">
        <v>1.0800000000000001</v>
      </c>
      <c r="AS129">
        <v>1.0800000000000001</v>
      </c>
      <c r="AT129">
        <v>1.0800000000000001</v>
      </c>
      <c r="AU129">
        <v>1.0800000000000001</v>
      </c>
      <c r="AV129">
        <v>1.0800000000000001</v>
      </c>
      <c r="AW129" t="s">
        <v>296</v>
      </c>
    </row>
    <row r="130" spans="1:49" ht="12.75">
      <c r="A130" t="s">
        <v>295</v>
      </c>
      <c r="B130" t="s">
        <v>291</v>
      </c>
      <c r="C130" t="s">
        <v>122</v>
      </c>
      <c r="D130" t="s">
        <v>38</v>
      </c>
      <c r="E130" t="s">
        <v>296</v>
      </c>
      <c r="F130" t="s">
        <v>83</v>
      </c>
      <c r="G130" t="s">
        <v>474</v>
      </c>
      <c r="H130" t="s">
        <v>296</v>
      </c>
      <c r="I130" t="s">
        <v>296</v>
      </c>
      <c r="J130" t="s">
        <v>296</v>
      </c>
      <c r="K130" t="s">
        <v>296</v>
      </c>
      <c r="L130">
        <v>1.4399999999999999</v>
      </c>
      <c r="M130">
        <v>1.4399999999999999</v>
      </c>
      <c r="N130">
        <v>1.4399999999999999</v>
      </c>
      <c r="O130">
        <v>2.7200000000000002</v>
      </c>
      <c r="P130">
        <v>1.4399999999999999</v>
      </c>
      <c r="Q130">
        <v>1.4399999999999999</v>
      </c>
      <c r="R130">
        <v>1.4399999999999999</v>
      </c>
      <c r="S130">
        <v>1.4399999999999999</v>
      </c>
      <c r="T130">
        <v>1.4399999999999999</v>
      </c>
      <c r="U130">
        <v>1.4399999999999999</v>
      </c>
      <c r="V130">
        <v>1.4399999999999999</v>
      </c>
      <c r="W130">
        <v>1.4399999999999999</v>
      </c>
      <c r="X130">
        <v>3.52</v>
      </c>
      <c r="Y130">
        <v>1.4399999999999999</v>
      </c>
      <c r="Z130">
        <v>1.4399999999999999</v>
      </c>
      <c r="AA130">
        <v>1.4399999999999999</v>
      </c>
      <c r="AB130">
        <v>1.4399999999999999</v>
      </c>
      <c r="AC130">
        <v>1.4399999999999999</v>
      </c>
      <c r="AD130">
        <v>1.4399999999999999</v>
      </c>
      <c r="AE130">
        <v>1.4399999999999999</v>
      </c>
      <c r="AF130">
        <v>1.4399999999999999</v>
      </c>
      <c r="AG130">
        <v>1.4399999999999999</v>
      </c>
      <c r="AH130">
        <v>1.4399999999999999</v>
      </c>
      <c r="AI130">
        <v>1.4399999999999999</v>
      </c>
      <c r="AJ130">
        <v>1.4399999999999999</v>
      </c>
      <c r="AK130">
        <v>1.4399999999999999</v>
      </c>
      <c r="AL130">
        <v>1.4399999999999999</v>
      </c>
      <c r="AM130">
        <v>1.4399999999999999</v>
      </c>
      <c r="AN130">
        <v>3.6088888888888899</v>
      </c>
      <c r="AO130">
        <v>1.4399999999999999</v>
      </c>
      <c r="AP130">
        <v>1.4399999999999999</v>
      </c>
      <c r="AQ130">
        <v>1.4399999999999999</v>
      </c>
      <c r="AR130">
        <v>1.4399999999999999</v>
      </c>
      <c r="AS130">
        <v>1.4399999999999999</v>
      </c>
      <c r="AT130">
        <v>1.4399999999999999</v>
      </c>
      <c r="AU130">
        <v>1.4399999999999999</v>
      </c>
      <c r="AV130">
        <v>1.4399999999999999</v>
      </c>
      <c r="AW130" t="s">
        <v>296</v>
      </c>
    </row>
    <row r="131" spans="1:49" ht="12.75">
      <c r="A131" t="s">
        <v>295</v>
      </c>
      <c r="B131" t="s">
        <v>291</v>
      </c>
      <c r="C131" t="s">
        <v>122</v>
      </c>
      <c r="D131" t="s">
        <v>43</v>
      </c>
      <c r="E131" t="s">
        <v>296</v>
      </c>
      <c r="F131" t="s">
        <v>83</v>
      </c>
      <c r="G131" t="s">
        <v>474</v>
      </c>
      <c r="H131" t="s">
        <v>296</v>
      </c>
      <c r="I131" t="s">
        <v>296</v>
      </c>
      <c r="J131" t="s">
        <v>296</v>
      </c>
      <c r="K131" t="s">
        <v>296</v>
      </c>
      <c r="L131">
        <v>2.7999999999999998</v>
      </c>
      <c r="M131">
        <v>2.7999999999999998</v>
      </c>
      <c r="N131">
        <v>2.7999999999999998</v>
      </c>
      <c r="O131">
        <v>2.7999999999999998</v>
      </c>
      <c r="P131">
        <v>2.7999999999999998</v>
      </c>
      <c r="Q131">
        <v>2.7999999999999998</v>
      </c>
      <c r="R131">
        <v>3.68888888888889</v>
      </c>
      <c r="S131">
        <v>2.7999999999999998</v>
      </c>
      <c r="T131">
        <v>2.7999999999999998</v>
      </c>
      <c r="U131">
        <v>2.7999999999999998</v>
      </c>
      <c r="V131">
        <v>2.7999999999999998</v>
      </c>
      <c r="W131">
        <v>2.7999999999999998</v>
      </c>
      <c r="X131">
        <v>2.7999999999999998</v>
      </c>
      <c r="Y131">
        <v>2.7999999999999998</v>
      </c>
      <c r="Z131">
        <v>2.7999999999999998</v>
      </c>
      <c r="AA131">
        <v>2.7999999999999998</v>
      </c>
      <c r="AB131">
        <v>2.7999999999999998</v>
      </c>
      <c r="AC131">
        <v>2.7999999999999998</v>
      </c>
      <c r="AD131">
        <v>2.7999999999999998</v>
      </c>
      <c r="AE131">
        <v>2.7999999999999998</v>
      </c>
      <c r="AF131">
        <v>2.7999999999999998</v>
      </c>
      <c r="AG131">
        <v>2.7999999999999998</v>
      </c>
      <c r="AH131">
        <v>2.7999999999999998</v>
      </c>
      <c r="AI131">
        <v>2.7999999999999998</v>
      </c>
      <c r="AJ131">
        <v>2.7999999999999998</v>
      </c>
      <c r="AK131">
        <v>2.7999999999999998</v>
      </c>
      <c r="AL131">
        <v>2.7999999999999998</v>
      </c>
      <c r="AM131">
        <v>2.7999999999999998</v>
      </c>
      <c r="AN131">
        <v>2.7999999999999998</v>
      </c>
      <c r="AO131">
        <v>2.52</v>
      </c>
      <c r="AP131">
        <v>2.7999999999999998</v>
      </c>
      <c r="AQ131">
        <v>2.7999999999999998</v>
      </c>
      <c r="AR131">
        <v>2.7999999999999998</v>
      </c>
      <c r="AS131">
        <v>2.7999999999999998</v>
      </c>
      <c r="AT131">
        <v>2.7999999999999998</v>
      </c>
      <c r="AU131">
        <v>2.7999999999999998</v>
      </c>
      <c r="AV131">
        <v>2.7999999999999998</v>
      </c>
      <c r="AW131" t="s">
        <v>296</v>
      </c>
    </row>
    <row r="132" spans="1:49" ht="12.75">
      <c r="A132" t="s">
        <v>295</v>
      </c>
      <c r="B132" t="s">
        <v>291</v>
      </c>
      <c r="C132" t="s">
        <v>122</v>
      </c>
      <c r="D132" t="s">
        <v>45</v>
      </c>
      <c r="E132" t="s">
        <v>296</v>
      </c>
      <c r="F132" t="s">
        <v>83</v>
      </c>
      <c r="G132" t="s">
        <v>474</v>
      </c>
      <c r="H132" t="s">
        <v>296</v>
      </c>
      <c r="I132" t="s">
        <v>296</v>
      </c>
      <c r="J132" t="s">
        <v>296</v>
      </c>
      <c r="K132" t="s">
        <v>296</v>
      </c>
      <c r="L132">
        <v>0.83199999999999996</v>
      </c>
      <c r="M132">
        <v>0.83199999999999996</v>
      </c>
      <c r="N132">
        <v>0.83199999999999996</v>
      </c>
      <c r="O132">
        <v>0.83199999999999996</v>
      </c>
      <c r="P132">
        <v>0.83199999999999996</v>
      </c>
      <c r="Q132">
        <v>0.83199999999999996</v>
      </c>
      <c r="R132">
        <v>0.83199999999999996</v>
      </c>
      <c r="S132">
        <v>0.83199999999999996</v>
      </c>
      <c r="T132">
        <v>0.83199999999999996</v>
      </c>
      <c r="U132">
        <v>0.83199999999999996</v>
      </c>
      <c r="V132">
        <v>0.83199999999999996</v>
      </c>
      <c r="W132">
        <v>0.83199999999999996</v>
      </c>
      <c r="X132">
        <v>0.83199999999999996</v>
      </c>
      <c r="Y132">
        <v>0.83199999999999996</v>
      </c>
      <c r="Z132">
        <v>0.83199999999999996</v>
      </c>
      <c r="AA132">
        <v>0.83199999999999996</v>
      </c>
      <c r="AB132">
        <v>0.83199999999999996</v>
      </c>
      <c r="AC132">
        <v>0.83199999999999996</v>
      </c>
      <c r="AD132">
        <v>0.83199999999999996</v>
      </c>
      <c r="AE132">
        <v>0.83199999999999996</v>
      </c>
      <c r="AF132">
        <v>0.83199999999999996</v>
      </c>
      <c r="AG132">
        <v>0.83199999999999996</v>
      </c>
      <c r="AH132">
        <v>0.83199999999999996</v>
      </c>
      <c r="AI132">
        <v>0.83199999999999996</v>
      </c>
      <c r="AJ132">
        <v>0.83199999999999996</v>
      </c>
      <c r="AK132">
        <v>0.83199999999999996</v>
      </c>
      <c r="AL132">
        <v>0.83199999999999996</v>
      </c>
      <c r="AM132">
        <v>0.83199999999999996</v>
      </c>
      <c r="AN132">
        <v>0.83199999999999996</v>
      </c>
      <c r="AO132">
        <v>0.83199999999999996</v>
      </c>
      <c r="AP132">
        <v>0.83199999999999996</v>
      </c>
      <c r="AQ132">
        <v>0.83199999999999996</v>
      </c>
      <c r="AR132">
        <v>0.83199999999999996</v>
      </c>
      <c r="AS132">
        <v>0.83199999999999996</v>
      </c>
      <c r="AT132">
        <v>0.83199999999999996</v>
      </c>
      <c r="AU132">
        <v>0.83199999999999996</v>
      </c>
      <c r="AV132">
        <v>0.83199999999999996</v>
      </c>
      <c r="AW132" t="s">
        <v>296</v>
      </c>
    </row>
    <row r="133" spans="1:49" ht="12.75">
      <c r="A133" t="s">
        <v>295</v>
      </c>
      <c r="B133" t="s">
        <v>291</v>
      </c>
      <c r="C133" t="s">
        <v>122</v>
      </c>
      <c r="D133" t="s">
        <v>46</v>
      </c>
      <c r="E133" t="s">
        <v>296</v>
      </c>
      <c r="F133" t="s">
        <v>83</v>
      </c>
      <c r="G133" t="s">
        <v>474</v>
      </c>
      <c r="H133" t="s">
        <v>296</v>
      </c>
      <c r="I133" t="s">
        <v>296</v>
      </c>
      <c r="J133" t="s">
        <v>296</v>
      </c>
      <c r="K133" t="s">
        <v>296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 t="s">
        <v>296</v>
      </c>
    </row>
    <row r="134" spans="1:49" ht="12.75">
      <c r="A134" t="s">
        <v>295</v>
      </c>
      <c r="B134" t="s">
        <v>291</v>
      </c>
      <c r="C134" t="s">
        <v>123</v>
      </c>
      <c r="D134" t="s">
        <v>427</v>
      </c>
      <c r="E134" t="s">
        <v>296</v>
      </c>
      <c r="F134" t="s">
        <v>83</v>
      </c>
      <c r="G134" t="s">
        <v>474</v>
      </c>
      <c r="H134" t="s">
        <v>296</v>
      </c>
      <c r="I134" t="s">
        <v>296</v>
      </c>
      <c r="J134" t="s">
        <v>296</v>
      </c>
      <c r="K134" t="s">
        <v>296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 t="s">
        <v>296</v>
      </c>
    </row>
    <row r="135" spans="1:49" ht="12.75">
      <c r="A135" t="s">
        <v>295</v>
      </c>
      <c r="B135" t="s">
        <v>291</v>
      </c>
      <c r="C135" t="s">
        <v>123</v>
      </c>
      <c r="D135" t="s">
        <v>37</v>
      </c>
      <c r="E135" t="s">
        <v>296</v>
      </c>
      <c r="F135" t="s">
        <v>83</v>
      </c>
      <c r="G135" t="s">
        <v>474</v>
      </c>
      <c r="H135" t="s">
        <v>296</v>
      </c>
      <c r="I135" t="s">
        <v>296</v>
      </c>
      <c r="J135" t="s">
        <v>296</v>
      </c>
      <c r="K135" t="s">
        <v>296</v>
      </c>
      <c r="L135">
        <v>5</v>
      </c>
      <c r="M135">
        <v>5</v>
      </c>
      <c r="N135">
        <v>5</v>
      </c>
      <c r="O135">
        <v>4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5</v>
      </c>
      <c r="AG135">
        <v>5</v>
      </c>
      <c r="AH135">
        <v>4</v>
      </c>
      <c r="AI135">
        <v>5</v>
      </c>
      <c r="AJ135">
        <v>5</v>
      </c>
      <c r="AK135">
        <v>5</v>
      </c>
      <c r="AL135">
        <v>5</v>
      </c>
      <c r="AM135">
        <v>2.5</v>
      </c>
      <c r="AN135">
        <v>5</v>
      </c>
      <c r="AO135">
        <v>5</v>
      </c>
      <c r="AP135">
        <v>1.1259999999999999</v>
      </c>
      <c r="AQ135">
        <v>5</v>
      </c>
      <c r="AR135">
        <v>5</v>
      </c>
      <c r="AS135">
        <v>5</v>
      </c>
      <c r="AT135">
        <v>5</v>
      </c>
      <c r="AU135">
        <v>5</v>
      </c>
      <c r="AV135">
        <v>5</v>
      </c>
      <c r="AW135" t="s">
        <v>296</v>
      </c>
    </row>
    <row r="136" spans="1:49" ht="12.75">
      <c r="A136" t="s">
        <v>295</v>
      </c>
      <c r="B136" t="s">
        <v>291</v>
      </c>
      <c r="C136" t="s">
        <v>123</v>
      </c>
      <c r="D136" t="s">
        <v>38</v>
      </c>
      <c r="E136" t="s">
        <v>296</v>
      </c>
      <c r="F136" t="s">
        <v>83</v>
      </c>
      <c r="G136" t="s">
        <v>474</v>
      </c>
      <c r="H136" t="s">
        <v>296</v>
      </c>
      <c r="I136" t="s">
        <v>296</v>
      </c>
      <c r="J136" t="s">
        <v>296</v>
      </c>
      <c r="K136" t="s">
        <v>296</v>
      </c>
      <c r="L136">
        <v>0.41999999999999998</v>
      </c>
      <c r="M136">
        <v>0.41999999999999998</v>
      </c>
      <c r="N136">
        <v>0.41999999999999998</v>
      </c>
      <c r="O136">
        <v>0.33600000000000002</v>
      </c>
      <c r="P136">
        <v>0.41999999999999998</v>
      </c>
      <c r="Q136">
        <v>0.41999999999999998</v>
      </c>
      <c r="R136">
        <v>0.41999999999999998</v>
      </c>
      <c r="S136">
        <v>0.41999999999999998</v>
      </c>
      <c r="T136">
        <v>0.41999999999999998</v>
      </c>
      <c r="U136">
        <v>0.41999999999999998</v>
      </c>
      <c r="V136">
        <v>0.41999999999999998</v>
      </c>
      <c r="W136">
        <v>0.41999999999999998</v>
      </c>
      <c r="X136">
        <v>0.41999999999999998</v>
      </c>
      <c r="Y136">
        <v>0.41999999999999998</v>
      </c>
      <c r="Z136">
        <v>0.41999999999999998</v>
      </c>
      <c r="AA136">
        <v>0.41999999999999998</v>
      </c>
      <c r="AB136">
        <v>0.41999999999999998</v>
      </c>
      <c r="AC136">
        <v>0.41999999999999998</v>
      </c>
      <c r="AD136">
        <v>0.41999999999999998</v>
      </c>
      <c r="AE136">
        <v>0.41999999999999998</v>
      </c>
      <c r="AF136">
        <v>0.41999999999999998</v>
      </c>
      <c r="AG136">
        <v>0.41999999999999998</v>
      </c>
      <c r="AH136">
        <v>1.3999999999999999</v>
      </c>
      <c r="AI136">
        <v>0.41999999999999998</v>
      </c>
      <c r="AJ136">
        <v>0.41999999999999998</v>
      </c>
      <c r="AK136">
        <v>0.41999999999999998</v>
      </c>
      <c r="AL136">
        <v>0.41999999999999998</v>
      </c>
      <c r="AM136">
        <v>3</v>
      </c>
      <c r="AN136">
        <v>0.41999999999999998</v>
      </c>
      <c r="AO136">
        <v>0.41999999999999998</v>
      </c>
      <c r="AP136">
        <v>0.71999999999999997</v>
      </c>
      <c r="AQ136">
        <v>0.41999999999999998</v>
      </c>
      <c r="AR136">
        <v>0.41999999999999998</v>
      </c>
      <c r="AS136">
        <v>0.41999999999999998</v>
      </c>
      <c r="AT136">
        <v>0.41999999999999998</v>
      </c>
      <c r="AU136">
        <v>0.41999999999999998</v>
      </c>
      <c r="AV136">
        <v>0.41999999999999998</v>
      </c>
      <c r="AW136" t="s">
        <v>296</v>
      </c>
    </row>
    <row r="137" spans="1:49" ht="12.75">
      <c r="A137" t="s">
        <v>295</v>
      </c>
      <c r="B137" t="s">
        <v>291</v>
      </c>
      <c r="C137" t="s">
        <v>126</v>
      </c>
      <c r="D137" t="s">
        <v>428</v>
      </c>
      <c r="E137" t="s">
        <v>296</v>
      </c>
      <c r="F137" t="s">
        <v>83</v>
      </c>
      <c r="G137" t="s">
        <v>474</v>
      </c>
      <c r="H137" t="s">
        <v>296</v>
      </c>
      <c r="I137" t="s">
        <v>296</v>
      </c>
      <c r="J137" t="s">
        <v>296</v>
      </c>
      <c r="K137" t="s">
        <v>296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 t="s">
        <v>296</v>
      </c>
    </row>
    <row r="138" spans="1:49" ht="12.75">
      <c r="A138" t="s">
        <v>295</v>
      </c>
      <c r="B138" t="s">
        <v>291</v>
      </c>
      <c r="C138" t="s">
        <v>126</v>
      </c>
      <c r="D138" t="s">
        <v>37</v>
      </c>
      <c r="E138" t="s">
        <v>296</v>
      </c>
      <c r="F138" t="s">
        <v>83</v>
      </c>
      <c r="G138" t="s">
        <v>474</v>
      </c>
      <c r="H138" t="s">
        <v>296</v>
      </c>
      <c r="I138" t="s">
        <v>296</v>
      </c>
      <c r="J138" t="s">
        <v>296</v>
      </c>
      <c r="K138" t="s">
        <v>296</v>
      </c>
      <c r="L138">
        <v>0.52000000000000002</v>
      </c>
      <c r="M138">
        <v>0.52000000000000002</v>
      </c>
      <c r="N138">
        <v>0.52000000000000002</v>
      </c>
      <c r="O138">
        <v>0.41599999999999998</v>
      </c>
      <c r="P138">
        <v>0.52000000000000002</v>
      </c>
      <c r="Q138">
        <v>0.52000000000000002</v>
      </c>
      <c r="R138">
        <v>0.52000000000000002</v>
      </c>
      <c r="S138">
        <v>0.52000000000000002</v>
      </c>
      <c r="T138">
        <v>0.52000000000000002</v>
      </c>
      <c r="U138">
        <v>0.52000000000000002</v>
      </c>
      <c r="V138">
        <v>0.52000000000000002</v>
      </c>
      <c r="W138">
        <v>0.52000000000000002</v>
      </c>
      <c r="X138">
        <v>0.52000000000000002</v>
      </c>
      <c r="Y138">
        <v>0.52000000000000002</v>
      </c>
      <c r="Z138">
        <v>0.52000000000000002</v>
      </c>
      <c r="AA138">
        <v>0.52000000000000002</v>
      </c>
      <c r="AB138">
        <v>0.52000000000000002</v>
      </c>
      <c r="AC138">
        <v>0.52000000000000002</v>
      </c>
      <c r="AD138">
        <v>0.52000000000000002</v>
      </c>
      <c r="AE138">
        <v>0.52000000000000002</v>
      </c>
      <c r="AF138">
        <v>0.52000000000000002</v>
      </c>
      <c r="AG138">
        <v>0.52000000000000002</v>
      </c>
      <c r="AH138">
        <v>0.40000000000000002</v>
      </c>
      <c r="AI138">
        <v>0.52000000000000002</v>
      </c>
      <c r="AJ138">
        <v>0.52000000000000002</v>
      </c>
      <c r="AK138">
        <v>0.52000000000000002</v>
      </c>
      <c r="AL138">
        <v>0.52000000000000002</v>
      </c>
      <c r="AM138">
        <v>0.52000000000000002</v>
      </c>
      <c r="AN138">
        <v>0.52000000000000002</v>
      </c>
      <c r="AO138">
        <v>0.52000000000000002</v>
      </c>
      <c r="AP138">
        <v>0.94499999999999995</v>
      </c>
      <c r="AQ138">
        <v>0.52000000000000002</v>
      </c>
      <c r="AR138">
        <v>0.52000000000000002</v>
      </c>
      <c r="AS138">
        <v>0.52000000000000002</v>
      </c>
      <c r="AT138">
        <v>0.52000000000000002</v>
      </c>
      <c r="AU138">
        <v>0.52000000000000002</v>
      </c>
      <c r="AV138">
        <v>0.52000000000000002</v>
      </c>
      <c r="AW138" t="s">
        <v>296</v>
      </c>
    </row>
    <row r="139" spans="1:49" ht="12.75">
      <c r="A139" t="s">
        <v>295</v>
      </c>
      <c r="B139" t="s">
        <v>291</v>
      </c>
      <c r="C139" t="s">
        <v>126</v>
      </c>
      <c r="D139" t="s">
        <v>38</v>
      </c>
      <c r="E139" t="s">
        <v>296</v>
      </c>
      <c r="F139" t="s">
        <v>83</v>
      </c>
      <c r="G139" t="s">
        <v>474</v>
      </c>
      <c r="H139" t="s">
        <v>296</v>
      </c>
      <c r="I139" t="s">
        <v>296</v>
      </c>
      <c r="J139" t="s">
        <v>296</v>
      </c>
      <c r="K139" t="s">
        <v>296</v>
      </c>
      <c r="L139">
        <v>3.8999999999999999</v>
      </c>
      <c r="M139">
        <v>3.8999999999999999</v>
      </c>
      <c r="N139">
        <v>5.9000000000000004</v>
      </c>
      <c r="O139">
        <v>3.1200000000000001</v>
      </c>
      <c r="P139">
        <v>3.8999999999999999</v>
      </c>
      <c r="Q139">
        <v>3.8999999999999999</v>
      </c>
      <c r="R139">
        <v>3.8999999999999999</v>
      </c>
      <c r="S139">
        <v>3.8999999999999999</v>
      </c>
      <c r="T139">
        <v>3.8999999999999999</v>
      </c>
      <c r="U139">
        <v>3.8999999999999999</v>
      </c>
      <c r="V139">
        <v>3.8999999999999999</v>
      </c>
      <c r="W139">
        <v>3.8999999999999999</v>
      </c>
      <c r="X139">
        <v>3.8999999999999999</v>
      </c>
      <c r="Y139">
        <v>3.8999999999999999</v>
      </c>
      <c r="Z139">
        <v>3.8999999999999999</v>
      </c>
      <c r="AA139">
        <v>3.8999999999999999</v>
      </c>
      <c r="AB139">
        <v>3.8999999999999999</v>
      </c>
      <c r="AC139">
        <v>3.8999999999999999</v>
      </c>
      <c r="AD139">
        <v>3.8999999999999999</v>
      </c>
      <c r="AE139">
        <v>3.8999999999999999</v>
      </c>
      <c r="AF139">
        <v>3.8999999999999999</v>
      </c>
      <c r="AG139">
        <v>3.8999999999999999</v>
      </c>
      <c r="AH139">
        <v>5.9000000000000004</v>
      </c>
      <c r="AI139">
        <v>3.8999999999999999</v>
      </c>
      <c r="AJ139">
        <v>3.8999999999999999</v>
      </c>
      <c r="AK139">
        <v>3.8999999999999999</v>
      </c>
      <c r="AL139">
        <v>3.8999999999999999</v>
      </c>
      <c r="AM139">
        <v>5</v>
      </c>
      <c r="AN139">
        <v>3.8999999999999999</v>
      </c>
      <c r="AO139">
        <v>4.5999999999999996</v>
      </c>
      <c r="AP139">
        <v>6.3167999999999997</v>
      </c>
      <c r="AQ139">
        <v>3.8999999999999999</v>
      </c>
      <c r="AR139">
        <v>3.8999999999999999</v>
      </c>
      <c r="AS139">
        <v>3.8999999999999999</v>
      </c>
      <c r="AT139">
        <v>3.8999999999999999</v>
      </c>
      <c r="AU139">
        <v>5.5</v>
      </c>
      <c r="AV139">
        <v>5.9000000000000004</v>
      </c>
      <c r="AW139" t="s">
        <v>296</v>
      </c>
    </row>
    <row r="140" spans="1:49" ht="12.75">
      <c r="A140" t="s">
        <v>295</v>
      </c>
      <c r="B140" t="s">
        <v>291</v>
      </c>
      <c r="C140" t="s">
        <v>126</v>
      </c>
      <c r="D140" t="s">
        <v>43</v>
      </c>
      <c r="E140" t="s">
        <v>296</v>
      </c>
      <c r="F140" t="s">
        <v>83</v>
      </c>
      <c r="G140" t="s">
        <v>474</v>
      </c>
      <c r="H140" t="s">
        <v>296</v>
      </c>
      <c r="I140" t="s">
        <v>296</v>
      </c>
      <c r="J140" t="s">
        <v>296</v>
      </c>
      <c r="K140" t="s">
        <v>296</v>
      </c>
      <c r="L140">
        <v>2</v>
      </c>
      <c r="M140">
        <v>2</v>
      </c>
      <c r="N140">
        <v>0</v>
      </c>
      <c r="O140">
        <v>1.6000000000000001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0</v>
      </c>
      <c r="AI140">
        <v>2</v>
      </c>
      <c r="AJ140">
        <v>2</v>
      </c>
      <c r="AK140">
        <v>2</v>
      </c>
      <c r="AL140">
        <v>2</v>
      </c>
      <c r="AM140">
        <v>1</v>
      </c>
      <c r="AN140">
        <v>2</v>
      </c>
      <c r="AO140">
        <v>1.3</v>
      </c>
      <c r="AP140">
        <v>0.98499999999999999</v>
      </c>
      <c r="AQ140">
        <v>2</v>
      </c>
      <c r="AR140">
        <v>2</v>
      </c>
      <c r="AS140">
        <v>2</v>
      </c>
      <c r="AT140">
        <v>2</v>
      </c>
      <c r="AU140">
        <v>2</v>
      </c>
      <c r="AV140">
        <v>0</v>
      </c>
      <c r="AW140" t="s">
        <v>296</v>
      </c>
    </row>
    <row r="141" spans="1:49" ht="12.75">
      <c r="A141" t="s">
        <v>295</v>
      </c>
      <c r="B141" t="s">
        <v>291</v>
      </c>
      <c r="C141" t="s">
        <v>127</v>
      </c>
      <c r="D141" t="s">
        <v>428</v>
      </c>
      <c r="E141" t="s">
        <v>296</v>
      </c>
      <c r="F141" t="s">
        <v>83</v>
      </c>
      <c r="G141" t="s">
        <v>474</v>
      </c>
      <c r="H141" t="s">
        <v>296</v>
      </c>
      <c r="I141" t="s">
        <v>296</v>
      </c>
      <c r="J141" t="s">
        <v>296</v>
      </c>
      <c r="K141" t="s">
        <v>296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 t="s">
        <v>296</v>
      </c>
    </row>
    <row r="142" spans="1:49" ht="12.75">
      <c r="A142" t="s">
        <v>295</v>
      </c>
      <c r="B142" t="s">
        <v>291</v>
      </c>
      <c r="C142" t="s">
        <v>127</v>
      </c>
      <c r="D142" t="s">
        <v>37</v>
      </c>
      <c r="E142" t="s">
        <v>296</v>
      </c>
      <c r="F142" t="s">
        <v>83</v>
      </c>
      <c r="G142" t="s">
        <v>474</v>
      </c>
      <c r="H142" t="s">
        <v>296</v>
      </c>
      <c r="I142" t="s">
        <v>296</v>
      </c>
      <c r="J142" t="s">
        <v>296</v>
      </c>
      <c r="K142" t="s">
        <v>296</v>
      </c>
      <c r="L142">
        <v>0.52000000000000002</v>
      </c>
      <c r="M142">
        <v>0.52000000000000002</v>
      </c>
      <c r="N142">
        <v>0.52000000000000002</v>
      </c>
      <c r="O142">
        <v>0.41599999999999998</v>
      </c>
      <c r="P142">
        <v>0.52000000000000002</v>
      </c>
      <c r="Q142">
        <v>0.52000000000000002</v>
      </c>
      <c r="R142">
        <v>0.52000000000000002</v>
      </c>
      <c r="S142">
        <v>0.52000000000000002</v>
      </c>
      <c r="T142">
        <v>0.52000000000000002</v>
      </c>
      <c r="U142">
        <v>0.52000000000000002</v>
      </c>
      <c r="V142">
        <v>0.52000000000000002</v>
      </c>
      <c r="W142">
        <v>0.52000000000000002</v>
      </c>
      <c r="X142">
        <v>0.52000000000000002</v>
      </c>
      <c r="Y142">
        <v>0.52000000000000002</v>
      </c>
      <c r="Z142">
        <v>0.52000000000000002</v>
      </c>
      <c r="AA142">
        <v>0.52000000000000002</v>
      </c>
      <c r="AB142">
        <v>0.52000000000000002</v>
      </c>
      <c r="AC142">
        <v>0.52000000000000002</v>
      </c>
      <c r="AD142">
        <v>0.52000000000000002</v>
      </c>
      <c r="AE142">
        <v>0.52000000000000002</v>
      </c>
      <c r="AF142">
        <v>0.52000000000000002</v>
      </c>
      <c r="AG142">
        <v>0.52000000000000002</v>
      </c>
      <c r="AH142">
        <v>0.40000000000000002</v>
      </c>
      <c r="AI142">
        <v>0.52000000000000002</v>
      </c>
      <c r="AJ142">
        <v>0.52000000000000002</v>
      </c>
      <c r="AK142">
        <v>0.52000000000000002</v>
      </c>
      <c r="AL142">
        <v>0.52000000000000002</v>
      </c>
      <c r="AM142">
        <v>0.52000000000000002</v>
      </c>
      <c r="AN142">
        <v>0.52000000000000002</v>
      </c>
      <c r="AO142">
        <v>0.52000000000000002</v>
      </c>
      <c r="AP142">
        <v>0.52000000000000002</v>
      </c>
      <c r="AQ142">
        <v>0.52000000000000002</v>
      </c>
      <c r="AR142">
        <v>0.52000000000000002</v>
      </c>
      <c r="AS142">
        <v>0.52000000000000002</v>
      </c>
      <c r="AT142">
        <v>0.52000000000000002</v>
      </c>
      <c r="AU142">
        <v>0.52000000000000002</v>
      </c>
      <c r="AV142">
        <v>0.52000000000000002</v>
      </c>
      <c r="AW142" t="s">
        <v>296</v>
      </c>
    </row>
    <row r="143" spans="1:49" ht="12.75">
      <c r="A143" t="s">
        <v>295</v>
      </c>
      <c r="B143" t="s">
        <v>291</v>
      </c>
      <c r="C143" t="s">
        <v>127</v>
      </c>
      <c r="D143" t="s">
        <v>38</v>
      </c>
      <c r="E143" t="s">
        <v>296</v>
      </c>
      <c r="F143" t="s">
        <v>83</v>
      </c>
      <c r="G143" t="s">
        <v>474</v>
      </c>
      <c r="H143" t="s">
        <v>296</v>
      </c>
      <c r="I143" t="s">
        <v>296</v>
      </c>
      <c r="J143" t="s">
        <v>296</v>
      </c>
      <c r="K143" t="s">
        <v>296</v>
      </c>
      <c r="L143">
        <v>3.8999999999999999</v>
      </c>
      <c r="M143">
        <v>3.8999999999999999</v>
      </c>
      <c r="N143">
        <v>5.4000000000000004</v>
      </c>
      <c r="O143">
        <v>3.1200000000000001</v>
      </c>
      <c r="P143">
        <v>3.8999999999999999</v>
      </c>
      <c r="Q143">
        <v>3.8999999999999999</v>
      </c>
      <c r="R143">
        <v>3.8999999999999999</v>
      </c>
      <c r="S143">
        <v>3.8999999999999999</v>
      </c>
      <c r="T143">
        <v>3.8999999999999999</v>
      </c>
      <c r="U143">
        <v>3.8999999999999999</v>
      </c>
      <c r="V143">
        <v>3.8999999999999999</v>
      </c>
      <c r="W143">
        <v>3.8999999999999999</v>
      </c>
      <c r="X143">
        <v>3.8999999999999999</v>
      </c>
      <c r="Y143">
        <v>3.8999999999999999</v>
      </c>
      <c r="Z143">
        <v>3.8999999999999999</v>
      </c>
      <c r="AA143">
        <v>3.8999999999999999</v>
      </c>
      <c r="AB143">
        <v>3.8999999999999999</v>
      </c>
      <c r="AC143">
        <v>3.8999999999999999</v>
      </c>
      <c r="AD143">
        <v>3.8999999999999999</v>
      </c>
      <c r="AE143">
        <v>3.8999999999999999</v>
      </c>
      <c r="AF143">
        <v>3.8999999999999999</v>
      </c>
      <c r="AG143">
        <v>3.8999999999999999</v>
      </c>
      <c r="AH143">
        <v>5.4000000000000004</v>
      </c>
      <c r="AI143">
        <v>3.8999999999999999</v>
      </c>
      <c r="AJ143">
        <v>3.8999999999999999</v>
      </c>
      <c r="AK143">
        <v>3.8999999999999999</v>
      </c>
      <c r="AL143">
        <v>3.8999999999999999</v>
      </c>
      <c r="AM143">
        <v>3</v>
      </c>
      <c r="AN143">
        <v>3.8999999999999999</v>
      </c>
      <c r="AO143">
        <v>4.4249999999999998</v>
      </c>
      <c r="AP143">
        <v>5.46</v>
      </c>
      <c r="AQ143">
        <v>3.8999999999999999</v>
      </c>
      <c r="AR143">
        <v>3.8999999999999999</v>
      </c>
      <c r="AS143">
        <v>3.8999999999999999</v>
      </c>
      <c r="AT143">
        <v>3.8999999999999999</v>
      </c>
      <c r="AU143">
        <v>5.4000000000000004</v>
      </c>
      <c r="AV143">
        <v>5.4000000000000004</v>
      </c>
      <c r="AW143" t="s">
        <v>296</v>
      </c>
    </row>
    <row r="144" spans="1:49" ht="12.75">
      <c r="A144" t="s">
        <v>295</v>
      </c>
      <c r="B144" t="s">
        <v>291</v>
      </c>
      <c r="C144" t="s">
        <v>127</v>
      </c>
      <c r="D144" t="s">
        <v>43</v>
      </c>
      <c r="E144" t="s">
        <v>296</v>
      </c>
      <c r="F144" t="s">
        <v>83</v>
      </c>
      <c r="G144" t="s">
        <v>474</v>
      </c>
      <c r="H144" t="s">
        <v>296</v>
      </c>
      <c r="I144" t="s">
        <v>296</v>
      </c>
      <c r="J144" t="s">
        <v>296</v>
      </c>
      <c r="K144" t="s">
        <v>296</v>
      </c>
      <c r="L144">
        <v>1.5</v>
      </c>
      <c r="M144">
        <v>1.5</v>
      </c>
      <c r="N144">
        <v>0</v>
      </c>
      <c r="O144">
        <v>1.2</v>
      </c>
      <c r="P144">
        <v>1.5</v>
      </c>
      <c r="Q144">
        <v>1.5</v>
      </c>
      <c r="R144">
        <v>1.5</v>
      </c>
      <c r="S144">
        <v>1.5</v>
      </c>
      <c r="T144">
        <v>1.5</v>
      </c>
      <c r="U144">
        <v>1.5</v>
      </c>
      <c r="V144">
        <v>1.5</v>
      </c>
      <c r="W144">
        <v>1.5</v>
      </c>
      <c r="X144">
        <v>1.5</v>
      </c>
      <c r="Y144">
        <v>1.5</v>
      </c>
      <c r="Z144">
        <v>1.5</v>
      </c>
      <c r="AA144">
        <v>1.5</v>
      </c>
      <c r="AB144">
        <v>1.5</v>
      </c>
      <c r="AC144">
        <v>1.5</v>
      </c>
      <c r="AD144">
        <v>1.5</v>
      </c>
      <c r="AE144">
        <v>1.5</v>
      </c>
      <c r="AF144">
        <v>1.5</v>
      </c>
      <c r="AG144">
        <v>1.5</v>
      </c>
      <c r="AH144">
        <v>0</v>
      </c>
      <c r="AI144">
        <v>1.5</v>
      </c>
      <c r="AJ144">
        <v>1.5</v>
      </c>
      <c r="AK144">
        <v>1.5</v>
      </c>
      <c r="AL144">
        <v>1.5</v>
      </c>
      <c r="AM144">
        <v>1</v>
      </c>
      <c r="AN144">
        <v>1.5</v>
      </c>
      <c r="AO144">
        <v>0.97499999999999998</v>
      </c>
      <c r="AP144">
        <v>0.98499999999999999</v>
      </c>
      <c r="AQ144">
        <v>1.5</v>
      </c>
      <c r="AR144">
        <v>1.5</v>
      </c>
      <c r="AS144">
        <v>1.5</v>
      </c>
      <c r="AT144">
        <v>1.5</v>
      </c>
      <c r="AU144">
        <v>1.5</v>
      </c>
      <c r="AV144">
        <v>0</v>
      </c>
      <c r="AW144" t="s">
        <v>296</v>
      </c>
    </row>
    <row r="145" spans="1:49" ht="12.75">
      <c r="A145" t="s">
        <v>295</v>
      </c>
      <c r="B145" t="s">
        <v>291</v>
      </c>
      <c r="C145" t="s">
        <v>127</v>
      </c>
      <c r="D145" t="s">
        <v>100</v>
      </c>
      <c r="E145" t="s">
        <v>296</v>
      </c>
      <c r="F145" t="s">
        <v>83</v>
      </c>
      <c r="G145" t="s">
        <v>474</v>
      </c>
      <c r="H145" t="s">
        <v>296</v>
      </c>
      <c r="I145" t="s">
        <v>296</v>
      </c>
      <c r="J145" t="s">
        <v>296</v>
      </c>
      <c r="K145" t="s">
        <v>296</v>
      </c>
      <c r="L145">
        <v>1.05</v>
      </c>
      <c r="M145">
        <v>1.05</v>
      </c>
      <c r="N145">
        <v>1.05</v>
      </c>
      <c r="O145">
        <v>1.05</v>
      </c>
      <c r="P145">
        <v>1.05</v>
      </c>
      <c r="Q145">
        <v>1.05</v>
      </c>
      <c r="R145">
        <v>1.05</v>
      </c>
      <c r="S145">
        <v>1.05</v>
      </c>
      <c r="T145">
        <v>1.05</v>
      </c>
      <c r="U145">
        <v>1.05</v>
      </c>
      <c r="V145">
        <v>1.05</v>
      </c>
      <c r="W145">
        <v>1.05</v>
      </c>
      <c r="X145">
        <v>1.05</v>
      </c>
      <c r="Y145">
        <v>1.05</v>
      </c>
      <c r="Z145">
        <v>1.05</v>
      </c>
      <c r="AA145">
        <v>1.05</v>
      </c>
      <c r="AB145">
        <v>1.05</v>
      </c>
      <c r="AC145">
        <v>1.05</v>
      </c>
      <c r="AD145">
        <v>1.05</v>
      </c>
      <c r="AE145">
        <v>1.05</v>
      </c>
      <c r="AF145">
        <v>1.05</v>
      </c>
      <c r="AG145">
        <v>1.05</v>
      </c>
      <c r="AH145">
        <v>1.05</v>
      </c>
      <c r="AI145">
        <v>1.05</v>
      </c>
      <c r="AJ145">
        <v>1.05</v>
      </c>
      <c r="AK145">
        <v>1.05</v>
      </c>
      <c r="AL145">
        <v>1.05</v>
      </c>
      <c r="AM145">
        <v>1.2</v>
      </c>
      <c r="AN145">
        <v>1.05</v>
      </c>
      <c r="AO145">
        <v>1.05</v>
      </c>
      <c r="AP145">
        <v>1.2</v>
      </c>
      <c r="AQ145">
        <v>1.05</v>
      </c>
      <c r="AR145">
        <v>1.05</v>
      </c>
      <c r="AS145">
        <v>1.05</v>
      </c>
      <c r="AT145">
        <v>1.05</v>
      </c>
      <c r="AU145">
        <v>1.05</v>
      </c>
      <c r="AV145">
        <v>1.05</v>
      </c>
      <c r="AW145" t="s">
        <v>296</v>
      </c>
    </row>
    <row r="146" spans="1:49" ht="12.75">
      <c r="A146" t="s">
        <v>295</v>
      </c>
      <c r="B146" t="s">
        <v>291</v>
      </c>
      <c r="C146" t="s">
        <v>128</v>
      </c>
      <c r="D146" t="s">
        <v>48</v>
      </c>
      <c r="E146" t="s">
        <v>296</v>
      </c>
      <c r="F146" t="s">
        <v>83</v>
      </c>
      <c r="G146" t="s">
        <v>474</v>
      </c>
      <c r="H146" t="s">
        <v>296</v>
      </c>
      <c r="I146" t="s">
        <v>296</v>
      </c>
      <c r="J146" t="s">
        <v>296</v>
      </c>
      <c r="K146" t="s">
        <v>296</v>
      </c>
      <c r="L146">
        <v>1.74</v>
      </c>
      <c r="M146">
        <v>1.24</v>
      </c>
      <c r="N146">
        <v>1.74</v>
      </c>
      <c r="O146">
        <v>1.74</v>
      </c>
      <c r="P146">
        <v>1.74</v>
      </c>
      <c r="Q146">
        <v>1.74</v>
      </c>
      <c r="R146">
        <v>1.74</v>
      </c>
      <c r="S146">
        <v>1.74</v>
      </c>
      <c r="T146">
        <v>1.5</v>
      </c>
      <c r="U146">
        <v>1.74</v>
      </c>
      <c r="V146">
        <v>1.74</v>
      </c>
      <c r="W146">
        <v>1.74</v>
      </c>
      <c r="X146">
        <v>1.74</v>
      </c>
      <c r="Y146">
        <v>1.74</v>
      </c>
      <c r="Z146">
        <v>1.74</v>
      </c>
      <c r="AA146">
        <v>1.5</v>
      </c>
      <c r="AB146">
        <v>1.74</v>
      </c>
      <c r="AC146">
        <v>1.74</v>
      </c>
      <c r="AD146">
        <v>1.74</v>
      </c>
      <c r="AE146">
        <v>0.14094000000000001</v>
      </c>
      <c r="AF146">
        <v>1.74</v>
      </c>
      <c r="AG146">
        <v>1.74</v>
      </c>
      <c r="AH146">
        <v>1.74</v>
      </c>
      <c r="AI146">
        <v>1.74</v>
      </c>
      <c r="AJ146">
        <v>1.74</v>
      </c>
      <c r="AK146">
        <v>1.74</v>
      </c>
      <c r="AL146">
        <v>1.74</v>
      </c>
      <c r="AM146">
        <v>1.74</v>
      </c>
      <c r="AN146">
        <v>1.74</v>
      </c>
      <c r="AO146">
        <v>1.74</v>
      </c>
      <c r="AP146">
        <v>1.74</v>
      </c>
      <c r="AQ146">
        <v>1.74</v>
      </c>
      <c r="AR146">
        <v>1.74</v>
      </c>
      <c r="AS146">
        <v>1.74</v>
      </c>
      <c r="AT146">
        <v>1.74</v>
      </c>
      <c r="AU146">
        <v>1.74</v>
      </c>
      <c r="AV146">
        <v>1.74</v>
      </c>
      <c r="AW146" t="s">
        <v>296</v>
      </c>
    </row>
    <row r="147" spans="1:49" ht="12.75">
      <c r="A147" t="s">
        <v>295</v>
      </c>
      <c r="B147" t="s">
        <v>291</v>
      </c>
      <c r="C147" t="s">
        <v>128</v>
      </c>
      <c r="D147" t="s">
        <v>51</v>
      </c>
      <c r="E147" t="s">
        <v>296</v>
      </c>
      <c r="F147" t="s">
        <v>83</v>
      </c>
      <c r="G147" t="s">
        <v>474</v>
      </c>
      <c r="H147" t="s">
        <v>296</v>
      </c>
      <c r="I147" t="s">
        <v>296</v>
      </c>
      <c r="J147" t="s">
        <v>296</v>
      </c>
      <c r="K147" t="s">
        <v>296</v>
      </c>
      <c r="L147">
        <v>0.20999999999999999</v>
      </c>
      <c r="M147">
        <v>0.20999999999999999</v>
      </c>
      <c r="N147">
        <v>0.20999999999999999</v>
      </c>
      <c r="O147">
        <v>0.20999999999999999</v>
      </c>
      <c r="P147">
        <v>0.20999999999999999</v>
      </c>
      <c r="Q147">
        <v>0.20999999999999999</v>
      </c>
      <c r="R147">
        <v>0.20999999999999999</v>
      </c>
      <c r="S147">
        <v>0.20999999999999999</v>
      </c>
      <c r="T147">
        <v>0.20999999999999999</v>
      </c>
      <c r="U147">
        <v>0.20999999999999999</v>
      </c>
      <c r="V147">
        <v>0.20999999999999999</v>
      </c>
      <c r="W147">
        <v>0.20999999999999999</v>
      </c>
      <c r="X147">
        <v>0.20999999999999999</v>
      </c>
      <c r="Y147">
        <v>0.20999999999999999</v>
      </c>
      <c r="Z147">
        <v>0.20999999999999999</v>
      </c>
      <c r="AA147">
        <v>0.20999999999999999</v>
      </c>
      <c r="AB147">
        <v>0.20999999999999999</v>
      </c>
      <c r="AC147">
        <v>0.20999999999999999</v>
      </c>
      <c r="AD147">
        <v>0.20999999999999999</v>
      </c>
      <c r="AE147">
        <v>0.20999999999999999</v>
      </c>
      <c r="AF147">
        <v>0.20999999999999999</v>
      </c>
      <c r="AG147">
        <v>0.20999999999999999</v>
      </c>
      <c r="AH147">
        <v>0.20999999999999999</v>
      </c>
      <c r="AI147">
        <v>0.20999999999999999</v>
      </c>
      <c r="AJ147">
        <v>0.20999999999999999</v>
      </c>
      <c r="AK147">
        <v>0.20999999999999999</v>
      </c>
      <c r="AL147">
        <v>0.20999999999999999</v>
      </c>
      <c r="AM147">
        <v>0.1827</v>
      </c>
      <c r="AN147">
        <v>0.20999999999999999</v>
      </c>
      <c r="AO147">
        <v>0.189</v>
      </c>
      <c r="AP147">
        <v>0.20999999999999999</v>
      </c>
      <c r="AQ147">
        <v>0.20999999999999999</v>
      </c>
      <c r="AR147">
        <v>0.20999999999999999</v>
      </c>
      <c r="AS147">
        <v>0.20999999999999999</v>
      </c>
      <c r="AT147">
        <v>0.20999999999999999</v>
      </c>
      <c r="AU147">
        <v>0.20999999999999999</v>
      </c>
      <c r="AV147">
        <v>0.20999999999999999</v>
      </c>
      <c r="AW147" t="s">
        <v>296</v>
      </c>
    </row>
    <row r="148" spans="1:49" ht="12.75">
      <c r="A148" t="s">
        <v>295</v>
      </c>
      <c r="B148" t="s">
        <v>291</v>
      </c>
      <c r="C148" t="s">
        <v>128</v>
      </c>
      <c r="D148" t="s">
        <v>37</v>
      </c>
      <c r="E148" t="s">
        <v>296</v>
      </c>
      <c r="F148" t="s">
        <v>83</v>
      </c>
      <c r="G148" t="s">
        <v>474</v>
      </c>
      <c r="H148" t="s">
        <v>296</v>
      </c>
      <c r="I148" t="s">
        <v>296</v>
      </c>
      <c r="J148" t="s">
        <v>296</v>
      </c>
      <c r="K148" t="s">
        <v>296</v>
      </c>
      <c r="L148">
        <v>2.2999999999999998</v>
      </c>
      <c r="M148">
        <v>0.11</v>
      </c>
      <c r="N148">
        <v>2.2999999999999998</v>
      </c>
      <c r="O148">
        <v>2.7999999999999998</v>
      </c>
      <c r="P148">
        <v>2.2999999999999998</v>
      </c>
      <c r="Q148">
        <v>2.2999999999999998</v>
      </c>
      <c r="R148">
        <v>2.2999999999999998</v>
      </c>
      <c r="S148">
        <v>2.2999999999999998</v>
      </c>
      <c r="T148">
        <v>1.3999999999999999</v>
      </c>
      <c r="U148">
        <v>2.2999999999999998</v>
      </c>
      <c r="V148">
        <v>2.2999999999999998</v>
      </c>
      <c r="W148">
        <v>2.2999999999999998</v>
      </c>
      <c r="X148">
        <v>2.2999999999999998</v>
      </c>
      <c r="Y148">
        <v>2.2999999999999998</v>
      </c>
      <c r="Z148">
        <v>2.2999999999999998</v>
      </c>
      <c r="AA148">
        <v>1.3999999999999999</v>
      </c>
      <c r="AB148">
        <v>1.3999999999999999</v>
      </c>
      <c r="AC148">
        <v>2.2999999999999998</v>
      </c>
      <c r="AD148">
        <v>2.2999999999999998</v>
      </c>
      <c r="AE148">
        <v>2.2999999999999998</v>
      </c>
      <c r="AF148">
        <v>2.2999999999999998</v>
      </c>
      <c r="AG148">
        <v>2.2999999999999998</v>
      </c>
      <c r="AH148">
        <v>2.2999999999999998</v>
      </c>
      <c r="AI148">
        <v>2.2999999999999998</v>
      </c>
      <c r="AJ148">
        <v>2.2999999999999998</v>
      </c>
      <c r="AK148">
        <v>2.2999999999999998</v>
      </c>
      <c r="AL148">
        <v>2.2999999999999998</v>
      </c>
      <c r="AM148">
        <v>2.0009999999999999</v>
      </c>
      <c r="AN148">
        <v>2.2999999999999998</v>
      </c>
      <c r="AO148">
        <v>2.2999999999999998</v>
      </c>
      <c r="AP148">
        <v>2.2999999999999998</v>
      </c>
      <c r="AQ148">
        <v>2.2999999999999998</v>
      </c>
      <c r="AR148">
        <v>2.2999999999999998</v>
      </c>
      <c r="AS148">
        <v>2.2999999999999998</v>
      </c>
      <c r="AT148">
        <v>2.2999999999999998</v>
      </c>
      <c r="AU148">
        <v>2.2999999999999998</v>
      </c>
      <c r="AV148">
        <v>2.1850000000000001</v>
      </c>
      <c r="AW148" t="s">
        <v>296</v>
      </c>
    </row>
    <row r="149" spans="1:49" ht="12.75">
      <c r="A149" t="s">
        <v>295</v>
      </c>
      <c r="B149" t="s">
        <v>291</v>
      </c>
      <c r="C149" t="s">
        <v>128</v>
      </c>
      <c r="D149" t="s">
        <v>44</v>
      </c>
      <c r="E149" t="s">
        <v>296</v>
      </c>
      <c r="F149" t="s">
        <v>83</v>
      </c>
      <c r="G149" t="s">
        <v>474</v>
      </c>
      <c r="H149" t="s">
        <v>296</v>
      </c>
      <c r="I149" t="s">
        <v>296</v>
      </c>
      <c r="J149" t="s">
        <v>296</v>
      </c>
      <c r="K149" t="s">
        <v>296</v>
      </c>
      <c r="L149">
        <v>0.5</v>
      </c>
      <c r="M149">
        <v>0</v>
      </c>
      <c r="N149">
        <v>0.5</v>
      </c>
      <c r="O149">
        <v>0</v>
      </c>
      <c r="P149">
        <v>0.5</v>
      </c>
      <c r="Q149">
        <v>0.5</v>
      </c>
      <c r="R149">
        <v>0.5</v>
      </c>
      <c r="S149">
        <v>0.5</v>
      </c>
      <c r="T149">
        <v>0.25</v>
      </c>
      <c r="U149">
        <v>0.5</v>
      </c>
      <c r="V149">
        <v>0.5</v>
      </c>
      <c r="W149">
        <v>0.5</v>
      </c>
      <c r="X149">
        <v>0.5</v>
      </c>
      <c r="Y149">
        <v>0.19</v>
      </c>
      <c r="Z149">
        <v>0.5</v>
      </c>
      <c r="AA149">
        <v>0.25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0.5</v>
      </c>
      <c r="AI149">
        <v>0.5</v>
      </c>
      <c r="AJ149">
        <v>0.5</v>
      </c>
      <c r="AK149">
        <v>0.5</v>
      </c>
      <c r="AL149">
        <v>0.5</v>
      </c>
      <c r="AM149">
        <v>0</v>
      </c>
      <c r="AN149">
        <v>0.5</v>
      </c>
      <c r="AO149">
        <v>0.10000000000000001</v>
      </c>
      <c r="AP149">
        <v>0.5</v>
      </c>
      <c r="AQ149">
        <v>0.5</v>
      </c>
      <c r="AR149">
        <v>0.5</v>
      </c>
      <c r="AS149">
        <v>0.5</v>
      </c>
      <c r="AT149">
        <v>0.5</v>
      </c>
      <c r="AU149">
        <v>0.5</v>
      </c>
      <c r="AV149">
        <v>0</v>
      </c>
      <c r="AW149" t="s">
        <v>296</v>
      </c>
    </row>
    <row r="150" spans="1:49" ht="12.75">
      <c r="A150" t="s">
        <v>295</v>
      </c>
      <c r="B150" t="s">
        <v>291</v>
      </c>
      <c r="C150" t="s">
        <v>128</v>
      </c>
      <c r="D150" t="s">
        <v>52</v>
      </c>
      <c r="E150" t="s">
        <v>296</v>
      </c>
      <c r="F150" t="s">
        <v>83</v>
      </c>
      <c r="G150" t="s">
        <v>474</v>
      </c>
      <c r="H150" t="s">
        <v>296</v>
      </c>
      <c r="I150" t="s">
        <v>296</v>
      </c>
      <c r="J150" t="s">
        <v>296</v>
      </c>
      <c r="K150" t="s">
        <v>296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 t="s">
        <v>296</v>
      </c>
    </row>
    <row r="151" spans="1:49" ht="12.75">
      <c r="A151" t="s">
        <v>295</v>
      </c>
      <c r="B151" t="s">
        <v>291</v>
      </c>
      <c r="C151" t="s">
        <v>128</v>
      </c>
      <c r="D151" t="s">
        <v>129</v>
      </c>
      <c r="E151" t="s">
        <v>296</v>
      </c>
      <c r="F151" t="s">
        <v>83</v>
      </c>
      <c r="G151" t="s">
        <v>474</v>
      </c>
      <c r="H151" t="s">
        <v>296</v>
      </c>
      <c r="I151" t="s">
        <v>296</v>
      </c>
      <c r="J151" t="s">
        <v>296</v>
      </c>
      <c r="K151" t="s">
        <v>296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0.5</v>
      </c>
      <c r="AW151" t="s">
        <v>296</v>
      </c>
    </row>
    <row r="152" spans="1:49" ht="12.75">
      <c r="A152" t="s">
        <v>295</v>
      </c>
      <c r="B152" t="s">
        <v>291</v>
      </c>
      <c r="C152" t="s">
        <v>128</v>
      </c>
      <c r="D152" t="s">
        <v>130</v>
      </c>
      <c r="E152" t="s">
        <v>296</v>
      </c>
      <c r="F152" t="s">
        <v>83</v>
      </c>
      <c r="G152" t="s">
        <v>474</v>
      </c>
      <c r="H152" t="s">
        <v>296</v>
      </c>
      <c r="I152" t="s">
        <v>296</v>
      </c>
      <c r="J152" t="s">
        <v>296</v>
      </c>
      <c r="K152" t="s">
        <v>296</v>
      </c>
      <c r="L152">
        <v>0.089999999999999997</v>
      </c>
      <c r="M152">
        <v>0.089999999999999997</v>
      </c>
      <c r="N152">
        <v>0.089999999999999997</v>
      </c>
      <c r="O152">
        <v>0.089999999999999997</v>
      </c>
      <c r="P152">
        <v>0.089999999999999997</v>
      </c>
      <c r="Q152">
        <v>0.089999999999999997</v>
      </c>
      <c r="R152">
        <v>0.089999999999999997</v>
      </c>
      <c r="S152">
        <v>0.089999999999999997</v>
      </c>
      <c r="T152">
        <v>0.089999999999999997</v>
      </c>
      <c r="U152">
        <v>0.089999999999999997</v>
      </c>
      <c r="V152">
        <v>0.089999999999999997</v>
      </c>
      <c r="W152">
        <v>0.089999999999999997</v>
      </c>
      <c r="X152">
        <v>0.089999999999999997</v>
      </c>
      <c r="Y152">
        <v>0.089999999999999997</v>
      </c>
      <c r="Z152">
        <v>0.089999999999999997</v>
      </c>
      <c r="AA152">
        <v>0.089999999999999997</v>
      </c>
      <c r="AB152">
        <v>0.089999999999999997</v>
      </c>
      <c r="AC152">
        <v>0.089999999999999997</v>
      </c>
      <c r="AD152">
        <v>0.089999999999999997</v>
      </c>
      <c r="AE152">
        <v>0.089999999999999997</v>
      </c>
      <c r="AF152">
        <v>0.089999999999999997</v>
      </c>
      <c r="AG152">
        <v>0.089999999999999997</v>
      </c>
      <c r="AH152">
        <v>0.089999999999999997</v>
      </c>
      <c r="AI152">
        <v>0.089999999999999997</v>
      </c>
      <c r="AJ152">
        <v>0.089999999999999997</v>
      </c>
      <c r="AK152">
        <v>0.089999999999999997</v>
      </c>
      <c r="AL152">
        <v>0.089999999999999997</v>
      </c>
      <c r="AM152">
        <v>0.089999999999999997</v>
      </c>
      <c r="AN152">
        <v>0.089999999999999997</v>
      </c>
      <c r="AO152">
        <v>0.089999999999999997</v>
      </c>
      <c r="AP152">
        <v>0.089999999999999997</v>
      </c>
      <c r="AQ152">
        <v>0.089999999999999997</v>
      </c>
      <c r="AR152">
        <v>0.089999999999999997</v>
      </c>
      <c r="AS152">
        <v>0.089999999999999997</v>
      </c>
      <c r="AT152">
        <v>0.089999999999999997</v>
      </c>
      <c r="AU152">
        <v>0.089999999999999997</v>
      </c>
      <c r="AV152">
        <v>0.089999999999999997</v>
      </c>
      <c r="AW152" t="s">
        <v>296</v>
      </c>
    </row>
    <row r="153" spans="1:49" ht="12.75">
      <c r="A153" t="s">
        <v>295</v>
      </c>
      <c r="B153" t="s">
        <v>291</v>
      </c>
      <c r="C153" t="s">
        <v>128</v>
      </c>
      <c r="D153" t="s">
        <v>131</v>
      </c>
      <c r="E153" t="s">
        <v>296</v>
      </c>
      <c r="F153" t="s">
        <v>83</v>
      </c>
      <c r="G153" t="s">
        <v>474</v>
      </c>
      <c r="H153" t="s">
        <v>296</v>
      </c>
      <c r="I153" t="s">
        <v>296</v>
      </c>
      <c r="J153" t="s">
        <v>296</v>
      </c>
      <c r="K153" t="s">
        <v>296</v>
      </c>
      <c r="L153">
        <v>0.22</v>
      </c>
      <c r="M153">
        <v>0.22</v>
      </c>
      <c r="N153">
        <v>0.22</v>
      </c>
      <c r="O153">
        <v>0.22</v>
      </c>
      <c r="P153">
        <v>0.22</v>
      </c>
      <c r="Q153">
        <v>0.22</v>
      </c>
      <c r="R153">
        <v>0.22</v>
      </c>
      <c r="S153">
        <v>0.22</v>
      </c>
      <c r="T153">
        <v>0.22</v>
      </c>
      <c r="U153">
        <v>0.22</v>
      </c>
      <c r="V153">
        <v>0.22</v>
      </c>
      <c r="W153">
        <v>0.22</v>
      </c>
      <c r="X153">
        <v>0.22</v>
      </c>
      <c r="Y153">
        <v>0.22</v>
      </c>
      <c r="Z153">
        <v>0.22</v>
      </c>
      <c r="AA153">
        <v>0.22</v>
      </c>
      <c r="AB153">
        <v>0.22</v>
      </c>
      <c r="AC153">
        <v>0.22</v>
      </c>
      <c r="AD153">
        <v>0.22</v>
      </c>
      <c r="AE153">
        <v>0.22</v>
      </c>
      <c r="AF153">
        <v>0.22</v>
      </c>
      <c r="AG153">
        <v>0.22</v>
      </c>
      <c r="AH153">
        <v>0.22</v>
      </c>
      <c r="AI153">
        <v>0.22</v>
      </c>
      <c r="AJ153">
        <v>0.22</v>
      </c>
      <c r="AK153">
        <v>0.22</v>
      </c>
      <c r="AL153">
        <v>0.22</v>
      </c>
      <c r="AM153">
        <v>0.22</v>
      </c>
      <c r="AN153">
        <v>0.22</v>
      </c>
      <c r="AO153">
        <v>0.22</v>
      </c>
      <c r="AP153">
        <v>0.22</v>
      </c>
      <c r="AQ153">
        <v>0.22</v>
      </c>
      <c r="AR153">
        <v>0.22</v>
      </c>
      <c r="AS153">
        <v>0.22</v>
      </c>
      <c r="AT153">
        <v>0.22</v>
      </c>
      <c r="AU153">
        <v>0.22</v>
      </c>
      <c r="AV153">
        <v>0.22</v>
      </c>
      <c r="AW153" t="s">
        <v>296</v>
      </c>
    </row>
    <row r="154" spans="1:49" ht="12.75">
      <c r="A154" t="s">
        <v>295</v>
      </c>
      <c r="B154" t="s">
        <v>291</v>
      </c>
      <c r="C154" t="s">
        <v>128</v>
      </c>
      <c r="D154" t="s">
        <v>132</v>
      </c>
      <c r="E154" t="s">
        <v>296</v>
      </c>
      <c r="F154" t="s">
        <v>83</v>
      </c>
      <c r="G154" t="s">
        <v>474</v>
      </c>
      <c r="H154" t="s">
        <v>296</v>
      </c>
      <c r="I154" t="s">
        <v>296</v>
      </c>
      <c r="J154" t="s">
        <v>296</v>
      </c>
      <c r="K154" t="s">
        <v>296</v>
      </c>
      <c r="L154">
        <v>0.89000000000000001</v>
      </c>
      <c r="M154">
        <v>0.89000000000000001</v>
      </c>
      <c r="N154">
        <v>0.89000000000000001</v>
      </c>
      <c r="O154">
        <v>0.89000000000000001</v>
      </c>
      <c r="P154">
        <v>0.89000000000000001</v>
      </c>
      <c r="Q154">
        <v>0.89000000000000001</v>
      </c>
      <c r="R154">
        <v>0.89000000000000001</v>
      </c>
      <c r="S154">
        <v>0.89000000000000001</v>
      </c>
      <c r="T154">
        <v>0.89000000000000001</v>
      </c>
      <c r="U154">
        <v>0.89000000000000001</v>
      </c>
      <c r="V154">
        <v>0.89000000000000001</v>
      </c>
      <c r="W154">
        <v>0.89000000000000001</v>
      </c>
      <c r="X154">
        <v>0.89000000000000001</v>
      </c>
      <c r="Y154">
        <v>0.89000000000000001</v>
      </c>
      <c r="Z154">
        <v>0.89000000000000001</v>
      </c>
      <c r="AA154">
        <v>0.89000000000000001</v>
      </c>
      <c r="AB154">
        <v>0.89000000000000001</v>
      </c>
      <c r="AC154">
        <v>0.89000000000000001</v>
      </c>
      <c r="AD154">
        <v>0.89000000000000001</v>
      </c>
      <c r="AE154">
        <v>0.89000000000000001</v>
      </c>
      <c r="AF154">
        <v>0.89000000000000001</v>
      </c>
      <c r="AG154">
        <v>0.89000000000000001</v>
      </c>
      <c r="AH154">
        <v>0.89000000000000001</v>
      </c>
      <c r="AI154">
        <v>0.89000000000000001</v>
      </c>
      <c r="AJ154">
        <v>0.89000000000000001</v>
      </c>
      <c r="AK154">
        <v>0.89000000000000001</v>
      </c>
      <c r="AL154">
        <v>0.89000000000000001</v>
      </c>
      <c r="AM154">
        <v>0.89000000000000001</v>
      </c>
      <c r="AN154">
        <v>0.89000000000000001</v>
      </c>
      <c r="AO154">
        <v>0.89000000000000001</v>
      </c>
      <c r="AP154">
        <v>0.89000000000000001</v>
      </c>
      <c r="AQ154">
        <v>0.89000000000000001</v>
      </c>
      <c r="AR154">
        <v>0.89000000000000001</v>
      </c>
      <c r="AS154">
        <v>0.89000000000000001</v>
      </c>
      <c r="AT154">
        <v>0.89000000000000001</v>
      </c>
      <c r="AU154">
        <v>0.89000000000000001</v>
      </c>
      <c r="AV154">
        <v>0.89000000000000001</v>
      </c>
      <c r="AW154" t="s">
        <v>296</v>
      </c>
    </row>
    <row r="155" spans="1:49" ht="12.75">
      <c r="A155" t="s">
        <v>295</v>
      </c>
      <c r="B155" t="s">
        <v>291</v>
      </c>
      <c r="C155" t="s">
        <v>133</v>
      </c>
      <c r="D155" t="s">
        <v>57</v>
      </c>
      <c r="E155" t="s">
        <v>296</v>
      </c>
      <c r="F155" t="s">
        <v>83</v>
      </c>
      <c r="G155" t="s">
        <v>474</v>
      </c>
      <c r="H155" t="s">
        <v>296</v>
      </c>
      <c r="I155" t="s">
        <v>296</v>
      </c>
      <c r="J155" t="s">
        <v>296</v>
      </c>
      <c r="K155" t="s">
        <v>296</v>
      </c>
      <c r="L155">
        <v>2.27</v>
      </c>
      <c r="M155">
        <v>2.27</v>
      </c>
      <c r="N155">
        <v>2.2927</v>
      </c>
      <c r="O155">
        <v>5.6749999999999998</v>
      </c>
      <c r="P155">
        <v>0.66000000000000003</v>
      </c>
      <c r="Q155">
        <v>2.27</v>
      </c>
      <c r="R155">
        <v>2.8500000000000001</v>
      </c>
      <c r="S155">
        <v>2.3660000000000001</v>
      </c>
      <c r="T155">
        <v>4.1540999999999997</v>
      </c>
      <c r="U155">
        <v>2.8500000000000001</v>
      </c>
      <c r="V155">
        <v>2.8500000000000001</v>
      </c>
      <c r="W155">
        <v>2.6505000000000001</v>
      </c>
      <c r="X155">
        <v>3.6320000000000001</v>
      </c>
      <c r="Y155">
        <v>2.27</v>
      </c>
      <c r="Z155">
        <v>2.9737</v>
      </c>
      <c r="AA155">
        <v>2.27</v>
      </c>
      <c r="AB155">
        <v>5.2210000000000001</v>
      </c>
      <c r="AC155">
        <v>2.27</v>
      </c>
      <c r="AD155">
        <v>6.4638</v>
      </c>
      <c r="AE155">
        <v>1.4074</v>
      </c>
      <c r="AF155">
        <v>2.27</v>
      </c>
      <c r="AG155">
        <v>2.27</v>
      </c>
      <c r="AH155">
        <v>2.27</v>
      </c>
      <c r="AI155">
        <v>2.27</v>
      </c>
      <c r="AJ155">
        <v>2.27</v>
      </c>
      <c r="AK155">
        <v>2.27</v>
      </c>
      <c r="AL155">
        <v>2.8500000000000001</v>
      </c>
      <c r="AM155">
        <v>5.6749999999999998</v>
      </c>
      <c r="AN155">
        <v>2.27</v>
      </c>
      <c r="AO155">
        <v>4.54</v>
      </c>
      <c r="AP155">
        <v>2.27</v>
      </c>
      <c r="AQ155">
        <v>1</v>
      </c>
      <c r="AR155">
        <v>3.5185</v>
      </c>
      <c r="AS155">
        <v>2.27</v>
      </c>
      <c r="AT155">
        <v>2.27</v>
      </c>
      <c r="AU155">
        <v>2.7467000000000001</v>
      </c>
      <c r="AV155">
        <v>2.6332</v>
      </c>
      <c r="AW155" t="s">
        <v>296</v>
      </c>
    </row>
    <row r="156" spans="1:49" ht="12.75">
      <c r="A156" t="s">
        <v>295</v>
      </c>
      <c r="B156" t="s">
        <v>291</v>
      </c>
      <c r="C156" t="s">
        <v>133</v>
      </c>
      <c r="D156" t="s">
        <v>48</v>
      </c>
      <c r="E156" t="s">
        <v>296</v>
      </c>
      <c r="F156" t="s">
        <v>83</v>
      </c>
      <c r="G156" t="s">
        <v>474</v>
      </c>
      <c r="H156" t="s">
        <v>296</v>
      </c>
      <c r="I156" t="s">
        <v>296</v>
      </c>
      <c r="J156" t="s">
        <v>296</v>
      </c>
      <c r="K156" t="s">
        <v>296</v>
      </c>
      <c r="L156">
        <v>0.94999999999999996</v>
      </c>
      <c r="M156">
        <v>1.0449999999999999</v>
      </c>
      <c r="N156">
        <v>0.94999999999999996</v>
      </c>
      <c r="O156">
        <v>0.94999999999999996</v>
      </c>
      <c r="P156">
        <v>0.94999999999999996</v>
      </c>
      <c r="Q156">
        <v>0.94999999999999996</v>
      </c>
      <c r="R156">
        <v>0.94999999999999996</v>
      </c>
      <c r="S156">
        <v>0.78866666666666696</v>
      </c>
      <c r="T156">
        <v>1.3799999999999999</v>
      </c>
      <c r="U156">
        <v>0.94999999999999996</v>
      </c>
      <c r="V156">
        <v>0.94999999999999996</v>
      </c>
      <c r="W156">
        <v>0.94999999999999996</v>
      </c>
      <c r="X156">
        <v>0.94999999999999996</v>
      </c>
      <c r="Y156">
        <v>0.91010000000000002</v>
      </c>
      <c r="Z156">
        <v>2.1545999999999998</v>
      </c>
      <c r="AA156">
        <v>1.3799999999999999</v>
      </c>
      <c r="AB156">
        <v>0.94999999999999996</v>
      </c>
      <c r="AC156">
        <v>0.94999999999999996</v>
      </c>
      <c r="AD156">
        <v>2.1545999999999998</v>
      </c>
      <c r="AE156">
        <v>0.076950000000000005</v>
      </c>
      <c r="AF156">
        <v>0.94999999999999996</v>
      </c>
      <c r="AG156">
        <v>0.94999999999999996</v>
      </c>
      <c r="AH156">
        <v>0.94999999999999996</v>
      </c>
      <c r="AI156">
        <v>0.94999999999999996</v>
      </c>
      <c r="AJ156">
        <v>0.94999999999999996</v>
      </c>
      <c r="AK156">
        <v>0.94999999999999996</v>
      </c>
      <c r="AL156">
        <v>0.94999999999999996</v>
      </c>
      <c r="AM156">
        <v>1.5</v>
      </c>
      <c r="AN156">
        <v>0.94999999999999996</v>
      </c>
      <c r="AO156">
        <v>0.94999999999999996</v>
      </c>
      <c r="AP156">
        <v>0.94999999999999996</v>
      </c>
      <c r="AQ156">
        <v>0.94999999999999996</v>
      </c>
      <c r="AR156">
        <v>1.05</v>
      </c>
      <c r="AS156">
        <v>0.92625000000000002</v>
      </c>
      <c r="AT156">
        <v>0.94999999999999996</v>
      </c>
      <c r="AU156">
        <v>1.71</v>
      </c>
      <c r="AV156">
        <v>0.94999999999999996</v>
      </c>
      <c r="AW156" t="s">
        <v>296</v>
      </c>
    </row>
    <row r="157" spans="1:49" ht="12.75">
      <c r="A157" t="s">
        <v>295</v>
      </c>
      <c r="B157" t="s">
        <v>291</v>
      </c>
      <c r="C157" t="s">
        <v>133</v>
      </c>
      <c r="D157" t="s">
        <v>49</v>
      </c>
      <c r="E157" t="s">
        <v>296</v>
      </c>
      <c r="F157" t="s">
        <v>83</v>
      </c>
      <c r="G157" t="s">
        <v>474</v>
      </c>
      <c r="H157" t="s">
        <v>296</v>
      </c>
      <c r="I157" t="s">
        <v>296</v>
      </c>
      <c r="J157" t="s">
        <v>296</v>
      </c>
      <c r="K157" t="s">
        <v>296</v>
      </c>
      <c r="L157">
        <v>5.2000000000000002</v>
      </c>
      <c r="M157">
        <v>5.2000000000000002</v>
      </c>
      <c r="N157">
        <v>5.2000000000000002</v>
      </c>
      <c r="O157">
        <v>10</v>
      </c>
      <c r="P157">
        <v>5.2000000000000002</v>
      </c>
      <c r="Q157">
        <v>5.2000000000000002</v>
      </c>
      <c r="R157">
        <v>5.2000000000000002</v>
      </c>
      <c r="S157">
        <v>1.5</v>
      </c>
      <c r="T157">
        <v>9</v>
      </c>
      <c r="U157">
        <v>5.2000000000000002</v>
      </c>
      <c r="V157">
        <v>5.2000000000000002</v>
      </c>
      <c r="W157">
        <v>4</v>
      </c>
      <c r="X157">
        <v>5.2000000000000002</v>
      </c>
      <c r="Y157">
        <v>5.2000000000000002</v>
      </c>
      <c r="Z157">
        <v>5.2000000000000002</v>
      </c>
      <c r="AA157">
        <v>2.8199999999999998</v>
      </c>
      <c r="AB157">
        <v>0</v>
      </c>
      <c r="AC157">
        <v>5.2000000000000002</v>
      </c>
      <c r="AD157">
        <v>5.2000000000000002</v>
      </c>
      <c r="AE157">
        <v>5.2000000000000002</v>
      </c>
      <c r="AF157">
        <v>5.1740000000000004</v>
      </c>
      <c r="AG157">
        <v>5.2000000000000002</v>
      </c>
      <c r="AH157">
        <v>2.7999999999999998</v>
      </c>
      <c r="AI157">
        <v>5.2000000000000002</v>
      </c>
      <c r="AJ157">
        <v>5.2000000000000002</v>
      </c>
      <c r="AK157">
        <v>5.2000000000000002</v>
      </c>
      <c r="AL157">
        <v>5.2000000000000002</v>
      </c>
      <c r="AM157">
        <v>10</v>
      </c>
      <c r="AN157">
        <v>5.2000000000000002</v>
      </c>
      <c r="AO157">
        <v>0</v>
      </c>
      <c r="AP157">
        <v>5.2000000000000002</v>
      </c>
      <c r="AQ157">
        <v>3.5</v>
      </c>
      <c r="AR157">
        <v>0</v>
      </c>
      <c r="AS157">
        <v>5.2000000000000002</v>
      </c>
      <c r="AT157">
        <v>5.2000000000000002</v>
      </c>
      <c r="AU157">
        <v>5.2000000000000002</v>
      </c>
      <c r="AV157">
        <v>3.9780000000000002</v>
      </c>
      <c r="AW157" t="s">
        <v>296</v>
      </c>
    </row>
    <row r="158" spans="1:49" ht="12.75">
      <c r="A158" t="s">
        <v>295</v>
      </c>
      <c r="B158" t="s">
        <v>291</v>
      </c>
      <c r="C158" t="s">
        <v>133</v>
      </c>
      <c r="D158" t="s">
        <v>51</v>
      </c>
      <c r="E158" t="s">
        <v>296</v>
      </c>
      <c r="F158" t="s">
        <v>83</v>
      </c>
      <c r="G158" t="s">
        <v>474</v>
      </c>
      <c r="H158" t="s">
        <v>296</v>
      </c>
      <c r="I158" t="s">
        <v>296</v>
      </c>
      <c r="J158" t="s">
        <v>296</v>
      </c>
      <c r="K158" t="s">
        <v>296</v>
      </c>
      <c r="L158">
        <v>10</v>
      </c>
      <c r="M158">
        <v>10</v>
      </c>
      <c r="N158">
        <v>10</v>
      </c>
      <c r="O158">
        <v>13</v>
      </c>
      <c r="P158">
        <v>10</v>
      </c>
      <c r="Q158">
        <v>10</v>
      </c>
      <c r="R158">
        <v>10</v>
      </c>
      <c r="S158">
        <v>8</v>
      </c>
      <c r="T158">
        <v>7.2400000000000002</v>
      </c>
      <c r="U158">
        <v>10</v>
      </c>
      <c r="V158">
        <v>10</v>
      </c>
      <c r="W158">
        <v>10</v>
      </c>
      <c r="X158">
        <v>10</v>
      </c>
      <c r="Y158">
        <v>10</v>
      </c>
      <c r="Z158">
        <v>10</v>
      </c>
      <c r="AA158">
        <v>8</v>
      </c>
      <c r="AB158">
        <v>15.199999999999999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8.7799999999999994</v>
      </c>
      <c r="AN158">
        <v>10</v>
      </c>
      <c r="AO158">
        <v>15.124000000000001</v>
      </c>
      <c r="AP158">
        <v>10</v>
      </c>
      <c r="AQ158">
        <v>11.699999999999999</v>
      </c>
      <c r="AR158">
        <v>15.199999999999999</v>
      </c>
      <c r="AS158">
        <v>10</v>
      </c>
      <c r="AT158">
        <v>10</v>
      </c>
      <c r="AU158">
        <v>10</v>
      </c>
      <c r="AV158">
        <v>10</v>
      </c>
      <c r="AW158" t="s">
        <v>296</v>
      </c>
    </row>
    <row r="159" spans="1:49" ht="12.75">
      <c r="A159" t="s">
        <v>295</v>
      </c>
      <c r="B159" t="s">
        <v>291</v>
      </c>
      <c r="C159" t="s">
        <v>133</v>
      </c>
      <c r="D159" t="s">
        <v>37</v>
      </c>
      <c r="E159" t="s">
        <v>296</v>
      </c>
      <c r="F159" t="s">
        <v>83</v>
      </c>
      <c r="G159" t="s">
        <v>474</v>
      </c>
      <c r="H159" t="s">
        <v>296</v>
      </c>
      <c r="I159" t="s">
        <v>296</v>
      </c>
      <c r="J159" t="s">
        <v>296</v>
      </c>
      <c r="K159" t="s">
        <v>296</v>
      </c>
      <c r="L159">
        <v>0.51700000000000002</v>
      </c>
      <c r="M159">
        <v>0.55000000000000004</v>
      </c>
      <c r="N159">
        <v>0.55000000000000004</v>
      </c>
      <c r="O159">
        <v>0.55000000000000004</v>
      </c>
      <c r="P159">
        <v>0.55000000000000004</v>
      </c>
      <c r="Q159">
        <v>0.55000000000000004</v>
      </c>
      <c r="R159">
        <v>0.55000000000000004</v>
      </c>
      <c r="S159">
        <v>0.55000000000000004</v>
      </c>
      <c r="T159">
        <v>0.41499999999999998</v>
      </c>
      <c r="U159">
        <v>0.55000000000000004</v>
      </c>
      <c r="V159">
        <v>0.55000000000000004</v>
      </c>
      <c r="W159">
        <v>0.55000000000000004</v>
      </c>
      <c r="X159">
        <v>0.55000000000000004</v>
      </c>
      <c r="Y159">
        <v>0.55000000000000004</v>
      </c>
      <c r="Z159">
        <v>0.55000000000000004</v>
      </c>
      <c r="AA159">
        <v>0.41499999999999998</v>
      </c>
      <c r="AB159">
        <v>0.41499999999999998</v>
      </c>
      <c r="AC159">
        <v>0.55000000000000004</v>
      </c>
      <c r="AD159">
        <v>0.55000000000000004</v>
      </c>
      <c r="AE159">
        <v>0.55000000000000004</v>
      </c>
      <c r="AF159">
        <v>0.55000000000000004</v>
      </c>
      <c r="AG159">
        <v>0.55000000000000004</v>
      </c>
      <c r="AH159">
        <v>0.55000000000000004</v>
      </c>
      <c r="AI159">
        <v>0.55000000000000004</v>
      </c>
      <c r="AJ159">
        <v>0.55000000000000004</v>
      </c>
      <c r="AK159">
        <v>0.55000000000000004</v>
      </c>
      <c r="AL159">
        <v>0.55000000000000004</v>
      </c>
      <c r="AM159">
        <v>0.495</v>
      </c>
      <c r="AN159">
        <v>0.55000000000000004</v>
      </c>
      <c r="AO159">
        <v>0.55000000000000004</v>
      </c>
      <c r="AP159">
        <v>0.55000000000000004</v>
      </c>
      <c r="AQ159">
        <v>0.55000000000000004</v>
      </c>
      <c r="AR159">
        <v>0.55000000000000004</v>
      </c>
      <c r="AS159">
        <v>0.55000000000000004</v>
      </c>
      <c r="AT159">
        <v>0.55000000000000004</v>
      </c>
      <c r="AU159">
        <v>0.55000000000000004</v>
      </c>
      <c r="AV159">
        <v>0.51700000000000002</v>
      </c>
      <c r="AW159" t="s">
        <v>296</v>
      </c>
    </row>
    <row r="160" spans="1:49" ht="12.75">
      <c r="A160" t="s">
        <v>295</v>
      </c>
      <c r="B160" t="s">
        <v>291</v>
      </c>
      <c r="C160" t="s">
        <v>133</v>
      </c>
      <c r="D160" t="s">
        <v>43</v>
      </c>
      <c r="E160" t="s">
        <v>296</v>
      </c>
      <c r="F160" t="s">
        <v>83</v>
      </c>
      <c r="G160" t="s">
        <v>474</v>
      </c>
      <c r="H160" t="s">
        <v>296</v>
      </c>
      <c r="I160" t="s">
        <v>296</v>
      </c>
      <c r="J160" t="s">
        <v>296</v>
      </c>
      <c r="K160" t="s">
        <v>296</v>
      </c>
      <c r="L160">
        <v>0.10000000000000001</v>
      </c>
      <c r="M160">
        <v>0.10000000000000001</v>
      </c>
      <c r="N160">
        <v>0.10000000000000001</v>
      </c>
      <c r="O160">
        <v>0</v>
      </c>
      <c r="P160">
        <v>0.10000000000000001</v>
      </c>
      <c r="Q160">
        <v>0.10000000000000001</v>
      </c>
      <c r="R160">
        <v>0.10000000000000001</v>
      </c>
      <c r="S160">
        <v>0.10000000000000001</v>
      </c>
      <c r="T160">
        <v>0.5</v>
      </c>
      <c r="U160">
        <v>0.10000000000000001</v>
      </c>
      <c r="V160">
        <v>0.10000000000000001</v>
      </c>
      <c r="W160">
        <v>0.10000000000000001</v>
      </c>
      <c r="X160">
        <v>0.10000000000000001</v>
      </c>
      <c r="Y160">
        <v>0.0054999999999999997</v>
      </c>
      <c r="Z160">
        <v>0.10000000000000001</v>
      </c>
      <c r="AA160">
        <v>0.5</v>
      </c>
      <c r="AB160">
        <v>0.10000000000000001</v>
      </c>
      <c r="AC160">
        <v>0.10000000000000001</v>
      </c>
      <c r="AD160">
        <v>0.10000000000000001</v>
      </c>
      <c r="AE160">
        <v>0.10000000000000001</v>
      </c>
      <c r="AF160">
        <v>0.10000000000000001</v>
      </c>
      <c r="AG160">
        <v>0.10000000000000001</v>
      </c>
      <c r="AH160">
        <v>0.10000000000000001</v>
      </c>
      <c r="AI160">
        <v>0.10000000000000001</v>
      </c>
      <c r="AJ160">
        <v>0.10000000000000001</v>
      </c>
      <c r="AK160">
        <v>0.10000000000000001</v>
      </c>
      <c r="AL160">
        <v>0.10000000000000001</v>
      </c>
      <c r="AM160">
        <v>0</v>
      </c>
      <c r="AN160">
        <v>0.10000000000000001</v>
      </c>
      <c r="AO160">
        <v>0</v>
      </c>
      <c r="AP160">
        <v>0.10000000000000001</v>
      </c>
      <c r="AQ160">
        <v>0</v>
      </c>
      <c r="AR160">
        <v>0</v>
      </c>
      <c r="AS160">
        <v>0.10000000000000001</v>
      </c>
      <c r="AT160">
        <v>0.10000000000000001</v>
      </c>
      <c r="AU160">
        <v>0</v>
      </c>
      <c r="AV160">
        <v>0.035000000000000003</v>
      </c>
      <c r="AW160" t="s">
        <v>296</v>
      </c>
    </row>
    <row r="161" spans="1:49" ht="12.75">
      <c r="A161" t="s">
        <v>295</v>
      </c>
      <c r="B161" t="s">
        <v>291</v>
      </c>
      <c r="C161" t="s">
        <v>133</v>
      </c>
      <c r="D161" t="s">
        <v>42</v>
      </c>
      <c r="E161" t="s">
        <v>296</v>
      </c>
      <c r="F161" t="s">
        <v>83</v>
      </c>
      <c r="G161" t="s">
        <v>474</v>
      </c>
      <c r="H161" t="s">
        <v>296</v>
      </c>
      <c r="I161" t="s">
        <v>296</v>
      </c>
      <c r="J161" t="s">
        <v>296</v>
      </c>
      <c r="K161" t="s">
        <v>296</v>
      </c>
      <c r="L161">
        <v>0.25</v>
      </c>
      <c r="M161">
        <v>0.25</v>
      </c>
      <c r="N161">
        <v>0.25</v>
      </c>
      <c r="O161">
        <v>0.25</v>
      </c>
      <c r="P161">
        <v>0.25</v>
      </c>
      <c r="Q161">
        <v>0.25</v>
      </c>
      <c r="R161">
        <v>0.25</v>
      </c>
      <c r="S161">
        <v>0.25</v>
      </c>
      <c r="T161">
        <v>0.25</v>
      </c>
      <c r="U161">
        <v>0.25</v>
      </c>
      <c r="V161">
        <v>0.10000000000000001</v>
      </c>
      <c r="W161">
        <v>0.25</v>
      </c>
      <c r="X161">
        <v>0.25</v>
      </c>
      <c r="Y161">
        <v>0.25</v>
      </c>
      <c r="Z161">
        <v>0.25</v>
      </c>
      <c r="AA161">
        <v>0.25</v>
      </c>
      <c r="AB161">
        <v>0.25</v>
      </c>
      <c r="AC161">
        <v>0.25</v>
      </c>
      <c r="AD161">
        <v>0.25</v>
      </c>
      <c r="AE161">
        <v>0.25</v>
      </c>
      <c r="AF161">
        <v>0.25</v>
      </c>
      <c r="AG161">
        <v>0.25</v>
      </c>
      <c r="AH161">
        <v>0.25</v>
      </c>
      <c r="AI161">
        <v>0.25</v>
      </c>
      <c r="AJ161">
        <v>0.25</v>
      </c>
      <c r="AK161">
        <v>0.25</v>
      </c>
      <c r="AL161">
        <v>0.25</v>
      </c>
      <c r="AM161">
        <v>0.25</v>
      </c>
      <c r="AN161">
        <v>0.25</v>
      </c>
      <c r="AO161">
        <v>0.25</v>
      </c>
      <c r="AP161">
        <v>0.25</v>
      </c>
      <c r="AQ161">
        <v>0.25</v>
      </c>
      <c r="AR161">
        <v>0.25</v>
      </c>
      <c r="AS161">
        <v>0.25</v>
      </c>
      <c r="AT161">
        <v>0.25</v>
      </c>
      <c r="AU161">
        <v>0.25</v>
      </c>
      <c r="AV161">
        <v>0.25</v>
      </c>
      <c r="AW161" t="s">
        <v>296</v>
      </c>
    </row>
    <row r="162" spans="1:49" ht="12.75">
      <c r="A162" t="s">
        <v>295</v>
      </c>
      <c r="B162" t="s">
        <v>291</v>
      </c>
      <c r="C162" t="s">
        <v>133</v>
      </c>
      <c r="D162" t="s">
        <v>129</v>
      </c>
      <c r="E162" t="s">
        <v>296</v>
      </c>
      <c r="F162" t="s">
        <v>83</v>
      </c>
      <c r="G162" t="s">
        <v>474</v>
      </c>
      <c r="H162" t="s">
        <v>296</v>
      </c>
      <c r="I162" t="s">
        <v>296</v>
      </c>
      <c r="J162" t="s">
        <v>296</v>
      </c>
      <c r="K162" t="s">
        <v>296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 t="s">
        <v>296</v>
      </c>
    </row>
    <row r="163" spans="1:49" ht="12.75">
      <c r="A163" t="s">
        <v>295</v>
      </c>
      <c r="B163" t="s">
        <v>291</v>
      </c>
      <c r="C163" t="s">
        <v>133</v>
      </c>
      <c r="D163" t="s">
        <v>134</v>
      </c>
      <c r="E163" t="s">
        <v>296</v>
      </c>
      <c r="F163" t="s">
        <v>83</v>
      </c>
      <c r="G163" t="s">
        <v>474</v>
      </c>
      <c r="H163" t="s">
        <v>296</v>
      </c>
      <c r="I163" t="s">
        <v>296</v>
      </c>
      <c r="J163" t="s">
        <v>296</v>
      </c>
      <c r="K163" t="s">
        <v>296</v>
      </c>
      <c r="L163">
        <v>0.75</v>
      </c>
      <c r="M163">
        <v>0.75</v>
      </c>
      <c r="N163">
        <v>0.75</v>
      </c>
      <c r="O163">
        <v>0.75</v>
      </c>
      <c r="P163">
        <v>0.75</v>
      </c>
      <c r="Q163">
        <v>0.75</v>
      </c>
      <c r="R163">
        <v>0.75</v>
      </c>
      <c r="S163">
        <v>0.75</v>
      </c>
      <c r="T163">
        <v>0.75</v>
      </c>
      <c r="U163">
        <v>0.75</v>
      </c>
      <c r="V163">
        <v>0.75</v>
      </c>
      <c r="W163">
        <v>0.75</v>
      </c>
      <c r="X163">
        <v>0.75</v>
      </c>
      <c r="Y163">
        <v>0.75</v>
      </c>
      <c r="Z163">
        <v>0.75</v>
      </c>
      <c r="AA163">
        <v>0.75</v>
      </c>
      <c r="AB163">
        <v>0.75</v>
      </c>
      <c r="AC163">
        <v>0.75</v>
      </c>
      <c r="AD163">
        <v>0.75</v>
      </c>
      <c r="AE163">
        <v>0.75</v>
      </c>
      <c r="AF163">
        <v>0.75</v>
      </c>
      <c r="AG163">
        <v>0.75</v>
      </c>
      <c r="AH163">
        <v>0.75</v>
      </c>
      <c r="AI163">
        <v>0.75</v>
      </c>
      <c r="AJ163">
        <v>0.75</v>
      </c>
      <c r="AK163">
        <v>0.75</v>
      </c>
      <c r="AL163">
        <v>0.75</v>
      </c>
      <c r="AM163">
        <v>0.75</v>
      </c>
      <c r="AN163">
        <v>0.75</v>
      </c>
      <c r="AO163">
        <v>0.75</v>
      </c>
      <c r="AP163">
        <v>0.75</v>
      </c>
      <c r="AQ163">
        <v>0.75</v>
      </c>
      <c r="AR163">
        <v>0.75</v>
      </c>
      <c r="AS163">
        <v>0.75</v>
      </c>
      <c r="AT163">
        <v>0.75</v>
      </c>
      <c r="AU163">
        <v>0.75</v>
      </c>
      <c r="AV163">
        <v>0.75</v>
      </c>
      <c r="AW163" t="s">
        <v>296</v>
      </c>
    </row>
    <row r="164" spans="1:49" ht="12.75">
      <c r="A164" t="s">
        <v>295</v>
      </c>
      <c r="B164" t="s">
        <v>291</v>
      </c>
      <c r="C164" t="s">
        <v>133</v>
      </c>
      <c r="D164" t="s">
        <v>136</v>
      </c>
      <c r="E164" t="s">
        <v>296</v>
      </c>
      <c r="F164" t="s">
        <v>83</v>
      </c>
      <c r="G164" t="s">
        <v>474</v>
      </c>
      <c r="H164" t="s">
        <v>296</v>
      </c>
      <c r="I164" t="s">
        <v>296</v>
      </c>
      <c r="J164" t="s">
        <v>296</v>
      </c>
      <c r="K164" t="s">
        <v>296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 t="s">
        <v>296</v>
      </c>
    </row>
    <row r="165" spans="1:49" ht="12.75">
      <c r="A165" t="s">
        <v>295</v>
      </c>
      <c r="B165" t="s">
        <v>291</v>
      </c>
      <c r="C165" t="s">
        <v>133</v>
      </c>
      <c r="D165" t="s">
        <v>135</v>
      </c>
      <c r="E165" t="s">
        <v>296</v>
      </c>
      <c r="F165" t="s">
        <v>83</v>
      </c>
      <c r="G165" t="s">
        <v>474</v>
      </c>
      <c r="H165" t="s">
        <v>296</v>
      </c>
      <c r="I165" t="s">
        <v>296</v>
      </c>
      <c r="J165" t="s">
        <v>296</v>
      </c>
      <c r="K165" t="s">
        <v>296</v>
      </c>
      <c r="L165">
        <v>0.75</v>
      </c>
      <c r="M165">
        <v>0.75</v>
      </c>
      <c r="N165">
        <v>0.75</v>
      </c>
      <c r="O165">
        <v>0.75</v>
      </c>
      <c r="P165">
        <v>0.75</v>
      </c>
      <c r="Q165">
        <v>0.75</v>
      </c>
      <c r="R165">
        <v>0.75</v>
      </c>
      <c r="S165">
        <v>0.75</v>
      </c>
      <c r="T165">
        <v>0.75</v>
      </c>
      <c r="U165">
        <v>0.75</v>
      </c>
      <c r="V165">
        <v>0.75</v>
      </c>
      <c r="W165">
        <v>0.75</v>
      </c>
      <c r="X165">
        <v>0.75</v>
      </c>
      <c r="Y165">
        <v>1.5</v>
      </c>
      <c r="Z165">
        <v>0.75</v>
      </c>
      <c r="AA165">
        <v>0.75</v>
      </c>
      <c r="AB165">
        <v>0.75</v>
      </c>
      <c r="AC165">
        <v>0.75</v>
      </c>
      <c r="AD165">
        <v>0.75</v>
      </c>
      <c r="AE165">
        <v>0.75</v>
      </c>
      <c r="AF165">
        <v>0.75</v>
      </c>
      <c r="AG165">
        <v>0.75</v>
      </c>
      <c r="AH165">
        <v>0.75</v>
      </c>
      <c r="AI165">
        <v>0.75</v>
      </c>
      <c r="AJ165">
        <v>0.75</v>
      </c>
      <c r="AK165">
        <v>0.75</v>
      </c>
      <c r="AL165">
        <v>0.75</v>
      </c>
      <c r="AM165">
        <v>0.75</v>
      </c>
      <c r="AN165">
        <v>0.75</v>
      </c>
      <c r="AO165">
        <v>0.75</v>
      </c>
      <c r="AP165">
        <v>0.75</v>
      </c>
      <c r="AQ165">
        <v>0.75</v>
      </c>
      <c r="AR165">
        <v>0.75</v>
      </c>
      <c r="AS165">
        <v>0.75</v>
      </c>
      <c r="AT165">
        <v>0.75</v>
      </c>
      <c r="AU165">
        <v>0.75</v>
      </c>
      <c r="AV165">
        <v>0.75</v>
      </c>
      <c r="AW165" t="s">
        <v>296</v>
      </c>
    </row>
    <row r="166" spans="1:49" ht="12.75">
      <c r="A166" t="s">
        <v>295</v>
      </c>
      <c r="B166" t="s">
        <v>291</v>
      </c>
      <c r="C166" t="s">
        <v>137</v>
      </c>
      <c r="D166" t="s">
        <v>57</v>
      </c>
      <c r="E166" t="s">
        <v>296</v>
      </c>
      <c r="F166" t="s">
        <v>83</v>
      </c>
      <c r="G166" t="s">
        <v>474</v>
      </c>
      <c r="H166" t="s">
        <v>296</v>
      </c>
      <c r="I166" t="s">
        <v>296</v>
      </c>
      <c r="J166" t="s">
        <v>296</v>
      </c>
      <c r="K166" t="s">
        <v>296</v>
      </c>
      <c r="L166">
        <v>4.9896000000000003</v>
      </c>
      <c r="M166">
        <v>4.9896000000000003</v>
      </c>
      <c r="N166">
        <v>5.0394959999999998</v>
      </c>
      <c r="O166">
        <v>4.9896000000000003</v>
      </c>
      <c r="P166">
        <v>4.6200000000000001</v>
      </c>
      <c r="Q166">
        <v>4.9896000000000003</v>
      </c>
      <c r="R166">
        <v>2.2000000000000002</v>
      </c>
      <c r="S166">
        <v>3.8999999999999999</v>
      </c>
      <c r="T166">
        <v>9.1309679999999993</v>
      </c>
      <c r="U166">
        <v>2.2000000000000002</v>
      </c>
      <c r="V166">
        <v>2.2000000000000002</v>
      </c>
      <c r="W166">
        <v>2.0459999999999998</v>
      </c>
      <c r="X166">
        <v>7.9833600000000002</v>
      </c>
      <c r="Y166">
        <v>4.9896000000000003</v>
      </c>
      <c r="Z166">
        <v>6.5363759999999997</v>
      </c>
      <c r="AA166">
        <v>4.9896000000000003</v>
      </c>
      <c r="AB166">
        <v>11.72556</v>
      </c>
      <c r="AC166">
        <v>4.9896000000000003</v>
      </c>
      <c r="AD166">
        <v>4.9896000000000003</v>
      </c>
      <c r="AE166">
        <v>3.0935519999999999</v>
      </c>
      <c r="AF166">
        <v>4.9896000000000003</v>
      </c>
      <c r="AG166">
        <v>4.9896000000000003</v>
      </c>
      <c r="AH166">
        <v>4.9896000000000003</v>
      </c>
      <c r="AI166">
        <v>4.9896000000000003</v>
      </c>
      <c r="AJ166">
        <v>4.9896000000000003</v>
      </c>
      <c r="AK166">
        <v>4.9896000000000003</v>
      </c>
      <c r="AL166">
        <v>2.2000000000000002</v>
      </c>
      <c r="AM166">
        <v>12.474</v>
      </c>
      <c r="AN166">
        <v>4.9896000000000003</v>
      </c>
      <c r="AO166">
        <v>4.9896000000000003</v>
      </c>
      <c r="AP166">
        <v>4.9896000000000003</v>
      </c>
      <c r="AQ166">
        <v>5.21</v>
      </c>
      <c r="AR166">
        <v>7.7338800000000001</v>
      </c>
      <c r="AS166">
        <v>4.9896000000000003</v>
      </c>
      <c r="AT166">
        <v>4.9896000000000003</v>
      </c>
      <c r="AU166">
        <v>6.0374160000000003</v>
      </c>
      <c r="AV166">
        <v>5.7879360000000002</v>
      </c>
      <c r="AW166" t="s">
        <v>296</v>
      </c>
    </row>
    <row r="167" spans="1:49" ht="12.75">
      <c r="A167" t="s">
        <v>295</v>
      </c>
      <c r="B167" t="s">
        <v>291</v>
      </c>
      <c r="C167" t="s">
        <v>137</v>
      </c>
      <c r="D167" t="s">
        <v>38</v>
      </c>
      <c r="E167" t="s">
        <v>296</v>
      </c>
      <c r="F167" t="s">
        <v>83</v>
      </c>
      <c r="G167" t="s">
        <v>474</v>
      </c>
      <c r="H167" t="s">
        <v>296</v>
      </c>
      <c r="I167" t="s">
        <v>296</v>
      </c>
      <c r="J167" t="s">
        <v>296</v>
      </c>
      <c r="K167" t="s">
        <v>296</v>
      </c>
      <c r="L167">
        <v>0.20000000000000001</v>
      </c>
      <c r="M167">
        <v>0.20000000000000001</v>
      </c>
      <c r="N167">
        <v>0.20000000000000001</v>
      </c>
      <c r="O167">
        <v>0.20000000000000001</v>
      </c>
      <c r="P167">
        <v>0.20000000000000001</v>
      </c>
      <c r="Q167">
        <v>0.20000000000000001</v>
      </c>
      <c r="R167">
        <v>0.20000000000000001</v>
      </c>
      <c r="S167">
        <v>0.20000000000000001</v>
      </c>
      <c r="T167">
        <v>0.20000000000000001</v>
      </c>
      <c r="U167">
        <v>0.20000000000000001</v>
      </c>
      <c r="V167">
        <v>0.20000000000000001</v>
      </c>
      <c r="W167">
        <v>0.20000000000000001</v>
      </c>
      <c r="X167">
        <v>0.20000000000000001</v>
      </c>
      <c r="Y167">
        <v>0.20000000000000001</v>
      </c>
      <c r="Z167">
        <v>0.20000000000000001</v>
      </c>
      <c r="AA167">
        <v>0.20000000000000001</v>
      </c>
      <c r="AB167">
        <v>0.20000000000000001</v>
      </c>
      <c r="AC167">
        <v>0.20000000000000001</v>
      </c>
      <c r="AD167">
        <v>0.20000000000000001</v>
      </c>
      <c r="AE167">
        <v>0.20000000000000001</v>
      </c>
      <c r="AF167">
        <v>0.20000000000000001</v>
      </c>
      <c r="AG167">
        <v>0.20000000000000001</v>
      </c>
      <c r="AH167">
        <v>0.20000000000000001</v>
      </c>
      <c r="AI167">
        <v>0.20000000000000001</v>
      </c>
      <c r="AJ167">
        <v>0.20000000000000001</v>
      </c>
      <c r="AK167">
        <v>0.20000000000000001</v>
      </c>
      <c r="AL167">
        <v>0.20000000000000001</v>
      </c>
      <c r="AM167">
        <v>0.20000000000000001</v>
      </c>
      <c r="AN167">
        <v>0.20000000000000001</v>
      </c>
      <c r="AO167">
        <v>0.20000000000000001</v>
      </c>
      <c r="AP167">
        <v>0.20000000000000001</v>
      </c>
      <c r="AQ167">
        <v>0.20000000000000001</v>
      </c>
      <c r="AR167">
        <v>0.20000000000000001</v>
      </c>
      <c r="AS167">
        <v>0.17599999999999999</v>
      </c>
      <c r="AT167">
        <v>0.20000000000000001</v>
      </c>
      <c r="AU167">
        <v>0.20000000000000001</v>
      </c>
      <c r="AV167">
        <v>0.20000000000000001</v>
      </c>
      <c r="AW167" t="s">
        <v>296</v>
      </c>
    </row>
    <row r="168" spans="1:49" ht="12.75">
      <c r="A168" t="s">
        <v>295</v>
      </c>
      <c r="B168" t="s">
        <v>291</v>
      </c>
      <c r="C168" t="s">
        <v>137</v>
      </c>
      <c r="D168" t="s">
        <v>52</v>
      </c>
      <c r="E168" t="s">
        <v>296</v>
      </c>
      <c r="F168" t="s">
        <v>83</v>
      </c>
      <c r="G168" t="s">
        <v>474</v>
      </c>
      <c r="H168" t="s">
        <v>296</v>
      </c>
      <c r="I168" t="s">
        <v>296</v>
      </c>
      <c r="J168" t="s">
        <v>296</v>
      </c>
      <c r="K168" t="s">
        <v>296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 t="s">
        <v>296</v>
      </c>
    </row>
    <row r="169" spans="1:49" ht="12.75">
      <c r="A169" t="s">
        <v>295</v>
      </c>
      <c r="B169" t="s">
        <v>291</v>
      </c>
      <c r="C169" t="s">
        <v>137</v>
      </c>
      <c r="D169" t="s">
        <v>129</v>
      </c>
      <c r="E169" t="s">
        <v>296</v>
      </c>
      <c r="F169" t="s">
        <v>83</v>
      </c>
      <c r="G169" t="s">
        <v>474</v>
      </c>
      <c r="H169" t="s">
        <v>296</v>
      </c>
      <c r="I169" t="s">
        <v>296</v>
      </c>
      <c r="J169" t="s">
        <v>296</v>
      </c>
      <c r="K169" t="s">
        <v>296</v>
      </c>
      <c r="L169">
        <v>0.10000000000000001</v>
      </c>
      <c r="M169">
        <v>0.10000000000000001</v>
      </c>
      <c r="N169">
        <v>0.10000000000000001</v>
      </c>
      <c r="O169">
        <v>0.10000000000000001</v>
      </c>
      <c r="P169">
        <v>0.10000000000000001</v>
      </c>
      <c r="Q169">
        <v>0.10000000000000001</v>
      </c>
      <c r="R169">
        <v>0.10000000000000001</v>
      </c>
      <c r="S169">
        <v>0.10000000000000001</v>
      </c>
      <c r="T169">
        <v>0.10000000000000001</v>
      </c>
      <c r="U169">
        <v>0.10000000000000001</v>
      </c>
      <c r="V169">
        <v>0.10000000000000001</v>
      </c>
      <c r="W169">
        <v>0.10000000000000001</v>
      </c>
      <c r="X169">
        <v>0.10000000000000001</v>
      </c>
      <c r="Y169">
        <v>0.10000000000000001</v>
      </c>
      <c r="Z169">
        <v>0.10000000000000001</v>
      </c>
      <c r="AA169">
        <v>0.10000000000000001</v>
      </c>
      <c r="AB169">
        <v>0.10000000000000001</v>
      </c>
      <c r="AC169">
        <v>0.10000000000000001</v>
      </c>
      <c r="AD169">
        <v>0.10000000000000001</v>
      </c>
      <c r="AE169">
        <v>0.10000000000000001</v>
      </c>
      <c r="AF169">
        <v>0.10000000000000001</v>
      </c>
      <c r="AG169">
        <v>0.10000000000000001</v>
      </c>
      <c r="AH169">
        <v>0.10000000000000001</v>
      </c>
      <c r="AI169">
        <v>0.10000000000000001</v>
      </c>
      <c r="AJ169">
        <v>0.10000000000000001</v>
      </c>
      <c r="AK169">
        <v>0.10000000000000001</v>
      </c>
      <c r="AL169">
        <v>0.10000000000000001</v>
      </c>
      <c r="AM169">
        <v>0.10000000000000001</v>
      </c>
      <c r="AN169">
        <v>0.10000000000000001</v>
      </c>
      <c r="AO169">
        <v>0.10000000000000001</v>
      </c>
      <c r="AP169">
        <v>0.10000000000000001</v>
      </c>
      <c r="AQ169">
        <v>0.10000000000000001</v>
      </c>
      <c r="AR169">
        <v>0.10000000000000001</v>
      </c>
      <c r="AS169">
        <v>0.10000000000000001</v>
      </c>
      <c r="AT169">
        <v>0.10000000000000001</v>
      </c>
      <c r="AU169">
        <v>0.10000000000000001</v>
      </c>
      <c r="AV169">
        <v>0.10000000000000001</v>
      </c>
      <c r="AW169" t="s">
        <v>296</v>
      </c>
    </row>
    <row r="170" spans="1:49" ht="12.75">
      <c r="A170" t="s">
        <v>295</v>
      </c>
      <c r="B170" t="s">
        <v>291</v>
      </c>
      <c r="C170" t="s">
        <v>137</v>
      </c>
      <c r="D170" t="s">
        <v>130</v>
      </c>
      <c r="E170" t="s">
        <v>296</v>
      </c>
      <c r="F170" t="s">
        <v>83</v>
      </c>
      <c r="G170" t="s">
        <v>474</v>
      </c>
      <c r="H170" t="s">
        <v>296</v>
      </c>
      <c r="I170" t="s">
        <v>296</v>
      </c>
      <c r="J170" t="s">
        <v>296</v>
      </c>
      <c r="K170" t="s">
        <v>296</v>
      </c>
      <c r="L170">
        <v>0.050000000000000003</v>
      </c>
      <c r="M170">
        <v>0.050000000000000003</v>
      </c>
      <c r="N170">
        <v>0.050000000000000003</v>
      </c>
      <c r="O170">
        <v>0.050000000000000003</v>
      </c>
      <c r="P170">
        <v>0.050000000000000003</v>
      </c>
      <c r="Q170">
        <v>0.050000000000000003</v>
      </c>
      <c r="R170">
        <v>0.050000000000000003</v>
      </c>
      <c r="S170">
        <v>0.050000000000000003</v>
      </c>
      <c r="T170">
        <v>0.050000000000000003</v>
      </c>
      <c r="U170">
        <v>0.050000000000000003</v>
      </c>
      <c r="V170">
        <v>0.050000000000000003</v>
      </c>
      <c r="W170">
        <v>0.050000000000000003</v>
      </c>
      <c r="X170">
        <v>0.050000000000000003</v>
      </c>
      <c r="Y170">
        <v>0.050000000000000003</v>
      </c>
      <c r="Z170">
        <v>0.050000000000000003</v>
      </c>
      <c r="AA170">
        <v>0.050000000000000003</v>
      </c>
      <c r="AB170">
        <v>0.050000000000000003</v>
      </c>
      <c r="AC170">
        <v>0.050000000000000003</v>
      </c>
      <c r="AD170">
        <v>0.050000000000000003</v>
      </c>
      <c r="AE170">
        <v>0.050000000000000003</v>
      </c>
      <c r="AF170">
        <v>0.050000000000000003</v>
      </c>
      <c r="AG170">
        <v>0.050000000000000003</v>
      </c>
      <c r="AH170">
        <v>0.050000000000000003</v>
      </c>
      <c r="AI170">
        <v>0.050000000000000003</v>
      </c>
      <c r="AJ170">
        <v>0.050000000000000003</v>
      </c>
      <c r="AK170">
        <v>0.050000000000000003</v>
      </c>
      <c r="AL170">
        <v>0.050000000000000003</v>
      </c>
      <c r="AM170">
        <v>0.050000000000000003</v>
      </c>
      <c r="AN170">
        <v>0.050000000000000003</v>
      </c>
      <c r="AO170">
        <v>0.050000000000000003</v>
      </c>
      <c r="AP170">
        <v>0.050000000000000003</v>
      </c>
      <c r="AQ170">
        <v>0.050000000000000003</v>
      </c>
      <c r="AR170">
        <v>0.050000000000000003</v>
      </c>
      <c r="AS170">
        <v>0.050000000000000003</v>
      </c>
      <c r="AT170">
        <v>0.050000000000000003</v>
      </c>
      <c r="AU170">
        <v>0.050000000000000003</v>
      </c>
      <c r="AV170">
        <v>0.050000000000000003</v>
      </c>
      <c r="AW170" t="s">
        <v>296</v>
      </c>
    </row>
    <row r="171" spans="1:49" ht="12.75">
      <c r="A171" t="s">
        <v>295</v>
      </c>
      <c r="B171" t="s">
        <v>291</v>
      </c>
      <c r="C171" t="s">
        <v>137</v>
      </c>
      <c r="D171" t="s">
        <v>136</v>
      </c>
      <c r="E171" t="s">
        <v>296</v>
      </c>
      <c r="F171" t="s">
        <v>83</v>
      </c>
      <c r="G171" t="s">
        <v>474</v>
      </c>
      <c r="H171" t="s">
        <v>296</v>
      </c>
      <c r="I171" t="s">
        <v>296</v>
      </c>
      <c r="J171" t="s">
        <v>296</v>
      </c>
      <c r="K171" t="s">
        <v>296</v>
      </c>
      <c r="L171">
        <v>0.90000000000000002</v>
      </c>
      <c r="M171">
        <v>0.90000000000000002</v>
      </c>
      <c r="N171">
        <v>0.90000000000000002</v>
      </c>
      <c r="O171">
        <v>0.90000000000000002</v>
      </c>
      <c r="P171">
        <v>0.90000000000000002</v>
      </c>
      <c r="Q171">
        <v>0.90000000000000002</v>
      </c>
      <c r="R171">
        <v>0.90000000000000002</v>
      </c>
      <c r="S171">
        <v>0.90000000000000002</v>
      </c>
      <c r="T171">
        <v>0.90000000000000002</v>
      </c>
      <c r="U171">
        <v>0.90000000000000002</v>
      </c>
      <c r="V171">
        <v>0.90000000000000002</v>
      </c>
      <c r="W171">
        <v>0.90000000000000002</v>
      </c>
      <c r="X171">
        <v>0.90000000000000002</v>
      </c>
      <c r="Y171">
        <v>0.90000000000000002</v>
      </c>
      <c r="Z171">
        <v>0.90000000000000002</v>
      </c>
      <c r="AA171">
        <v>0.90000000000000002</v>
      </c>
      <c r="AB171">
        <v>0.90000000000000002</v>
      </c>
      <c r="AC171">
        <v>0.90000000000000002</v>
      </c>
      <c r="AD171">
        <v>0.90000000000000002</v>
      </c>
      <c r="AE171">
        <v>0.90000000000000002</v>
      </c>
      <c r="AF171">
        <v>0.90000000000000002</v>
      </c>
      <c r="AG171">
        <v>0.90000000000000002</v>
      </c>
      <c r="AH171">
        <v>0.90000000000000002</v>
      </c>
      <c r="AI171">
        <v>0.90000000000000002</v>
      </c>
      <c r="AJ171">
        <v>0.90000000000000002</v>
      </c>
      <c r="AK171">
        <v>0.90000000000000002</v>
      </c>
      <c r="AL171">
        <v>0.90000000000000002</v>
      </c>
      <c r="AM171">
        <v>0.90000000000000002</v>
      </c>
      <c r="AN171">
        <v>0.90000000000000002</v>
      </c>
      <c r="AO171">
        <v>0.90000000000000002</v>
      </c>
      <c r="AP171">
        <v>0.90000000000000002</v>
      </c>
      <c r="AQ171">
        <v>0.90000000000000002</v>
      </c>
      <c r="AR171">
        <v>0.90000000000000002</v>
      </c>
      <c r="AS171">
        <v>0.90000000000000002</v>
      </c>
      <c r="AT171">
        <v>0.90000000000000002</v>
      </c>
      <c r="AU171">
        <v>0.90000000000000002</v>
      </c>
      <c r="AV171">
        <v>0.90000000000000002</v>
      </c>
      <c r="AW171" t="s">
        <v>296</v>
      </c>
    </row>
    <row r="172" spans="1:49" ht="12.75">
      <c r="A172" t="s">
        <v>295</v>
      </c>
      <c r="B172" t="s">
        <v>291</v>
      </c>
      <c r="C172" t="s">
        <v>137</v>
      </c>
      <c r="D172" t="s">
        <v>132</v>
      </c>
      <c r="E172" t="s">
        <v>296</v>
      </c>
      <c r="F172" t="s">
        <v>83</v>
      </c>
      <c r="G172" t="s">
        <v>474</v>
      </c>
      <c r="H172" t="s">
        <v>296</v>
      </c>
      <c r="I172" t="s">
        <v>296</v>
      </c>
      <c r="J172" t="s">
        <v>296</v>
      </c>
      <c r="K172" t="s">
        <v>296</v>
      </c>
      <c r="L172">
        <v>0.17999999999999999</v>
      </c>
      <c r="M172">
        <v>0.17999999999999999</v>
      </c>
      <c r="N172">
        <v>0.17999999999999999</v>
      </c>
      <c r="O172">
        <v>0.17999999999999999</v>
      </c>
      <c r="P172">
        <v>0.17999999999999999</v>
      </c>
      <c r="Q172">
        <v>0.17999999999999999</v>
      </c>
      <c r="R172">
        <v>0.17999999999999999</v>
      </c>
      <c r="S172">
        <v>0.17999999999999999</v>
      </c>
      <c r="T172">
        <v>0.17999999999999999</v>
      </c>
      <c r="U172">
        <v>0.17999999999999999</v>
      </c>
      <c r="V172">
        <v>0.17999999999999999</v>
      </c>
      <c r="W172">
        <v>0.17999999999999999</v>
      </c>
      <c r="X172">
        <v>0.17999999999999999</v>
      </c>
      <c r="Y172">
        <v>0.17999999999999999</v>
      </c>
      <c r="Z172">
        <v>0.17999999999999999</v>
      </c>
      <c r="AA172">
        <v>0.17999999999999999</v>
      </c>
      <c r="AB172">
        <v>0.17999999999999999</v>
      </c>
      <c r="AC172">
        <v>0.17999999999999999</v>
      </c>
      <c r="AD172">
        <v>0.17999999999999999</v>
      </c>
      <c r="AE172">
        <v>0.17999999999999999</v>
      </c>
      <c r="AF172">
        <v>0.17999999999999999</v>
      </c>
      <c r="AG172">
        <v>0.17999999999999999</v>
      </c>
      <c r="AH172">
        <v>0.17999999999999999</v>
      </c>
      <c r="AI172">
        <v>0.17999999999999999</v>
      </c>
      <c r="AJ172">
        <v>0.17999999999999999</v>
      </c>
      <c r="AK172">
        <v>0.17999999999999999</v>
      </c>
      <c r="AL172">
        <v>0.17999999999999999</v>
      </c>
      <c r="AM172">
        <v>0.17999999999999999</v>
      </c>
      <c r="AN172">
        <v>0.17999999999999999</v>
      </c>
      <c r="AO172">
        <v>0.17999999999999999</v>
      </c>
      <c r="AP172">
        <v>0.17999999999999999</v>
      </c>
      <c r="AQ172">
        <v>0.17999999999999999</v>
      </c>
      <c r="AR172">
        <v>0.17999999999999999</v>
      </c>
      <c r="AS172">
        <v>0.17999999999999999</v>
      </c>
      <c r="AT172">
        <v>0.17999999999999999</v>
      </c>
      <c r="AU172">
        <v>0.17999999999999999</v>
      </c>
      <c r="AV172">
        <v>0.17999999999999999</v>
      </c>
      <c r="AW172" t="s">
        <v>296</v>
      </c>
    </row>
    <row r="173" spans="1:49" ht="12.75">
      <c r="A173" t="s">
        <v>295</v>
      </c>
      <c r="B173" t="s">
        <v>291</v>
      </c>
      <c r="C173" t="s">
        <v>138</v>
      </c>
      <c r="D173" t="s">
        <v>57</v>
      </c>
      <c r="E173" t="s">
        <v>296</v>
      </c>
      <c r="F173" t="s">
        <v>83</v>
      </c>
      <c r="G173" t="s">
        <v>474</v>
      </c>
      <c r="H173" t="s">
        <v>296</v>
      </c>
      <c r="I173" t="s">
        <v>296</v>
      </c>
      <c r="J173" t="s">
        <v>296</v>
      </c>
      <c r="K173" t="s">
        <v>296</v>
      </c>
      <c r="L173">
        <v>2</v>
      </c>
      <c r="M173">
        <v>2</v>
      </c>
      <c r="N173">
        <v>2</v>
      </c>
      <c r="O173">
        <v>5</v>
      </c>
      <c r="P173">
        <v>1.3200000000000001</v>
      </c>
      <c r="Q173">
        <v>2</v>
      </c>
      <c r="R173">
        <v>2</v>
      </c>
      <c r="S173">
        <v>0.21840000000000001</v>
      </c>
      <c r="T173">
        <v>3.6600000000000001</v>
      </c>
      <c r="U173">
        <v>2</v>
      </c>
      <c r="V173">
        <v>2</v>
      </c>
      <c r="W173">
        <v>1.8600000000000001</v>
      </c>
      <c r="X173">
        <v>3.2000000000000002</v>
      </c>
      <c r="Y173">
        <v>2</v>
      </c>
      <c r="Z173">
        <v>2.6200000000000001</v>
      </c>
      <c r="AA173">
        <v>2</v>
      </c>
      <c r="AB173">
        <v>4.5999999999999996</v>
      </c>
      <c r="AC173">
        <v>2</v>
      </c>
      <c r="AD173">
        <v>4.5359999999999996</v>
      </c>
      <c r="AE173">
        <v>1.24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2</v>
      </c>
      <c r="AL173">
        <v>2</v>
      </c>
      <c r="AM173">
        <v>5</v>
      </c>
      <c r="AN173">
        <v>3.2400000000000002</v>
      </c>
      <c r="AO173">
        <v>4.2000000000000002</v>
      </c>
      <c r="AP173">
        <v>2</v>
      </c>
      <c r="AQ173">
        <v>1</v>
      </c>
      <c r="AR173">
        <v>2</v>
      </c>
      <c r="AS173">
        <v>2</v>
      </c>
      <c r="AT173">
        <v>2</v>
      </c>
      <c r="AU173">
        <v>2.4199999999999999</v>
      </c>
      <c r="AV173">
        <v>2.3199999999999998</v>
      </c>
      <c r="AW173" t="s">
        <v>296</v>
      </c>
    </row>
    <row r="174" spans="1:49" ht="12.75">
      <c r="A174" t="s">
        <v>295</v>
      </c>
      <c r="B174" t="s">
        <v>291</v>
      </c>
      <c r="C174" t="s">
        <v>138</v>
      </c>
      <c r="D174" t="s">
        <v>38</v>
      </c>
      <c r="E174" t="s">
        <v>296</v>
      </c>
      <c r="F174" t="s">
        <v>83</v>
      </c>
      <c r="G174" t="s">
        <v>474</v>
      </c>
      <c r="H174" t="s">
        <v>296</v>
      </c>
      <c r="I174" t="s">
        <v>296</v>
      </c>
      <c r="J174" t="s">
        <v>296</v>
      </c>
      <c r="K174" t="s">
        <v>296</v>
      </c>
      <c r="L174">
        <v>0.20000000000000001</v>
      </c>
      <c r="M174">
        <v>0.20000000000000001</v>
      </c>
      <c r="N174">
        <v>0.20000000000000001</v>
      </c>
      <c r="O174">
        <v>0.20000000000000001</v>
      </c>
      <c r="P174">
        <v>0.20000000000000001</v>
      </c>
      <c r="Q174">
        <v>0.20000000000000001</v>
      </c>
      <c r="R174">
        <v>0.20000000000000001</v>
      </c>
      <c r="S174">
        <v>0.20000000000000001</v>
      </c>
      <c r="T174">
        <v>0.20000000000000001</v>
      </c>
      <c r="U174">
        <v>0.20000000000000001</v>
      </c>
      <c r="V174">
        <v>0.20000000000000001</v>
      </c>
      <c r="W174">
        <v>0.20000000000000001</v>
      </c>
      <c r="X174">
        <v>0.20000000000000001</v>
      </c>
      <c r="Y174">
        <v>0.20000000000000001</v>
      </c>
      <c r="Z174">
        <v>0.20000000000000001</v>
      </c>
      <c r="AA174">
        <v>0.20000000000000001</v>
      </c>
      <c r="AB174">
        <v>0.20000000000000001</v>
      </c>
      <c r="AC174">
        <v>0.20000000000000001</v>
      </c>
      <c r="AD174">
        <v>0.20000000000000001</v>
      </c>
      <c r="AE174">
        <v>0.20000000000000001</v>
      </c>
      <c r="AF174">
        <v>0.20000000000000001</v>
      </c>
      <c r="AG174">
        <v>0.20000000000000001</v>
      </c>
      <c r="AH174">
        <v>0.20000000000000001</v>
      </c>
      <c r="AI174">
        <v>0.20000000000000001</v>
      </c>
      <c r="AJ174">
        <v>0.20000000000000001</v>
      </c>
      <c r="AK174">
        <v>0.20000000000000001</v>
      </c>
      <c r="AL174">
        <v>0.20000000000000001</v>
      </c>
      <c r="AM174">
        <v>0.20000000000000001</v>
      </c>
      <c r="AN174">
        <v>0.20000000000000001</v>
      </c>
      <c r="AO174">
        <v>0.20000000000000001</v>
      </c>
      <c r="AP174">
        <v>0.20000000000000001</v>
      </c>
      <c r="AQ174">
        <v>0.20000000000000001</v>
      </c>
      <c r="AR174">
        <v>0.20000000000000001</v>
      </c>
      <c r="AS174">
        <v>0.17599999999999999</v>
      </c>
      <c r="AT174">
        <v>0.20000000000000001</v>
      </c>
      <c r="AU174">
        <v>0.20000000000000001</v>
      </c>
      <c r="AV174">
        <v>0.20000000000000001</v>
      </c>
      <c r="AW174" t="s">
        <v>296</v>
      </c>
    </row>
    <row r="175" spans="1:49" ht="12.75">
      <c r="A175" t="s">
        <v>295</v>
      </c>
      <c r="B175" t="s">
        <v>291</v>
      </c>
      <c r="C175" t="s">
        <v>138</v>
      </c>
      <c r="D175" t="s">
        <v>52</v>
      </c>
      <c r="E175" t="s">
        <v>296</v>
      </c>
      <c r="F175" t="s">
        <v>83</v>
      </c>
      <c r="G175" t="s">
        <v>474</v>
      </c>
      <c r="H175" t="s">
        <v>296</v>
      </c>
      <c r="I175" t="s">
        <v>296</v>
      </c>
      <c r="J175" t="s">
        <v>296</v>
      </c>
      <c r="K175" t="s">
        <v>296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 t="s">
        <v>296</v>
      </c>
    </row>
    <row r="176" spans="1:49" ht="12.75">
      <c r="A176" t="s">
        <v>295</v>
      </c>
      <c r="B176" t="s">
        <v>291</v>
      </c>
      <c r="C176" t="s">
        <v>138</v>
      </c>
      <c r="D176" t="s">
        <v>129</v>
      </c>
      <c r="E176" t="s">
        <v>296</v>
      </c>
      <c r="F176" t="s">
        <v>83</v>
      </c>
      <c r="G176" t="s">
        <v>474</v>
      </c>
      <c r="H176" t="s">
        <v>296</v>
      </c>
      <c r="I176" t="s">
        <v>296</v>
      </c>
      <c r="J176" t="s">
        <v>296</v>
      </c>
      <c r="K176" t="s">
        <v>296</v>
      </c>
      <c r="L176">
        <v>0.10000000000000001</v>
      </c>
      <c r="M176">
        <v>0.10000000000000001</v>
      </c>
      <c r="N176">
        <v>0.10000000000000001</v>
      </c>
      <c r="O176">
        <v>0.10000000000000001</v>
      </c>
      <c r="P176">
        <v>0.10000000000000001</v>
      </c>
      <c r="Q176">
        <v>0.10000000000000001</v>
      </c>
      <c r="R176">
        <v>0.10000000000000001</v>
      </c>
      <c r="S176">
        <v>0.10000000000000001</v>
      </c>
      <c r="T176">
        <v>0.10000000000000001</v>
      </c>
      <c r="U176">
        <v>0.10000000000000001</v>
      </c>
      <c r="V176">
        <v>0.10000000000000001</v>
      </c>
      <c r="W176">
        <v>0.10000000000000001</v>
      </c>
      <c r="X176">
        <v>0.10000000000000001</v>
      </c>
      <c r="Y176">
        <v>0.10000000000000001</v>
      </c>
      <c r="Z176">
        <v>0.10000000000000001</v>
      </c>
      <c r="AA176">
        <v>0.10000000000000001</v>
      </c>
      <c r="AB176">
        <v>0.10000000000000001</v>
      </c>
      <c r="AC176">
        <v>0.10000000000000001</v>
      </c>
      <c r="AD176">
        <v>0.10000000000000001</v>
      </c>
      <c r="AE176">
        <v>0.10000000000000001</v>
      </c>
      <c r="AF176">
        <v>0.10000000000000001</v>
      </c>
      <c r="AG176">
        <v>0.10000000000000001</v>
      </c>
      <c r="AH176">
        <v>0.10000000000000001</v>
      </c>
      <c r="AI176">
        <v>0.10000000000000001</v>
      </c>
      <c r="AJ176">
        <v>0.10000000000000001</v>
      </c>
      <c r="AK176">
        <v>0.10000000000000001</v>
      </c>
      <c r="AL176">
        <v>0.10000000000000001</v>
      </c>
      <c r="AM176">
        <v>0.10000000000000001</v>
      </c>
      <c r="AN176">
        <v>0.10000000000000001</v>
      </c>
      <c r="AO176">
        <v>0.10000000000000001</v>
      </c>
      <c r="AP176">
        <v>0.10000000000000001</v>
      </c>
      <c r="AQ176">
        <v>0.10000000000000001</v>
      </c>
      <c r="AR176">
        <v>0.10000000000000001</v>
      </c>
      <c r="AS176">
        <v>0.10000000000000001</v>
      </c>
      <c r="AT176">
        <v>0.10000000000000001</v>
      </c>
      <c r="AU176">
        <v>0.10000000000000001</v>
      </c>
      <c r="AV176">
        <v>0.10000000000000001</v>
      </c>
      <c r="AW176" t="s">
        <v>296</v>
      </c>
    </row>
    <row r="177" spans="1:49" ht="12.75">
      <c r="A177" t="s">
        <v>295</v>
      </c>
      <c r="B177" t="s">
        <v>291</v>
      </c>
      <c r="C177" t="s">
        <v>138</v>
      </c>
      <c r="D177" t="s">
        <v>130</v>
      </c>
      <c r="E177" t="s">
        <v>296</v>
      </c>
      <c r="F177" t="s">
        <v>83</v>
      </c>
      <c r="G177" t="s">
        <v>474</v>
      </c>
      <c r="H177" t="s">
        <v>296</v>
      </c>
      <c r="I177" t="s">
        <v>296</v>
      </c>
      <c r="J177" t="s">
        <v>296</v>
      </c>
      <c r="K177" t="s">
        <v>296</v>
      </c>
      <c r="L177">
        <v>0.050000000000000003</v>
      </c>
      <c r="M177">
        <v>0.050000000000000003</v>
      </c>
      <c r="N177">
        <v>0.050000000000000003</v>
      </c>
      <c r="O177">
        <v>0.050000000000000003</v>
      </c>
      <c r="P177">
        <v>0.050000000000000003</v>
      </c>
      <c r="Q177">
        <v>0.050000000000000003</v>
      </c>
      <c r="R177">
        <v>0.050000000000000003</v>
      </c>
      <c r="S177">
        <v>0.050000000000000003</v>
      </c>
      <c r="T177">
        <v>0.050000000000000003</v>
      </c>
      <c r="U177">
        <v>0.050000000000000003</v>
      </c>
      <c r="V177">
        <v>0.050000000000000003</v>
      </c>
      <c r="W177">
        <v>0.050000000000000003</v>
      </c>
      <c r="X177">
        <v>0.050000000000000003</v>
      </c>
      <c r="Y177">
        <v>0.050000000000000003</v>
      </c>
      <c r="Z177">
        <v>0.050000000000000003</v>
      </c>
      <c r="AA177">
        <v>0.050000000000000003</v>
      </c>
      <c r="AB177">
        <v>0.050000000000000003</v>
      </c>
      <c r="AC177">
        <v>0.050000000000000003</v>
      </c>
      <c r="AD177">
        <v>0.050000000000000003</v>
      </c>
      <c r="AE177">
        <v>0.050000000000000003</v>
      </c>
      <c r="AF177">
        <v>0.050000000000000003</v>
      </c>
      <c r="AG177">
        <v>0.050000000000000003</v>
      </c>
      <c r="AH177">
        <v>0.050000000000000003</v>
      </c>
      <c r="AI177">
        <v>0.050000000000000003</v>
      </c>
      <c r="AJ177">
        <v>0.050000000000000003</v>
      </c>
      <c r="AK177">
        <v>0.050000000000000003</v>
      </c>
      <c r="AL177">
        <v>0.050000000000000003</v>
      </c>
      <c r="AM177">
        <v>0.050000000000000003</v>
      </c>
      <c r="AN177">
        <v>0.050000000000000003</v>
      </c>
      <c r="AO177">
        <v>0.050000000000000003</v>
      </c>
      <c r="AP177">
        <v>0.050000000000000003</v>
      </c>
      <c r="AQ177">
        <v>0.050000000000000003</v>
      </c>
      <c r="AR177">
        <v>0.050000000000000003</v>
      </c>
      <c r="AS177">
        <v>0.050000000000000003</v>
      </c>
      <c r="AT177">
        <v>0.050000000000000003</v>
      </c>
      <c r="AU177">
        <v>0.050000000000000003</v>
      </c>
      <c r="AV177">
        <v>0.050000000000000003</v>
      </c>
      <c r="AW177" t="s">
        <v>296</v>
      </c>
    </row>
    <row r="178" spans="1:49" ht="12.75">
      <c r="A178" t="s">
        <v>295</v>
      </c>
      <c r="B178" t="s">
        <v>291</v>
      </c>
      <c r="C178" t="s">
        <v>138</v>
      </c>
      <c r="D178" t="s">
        <v>136</v>
      </c>
      <c r="E178" t="s">
        <v>296</v>
      </c>
      <c r="F178" t="s">
        <v>83</v>
      </c>
      <c r="G178" t="s">
        <v>474</v>
      </c>
      <c r="H178" t="s">
        <v>296</v>
      </c>
      <c r="I178" t="s">
        <v>296</v>
      </c>
      <c r="J178" t="s">
        <v>296</v>
      </c>
      <c r="K178" t="s">
        <v>296</v>
      </c>
      <c r="L178">
        <v>0.495</v>
      </c>
      <c r="M178">
        <v>0.495</v>
      </c>
      <c r="N178">
        <v>0.495</v>
      </c>
      <c r="O178">
        <v>0.495</v>
      </c>
      <c r="P178">
        <v>0.495</v>
      </c>
      <c r="Q178">
        <v>0.495</v>
      </c>
      <c r="R178">
        <v>0.495</v>
      </c>
      <c r="S178">
        <v>0.495</v>
      </c>
      <c r="T178">
        <v>0.495</v>
      </c>
      <c r="U178">
        <v>0.495</v>
      </c>
      <c r="V178">
        <v>0.495</v>
      </c>
      <c r="W178">
        <v>0.495</v>
      </c>
      <c r="X178">
        <v>0.495</v>
      </c>
      <c r="Y178">
        <v>0.495</v>
      </c>
      <c r="Z178">
        <v>0.495</v>
      </c>
      <c r="AA178">
        <v>0.495</v>
      </c>
      <c r="AB178">
        <v>0.495</v>
      </c>
      <c r="AC178">
        <v>0.495</v>
      </c>
      <c r="AD178">
        <v>0.495</v>
      </c>
      <c r="AE178">
        <v>0.495</v>
      </c>
      <c r="AF178">
        <v>0.495</v>
      </c>
      <c r="AG178">
        <v>0.495</v>
      </c>
      <c r="AH178">
        <v>0.495</v>
      </c>
      <c r="AI178">
        <v>0.495</v>
      </c>
      <c r="AJ178">
        <v>0.495</v>
      </c>
      <c r="AK178">
        <v>0.495</v>
      </c>
      <c r="AL178">
        <v>0.495</v>
      </c>
      <c r="AM178">
        <v>0.495</v>
      </c>
      <c r="AN178">
        <v>0.495</v>
      </c>
      <c r="AO178">
        <v>0.495</v>
      </c>
      <c r="AP178">
        <v>0.495</v>
      </c>
      <c r="AQ178">
        <v>0.495</v>
      </c>
      <c r="AR178">
        <v>0.495</v>
      </c>
      <c r="AS178">
        <v>0.495</v>
      </c>
      <c r="AT178">
        <v>0.495</v>
      </c>
      <c r="AU178">
        <v>0.495</v>
      </c>
      <c r="AV178">
        <v>0.495</v>
      </c>
      <c r="AW178" t="s">
        <v>296</v>
      </c>
    </row>
    <row r="179" spans="1:49" ht="12.75">
      <c r="A179" t="s">
        <v>295</v>
      </c>
      <c r="B179" t="s">
        <v>291</v>
      </c>
      <c r="C179" t="s">
        <v>138</v>
      </c>
      <c r="D179" t="s">
        <v>132</v>
      </c>
      <c r="E179" t="s">
        <v>296</v>
      </c>
      <c r="F179" t="s">
        <v>83</v>
      </c>
      <c r="G179" t="s">
        <v>474</v>
      </c>
      <c r="H179" t="s">
        <v>296</v>
      </c>
      <c r="I179" t="s">
        <v>296</v>
      </c>
      <c r="J179" t="s">
        <v>296</v>
      </c>
      <c r="K179" t="s">
        <v>296</v>
      </c>
      <c r="L179">
        <v>0.59499999999999997</v>
      </c>
      <c r="M179">
        <v>0.59499999999999997</v>
      </c>
      <c r="N179">
        <v>0.59499999999999997</v>
      </c>
      <c r="O179">
        <v>0.59499999999999997</v>
      </c>
      <c r="P179">
        <v>0.59499999999999997</v>
      </c>
      <c r="Q179">
        <v>0.59499999999999997</v>
      </c>
      <c r="R179">
        <v>0.59499999999999997</v>
      </c>
      <c r="S179">
        <v>0.59499999999999997</v>
      </c>
      <c r="T179">
        <v>0.59499999999999997</v>
      </c>
      <c r="U179">
        <v>0.59499999999999997</v>
      </c>
      <c r="V179">
        <v>0.59499999999999997</v>
      </c>
      <c r="W179">
        <v>0.59499999999999997</v>
      </c>
      <c r="X179">
        <v>0.59499999999999997</v>
      </c>
      <c r="Y179">
        <v>0.59499999999999997</v>
      </c>
      <c r="Z179">
        <v>0.59499999999999997</v>
      </c>
      <c r="AA179">
        <v>0.59499999999999997</v>
      </c>
      <c r="AB179">
        <v>0.59499999999999997</v>
      </c>
      <c r="AC179">
        <v>0.59499999999999997</v>
      </c>
      <c r="AD179">
        <v>0.59499999999999997</v>
      </c>
      <c r="AE179">
        <v>0.59499999999999997</v>
      </c>
      <c r="AF179">
        <v>0.59499999999999997</v>
      </c>
      <c r="AG179">
        <v>0.59499999999999997</v>
      </c>
      <c r="AH179">
        <v>0.59499999999999997</v>
      </c>
      <c r="AI179">
        <v>0.59499999999999997</v>
      </c>
      <c r="AJ179">
        <v>0.59499999999999997</v>
      </c>
      <c r="AK179">
        <v>0.59499999999999997</v>
      </c>
      <c r="AL179">
        <v>0.59499999999999997</v>
      </c>
      <c r="AM179">
        <v>0.59499999999999997</v>
      </c>
      <c r="AN179">
        <v>0.59499999999999997</v>
      </c>
      <c r="AO179">
        <v>0.59499999999999997</v>
      </c>
      <c r="AP179">
        <v>0.59499999999999997</v>
      </c>
      <c r="AQ179">
        <v>0.59499999999999997</v>
      </c>
      <c r="AR179">
        <v>0.59499999999999997</v>
      </c>
      <c r="AS179">
        <v>0.59499999999999997</v>
      </c>
      <c r="AT179">
        <v>0.59499999999999997</v>
      </c>
      <c r="AU179">
        <v>0.59499999999999997</v>
      </c>
      <c r="AV179">
        <v>0.59499999999999997</v>
      </c>
      <c r="AW179" t="s">
        <v>296</v>
      </c>
    </row>
    <row r="180" spans="1:49" ht="12.75">
      <c r="A180" t="s">
        <v>295</v>
      </c>
      <c r="B180" t="s">
        <v>291</v>
      </c>
      <c r="C180" t="s">
        <v>139</v>
      </c>
      <c r="D180" t="s">
        <v>57</v>
      </c>
      <c r="E180" t="s">
        <v>296</v>
      </c>
      <c r="F180" t="s">
        <v>83</v>
      </c>
      <c r="G180" t="s">
        <v>474</v>
      </c>
      <c r="H180" t="s">
        <v>296</v>
      </c>
      <c r="I180" t="s">
        <v>296</v>
      </c>
      <c r="J180" t="s">
        <v>296</v>
      </c>
      <c r="K180" t="s">
        <v>296</v>
      </c>
      <c r="L180">
        <v>16.350000000000001</v>
      </c>
      <c r="M180">
        <v>16.350000000000001</v>
      </c>
      <c r="N180">
        <v>16.350000000000001</v>
      </c>
      <c r="O180">
        <v>16.350000000000001</v>
      </c>
      <c r="P180">
        <v>10.791</v>
      </c>
      <c r="Q180">
        <v>16.350000000000001</v>
      </c>
      <c r="R180">
        <v>16.350000000000001</v>
      </c>
      <c r="S180">
        <v>14.3598</v>
      </c>
      <c r="T180">
        <v>16.350000000000001</v>
      </c>
      <c r="U180">
        <v>16.350000000000001</v>
      </c>
      <c r="V180">
        <v>16.350000000000001</v>
      </c>
      <c r="W180">
        <v>15.205500000000001</v>
      </c>
      <c r="X180">
        <v>16.350000000000001</v>
      </c>
      <c r="Y180">
        <v>16.350000000000001</v>
      </c>
      <c r="Z180">
        <v>16.350000000000001</v>
      </c>
      <c r="AA180">
        <v>24.7212</v>
      </c>
      <c r="AB180">
        <v>16.350000000000001</v>
      </c>
      <c r="AC180">
        <v>16.350000000000001</v>
      </c>
      <c r="AD180">
        <v>37.081800000000001</v>
      </c>
      <c r="AE180">
        <v>16.350000000000001</v>
      </c>
      <c r="AF180">
        <v>16.350000000000001</v>
      </c>
      <c r="AG180">
        <v>16.350000000000001</v>
      </c>
      <c r="AH180">
        <v>16.350000000000001</v>
      </c>
      <c r="AI180">
        <v>16.350000000000001</v>
      </c>
      <c r="AJ180">
        <v>16.350000000000001</v>
      </c>
      <c r="AK180">
        <v>16.350000000000001</v>
      </c>
      <c r="AL180">
        <v>16.350000000000001</v>
      </c>
      <c r="AM180">
        <v>16.350000000000001</v>
      </c>
      <c r="AN180">
        <v>16.350000000000001</v>
      </c>
      <c r="AO180">
        <v>16.350000000000001</v>
      </c>
      <c r="AP180">
        <v>16.350000000000001</v>
      </c>
      <c r="AQ180">
        <v>16.350000000000001</v>
      </c>
      <c r="AR180">
        <v>16.350000000000001</v>
      </c>
      <c r="AS180">
        <v>16.350000000000001</v>
      </c>
      <c r="AT180">
        <v>16.350000000000001</v>
      </c>
      <c r="AU180">
        <v>16.350000000000001</v>
      </c>
      <c r="AV180">
        <v>16.350000000000001</v>
      </c>
      <c r="AW180" t="s">
        <v>296</v>
      </c>
    </row>
    <row r="181" spans="1:49" ht="12.75">
      <c r="A181" t="s">
        <v>295</v>
      </c>
      <c r="B181" t="s">
        <v>291</v>
      </c>
      <c r="C181" t="s">
        <v>139</v>
      </c>
      <c r="D181" t="s">
        <v>47</v>
      </c>
      <c r="E181" t="s">
        <v>296</v>
      </c>
      <c r="F181" t="s">
        <v>83</v>
      </c>
      <c r="G181" t="s">
        <v>474</v>
      </c>
      <c r="H181" t="s">
        <v>296</v>
      </c>
      <c r="I181" t="s">
        <v>296</v>
      </c>
      <c r="J181" t="s">
        <v>296</v>
      </c>
      <c r="K181" t="s">
        <v>296</v>
      </c>
      <c r="L181">
        <v>6.4000000000000004</v>
      </c>
      <c r="M181">
        <v>6.4000000000000004</v>
      </c>
      <c r="N181">
        <v>6.4000000000000004</v>
      </c>
      <c r="O181">
        <v>6.4000000000000004</v>
      </c>
      <c r="P181">
        <v>6.4000000000000004</v>
      </c>
      <c r="Q181">
        <v>6.4000000000000004</v>
      </c>
      <c r="R181">
        <v>6.4000000000000004</v>
      </c>
      <c r="S181">
        <v>6.4000000000000004</v>
      </c>
      <c r="T181">
        <v>6.4000000000000004</v>
      </c>
      <c r="U181">
        <v>6.4000000000000004</v>
      </c>
      <c r="V181">
        <v>6.4000000000000004</v>
      </c>
      <c r="W181">
        <v>6.4000000000000004</v>
      </c>
      <c r="X181">
        <v>6.4000000000000004</v>
      </c>
      <c r="Y181">
        <v>6.4000000000000004</v>
      </c>
      <c r="Z181">
        <v>6.4000000000000004</v>
      </c>
      <c r="AA181">
        <v>6.4000000000000004</v>
      </c>
      <c r="AB181">
        <v>6.4000000000000004</v>
      </c>
      <c r="AC181">
        <v>6.4000000000000004</v>
      </c>
      <c r="AD181">
        <v>6.4000000000000004</v>
      </c>
      <c r="AE181">
        <v>6.4000000000000004</v>
      </c>
      <c r="AF181">
        <v>6.4000000000000004</v>
      </c>
      <c r="AG181">
        <v>6.4000000000000004</v>
      </c>
      <c r="AH181">
        <v>6.4000000000000004</v>
      </c>
      <c r="AI181">
        <v>6.4000000000000004</v>
      </c>
      <c r="AJ181">
        <v>6.4000000000000004</v>
      </c>
      <c r="AK181">
        <v>6.4000000000000004</v>
      </c>
      <c r="AL181">
        <v>6.4000000000000004</v>
      </c>
      <c r="AM181">
        <v>6.4000000000000004</v>
      </c>
      <c r="AN181">
        <v>6.4000000000000004</v>
      </c>
      <c r="AO181">
        <v>6.4000000000000004</v>
      </c>
      <c r="AP181">
        <v>6.4000000000000004</v>
      </c>
      <c r="AQ181">
        <v>6.4000000000000004</v>
      </c>
      <c r="AR181">
        <v>6.4000000000000004</v>
      </c>
      <c r="AS181">
        <v>6.4000000000000004</v>
      </c>
      <c r="AT181">
        <v>6.4000000000000004</v>
      </c>
      <c r="AU181">
        <v>6.4000000000000004</v>
      </c>
      <c r="AV181">
        <v>6.4000000000000004</v>
      </c>
      <c r="AW181" t="s">
        <v>296</v>
      </c>
    </row>
    <row r="182" spans="1:49" ht="12.75">
      <c r="A182" t="s">
        <v>295</v>
      </c>
      <c r="B182" t="s">
        <v>291</v>
      </c>
      <c r="C182" t="s">
        <v>139</v>
      </c>
      <c r="D182" t="s">
        <v>48</v>
      </c>
      <c r="E182" t="s">
        <v>296</v>
      </c>
      <c r="F182" t="s">
        <v>83</v>
      </c>
      <c r="G182" t="s">
        <v>474</v>
      </c>
      <c r="H182" t="s">
        <v>296</v>
      </c>
      <c r="I182" t="s">
        <v>296</v>
      </c>
      <c r="J182" t="s">
        <v>296</v>
      </c>
      <c r="K182" t="s">
        <v>296</v>
      </c>
      <c r="L182">
        <v>5.4500000000000002</v>
      </c>
      <c r="M182">
        <v>5.9950000000000001</v>
      </c>
      <c r="N182">
        <v>5.4500000000000002</v>
      </c>
      <c r="O182">
        <v>5.4500000000000002</v>
      </c>
      <c r="P182">
        <v>5.4500000000000002</v>
      </c>
      <c r="Q182">
        <v>5.4500000000000002</v>
      </c>
      <c r="R182">
        <v>5.4500000000000002</v>
      </c>
      <c r="S182">
        <v>4.7866</v>
      </c>
      <c r="T182">
        <v>8</v>
      </c>
      <c r="U182">
        <v>5.4500000000000002</v>
      </c>
      <c r="V182">
        <v>5.4500000000000002</v>
      </c>
      <c r="W182">
        <v>5.4500000000000002</v>
      </c>
      <c r="X182">
        <v>5.4500000000000002</v>
      </c>
      <c r="Y182">
        <v>5.2210999999999999</v>
      </c>
      <c r="Z182">
        <v>12.3606</v>
      </c>
      <c r="AA182">
        <v>8</v>
      </c>
      <c r="AB182">
        <v>5.4500000000000002</v>
      </c>
      <c r="AC182">
        <v>5.4500000000000002</v>
      </c>
      <c r="AD182">
        <v>12.3606</v>
      </c>
      <c r="AE182">
        <v>0.44145000000000001</v>
      </c>
      <c r="AF182">
        <v>5.4500000000000002</v>
      </c>
      <c r="AG182">
        <v>5.4500000000000002</v>
      </c>
      <c r="AH182">
        <v>5.4500000000000002</v>
      </c>
      <c r="AI182">
        <v>5.4500000000000002</v>
      </c>
      <c r="AJ182">
        <v>5.4500000000000002</v>
      </c>
      <c r="AK182">
        <v>5.4500000000000002</v>
      </c>
      <c r="AL182">
        <v>5.4500000000000002</v>
      </c>
      <c r="AM182">
        <v>5.4500000000000002</v>
      </c>
      <c r="AN182">
        <v>5.4500000000000002</v>
      </c>
      <c r="AO182">
        <v>4.6506666666666696</v>
      </c>
      <c r="AP182">
        <v>5.4500000000000002</v>
      </c>
      <c r="AQ182">
        <v>5.4500000000000002</v>
      </c>
      <c r="AR182">
        <v>5.4500000000000002</v>
      </c>
      <c r="AS182">
        <v>5.4500000000000002</v>
      </c>
      <c r="AT182">
        <v>5.4500000000000002</v>
      </c>
      <c r="AU182">
        <v>9.8100000000000005</v>
      </c>
      <c r="AV182">
        <v>5.4500000000000002</v>
      </c>
      <c r="AW182" t="s">
        <v>296</v>
      </c>
    </row>
    <row r="183" spans="1:49" ht="12.75">
      <c r="A183" t="s">
        <v>295</v>
      </c>
      <c r="B183" t="s">
        <v>291</v>
      </c>
      <c r="C183" t="s">
        <v>139</v>
      </c>
      <c r="D183" t="s">
        <v>49</v>
      </c>
      <c r="E183" t="s">
        <v>296</v>
      </c>
      <c r="F183" t="s">
        <v>83</v>
      </c>
      <c r="G183" t="s">
        <v>474</v>
      </c>
      <c r="H183" t="s">
        <v>296</v>
      </c>
      <c r="I183" t="s">
        <v>296</v>
      </c>
      <c r="J183" t="s">
        <v>296</v>
      </c>
      <c r="K183" t="s">
        <v>296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29</v>
      </c>
      <c r="R183">
        <v>29</v>
      </c>
      <c r="S183">
        <v>29</v>
      </c>
      <c r="T183">
        <v>29</v>
      </c>
      <c r="U183">
        <v>29</v>
      </c>
      <c r="V183">
        <v>29</v>
      </c>
      <c r="W183">
        <v>29</v>
      </c>
      <c r="X183">
        <v>29</v>
      </c>
      <c r="Y183">
        <v>29</v>
      </c>
      <c r="Z183">
        <v>29</v>
      </c>
      <c r="AA183">
        <v>29</v>
      </c>
      <c r="AB183">
        <v>29</v>
      </c>
      <c r="AC183">
        <v>29</v>
      </c>
      <c r="AD183">
        <v>29</v>
      </c>
      <c r="AE183">
        <v>29</v>
      </c>
      <c r="AF183">
        <v>29</v>
      </c>
      <c r="AG183">
        <v>29</v>
      </c>
      <c r="AH183">
        <v>29</v>
      </c>
      <c r="AI183">
        <v>29</v>
      </c>
      <c r="AJ183">
        <v>29</v>
      </c>
      <c r="AK183">
        <v>29</v>
      </c>
      <c r="AL183">
        <v>29</v>
      </c>
      <c r="AM183">
        <v>29</v>
      </c>
      <c r="AN183">
        <v>29</v>
      </c>
      <c r="AO183">
        <v>29</v>
      </c>
      <c r="AP183">
        <v>29</v>
      </c>
      <c r="AQ183">
        <v>29</v>
      </c>
      <c r="AR183">
        <v>29</v>
      </c>
      <c r="AS183">
        <v>29</v>
      </c>
      <c r="AT183">
        <v>29</v>
      </c>
      <c r="AU183">
        <v>29</v>
      </c>
      <c r="AV183">
        <v>22.184999999999999</v>
      </c>
      <c r="AW183" t="s">
        <v>296</v>
      </c>
    </row>
    <row r="184" spans="1:49" ht="12.75">
      <c r="A184" t="s">
        <v>295</v>
      </c>
      <c r="B184" t="s">
        <v>291</v>
      </c>
      <c r="C184" t="s">
        <v>139</v>
      </c>
      <c r="D184" t="s">
        <v>42</v>
      </c>
      <c r="E184" t="s">
        <v>296</v>
      </c>
      <c r="F184" t="s">
        <v>83</v>
      </c>
      <c r="G184" t="s">
        <v>474</v>
      </c>
      <c r="H184" t="s">
        <v>296</v>
      </c>
      <c r="I184" t="s">
        <v>296</v>
      </c>
      <c r="J184" t="s">
        <v>296</v>
      </c>
      <c r="K184" t="s">
        <v>296</v>
      </c>
      <c r="L184">
        <v>0.29999999999999999</v>
      </c>
      <c r="M184">
        <v>0.29999999999999999</v>
      </c>
      <c r="N184">
        <v>0.29999999999999999</v>
      </c>
      <c r="O184">
        <v>0.29999999999999999</v>
      </c>
      <c r="P184">
        <v>0.29999999999999999</v>
      </c>
      <c r="Q184">
        <v>0.29999999999999999</v>
      </c>
      <c r="R184">
        <v>0.29999999999999999</v>
      </c>
      <c r="S184">
        <v>0.29999999999999999</v>
      </c>
      <c r="T184">
        <v>0.29999999999999999</v>
      </c>
      <c r="U184">
        <v>0.29999999999999999</v>
      </c>
      <c r="V184">
        <v>0.29999999999999999</v>
      </c>
      <c r="W184">
        <v>0.29999999999999999</v>
      </c>
      <c r="X184">
        <v>0.29999999999999999</v>
      </c>
      <c r="Y184">
        <v>0.29999999999999999</v>
      </c>
      <c r="Z184">
        <v>0.29999999999999999</v>
      </c>
      <c r="AA184">
        <v>0.29999999999999999</v>
      </c>
      <c r="AB184">
        <v>0.29999999999999999</v>
      </c>
      <c r="AC184">
        <v>0.29999999999999999</v>
      </c>
      <c r="AD184">
        <v>0.29999999999999999</v>
      </c>
      <c r="AE184">
        <v>0.29999999999999999</v>
      </c>
      <c r="AF184">
        <v>0.29999999999999999</v>
      </c>
      <c r="AG184">
        <v>0.29999999999999999</v>
      </c>
      <c r="AH184">
        <v>0.29999999999999999</v>
      </c>
      <c r="AI184">
        <v>0.29999999999999999</v>
      </c>
      <c r="AJ184">
        <v>0.29999999999999999</v>
      </c>
      <c r="AK184">
        <v>0.29999999999999999</v>
      </c>
      <c r="AL184">
        <v>0.29999999999999999</v>
      </c>
      <c r="AM184">
        <v>0.29999999999999999</v>
      </c>
      <c r="AN184">
        <v>0.29999999999999999</v>
      </c>
      <c r="AO184">
        <v>0.29999999999999999</v>
      </c>
      <c r="AP184">
        <v>0.29999999999999999</v>
      </c>
      <c r="AQ184">
        <v>0.29999999999999999</v>
      </c>
      <c r="AR184">
        <v>0.29999999999999999</v>
      </c>
      <c r="AS184">
        <v>0.29999999999999999</v>
      </c>
      <c r="AT184">
        <v>0.29999999999999999</v>
      </c>
      <c r="AU184">
        <v>0.29999999999999999</v>
      </c>
      <c r="AV184">
        <v>0.29999999999999999</v>
      </c>
      <c r="AW184" t="s">
        <v>296</v>
      </c>
    </row>
    <row r="185" spans="1:49" ht="12.75">
      <c r="A185" t="s">
        <v>295</v>
      </c>
      <c r="B185" t="s">
        <v>291</v>
      </c>
      <c r="C185" t="s">
        <v>139</v>
      </c>
      <c r="D185" t="s">
        <v>129</v>
      </c>
      <c r="E185" t="s">
        <v>296</v>
      </c>
      <c r="F185" t="s">
        <v>83</v>
      </c>
      <c r="G185" t="s">
        <v>474</v>
      </c>
      <c r="H185" t="s">
        <v>296</v>
      </c>
      <c r="I185" t="s">
        <v>296</v>
      </c>
      <c r="J185" t="s">
        <v>296</v>
      </c>
      <c r="K185" t="s">
        <v>296</v>
      </c>
      <c r="L185">
        <v>0.70999999999999996</v>
      </c>
      <c r="M185">
        <v>0.70999999999999996</v>
      </c>
      <c r="N185">
        <v>0.70999999999999996</v>
      </c>
      <c r="O185">
        <v>0.70999999999999996</v>
      </c>
      <c r="P185">
        <v>0.70999999999999996</v>
      </c>
      <c r="Q185">
        <v>0.70999999999999996</v>
      </c>
      <c r="R185">
        <v>0.70999999999999996</v>
      </c>
      <c r="S185">
        <v>0.70999999999999996</v>
      </c>
      <c r="T185">
        <v>0.70999999999999996</v>
      </c>
      <c r="U185">
        <v>0.70999999999999996</v>
      </c>
      <c r="V185">
        <v>0.70999999999999996</v>
      </c>
      <c r="W185">
        <v>0.70999999999999996</v>
      </c>
      <c r="X185">
        <v>0.70999999999999996</v>
      </c>
      <c r="Y185">
        <v>0.70999999999999996</v>
      </c>
      <c r="Z185">
        <v>0.70999999999999996</v>
      </c>
      <c r="AA185">
        <v>0.70999999999999996</v>
      </c>
      <c r="AB185">
        <v>0.70999999999999996</v>
      </c>
      <c r="AC185">
        <v>0.70999999999999996</v>
      </c>
      <c r="AD185">
        <v>0.70999999999999996</v>
      </c>
      <c r="AE185">
        <v>0.70999999999999996</v>
      </c>
      <c r="AF185">
        <v>0.70999999999999996</v>
      </c>
      <c r="AG185">
        <v>0.70999999999999996</v>
      </c>
      <c r="AH185">
        <v>0.70999999999999996</v>
      </c>
      <c r="AI185">
        <v>0.70999999999999996</v>
      </c>
      <c r="AJ185">
        <v>0.70999999999999996</v>
      </c>
      <c r="AK185">
        <v>0.70999999999999996</v>
      </c>
      <c r="AL185">
        <v>0.70999999999999996</v>
      </c>
      <c r="AM185">
        <v>0.70999999999999996</v>
      </c>
      <c r="AN185">
        <v>0.70999999999999996</v>
      </c>
      <c r="AO185">
        <v>0.70999999999999996</v>
      </c>
      <c r="AP185">
        <v>0.70999999999999996</v>
      </c>
      <c r="AQ185">
        <v>0.70999999999999996</v>
      </c>
      <c r="AR185">
        <v>0.70999999999999996</v>
      </c>
      <c r="AS185">
        <v>0.70999999999999996</v>
      </c>
      <c r="AT185">
        <v>0.70999999999999996</v>
      </c>
      <c r="AU185">
        <v>0.70999999999999996</v>
      </c>
      <c r="AV185">
        <v>0.70999999999999996</v>
      </c>
      <c r="AW185" t="s">
        <v>296</v>
      </c>
    </row>
    <row r="186" spans="1:49" ht="12.75">
      <c r="A186" t="s">
        <v>295</v>
      </c>
      <c r="B186" t="s">
        <v>291</v>
      </c>
      <c r="C186" t="s">
        <v>139</v>
      </c>
      <c r="D186" t="s">
        <v>134</v>
      </c>
      <c r="E186" t="s">
        <v>296</v>
      </c>
      <c r="F186" t="s">
        <v>83</v>
      </c>
      <c r="G186" t="s">
        <v>474</v>
      </c>
      <c r="H186" t="s">
        <v>296</v>
      </c>
      <c r="I186" t="s">
        <v>296</v>
      </c>
      <c r="J186" t="s">
        <v>296</v>
      </c>
      <c r="K186" t="s">
        <v>296</v>
      </c>
      <c r="L186">
        <v>1.5</v>
      </c>
      <c r="M186">
        <v>1.5</v>
      </c>
      <c r="N186">
        <v>1.5</v>
      </c>
      <c r="O186">
        <v>1.5</v>
      </c>
      <c r="P186">
        <v>1.5</v>
      </c>
      <c r="Q186">
        <v>1.5</v>
      </c>
      <c r="R186">
        <v>1.5</v>
      </c>
      <c r="S186">
        <v>1.5</v>
      </c>
      <c r="T186">
        <v>1.5</v>
      </c>
      <c r="U186">
        <v>1.5</v>
      </c>
      <c r="V186">
        <v>1.5</v>
      </c>
      <c r="W186">
        <v>1.5</v>
      </c>
      <c r="X186">
        <v>1.5</v>
      </c>
      <c r="Y186">
        <v>1.5</v>
      </c>
      <c r="Z186">
        <v>1.5</v>
      </c>
      <c r="AA186">
        <v>1.5</v>
      </c>
      <c r="AB186">
        <v>1.5</v>
      </c>
      <c r="AC186">
        <v>1.5</v>
      </c>
      <c r="AD186">
        <v>1.5</v>
      </c>
      <c r="AE186">
        <v>1.5</v>
      </c>
      <c r="AF186">
        <v>1.5</v>
      </c>
      <c r="AG186">
        <v>1.5</v>
      </c>
      <c r="AH186">
        <v>1.5</v>
      </c>
      <c r="AI186">
        <v>1.5</v>
      </c>
      <c r="AJ186">
        <v>1.5</v>
      </c>
      <c r="AK186">
        <v>1.5</v>
      </c>
      <c r="AL186">
        <v>1.5</v>
      </c>
      <c r="AM186">
        <v>1.5</v>
      </c>
      <c r="AN186">
        <v>1.5</v>
      </c>
      <c r="AO186">
        <v>1.5</v>
      </c>
      <c r="AP186">
        <v>1.5</v>
      </c>
      <c r="AQ186">
        <v>1.5</v>
      </c>
      <c r="AR186">
        <v>1.5</v>
      </c>
      <c r="AS186">
        <v>1.5</v>
      </c>
      <c r="AT186">
        <v>1.5</v>
      </c>
      <c r="AU186">
        <v>1.5</v>
      </c>
      <c r="AV186">
        <v>1.5</v>
      </c>
      <c r="AW186" t="s">
        <v>296</v>
      </c>
    </row>
    <row r="187" spans="1:49" ht="12.75">
      <c r="A187" t="s">
        <v>295</v>
      </c>
      <c r="B187" t="s">
        <v>291</v>
      </c>
      <c r="C187" t="s">
        <v>139</v>
      </c>
      <c r="D187" t="s">
        <v>136</v>
      </c>
      <c r="E187" t="s">
        <v>296</v>
      </c>
      <c r="F187" t="s">
        <v>83</v>
      </c>
      <c r="G187" t="s">
        <v>474</v>
      </c>
      <c r="H187" t="s">
        <v>296</v>
      </c>
      <c r="I187" t="s">
        <v>296</v>
      </c>
      <c r="J187" t="s">
        <v>296</v>
      </c>
      <c r="K187" t="s">
        <v>296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 t="s">
        <v>296</v>
      </c>
    </row>
    <row r="188" spans="1:49" ht="12.75">
      <c r="A188" t="s">
        <v>295</v>
      </c>
      <c r="B188" t="s">
        <v>291</v>
      </c>
      <c r="C188" t="s">
        <v>140</v>
      </c>
      <c r="D188" t="s">
        <v>37</v>
      </c>
      <c r="E188" t="s">
        <v>296</v>
      </c>
      <c r="F188" t="s">
        <v>83</v>
      </c>
      <c r="G188" t="s">
        <v>474</v>
      </c>
      <c r="H188" t="s">
        <v>296</v>
      </c>
      <c r="I188" t="s">
        <v>296</v>
      </c>
      <c r="J188" t="s">
        <v>296</v>
      </c>
      <c r="K188" t="s">
        <v>296</v>
      </c>
      <c r="L188">
        <v>4.5999999999999996</v>
      </c>
      <c r="M188">
        <v>4.5999999999999996</v>
      </c>
      <c r="N188">
        <v>4.5999999999999996</v>
      </c>
      <c r="O188">
        <v>4.5999999999999996</v>
      </c>
      <c r="P188">
        <v>4.5999999999999996</v>
      </c>
      <c r="Q188">
        <v>4.5999999999999996</v>
      </c>
      <c r="R188">
        <v>4.5999999999999996</v>
      </c>
      <c r="S188">
        <v>4.5999999999999996</v>
      </c>
      <c r="T188">
        <v>4.5999999999999996</v>
      </c>
      <c r="U188">
        <v>4.5999999999999996</v>
      </c>
      <c r="V188">
        <v>4.5999999999999996</v>
      </c>
      <c r="W188">
        <v>4.5999999999999996</v>
      </c>
      <c r="X188">
        <v>4.5999999999999996</v>
      </c>
      <c r="Y188">
        <v>4.5999999999999996</v>
      </c>
      <c r="Z188">
        <v>4.5999999999999996</v>
      </c>
      <c r="AA188">
        <v>4.5999999999999996</v>
      </c>
      <c r="AB188">
        <v>4.5999999999999996</v>
      </c>
      <c r="AC188">
        <v>4.5999999999999996</v>
      </c>
      <c r="AD188">
        <v>4.5999999999999996</v>
      </c>
      <c r="AE188">
        <v>4.5999999999999996</v>
      </c>
      <c r="AF188">
        <v>4.5999999999999996</v>
      </c>
      <c r="AG188">
        <v>4.5999999999999996</v>
      </c>
      <c r="AH188">
        <v>4.5999999999999996</v>
      </c>
      <c r="AI188">
        <v>4.5999999999999996</v>
      </c>
      <c r="AJ188">
        <v>4.5999999999999996</v>
      </c>
      <c r="AK188">
        <v>4.5999999999999996</v>
      </c>
      <c r="AL188">
        <v>4.5999999999999996</v>
      </c>
      <c r="AM188">
        <v>4.5999999999999996</v>
      </c>
      <c r="AN188">
        <v>4.5999999999999996</v>
      </c>
      <c r="AO188">
        <v>4.5999999999999996</v>
      </c>
      <c r="AP188">
        <v>4.5999999999999996</v>
      </c>
      <c r="AQ188">
        <v>4.5999999999999996</v>
      </c>
      <c r="AR188">
        <v>4.5999999999999996</v>
      </c>
      <c r="AS188">
        <v>4.5999999999999996</v>
      </c>
      <c r="AT188">
        <v>4.5999999999999996</v>
      </c>
      <c r="AU188">
        <v>4.5999999999999996</v>
      </c>
      <c r="AV188">
        <v>4.3700000000000001</v>
      </c>
      <c r="AW188" t="s">
        <v>296</v>
      </c>
    </row>
    <row r="189" spans="1:49" ht="12.75">
      <c r="A189" t="s">
        <v>295</v>
      </c>
      <c r="B189" t="s">
        <v>291</v>
      </c>
      <c r="C189" t="s">
        <v>140</v>
      </c>
      <c r="D189" t="s">
        <v>38</v>
      </c>
      <c r="E189" t="s">
        <v>296</v>
      </c>
      <c r="F189" t="s">
        <v>83</v>
      </c>
      <c r="G189" t="s">
        <v>474</v>
      </c>
      <c r="H189" t="s">
        <v>296</v>
      </c>
      <c r="I189" t="s">
        <v>296</v>
      </c>
      <c r="J189" t="s">
        <v>296</v>
      </c>
      <c r="K189" t="s">
        <v>296</v>
      </c>
      <c r="L189">
        <v>11.4</v>
      </c>
      <c r="M189">
        <v>11.4</v>
      </c>
      <c r="N189">
        <v>11.4</v>
      </c>
      <c r="O189">
        <v>11.4</v>
      </c>
      <c r="P189">
        <v>11.4</v>
      </c>
      <c r="Q189">
        <v>11.4</v>
      </c>
      <c r="R189">
        <v>11.4</v>
      </c>
      <c r="S189">
        <v>11.4</v>
      </c>
      <c r="T189">
        <v>11.4</v>
      </c>
      <c r="U189">
        <v>11.4</v>
      </c>
      <c r="V189">
        <v>11.4</v>
      </c>
      <c r="W189">
        <v>11.4</v>
      </c>
      <c r="X189">
        <v>11.4</v>
      </c>
      <c r="Y189">
        <v>11.4</v>
      </c>
      <c r="Z189">
        <v>11.4</v>
      </c>
      <c r="AA189">
        <v>11.4</v>
      </c>
      <c r="AB189">
        <v>11.4</v>
      </c>
      <c r="AC189">
        <v>11.4</v>
      </c>
      <c r="AD189">
        <v>11.4</v>
      </c>
      <c r="AE189">
        <v>11.4</v>
      </c>
      <c r="AF189">
        <v>11.4</v>
      </c>
      <c r="AG189">
        <v>11.4</v>
      </c>
      <c r="AH189">
        <v>11.4</v>
      </c>
      <c r="AI189">
        <v>11.4</v>
      </c>
      <c r="AJ189">
        <v>11.4</v>
      </c>
      <c r="AK189">
        <v>11.4</v>
      </c>
      <c r="AL189">
        <v>11.4</v>
      </c>
      <c r="AM189">
        <v>11.4</v>
      </c>
      <c r="AN189">
        <v>11.4</v>
      </c>
      <c r="AO189">
        <v>11.4</v>
      </c>
      <c r="AP189">
        <v>11.4</v>
      </c>
      <c r="AQ189">
        <v>11.4</v>
      </c>
      <c r="AR189">
        <v>11.4</v>
      </c>
      <c r="AS189">
        <v>11.4</v>
      </c>
      <c r="AT189">
        <v>11.4</v>
      </c>
      <c r="AU189">
        <v>11.4</v>
      </c>
      <c r="AV189">
        <v>11.4</v>
      </c>
      <c r="AW189" t="s">
        <v>296</v>
      </c>
    </row>
    <row r="190" spans="1:49" ht="12.75">
      <c r="A190" t="s">
        <v>295</v>
      </c>
      <c r="B190" t="s">
        <v>291</v>
      </c>
      <c r="C190" t="s">
        <v>140</v>
      </c>
      <c r="D190" t="s">
        <v>52</v>
      </c>
      <c r="E190" t="s">
        <v>296</v>
      </c>
      <c r="F190" t="s">
        <v>83</v>
      </c>
      <c r="G190" t="s">
        <v>474</v>
      </c>
      <c r="H190" t="s">
        <v>296</v>
      </c>
      <c r="I190" t="s">
        <v>296</v>
      </c>
      <c r="J190" t="s">
        <v>296</v>
      </c>
      <c r="K190" t="s">
        <v>296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 t="s">
        <v>296</v>
      </c>
    </row>
    <row r="191" spans="1:49" ht="12.75">
      <c r="A191" t="s">
        <v>295</v>
      </c>
      <c r="B191" t="s">
        <v>291</v>
      </c>
      <c r="C191" t="s">
        <v>140</v>
      </c>
      <c r="D191" t="s">
        <v>132</v>
      </c>
      <c r="E191" t="s">
        <v>296</v>
      </c>
      <c r="F191" t="s">
        <v>83</v>
      </c>
      <c r="G191" t="s">
        <v>474</v>
      </c>
      <c r="H191" t="s">
        <v>296</v>
      </c>
      <c r="I191" t="s">
        <v>296</v>
      </c>
      <c r="J191" t="s">
        <v>296</v>
      </c>
      <c r="K191" t="s">
        <v>296</v>
      </c>
      <c r="L191">
        <v>1.05</v>
      </c>
      <c r="M191">
        <v>1.05</v>
      </c>
      <c r="N191">
        <v>1.05</v>
      </c>
      <c r="O191">
        <v>1.05</v>
      </c>
      <c r="P191">
        <v>1.05</v>
      </c>
      <c r="Q191">
        <v>1.05</v>
      </c>
      <c r="R191">
        <v>1.05</v>
      </c>
      <c r="S191">
        <v>1.05</v>
      </c>
      <c r="T191">
        <v>1.05</v>
      </c>
      <c r="U191">
        <v>1.05</v>
      </c>
      <c r="V191">
        <v>1.05</v>
      </c>
      <c r="W191">
        <v>1.05</v>
      </c>
      <c r="X191">
        <v>1.05</v>
      </c>
      <c r="Y191">
        <v>1.05</v>
      </c>
      <c r="Z191">
        <v>1.05</v>
      </c>
      <c r="AA191">
        <v>1.05</v>
      </c>
      <c r="AB191">
        <v>1.05</v>
      </c>
      <c r="AC191">
        <v>1.05</v>
      </c>
      <c r="AD191">
        <v>1.05</v>
      </c>
      <c r="AE191">
        <v>1.05</v>
      </c>
      <c r="AF191">
        <v>1.05</v>
      </c>
      <c r="AG191">
        <v>1.05</v>
      </c>
      <c r="AH191">
        <v>1.05</v>
      </c>
      <c r="AI191">
        <v>1.05</v>
      </c>
      <c r="AJ191">
        <v>1.05</v>
      </c>
      <c r="AK191">
        <v>1.05</v>
      </c>
      <c r="AL191">
        <v>1.05</v>
      </c>
      <c r="AM191">
        <v>1.05</v>
      </c>
      <c r="AN191">
        <v>1.05</v>
      </c>
      <c r="AO191">
        <v>1.05</v>
      </c>
      <c r="AP191">
        <v>1.05</v>
      </c>
      <c r="AQ191">
        <v>1.05</v>
      </c>
      <c r="AR191">
        <v>1.05</v>
      </c>
      <c r="AS191">
        <v>1.05</v>
      </c>
      <c r="AT191">
        <v>1.05</v>
      </c>
      <c r="AU191">
        <v>1.05</v>
      </c>
      <c r="AV191">
        <v>1.05</v>
      </c>
      <c r="AW191" t="s">
        <v>296</v>
      </c>
    </row>
    <row r="192" spans="1:49" ht="12.75">
      <c r="A192" t="s">
        <v>295</v>
      </c>
      <c r="B192" t="s">
        <v>291</v>
      </c>
      <c r="C192" t="s">
        <v>141</v>
      </c>
      <c r="D192" t="s">
        <v>57</v>
      </c>
      <c r="E192" t="s">
        <v>296</v>
      </c>
      <c r="F192" t="s">
        <v>83</v>
      </c>
      <c r="G192" t="s">
        <v>474</v>
      </c>
      <c r="H192" t="s">
        <v>296</v>
      </c>
      <c r="I192" t="s">
        <v>296</v>
      </c>
      <c r="J192" t="s">
        <v>296</v>
      </c>
      <c r="K192" t="s">
        <v>296</v>
      </c>
      <c r="L192">
        <v>6</v>
      </c>
      <c r="M192">
        <v>6</v>
      </c>
      <c r="N192">
        <v>6</v>
      </c>
      <c r="O192">
        <v>15</v>
      </c>
      <c r="P192">
        <v>3.96</v>
      </c>
      <c r="Q192">
        <v>6</v>
      </c>
      <c r="R192">
        <v>6</v>
      </c>
      <c r="S192">
        <v>10.92</v>
      </c>
      <c r="T192">
        <v>6</v>
      </c>
      <c r="U192">
        <v>6</v>
      </c>
      <c r="V192">
        <v>6</v>
      </c>
      <c r="W192">
        <v>5.5800000000000001</v>
      </c>
      <c r="X192">
        <v>6</v>
      </c>
      <c r="Y192">
        <v>6</v>
      </c>
      <c r="Z192">
        <v>6</v>
      </c>
      <c r="AA192">
        <v>9.0719999999999992</v>
      </c>
      <c r="AB192">
        <v>6</v>
      </c>
      <c r="AC192">
        <v>6</v>
      </c>
      <c r="AD192">
        <v>13.608000000000001</v>
      </c>
      <c r="AE192">
        <v>6</v>
      </c>
      <c r="AF192">
        <v>6</v>
      </c>
      <c r="AG192">
        <v>6</v>
      </c>
      <c r="AH192">
        <v>6</v>
      </c>
      <c r="AI192">
        <v>6</v>
      </c>
      <c r="AJ192">
        <v>6</v>
      </c>
      <c r="AK192">
        <v>6</v>
      </c>
      <c r="AL192">
        <v>6</v>
      </c>
      <c r="AM192">
        <v>6</v>
      </c>
      <c r="AN192">
        <v>9.7200000000000006</v>
      </c>
      <c r="AO192">
        <v>6</v>
      </c>
      <c r="AP192">
        <v>6</v>
      </c>
      <c r="AQ192">
        <v>6</v>
      </c>
      <c r="AR192">
        <v>6</v>
      </c>
      <c r="AS192">
        <v>6</v>
      </c>
      <c r="AT192">
        <v>6</v>
      </c>
      <c r="AU192">
        <v>6</v>
      </c>
      <c r="AV192">
        <v>6</v>
      </c>
      <c r="AW192" t="s">
        <v>296</v>
      </c>
    </row>
    <row r="193" spans="1:49" ht="12.75">
      <c r="A193" t="s">
        <v>295</v>
      </c>
      <c r="B193" t="s">
        <v>291</v>
      </c>
      <c r="C193" t="s">
        <v>141</v>
      </c>
      <c r="D193" t="s">
        <v>47</v>
      </c>
      <c r="E193" t="s">
        <v>296</v>
      </c>
      <c r="F193" t="s">
        <v>83</v>
      </c>
      <c r="G193" t="s">
        <v>474</v>
      </c>
      <c r="H193" t="s">
        <v>296</v>
      </c>
      <c r="I193" t="s">
        <v>296</v>
      </c>
      <c r="J193" t="s">
        <v>296</v>
      </c>
      <c r="K193" t="s">
        <v>296</v>
      </c>
      <c r="L193">
        <v>4.2999999999999998</v>
      </c>
      <c r="M193">
        <v>4.2999999999999998</v>
      </c>
      <c r="N193">
        <v>4.2999999999999998</v>
      </c>
      <c r="O193">
        <v>4.2999999999999998</v>
      </c>
      <c r="P193">
        <v>4.2999999999999998</v>
      </c>
      <c r="Q193">
        <v>4.2999999999999998</v>
      </c>
      <c r="R193">
        <v>4.2999999999999998</v>
      </c>
      <c r="S193">
        <v>4.2999999999999998</v>
      </c>
      <c r="T193">
        <v>4.2999999999999998</v>
      </c>
      <c r="U193">
        <v>4.2999999999999998</v>
      </c>
      <c r="V193">
        <v>4.2999999999999998</v>
      </c>
      <c r="W193">
        <v>4.2999999999999998</v>
      </c>
      <c r="X193">
        <v>4.2999999999999998</v>
      </c>
      <c r="Y193">
        <v>4.2999999999999998</v>
      </c>
      <c r="Z193">
        <v>4.2999999999999998</v>
      </c>
      <c r="AA193">
        <v>4.2999999999999998</v>
      </c>
      <c r="AB193">
        <v>4.2999999999999998</v>
      </c>
      <c r="AC193">
        <v>4.2999999999999998</v>
      </c>
      <c r="AD193">
        <v>4.2999999999999998</v>
      </c>
      <c r="AE193">
        <v>4.2999999999999998</v>
      </c>
      <c r="AF193">
        <v>4.2999999999999998</v>
      </c>
      <c r="AG193">
        <v>4.2999999999999998</v>
      </c>
      <c r="AH193">
        <v>4.2999999999999998</v>
      </c>
      <c r="AI193">
        <v>4.2999999999999998</v>
      </c>
      <c r="AJ193">
        <v>4.2999999999999998</v>
      </c>
      <c r="AK193">
        <v>4.2999999999999998</v>
      </c>
      <c r="AL193">
        <v>4.2999999999999998</v>
      </c>
      <c r="AM193">
        <v>4.2999999999999998</v>
      </c>
      <c r="AN193">
        <v>4.2999999999999998</v>
      </c>
      <c r="AO193">
        <v>4.2999999999999998</v>
      </c>
      <c r="AP193">
        <v>4.2999999999999998</v>
      </c>
      <c r="AQ193">
        <v>4.2999999999999998</v>
      </c>
      <c r="AR193">
        <v>4.2999999999999998</v>
      </c>
      <c r="AS193">
        <v>4.2999999999999998</v>
      </c>
      <c r="AT193">
        <v>4.2999999999999998</v>
      </c>
      <c r="AU193">
        <v>4.2999999999999998</v>
      </c>
      <c r="AV193">
        <v>4.2999999999999998</v>
      </c>
      <c r="AW193" t="s">
        <v>296</v>
      </c>
    </row>
    <row r="194" spans="1:49" ht="12.75">
      <c r="A194" t="s">
        <v>295</v>
      </c>
      <c r="B194" t="s">
        <v>291</v>
      </c>
      <c r="C194" t="s">
        <v>141</v>
      </c>
      <c r="D194" t="s">
        <v>48</v>
      </c>
      <c r="E194" t="s">
        <v>296</v>
      </c>
      <c r="F194" t="s">
        <v>83</v>
      </c>
      <c r="G194" t="s">
        <v>474</v>
      </c>
      <c r="H194" t="s">
        <v>296</v>
      </c>
      <c r="I194" t="s">
        <v>296</v>
      </c>
      <c r="J194" t="s">
        <v>296</v>
      </c>
      <c r="K194" t="s">
        <v>296</v>
      </c>
      <c r="L194">
        <v>2</v>
      </c>
      <c r="M194">
        <v>2.2000000000000002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3.6400000000000001</v>
      </c>
      <c r="T194">
        <v>3.024</v>
      </c>
      <c r="U194">
        <v>2</v>
      </c>
      <c r="V194">
        <v>2</v>
      </c>
      <c r="W194">
        <v>2</v>
      </c>
      <c r="X194">
        <v>2</v>
      </c>
      <c r="Y194">
        <v>1.9159999999999999</v>
      </c>
      <c r="Z194">
        <v>4.5359999999999996</v>
      </c>
      <c r="AA194">
        <v>3.024</v>
      </c>
      <c r="AB194">
        <v>2</v>
      </c>
      <c r="AC194">
        <v>2</v>
      </c>
      <c r="AD194">
        <v>4.5359999999999996</v>
      </c>
      <c r="AE194">
        <v>0.16200000000000001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1.5</v>
      </c>
      <c r="AO194">
        <v>1.7066666666666701</v>
      </c>
      <c r="AP194">
        <v>2</v>
      </c>
      <c r="AQ194">
        <v>2</v>
      </c>
      <c r="AR194">
        <v>2</v>
      </c>
      <c r="AS194">
        <v>1.95</v>
      </c>
      <c r="AT194">
        <v>2</v>
      </c>
      <c r="AU194">
        <v>3.6000000000000001</v>
      </c>
      <c r="AV194">
        <v>2</v>
      </c>
      <c r="AW194" t="s">
        <v>296</v>
      </c>
    </row>
    <row r="195" spans="1:49" ht="12.75">
      <c r="A195" t="s">
        <v>295</v>
      </c>
      <c r="B195" t="s">
        <v>291</v>
      </c>
      <c r="C195" t="s">
        <v>141</v>
      </c>
      <c r="D195" t="s">
        <v>49</v>
      </c>
      <c r="E195" t="s">
        <v>296</v>
      </c>
      <c r="F195" t="s">
        <v>83</v>
      </c>
      <c r="G195" t="s">
        <v>474</v>
      </c>
      <c r="H195" t="s">
        <v>296</v>
      </c>
      <c r="I195" t="s">
        <v>296</v>
      </c>
      <c r="J195" t="s">
        <v>296</v>
      </c>
      <c r="K195" t="s">
        <v>296</v>
      </c>
      <c r="L195">
        <v>20.100000000000001</v>
      </c>
      <c r="M195">
        <v>20.100000000000001</v>
      </c>
      <c r="N195">
        <v>20.100000000000001</v>
      </c>
      <c r="O195">
        <v>20.100000000000001</v>
      </c>
      <c r="P195">
        <v>20.100000000000001</v>
      </c>
      <c r="Q195">
        <v>20.100000000000001</v>
      </c>
      <c r="R195">
        <v>20.100000000000001</v>
      </c>
      <c r="S195">
        <v>20.100000000000001</v>
      </c>
      <c r="T195">
        <v>20.100000000000001</v>
      </c>
      <c r="U195">
        <v>20.100000000000001</v>
      </c>
      <c r="V195">
        <v>20.100000000000001</v>
      </c>
      <c r="W195">
        <v>20.100000000000001</v>
      </c>
      <c r="X195">
        <v>20.100000000000001</v>
      </c>
      <c r="Y195">
        <v>20.100000000000001</v>
      </c>
      <c r="Z195">
        <v>20.100000000000001</v>
      </c>
      <c r="AA195">
        <v>20.100000000000001</v>
      </c>
      <c r="AB195">
        <v>20.100000000000001</v>
      </c>
      <c r="AC195">
        <v>20.100000000000001</v>
      </c>
      <c r="AD195">
        <v>20.100000000000001</v>
      </c>
      <c r="AE195">
        <v>20.100000000000001</v>
      </c>
      <c r="AF195">
        <v>20.100000000000001</v>
      </c>
      <c r="AG195">
        <v>20.100000000000001</v>
      </c>
      <c r="AH195">
        <v>20.100000000000001</v>
      </c>
      <c r="AI195">
        <v>20.100000000000001</v>
      </c>
      <c r="AJ195">
        <v>20.100000000000001</v>
      </c>
      <c r="AK195">
        <v>20.100000000000001</v>
      </c>
      <c r="AL195">
        <v>20.100000000000001</v>
      </c>
      <c r="AM195">
        <v>20.100000000000001</v>
      </c>
      <c r="AN195">
        <v>20.100000000000001</v>
      </c>
      <c r="AO195">
        <v>20.100000000000001</v>
      </c>
      <c r="AP195">
        <v>20.100000000000001</v>
      </c>
      <c r="AQ195">
        <v>20.100000000000001</v>
      </c>
      <c r="AR195">
        <v>20.100000000000001</v>
      </c>
      <c r="AS195">
        <v>20.100000000000001</v>
      </c>
      <c r="AT195">
        <v>20.100000000000001</v>
      </c>
      <c r="AU195">
        <v>20.100000000000001</v>
      </c>
      <c r="AV195">
        <v>15.3765</v>
      </c>
      <c r="AW195" t="s">
        <v>296</v>
      </c>
    </row>
    <row r="196" spans="1:49" ht="12.75">
      <c r="A196" t="s">
        <v>295</v>
      </c>
      <c r="B196" t="s">
        <v>291</v>
      </c>
      <c r="C196" t="s">
        <v>141</v>
      </c>
      <c r="D196" t="s">
        <v>37</v>
      </c>
      <c r="E196" t="s">
        <v>296</v>
      </c>
      <c r="F196" t="s">
        <v>83</v>
      </c>
      <c r="G196" t="s">
        <v>474</v>
      </c>
      <c r="H196" t="s">
        <v>296</v>
      </c>
      <c r="I196" t="s">
        <v>296</v>
      </c>
      <c r="J196" t="s">
        <v>296</v>
      </c>
      <c r="K196" t="s">
        <v>296</v>
      </c>
      <c r="L196">
        <v>0.5</v>
      </c>
      <c r="M196">
        <v>0.5</v>
      </c>
      <c r="N196">
        <v>0.5</v>
      </c>
      <c r="O196">
        <v>0.5</v>
      </c>
      <c r="P196">
        <v>0.5</v>
      </c>
      <c r="Q196">
        <v>0.5</v>
      </c>
      <c r="R196">
        <v>0.5</v>
      </c>
      <c r="S196">
        <v>0.5</v>
      </c>
      <c r="T196">
        <v>0.5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0.5</v>
      </c>
      <c r="AJ196">
        <v>0.5</v>
      </c>
      <c r="AK196">
        <v>0.5</v>
      </c>
      <c r="AL196">
        <v>0.5</v>
      </c>
      <c r="AM196">
        <v>0.5</v>
      </c>
      <c r="AN196">
        <v>0.5</v>
      </c>
      <c r="AO196">
        <v>0.5</v>
      </c>
      <c r="AP196">
        <v>0.5</v>
      </c>
      <c r="AQ196">
        <v>0.5</v>
      </c>
      <c r="AR196">
        <v>0.5</v>
      </c>
      <c r="AS196">
        <v>0.5</v>
      </c>
      <c r="AT196">
        <v>0.5</v>
      </c>
      <c r="AU196">
        <v>0.5</v>
      </c>
      <c r="AV196">
        <v>0.5</v>
      </c>
      <c r="AW196" t="s">
        <v>296</v>
      </c>
    </row>
    <row r="197" spans="1:49" ht="12.75">
      <c r="A197" t="s">
        <v>295</v>
      </c>
      <c r="B197" t="s">
        <v>291</v>
      </c>
      <c r="C197" t="s">
        <v>141</v>
      </c>
      <c r="D197" t="s">
        <v>42</v>
      </c>
      <c r="E197" t="s">
        <v>296</v>
      </c>
      <c r="F197" t="s">
        <v>83</v>
      </c>
      <c r="G197" t="s">
        <v>474</v>
      </c>
      <c r="H197" t="s">
        <v>296</v>
      </c>
      <c r="I197" t="s">
        <v>296</v>
      </c>
      <c r="J197" t="s">
        <v>296</v>
      </c>
      <c r="K197" t="s">
        <v>296</v>
      </c>
      <c r="L197">
        <v>0.27000000000000002</v>
      </c>
      <c r="M197">
        <v>0.27000000000000002</v>
      </c>
      <c r="N197">
        <v>0.27000000000000002</v>
      </c>
      <c r="O197">
        <v>0.27000000000000002</v>
      </c>
      <c r="P197">
        <v>0.27000000000000002</v>
      </c>
      <c r="Q197">
        <v>0.27000000000000002</v>
      </c>
      <c r="R197">
        <v>0.27000000000000002</v>
      </c>
      <c r="S197">
        <v>0.27000000000000002</v>
      </c>
      <c r="T197">
        <v>0.27000000000000002</v>
      </c>
      <c r="U197">
        <v>0.27000000000000002</v>
      </c>
      <c r="V197">
        <v>0.27000000000000002</v>
      </c>
      <c r="W197">
        <v>0.27000000000000002</v>
      </c>
      <c r="X197">
        <v>0.27000000000000002</v>
      </c>
      <c r="Y197">
        <v>0.27000000000000002</v>
      </c>
      <c r="Z197">
        <v>0.27000000000000002</v>
      </c>
      <c r="AA197">
        <v>0.27000000000000002</v>
      </c>
      <c r="AB197">
        <v>0.27000000000000002</v>
      </c>
      <c r="AC197">
        <v>0.27000000000000002</v>
      </c>
      <c r="AD197">
        <v>0.27000000000000002</v>
      </c>
      <c r="AE197">
        <v>0.27000000000000002</v>
      </c>
      <c r="AF197">
        <v>0.27000000000000002</v>
      </c>
      <c r="AG197">
        <v>0.27000000000000002</v>
      </c>
      <c r="AH197">
        <v>0.27000000000000002</v>
      </c>
      <c r="AI197">
        <v>0.27000000000000002</v>
      </c>
      <c r="AJ197">
        <v>0.27000000000000002</v>
      </c>
      <c r="AK197">
        <v>0.27000000000000002</v>
      </c>
      <c r="AL197">
        <v>0.27000000000000002</v>
      </c>
      <c r="AM197">
        <v>0.27000000000000002</v>
      </c>
      <c r="AN197">
        <v>0.27000000000000002</v>
      </c>
      <c r="AO197">
        <v>0.27000000000000002</v>
      </c>
      <c r="AP197">
        <v>0.27000000000000002</v>
      </c>
      <c r="AQ197">
        <v>0.27000000000000002</v>
      </c>
      <c r="AR197">
        <v>0.27000000000000002</v>
      </c>
      <c r="AS197">
        <v>0.27000000000000002</v>
      </c>
      <c r="AT197">
        <v>0.27000000000000002</v>
      </c>
      <c r="AU197">
        <v>0.27000000000000002</v>
      </c>
      <c r="AV197">
        <v>0.27000000000000002</v>
      </c>
      <c r="AW197" t="s">
        <v>296</v>
      </c>
    </row>
    <row r="198" spans="1:49" ht="12.75">
      <c r="A198" t="s">
        <v>295</v>
      </c>
      <c r="B198" t="s">
        <v>291</v>
      </c>
      <c r="C198" t="s">
        <v>141</v>
      </c>
      <c r="D198" t="s">
        <v>129</v>
      </c>
      <c r="E198" t="s">
        <v>296</v>
      </c>
      <c r="F198" t="s">
        <v>83</v>
      </c>
      <c r="G198" t="s">
        <v>474</v>
      </c>
      <c r="H198" t="s">
        <v>296</v>
      </c>
      <c r="I198" t="s">
        <v>296</v>
      </c>
      <c r="J198" t="s">
        <v>296</v>
      </c>
      <c r="K198" t="s">
        <v>296</v>
      </c>
      <c r="L198">
        <v>0.72999999999999998</v>
      </c>
      <c r="M198">
        <v>0.72999999999999998</v>
      </c>
      <c r="N198">
        <v>0.72999999999999998</v>
      </c>
      <c r="O198">
        <v>0.72999999999999998</v>
      </c>
      <c r="P198">
        <v>0.72999999999999998</v>
      </c>
      <c r="Q198">
        <v>0.72999999999999998</v>
      </c>
      <c r="R198">
        <v>0.72999999999999998</v>
      </c>
      <c r="S198">
        <v>0.72999999999999998</v>
      </c>
      <c r="T198">
        <v>0.72999999999999998</v>
      </c>
      <c r="U198">
        <v>0.72999999999999998</v>
      </c>
      <c r="V198">
        <v>0.72999999999999998</v>
      </c>
      <c r="W198">
        <v>0.72999999999999998</v>
      </c>
      <c r="X198">
        <v>0.72999999999999998</v>
      </c>
      <c r="Y198">
        <v>0.72999999999999998</v>
      </c>
      <c r="Z198">
        <v>0.72999999999999998</v>
      </c>
      <c r="AA198">
        <v>0.72999999999999998</v>
      </c>
      <c r="AB198">
        <v>0.72999999999999998</v>
      </c>
      <c r="AC198">
        <v>0.72999999999999998</v>
      </c>
      <c r="AD198">
        <v>0.72999999999999998</v>
      </c>
      <c r="AE198">
        <v>0.72999999999999998</v>
      </c>
      <c r="AF198">
        <v>0.72999999999999998</v>
      </c>
      <c r="AG198">
        <v>0.72999999999999998</v>
      </c>
      <c r="AH198">
        <v>0.72999999999999998</v>
      </c>
      <c r="AI198">
        <v>0.72999999999999998</v>
      </c>
      <c r="AJ198">
        <v>0.72999999999999998</v>
      </c>
      <c r="AK198">
        <v>0.72999999999999998</v>
      </c>
      <c r="AL198">
        <v>0.72999999999999998</v>
      </c>
      <c r="AM198">
        <v>0.72999999999999998</v>
      </c>
      <c r="AN198">
        <v>0.72999999999999998</v>
      </c>
      <c r="AO198">
        <v>0.72999999999999998</v>
      </c>
      <c r="AP198">
        <v>0.72999999999999998</v>
      </c>
      <c r="AQ198">
        <v>0.72999999999999998</v>
      </c>
      <c r="AR198">
        <v>0.72999999999999998</v>
      </c>
      <c r="AS198">
        <v>0.72999999999999998</v>
      </c>
      <c r="AT198">
        <v>0.72999999999999998</v>
      </c>
      <c r="AU198">
        <v>0.72999999999999998</v>
      </c>
      <c r="AV198">
        <v>0.72999999999999998</v>
      </c>
      <c r="AW198" t="s">
        <v>296</v>
      </c>
    </row>
    <row r="199" spans="1:49" ht="12.75">
      <c r="A199" t="s">
        <v>295</v>
      </c>
      <c r="B199" t="s">
        <v>291</v>
      </c>
      <c r="C199" t="s">
        <v>141</v>
      </c>
      <c r="D199" t="s">
        <v>136</v>
      </c>
      <c r="E199" t="s">
        <v>296</v>
      </c>
      <c r="F199" t="s">
        <v>83</v>
      </c>
      <c r="G199" t="s">
        <v>474</v>
      </c>
      <c r="H199" t="s">
        <v>296</v>
      </c>
      <c r="I199" t="s">
        <v>296</v>
      </c>
      <c r="J199" t="s">
        <v>296</v>
      </c>
      <c r="K199" t="s">
        <v>296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 t="s">
        <v>296</v>
      </c>
    </row>
    <row r="200" spans="1:49" ht="12.75">
      <c r="A200" t="s">
        <v>295</v>
      </c>
      <c r="B200" t="s">
        <v>291</v>
      </c>
      <c r="C200" t="s">
        <v>141</v>
      </c>
      <c r="D200" t="s">
        <v>135</v>
      </c>
      <c r="E200" t="s">
        <v>296</v>
      </c>
      <c r="F200" t="s">
        <v>83</v>
      </c>
      <c r="G200" t="s">
        <v>474</v>
      </c>
      <c r="H200" t="s">
        <v>296</v>
      </c>
      <c r="I200" t="s">
        <v>296</v>
      </c>
      <c r="J200" t="s">
        <v>296</v>
      </c>
      <c r="K200" t="s">
        <v>296</v>
      </c>
      <c r="L200">
        <v>1.5</v>
      </c>
      <c r="M200">
        <v>1.5</v>
      </c>
      <c r="N200">
        <v>1.5</v>
      </c>
      <c r="O200">
        <v>1.5</v>
      </c>
      <c r="P200">
        <v>1.5</v>
      </c>
      <c r="Q200">
        <v>1.5</v>
      </c>
      <c r="R200">
        <v>1.5</v>
      </c>
      <c r="S200">
        <v>1.5</v>
      </c>
      <c r="T200">
        <v>1.5</v>
      </c>
      <c r="U200">
        <v>1.5</v>
      </c>
      <c r="V200">
        <v>1.5</v>
      </c>
      <c r="W200">
        <v>1.5</v>
      </c>
      <c r="X200">
        <v>1.5</v>
      </c>
      <c r="Y200">
        <v>1.5</v>
      </c>
      <c r="Z200">
        <v>1.5</v>
      </c>
      <c r="AA200">
        <v>1.5</v>
      </c>
      <c r="AB200">
        <v>1.5</v>
      </c>
      <c r="AC200">
        <v>1.5</v>
      </c>
      <c r="AD200">
        <v>1.5</v>
      </c>
      <c r="AE200">
        <v>1.5</v>
      </c>
      <c r="AF200">
        <v>1.5</v>
      </c>
      <c r="AG200">
        <v>1.5</v>
      </c>
      <c r="AH200">
        <v>1.5</v>
      </c>
      <c r="AI200">
        <v>1.5</v>
      </c>
      <c r="AJ200">
        <v>1.5</v>
      </c>
      <c r="AK200">
        <v>1.5</v>
      </c>
      <c r="AL200">
        <v>1.5</v>
      </c>
      <c r="AM200">
        <v>1.5</v>
      </c>
      <c r="AN200">
        <v>1.5</v>
      </c>
      <c r="AO200">
        <v>1.5</v>
      </c>
      <c r="AP200">
        <v>1.5</v>
      </c>
      <c r="AQ200">
        <v>1.5</v>
      </c>
      <c r="AR200">
        <v>1.5</v>
      </c>
      <c r="AS200">
        <v>1.5</v>
      </c>
      <c r="AT200">
        <v>1.5</v>
      </c>
      <c r="AU200">
        <v>1.5</v>
      </c>
      <c r="AV200">
        <v>1.5</v>
      </c>
      <c r="AW200" t="s">
        <v>296</v>
      </c>
    </row>
    <row r="201" spans="1:49" ht="12.75">
      <c r="A201" t="s">
        <v>295</v>
      </c>
      <c r="B201" t="s">
        <v>291</v>
      </c>
      <c r="C201" t="s">
        <v>142</v>
      </c>
      <c r="D201" t="s">
        <v>37</v>
      </c>
      <c r="E201" t="s">
        <v>296</v>
      </c>
      <c r="F201" t="s">
        <v>83</v>
      </c>
      <c r="G201" t="s">
        <v>474</v>
      </c>
      <c r="H201" t="s">
        <v>296</v>
      </c>
      <c r="I201" t="s">
        <v>296</v>
      </c>
      <c r="J201" t="s">
        <v>296</v>
      </c>
      <c r="K201" t="s">
        <v>296</v>
      </c>
      <c r="L201">
        <v>2.25</v>
      </c>
      <c r="M201">
        <v>2.25</v>
      </c>
      <c r="N201">
        <v>2.25</v>
      </c>
      <c r="O201">
        <v>2.25</v>
      </c>
      <c r="P201">
        <v>2.25</v>
      </c>
      <c r="Q201">
        <v>2.25</v>
      </c>
      <c r="R201">
        <v>2.25</v>
      </c>
      <c r="S201">
        <v>2.25</v>
      </c>
      <c r="T201">
        <v>2.25</v>
      </c>
      <c r="U201">
        <v>2.25</v>
      </c>
      <c r="V201">
        <v>2.25</v>
      </c>
      <c r="W201">
        <v>2.25</v>
      </c>
      <c r="X201">
        <v>2.25</v>
      </c>
      <c r="Y201">
        <v>2.25</v>
      </c>
      <c r="Z201">
        <v>2.25</v>
      </c>
      <c r="AA201">
        <v>2.25</v>
      </c>
      <c r="AB201">
        <v>2.25</v>
      </c>
      <c r="AC201">
        <v>2.25</v>
      </c>
      <c r="AD201">
        <v>2.25</v>
      </c>
      <c r="AE201">
        <v>2.25</v>
      </c>
      <c r="AF201">
        <v>2.25</v>
      </c>
      <c r="AG201">
        <v>2.25</v>
      </c>
      <c r="AH201">
        <v>2.25</v>
      </c>
      <c r="AI201">
        <v>2.25</v>
      </c>
      <c r="AJ201">
        <v>2.25</v>
      </c>
      <c r="AK201">
        <v>2.25</v>
      </c>
      <c r="AL201">
        <v>2.25</v>
      </c>
      <c r="AM201">
        <v>2.25</v>
      </c>
      <c r="AN201">
        <v>2.25</v>
      </c>
      <c r="AO201">
        <v>2.25</v>
      </c>
      <c r="AP201">
        <v>2.25</v>
      </c>
      <c r="AQ201">
        <v>2.25</v>
      </c>
      <c r="AR201">
        <v>2.25</v>
      </c>
      <c r="AS201">
        <v>2.25</v>
      </c>
      <c r="AT201">
        <v>2.25</v>
      </c>
      <c r="AU201">
        <v>2.25</v>
      </c>
      <c r="AV201">
        <v>2.25</v>
      </c>
      <c r="AW201" t="s">
        <v>296</v>
      </c>
    </row>
    <row r="202" spans="1:49" ht="12.75">
      <c r="A202" t="s">
        <v>295</v>
      </c>
      <c r="B202" t="s">
        <v>291</v>
      </c>
      <c r="C202" t="s">
        <v>142</v>
      </c>
      <c r="D202" t="s">
        <v>38</v>
      </c>
      <c r="E202" t="s">
        <v>296</v>
      </c>
      <c r="F202" t="s">
        <v>83</v>
      </c>
      <c r="G202" t="s">
        <v>474</v>
      </c>
      <c r="H202" t="s">
        <v>296</v>
      </c>
      <c r="I202" t="s">
        <v>296</v>
      </c>
      <c r="J202" t="s">
        <v>296</v>
      </c>
      <c r="K202" t="s">
        <v>296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3</v>
      </c>
      <c r="W202">
        <v>3</v>
      </c>
      <c r="X202">
        <v>3</v>
      </c>
      <c r="Y202">
        <v>3</v>
      </c>
      <c r="Z202">
        <v>3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3</v>
      </c>
      <c r="AH202">
        <v>3</v>
      </c>
      <c r="AI202">
        <v>3</v>
      </c>
      <c r="AJ202">
        <v>3</v>
      </c>
      <c r="AK202">
        <v>3</v>
      </c>
      <c r="AL202">
        <v>3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3</v>
      </c>
      <c r="AS202">
        <v>3</v>
      </c>
      <c r="AT202">
        <v>3</v>
      </c>
      <c r="AU202">
        <v>3</v>
      </c>
      <c r="AV202">
        <v>3</v>
      </c>
      <c r="AW202" t="s">
        <v>296</v>
      </c>
    </row>
    <row r="203" spans="1:49" ht="12.75">
      <c r="A203" t="s">
        <v>295</v>
      </c>
      <c r="B203" t="s">
        <v>291</v>
      </c>
      <c r="C203" t="s">
        <v>142</v>
      </c>
      <c r="D203" t="s">
        <v>52</v>
      </c>
      <c r="E203" t="s">
        <v>296</v>
      </c>
      <c r="F203" t="s">
        <v>83</v>
      </c>
      <c r="G203" t="s">
        <v>474</v>
      </c>
      <c r="H203" t="s">
        <v>296</v>
      </c>
      <c r="I203" t="s">
        <v>296</v>
      </c>
      <c r="J203" t="s">
        <v>296</v>
      </c>
      <c r="K203" t="s">
        <v>296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 t="s">
        <v>296</v>
      </c>
    </row>
    <row r="204" spans="1:49" ht="12.75">
      <c r="A204" t="s">
        <v>295</v>
      </c>
      <c r="B204" t="s">
        <v>291</v>
      </c>
      <c r="C204" t="s">
        <v>142</v>
      </c>
      <c r="D204" t="s">
        <v>143</v>
      </c>
      <c r="E204" t="s">
        <v>296</v>
      </c>
      <c r="F204" t="s">
        <v>83</v>
      </c>
      <c r="G204" t="s">
        <v>474</v>
      </c>
      <c r="H204" t="s">
        <v>296</v>
      </c>
      <c r="I204" t="s">
        <v>296</v>
      </c>
      <c r="J204" t="s">
        <v>296</v>
      </c>
      <c r="K204" t="s">
        <v>296</v>
      </c>
      <c r="L204">
        <v>1.05</v>
      </c>
      <c r="M204">
        <v>1.05</v>
      </c>
      <c r="N204">
        <v>1.05</v>
      </c>
      <c r="O204">
        <v>1.05</v>
      </c>
      <c r="P204">
        <v>1.05</v>
      </c>
      <c r="Q204">
        <v>1.05</v>
      </c>
      <c r="R204">
        <v>1.05</v>
      </c>
      <c r="S204">
        <v>1.05</v>
      </c>
      <c r="T204">
        <v>1.05</v>
      </c>
      <c r="U204">
        <v>1.05</v>
      </c>
      <c r="V204">
        <v>1.05</v>
      </c>
      <c r="W204">
        <v>1.05</v>
      </c>
      <c r="X204">
        <v>1.05</v>
      </c>
      <c r="Y204">
        <v>1.05</v>
      </c>
      <c r="Z204">
        <v>1.05</v>
      </c>
      <c r="AA204">
        <v>1.05</v>
      </c>
      <c r="AB204">
        <v>1.05</v>
      </c>
      <c r="AC204">
        <v>1.05</v>
      </c>
      <c r="AD204">
        <v>1.05</v>
      </c>
      <c r="AE204">
        <v>1.05</v>
      </c>
      <c r="AF204">
        <v>1.05</v>
      </c>
      <c r="AG204">
        <v>1.05</v>
      </c>
      <c r="AH204">
        <v>1.05</v>
      </c>
      <c r="AI204">
        <v>1.05</v>
      </c>
      <c r="AJ204">
        <v>1.05</v>
      </c>
      <c r="AK204">
        <v>1.05</v>
      </c>
      <c r="AL204">
        <v>1.05</v>
      </c>
      <c r="AM204">
        <v>1.05</v>
      </c>
      <c r="AN204">
        <v>1.05</v>
      </c>
      <c r="AO204">
        <v>1.05</v>
      </c>
      <c r="AP204">
        <v>1.05</v>
      </c>
      <c r="AQ204">
        <v>1.05</v>
      </c>
      <c r="AR204">
        <v>1.05</v>
      </c>
      <c r="AS204">
        <v>1.05</v>
      </c>
      <c r="AT204">
        <v>1.05</v>
      </c>
      <c r="AU204">
        <v>1.05</v>
      </c>
      <c r="AV204">
        <v>1.05</v>
      </c>
      <c r="AW204" t="s">
        <v>296</v>
      </c>
    </row>
    <row r="205" spans="1:49" ht="12.75">
      <c r="A205" t="s">
        <v>295</v>
      </c>
      <c r="B205" t="s">
        <v>291</v>
      </c>
      <c r="C205" t="s">
        <v>142</v>
      </c>
      <c r="D205" t="s">
        <v>129</v>
      </c>
      <c r="E205" t="s">
        <v>296</v>
      </c>
      <c r="F205" t="s">
        <v>83</v>
      </c>
      <c r="G205" t="s">
        <v>474</v>
      </c>
      <c r="H205" t="s">
        <v>296</v>
      </c>
      <c r="I205" t="s">
        <v>296</v>
      </c>
      <c r="J205" t="s">
        <v>296</v>
      </c>
      <c r="K205" t="s">
        <v>296</v>
      </c>
      <c r="L205">
        <v>0.5</v>
      </c>
      <c r="M205">
        <v>0.5</v>
      </c>
      <c r="N205">
        <v>0.5</v>
      </c>
      <c r="O205">
        <v>0.5</v>
      </c>
      <c r="P205">
        <v>0.5</v>
      </c>
      <c r="Q205">
        <v>0.5</v>
      </c>
      <c r="R205">
        <v>0.5</v>
      </c>
      <c r="S205">
        <v>0.5</v>
      </c>
      <c r="T205">
        <v>0.5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0.5</v>
      </c>
      <c r="AI205">
        <v>0.5</v>
      </c>
      <c r="AJ205">
        <v>0.5</v>
      </c>
      <c r="AK205">
        <v>0.5</v>
      </c>
      <c r="AL205">
        <v>0.5</v>
      </c>
      <c r="AM205">
        <v>0.5</v>
      </c>
      <c r="AN205">
        <v>0.5</v>
      </c>
      <c r="AO205">
        <v>0.5</v>
      </c>
      <c r="AP205">
        <v>0.5</v>
      </c>
      <c r="AQ205">
        <v>0.5</v>
      </c>
      <c r="AR205">
        <v>0.5</v>
      </c>
      <c r="AS205">
        <v>0.5</v>
      </c>
      <c r="AT205">
        <v>0.5</v>
      </c>
      <c r="AU205">
        <v>0.5</v>
      </c>
      <c r="AV205">
        <v>0.5</v>
      </c>
      <c r="AW205" t="s">
        <v>296</v>
      </c>
    </row>
    <row r="206" spans="1:49" ht="12.75">
      <c r="A206" t="s">
        <v>295</v>
      </c>
      <c r="B206" t="s">
        <v>291</v>
      </c>
      <c r="C206" t="s">
        <v>142</v>
      </c>
      <c r="D206" t="s">
        <v>132</v>
      </c>
      <c r="E206" t="s">
        <v>296</v>
      </c>
      <c r="F206" t="s">
        <v>83</v>
      </c>
      <c r="G206" t="s">
        <v>474</v>
      </c>
      <c r="H206" t="s">
        <v>296</v>
      </c>
      <c r="I206" t="s">
        <v>296</v>
      </c>
      <c r="J206" t="s">
        <v>296</v>
      </c>
      <c r="K206" t="s">
        <v>296</v>
      </c>
      <c r="L206">
        <v>0.029999999999999999</v>
      </c>
      <c r="M206">
        <v>0.029999999999999999</v>
      </c>
      <c r="N206">
        <v>0.029999999999999999</v>
      </c>
      <c r="O206">
        <v>0.029999999999999999</v>
      </c>
      <c r="P206">
        <v>0.029999999999999999</v>
      </c>
      <c r="Q206">
        <v>0.029999999999999999</v>
      </c>
      <c r="R206">
        <v>0.029999999999999999</v>
      </c>
      <c r="S206">
        <v>0.029999999999999999</v>
      </c>
      <c r="T206">
        <v>0.029999999999999999</v>
      </c>
      <c r="U206">
        <v>0.029999999999999999</v>
      </c>
      <c r="V206">
        <v>0.029999999999999999</v>
      </c>
      <c r="W206">
        <v>0.029999999999999999</v>
      </c>
      <c r="X206">
        <v>0.029999999999999999</v>
      </c>
      <c r="Y206">
        <v>0.029999999999999999</v>
      </c>
      <c r="Z206">
        <v>0.029999999999999999</v>
      </c>
      <c r="AA206">
        <v>0.029999999999999999</v>
      </c>
      <c r="AB206">
        <v>0.029999999999999999</v>
      </c>
      <c r="AC206">
        <v>0.029999999999999999</v>
      </c>
      <c r="AD206">
        <v>0.029999999999999999</v>
      </c>
      <c r="AE206">
        <v>0.029999999999999999</v>
      </c>
      <c r="AF206">
        <v>0.029999999999999999</v>
      </c>
      <c r="AG206">
        <v>0.029999999999999999</v>
      </c>
      <c r="AH206">
        <v>0.029999999999999999</v>
      </c>
      <c r="AI206">
        <v>0.029999999999999999</v>
      </c>
      <c r="AJ206">
        <v>0.029999999999999999</v>
      </c>
      <c r="AK206">
        <v>0.029999999999999999</v>
      </c>
      <c r="AL206">
        <v>0.029999999999999999</v>
      </c>
      <c r="AM206">
        <v>0.029999999999999999</v>
      </c>
      <c r="AN206">
        <v>0.029999999999999999</v>
      </c>
      <c r="AO206">
        <v>0.029999999999999999</v>
      </c>
      <c r="AP206">
        <v>0.029999999999999999</v>
      </c>
      <c r="AQ206">
        <v>0.029999999999999999</v>
      </c>
      <c r="AR206">
        <v>0.029999999999999999</v>
      </c>
      <c r="AS206">
        <v>0.029999999999999999</v>
      </c>
      <c r="AT206">
        <v>0.029999999999999999</v>
      </c>
      <c r="AU206">
        <v>0.029999999999999999</v>
      </c>
      <c r="AV206">
        <v>0.029999999999999999</v>
      </c>
      <c r="AW206" t="s">
        <v>296</v>
      </c>
    </row>
    <row r="207" spans="1:49" ht="12.75">
      <c r="A207" t="s">
        <v>295</v>
      </c>
      <c r="B207" t="s">
        <v>291</v>
      </c>
      <c r="C207" t="s">
        <v>144</v>
      </c>
      <c r="D207" t="s">
        <v>37</v>
      </c>
      <c r="E207" t="s">
        <v>296</v>
      </c>
      <c r="F207" t="s">
        <v>83</v>
      </c>
      <c r="G207" t="s">
        <v>474</v>
      </c>
      <c r="H207" t="s">
        <v>296</v>
      </c>
      <c r="I207" t="s">
        <v>296</v>
      </c>
      <c r="J207" t="s">
        <v>296</v>
      </c>
      <c r="K207" t="s">
        <v>296</v>
      </c>
      <c r="L207">
        <v>0.69999999999999996</v>
      </c>
      <c r="M207">
        <v>0.69999999999999996</v>
      </c>
      <c r="N207">
        <v>0.69999999999999996</v>
      </c>
      <c r="O207">
        <v>0.69999999999999996</v>
      </c>
      <c r="P207">
        <v>0.69999999999999996</v>
      </c>
      <c r="Q207">
        <v>0.69999999999999996</v>
      </c>
      <c r="R207">
        <v>0.69999999999999996</v>
      </c>
      <c r="S207">
        <v>0.69999999999999996</v>
      </c>
      <c r="T207">
        <v>0.69999999999999996</v>
      </c>
      <c r="U207">
        <v>0.69999999999999996</v>
      </c>
      <c r="V207">
        <v>0.69999999999999996</v>
      </c>
      <c r="W207">
        <v>0.69999999999999996</v>
      </c>
      <c r="X207">
        <v>0.69999999999999996</v>
      </c>
      <c r="Y207">
        <v>0.69999999999999996</v>
      </c>
      <c r="Z207">
        <v>0.69999999999999996</v>
      </c>
      <c r="AA207">
        <v>0.69999999999999996</v>
      </c>
      <c r="AB207">
        <v>0.69999999999999996</v>
      </c>
      <c r="AC207">
        <v>0.69999999999999996</v>
      </c>
      <c r="AD207">
        <v>0.69999999999999996</v>
      </c>
      <c r="AE207">
        <v>0.69999999999999996</v>
      </c>
      <c r="AF207">
        <v>0.69999999999999996</v>
      </c>
      <c r="AG207">
        <v>0.69999999999999996</v>
      </c>
      <c r="AH207">
        <v>0.69999999999999996</v>
      </c>
      <c r="AI207">
        <v>0.69999999999999996</v>
      </c>
      <c r="AJ207">
        <v>0.69999999999999996</v>
      </c>
      <c r="AK207">
        <v>0.69999999999999996</v>
      </c>
      <c r="AL207">
        <v>0.69999999999999996</v>
      </c>
      <c r="AM207">
        <v>0.69999999999999996</v>
      </c>
      <c r="AN207">
        <v>0.69999999999999996</v>
      </c>
      <c r="AO207">
        <v>0.69999999999999996</v>
      </c>
      <c r="AP207">
        <v>0.69999999999999996</v>
      </c>
      <c r="AQ207">
        <v>0.69999999999999996</v>
      </c>
      <c r="AR207">
        <v>0.69999999999999996</v>
      </c>
      <c r="AS207">
        <v>0.69999999999999996</v>
      </c>
      <c r="AT207">
        <v>0.69999999999999996</v>
      </c>
      <c r="AU207">
        <v>0.69999999999999996</v>
      </c>
      <c r="AV207">
        <v>0.69999999999999996</v>
      </c>
      <c r="AW207" t="s">
        <v>296</v>
      </c>
    </row>
    <row r="208" spans="1:49" ht="12.75">
      <c r="A208" t="s">
        <v>295</v>
      </c>
      <c r="B208" t="s">
        <v>291</v>
      </c>
      <c r="C208" t="s">
        <v>144</v>
      </c>
      <c r="D208" t="s">
        <v>38</v>
      </c>
      <c r="E208" t="s">
        <v>296</v>
      </c>
      <c r="F208" t="s">
        <v>83</v>
      </c>
      <c r="G208" t="s">
        <v>474</v>
      </c>
      <c r="H208" t="s">
        <v>296</v>
      </c>
      <c r="I208" t="s">
        <v>296</v>
      </c>
      <c r="J208" t="s">
        <v>296</v>
      </c>
      <c r="K208" t="s">
        <v>296</v>
      </c>
      <c r="L208">
        <v>11</v>
      </c>
      <c r="M208">
        <v>11</v>
      </c>
      <c r="N208">
        <v>11</v>
      </c>
      <c r="O208">
        <v>11</v>
      </c>
      <c r="P208">
        <v>11</v>
      </c>
      <c r="Q208">
        <v>11</v>
      </c>
      <c r="R208">
        <v>11</v>
      </c>
      <c r="S208">
        <v>11</v>
      </c>
      <c r="T208">
        <v>11</v>
      </c>
      <c r="U208">
        <v>11</v>
      </c>
      <c r="V208">
        <v>11</v>
      </c>
      <c r="W208">
        <v>11</v>
      </c>
      <c r="X208">
        <v>11</v>
      </c>
      <c r="Y208">
        <v>11</v>
      </c>
      <c r="Z208">
        <v>11</v>
      </c>
      <c r="AA208">
        <v>11</v>
      </c>
      <c r="AB208">
        <v>11</v>
      </c>
      <c r="AC208">
        <v>11</v>
      </c>
      <c r="AD208">
        <v>11</v>
      </c>
      <c r="AE208">
        <v>11</v>
      </c>
      <c r="AF208">
        <v>11</v>
      </c>
      <c r="AG208">
        <v>11</v>
      </c>
      <c r="AH208">
        <v>11</v>
      </c>
      <c r="AI208">
        <v>11</v>
      </c>
      <c r="AJ208">
        <v>11</v>
      </c>
      <c r="AK208">
        <v>11</v>
      </c>
      <c r="AL208">
        <v>11</v>
      </c>
      <c r="AM208">
        <v>11</v>
      </c>
      <c r="AN208">
        <v>11</v>
      </c>
      <c r="AO208">
        <v>11</v>
      </c>
      <c r="AP208">
        <v>11</v>
      </c>
      <c r="AQ208">
        <v>11</v>
      </c>
      <c r="AR208">
        <v>11</v>
      </c>
      <c r="AS208">
        <v>11</v>
      </c>
      <c r="AT208">
        <v>11</v>
      </c>
      <c r="AU208">
        <v>11</v>
      </c>
      <c r="AV208">
        <v>11</v>
      </c>
      <c r="AW208" t="s">
        <v>296</v>
      </c>
    </row>
    <row r="209" spans="1:49" ht="12.75">
      <c r="A209" t="s">
        <v>295</v>
      </c>
      <c r="B209" t="s">
        <v>291</v>
      </c>
      <c r="C209" t="s">
        <v>144</v>
      </c>
      <c r="D209" t="s">
        <v>143</v>
      </c>
      <c r="E209" t="s">
        <v>296</v>
      </c>
      <c r="F209" t="s">
        <v>83</v>
      </c>
      <c r="G209" t="s">
        <v>474</v>
      </c>
      <c r="H209" t="s">
        <v>296</v>
      </c>
      <c r="I209" t="s">
        <v>296</v>
      </c>
      <c r="J209" t="s">
        <v>296</v>
      </c>
      <c r="K209" t="s">
        <v>296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 t="s">
        <v>296</v>
      </c>
    </row>
    <row r="210" spans="1:49" ht="12.75">
      <c r="A210" t="s">
        <v>295</v>
      </c>
      <c r="B210" t="s">
        <v>291</v>
      </c>
      <c r="C210" t="s">
        <v>144</v>
      </c>
      <c r="D210" t="s">
        <v>134</v>
      </c>
      <c r="E210" t="s">
        <v>296</v>
      </c>
      <c r="F210" t="s">
        <v>83</v>
      </c>
      <c r="G210" t="s">
        <v>474</v>
      </c>
      <c r="H210" t="s">
        <v>296</v>
      </c>
      <c r="I210" t="s">
        <v>296</v>
      </c>
      <c r="J210" t="s">
        <v>296</v>
      </c>
      <c r="K210" t="s">
        <v>296</v>
      </c>
      <c r="L210">
        <v>1.5</v>
      </c>
      <c r="M210">
        <v>1.5</v>
      </c>
      <c r="N210">
        <v>1.5</v>
      </c>
      <c r="O210">
        <v>1.5</v>
      </c>
      <c r="P210">
        <v>1.5</v>
      </c>
      <c r="Q210">
        <v>1.5</v>
      </c>
      <c r="R210">
        <v>1.5</v>
      </c>
      <c r="S210">
        <v>1.5</v>
      </c>
      <c r="T210">
        <v>1.5</v>
      </c>
      <c r="U210">
        <v>1.5</v>
      </c>
      <c r="V210">
        <v>1.5</v>
      </c>
      <c r="W210">
        <v>1.5</v>
      </c>
      <c r="X210">
        <v>1.5</v>
      </c>
      <c r="Y210">
        <v>1.5</v>
      </c>
      <c r="Z210">
        <v>1.5</v>
      </c>
      <c r="AA210">
        <v>1.5</v>
      </c>
      <c r="AB210">
        <v>1.5</v>
      </c>
      <c r="AC210">
        <v>1.5</v>
      </c>
      <c r="AD210">
        <v>1.5</v>
      </c>
      <c r="AE210">
        <v>1.5</v>
      </c>
      <c r="AF210">
        <v>1.5</v>
      </c>
      <c r="AG210">
        <v>1.5</v>
      </c>
      <c r="AH210">
        <v>1.5</v>
      </c>
      <c r="AI210">
        <v>1.5</v>
      </c>
      <c r="AJ210">
        <v>1.5</v>
      </c>
      <c r="AK210">
        <v>1.5</v>
      </c>
      <c r="AL210">
        <v>1.5</v>
      </c>
      <c r="AM210">
        <v>1.5</v>
      </c>
      <c r="AN210">
        <v>1.5</v>
      </c>
      <c r="AO210">
        <v>1.5</v>
      </c>
      <c r="AP210">
        <v>1.5</v>
      </c>
      <c r="AQ210">
        <v>1.5</v>
      </c>
      <c r="AR210">
        <v>1.5</v>
      </c>
      <c r="AS210">
        <v>1.5</v>
      </c>
      <c r="AT210">
        <v>1.5</v>
      </c>
      <c r="AU210">
        <v>1.5</v>
      </c>
      <c r="AV210">
        <v>1.5</v>
      </c>
      <c r="AW210" t="s">
        <v>296</v>
      </c>
    </row>
    <row r="211" spans="1:49" ht="12.75">
      <c r="A211" t="s">
        <v>295</v>
      </c>
      <c r="B211" t="s">
        <v>291</v>
      </c>
      <c r="C211" t="s">
        <v>145</v>
      </c>
      <c r="D211" t="s">
        <v>37</v>
      </c>
      <c r="E211" t="s">
        <v>296</v>
      </c>
      <c r="F211" t="s">
        <v>83</v>
      </c>
      <c r="G211" t="s">
        <v>474</v>
      </c>
      <c r="H211" t="s">
        <v>296</v>
      </c>
      <c r="I211" t="s">
        <v>296</v>
      </c>
      <c r="J211" t="s">
        <v>296</v>
      </c>
      <c r="K211" t="s">
        <v>296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1.2</v>
      </c>
      <c r="U211">
        <v>1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1.2</v>
      </c>
      <c r="AB211">
        <v>1.2</v>
      </c>
      <c r="AC211">
        <v>2</v>
      </c>
      <c r="AD211">
        <v>2.5</v>
      </c>
      <c r="AE211">
        <v>2</v>
      </c>
      <c r="AF211">
        <v>2</v>
      </c>
      <c r="AG211">
        <v>2</v>
      </c>
      <c r="AH211">
        <v>2</v>
      </c>
      <c r="AI211">
        <v>0.80000000000000004</v>
      </c>
      <c r="AJ211">
        <v>2.5</v>
      </c>
      <c r="AK211">
        <v>2</v>
      </c>
      <c r="AL211">
        <v>2</v>
      </c>
      <c r="AM211">
        <v>1.74</v>
      </c>
      <c r="AN211">
        <v>2.2000000000000002</v>
      </c>
      <c r="AO211">
        <v>2</v>
      </c>
      <c r="AP211">
        <v>2.145</v>
      </c>
      <c r="AQ211">
        <v>2</v>
      </c>
      <c r="AR211">
        <v>2</v>
      </c>
      <c r="AS211">
        <v>2</v>
      </c>
      <c r="AT211">
        <v>2</v>
      </c>
      <c r="AU211">
        <v>2</v>
      </c>
      <c r="AV211">
        <v>1.8999999999999999</v>
      </c>
      <c r="AW211" t="s">
        <v>296</v>
      </c>
    </row>
    <row r="212" spans="1:49" ht="12.75">
      <c r="A212" t="s">
        <v>295</v>
      </c>
      <c r="B212" t="s">
        <v>291</v>
      </c>
      <c r="C212" t="s">
        <v>145</v>
      </c>
      <c r="D212" t="s">
        <v>38</v>
      </c>
      <c r="E212" t="s">
        <v>296</v>
      </c>
      <c r="F212" t="s">
        <v>83</v>
      </c>
      <c r="G212" t="s">
        <v>474</v>
      </c>
      <c r="H212" t="s">
        <v>296</v>
      </c>
      <c r="I212" t="s">
        <v>296</v>
      </c>
      <c r="J212" t="s">
        <v>296</v>
      </c>
      <c r="K212" t="s">
        <v>296</v>
      </c>
      <c r="L212">
        <v>0.5</v>
      </c>
      <c r="M212">
        <v>0.5</v>
      </c>
      <c r="N212">
        <v>0.5</v>
      </c>
      <c r="O212">
        <v>1.5</v>
      </c>
      <c r="P212">
        <v>0.5</v>
      </c>
      <c r="Q212">
        <v>0.5</v>
      </c>
      <c r="R212">
        <v>0.5</v>
      </c>
      <c r="S212">
        <v>0.5</v>
      </c>
      <c r="T212">
        <v>0.5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0.065000000000000002</v>
      </c>
      <c r="AH212">
        <v>0.5</v>
      </c>
      <c r="AI212">
        <v>1.75</v>
      </c>
      <c r="AJ212">
        <v>0</v>
      </c>
      <c r="AK212">
        <v>0.5</v>
      </c>
      <c r="AL212">
        <v>0.5</v>
      </c>
      <c r="AM212">
        <v>0.5</v>
      </c>
      <c r="AN212">
        <v>0</v>
      </c>
      <c r="AO212">
        <v>0.5</v>
      </c>
      <c r="AP212">
        <v>0.5</v>
      </c>
      <c r="AQ212">
        <v>0.5</v>
      </c>
      <c r="AR212">
        <v>0.5</v>
      </c>
      <c r="AS212">
        <v>0.44</v>
      </c>
      <c r="AT212">
        <v>0.5</v>
      </c>
      <c r="AU212">
        <v>0.5</v>
      </c>
      <c r="AV212">
        <v>0.5</v>
      </c>
      <c r="AW212" t="s">
        <v>296</v>
      </c>
    </row>
    <row r="213" spans="1:49" ht="12.75">
      <c r="A213" t="s">
        <v>295</v>
      </c>
      <c r="B213" t="s">
        <v>291</v>
      </c>
      <c r="C213" t="s">
        <v>145</v>
      </c>
      <c r="D213" t="s">
        <v>52</v>
      </c>
      <c r="E213" t="s">
        <v>296</v>
      </c>
      <c r="F213" t="s">
        <v>83</v>
      </c>
      <c r="G213" t="s">
        <v>474</v>
      </c>
      <c r="H213" t="s">
        <v>296</v>
      </c>
      <c r="I213" t="s">
        <v>296</v>
      </c>
      <c r="J213" t="s">
        <v>296</v>
      </c>
      <c r="K213" t="s">
        <v>296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 t="s">
        <v>296</v>
      </c>
    </row>
    <row r="214" spans="1:49" ht="12.75">
      <c r="A214" t="s">
        <v>295</v>
      </c>
      <c r="B214" t="s">
        <v>291</v>
      </c>
      <c r="C214" t="s">
        <v>145</v>
      </c>
      <c r="D214" t="s">
        <v>129</v>
      </c>
      <c r="E214" t="s">
        <v>296</v>
      </c>
      <c r="F214" t="s">
        <v>83</v>
      </c>
      <c r="G214" t="s">
        <v>474</v>
      </c>
      <c r="H214" t="s">
        <v>296</v>
      </c>
      <c r="I214" t="s">
        <v>296</v>
      </c>
      <c r="J214" t="s">
        <v>296</v>
      </c>
      <c r="K214" t="s">
        <v>296</v>
      </c>
      <c r="L214">
        <v>0.050000000000000003</v>
      </c>
      <c r="M214">
        <v>0.050000000000000003</v>
      </c>
      <c r="N214">
        <v>0.050000000000000003</v>
      </c>
      <c r="O214">
        <v>0.050000000000000003</v>
      </c>
      <c r="P214">
        <v>0.050000000000000003</v>
      </c>
      <c r="Q214">
        <v>0.050000000000000003</v>
      </c>
      <c r="R214">
        <v>0.050000000000000003</v>
      </c>
      <c r="S214">
        <v>0.050000000000000003</v>
      </c>
      <c r="T214">
        <v>0.050000000000000003</v>
      </c>
      <c r="U214">
        <v>0.050000000000000003</v>
      </c>
      <c r="V214">
        <v>0.050000000000000003</v>
      </c>
      <c r="W214">
        <v>0.050000000000000003</v>
      </c>
      <c r="X214">
        <v>0.050000000000000003</v>
      </c>
      <c r="Y214">
        <v>0.050000000000000003</v>
      </c>
      <c r="Z214">
        <v>0.050000000000000003</v>
      </c>
      <c r="AA214">
        <v>0.050000000000000003</v>
      </c>
      <c r="AB214">
        <v>0.050000000000000003</v>
      </c>
      <c r="AC214">
        <v>0.050000000000000003</v>
      </c>
      <c r="AD214">
        <v>0.050000000000000003</v>
      </c>
      <c r="AE214">
        <v>0.050000000000000003</v>
      </c>
      <c r="AF214">
        <v>0.050000000000000003</v>
      </c>
      <c r="AG214">
        <v>0.050000000000000003</v>
      </c>
      <c r="AH214">
        <v>0.050000000000000003</v>
      </c>
      <c r="AI214">
        <v>0.050000000000000003</v>
      </c>
      <c r="AJ214">
        <v>0.050000000000000003</v>
      </c>
      <c r="AK214">
        <v>0.050000000000000003</v>
      </c>
      <c r="AL214">
        <v>0.050000000000000003</v>
      </c>
      <c r="AM214">
        <v>0.050000000000000003</v>
      </c>
      <c r="AN214">
        <v>0.050000000000000003</v>
      </c>
      <c r="AO214">
        <v>0.050000000000000003</v>
      </c>
      <c r="AP214">
        <v>0.050000000000000003</v>
      </c>
      <c r="AQ214">
        <v>0.050000000000000003</v>
      </c>
      <c r="AR214">
        <v>0.050000000000000003</v>
      </c>
      <c r="AS214">
        <v>0.050000000000000003</v>
      </c>
      <c r="AT214">
        <v>0.050000000000000003</v>
      </c>
      <c r="AU214">
        <v>0.050000000000000003</v>
      </c>
      <c r="AV214">
        <v>0.050000000000000003</v>
      </c>
      <c r="AW214" t="s">
        <v>296</v>
      </c>
    </row>
    <row r="215" spans="1:49" ht="12.75">
      <c r="A215" t="s">
        <v>295</v>
      </c>
      <c r="B215" t="s">
        <v>291</v>
      </c>
      <c r="C215" t="s">
        <v>145</v>
      </c>
      <c r="D215" t="s">
        <v>132</v>
      </c>
      <c r="E215" t="s">
        <v>296</v>
      </c>
      <c r="F215" t="s">
        <v>83</v>
      </c>
      <c r="G215" t="s">
        <v>474</v>
      </c>
      <c r="H215" t="s">
        <v>296</v>
      </c>
      <c r="I215" t="s">
        <v>296</v>
      </c>
      <c r="J215" t="s">
        <v>296</v>
      </c>
      <c r="K215" t="s">
        <v>296</v>
      </c>
      <c r="L215">
        <v>1.5</v>
      </c>
      <c r="M215">
        <v>1.5</v>
      </c>
      <c r="N215">
        <v>1.5</v>
      </c>
      <c r="O215">
        <v>1.1000000000000001</v>
      </c>
      <c r="P215">
        <v>1.5</v>
      </c>
      <c r="Q215">
        <v>1.5</v>
      </c>
      <c r="R215">
        <v>1.5</v>
      </c>
      <c r="S215">
        <v>1.5</v>
      </c>
      <c r="T215">
        <v>1.05</v>
      </c>
      <c r="U215">
        <v>1.5</v>
      </c>
      <c r="V215">
        <v>1.5</v>
      </c>
      <c r="W215">
        <v>1.4298</v>
      </c>
      <c r="X215">
        <v>1.5</v>
      </c>
      <c r="Y215">
        <v>1.5</v>
      </c>
      <c r="Z215">
        <v>1.5</v>
      </c>
      <c r="AA215">
        <v>1.5</v>
      </c>
      <c r="AB215">
        <v>1.5</v>
      </c>
      <c r="AC215">
        <v>1.5</v>
      </c>
      <c r="AD215">
        <v>1.5</v>
      </c>
      <c r="AE215">
        <v>1.5</v>
      </c>
      <c r="AF215">
        <v>1.5</v>
      </c>
      <c r="AG215">
        <v>1.5</v>
      </c>
      <c r="AH215">
        <v>1.5</v>
      </c>
      <c r="AI215">
        <v>1.5</v>
      </c>
      <c r="AJ215">
        <v>1.5</v>
      </c>
      <c r="AK215">
        <v>1.5</v>
      </c>
      <c r="AL215">
        <v>1.5</v>
      </c>
      <c r="AM215">
        <v>1.5</v>
      </c>
      <c r="AN215">
        <v>1.5</v>
      </c>
      <c r="AO215">
        <v>1.5</v>
      </c>
      <c r="AP215">
        <v>1.5</v>
      </c>
      <c r="AQ215">
        <v>1.5</v>
      </c>
      <c r="AR215">
        <v>1.5</v>
      </c>
      <c r="AS215">
        <v>1.5</v>
      </c>
      <c r="AT215">
        <v>1.5</v>
      </c>
      <c r="AU215">
        <v>1.5</v>
      </c>
      <c r="AV215">
        <v>1.5</v>
      </c>
      <c r="AW215" t="s">
        <v>296</v>
      </c>
    </row>
    <row r="216" spans="1:49" ht="12.75">
      <c r="A216" t="s">
        <v>295</v>
      </c>
      <c r="B216" t="s">
        <v>291</v>
      </c>
      <c r="C216" t="s">
        <v>146</v>
      </c>
      <c r="D216" t="s">
        <v>57</v>
      </c>
      <c r="E216" t="s">
        <v>296</v>
      </c>
      <c r="F216" t="s">
        <v>83</v>
      </c>
      <c r="G216" t="s">
        <v>474</v>
      </c>
      <c r="H216" t="s">
        <v>296</v>
      </c>
      <c r="I216" t="s">
        <v>296</v>
      </c>
      <c r="J216" t="s">
        <v>296</v>
      </c>
      <c r="K216" t="s">
        <v>296</v>
      </c>
      <c r="L216">
        <v>8.0999999999999996</v>
      </c>
      <c r="M216">
        <v>23.085000000000001</v>
      </c>
      <c r="N216">
        <v>8.0999999999999996</v>
      </c>
      <c r="O216">
        <v>18.629999999999999</v>
      </c>
      <c r="P216">
        <v>3.96</v>
      </c>
      <c r="Q216">
        <v>8.0999999999999996</v>
      </c>
      <c r="R216">
        <v>8.0999999999999996</v>
      </c>
      <c r="S216">
        <v>8.0999999999999996</v>
      </c>
      <c r="T216">
        <v>14.823</v>
      </c>
      <c r="U216">
        <v>8.0999999999999996</v>
      </c>
      <c r="V216">
        <v>8.0999999999999996</v>
      </c>
      <c r="W216">
        <v>7.5330000000000004</v>
      </c>
      <c r="X216">
        <v>8.0999999999999996</v>
      </c>
      <c r="Y216">
        <v>55.484999999999999</v>
      </c>
      <c r="Z216">
        <v>8.0999999999999996</v>
      </c>
      <c r="AA216">
        <v>13.608000000000001</v>
      </c>
      <c r="AB216">
        <v>8.0999999999999996</v>
      </c>
      <c r="AC216">
        <v>8.0999999999999996</v>
      </c>
      <c r="AD216">
        <v>18.370799999999999</v>
      </c>
      <c r="AE216">
        <v>5.0220000000000002</v>
      </c>
      <c r="AF216">
        <v>8.0999999999999996</v>
      </c>
      <c r="AG216">
        <v>8.0999999999999996</v>
      </c>
      <c r="AH216">
        <v>8.0999999999999996</v>
      </c>
      <c r="AI216">
        <v>8.0999999999999996</v>
      </c>
      <c r="AJ216">
        <v>8.0999999999999996</v>
      </c>
      <c r="AK216">
        <v>8.0999999999999996</v>
      </c>
      <c r="AL216">
        <v>8.0999999999999996</v>
      </c>
      <c r="AM216">
        <v>20.25</v>
      </c>
      <c r="AN216">
        <v>8.0999999999999996</v>
      </c>
      <c r="AO216">
        <v>17.010000000000002</v>
      </c>
      <c r="AP216">
        <v>8.0999999999999996</v>
      </c>
      <c r="AQ216">
        <v>8.0999999999999996</v>
      </c>
      <c r="AR216">
        <v>8.0999999999999996</v>
      </c>
      <c r="AS216">
        <v>8.0999999999999996</v>
      </c>
      <c r="AT216">
        <v>8.0999999999999996</v>
      </c>
      <c r="AU216">
        <v>8.0999999999999996</v>
      </c>
      <c r="AV216">
        <v>9.3960000000000008</v>
      </c>
      <c r="AW216" t="s">
        <v>296</v>
      </c>
    </row>
    <row r="217" spans="1:49" ht="12.75">
      <c r="A217" t="s">
        <v>295</v>
      </c>
      <c r="B217" t="s">
        <v>291</v>
      </c>
      <c r="C217" t="s">
        <v>146</v>
      </c>
      <c r="D217" t="s">
        <v>47</v>
      </c>
      <c r="E217" t="s">
        <v>296</v>
      </c>
      <c r="F217" t="s">
        <v>83</v>
      </c>
      <c r="G217" t="s">
        <v>474</v>
      </c>
      <c r="H217" t="s">
        <v>296</v>
      </c>
      <c r="I217" t="s">
        <v>296</v>
      </c>
      <c r="J217" t="s">
        <v>296</v>
      </c>
      <c r="K217" t="s">
        <v>296</v>
      </c>
      <c r="L217">
        <v>0.90000000000000002</v>
      </c>
      <c r="M217">
        <v>0.90000000000000002</v>
      </c>
      <c r="N217">
        <v>0.90000000000000002</v>
      </c>
      <c r="O217">
        <v>0.90000000000000002</v>
      </c>
      <c r="P217">
        <v>0.90000000000000002</v>
      </c>
      <c r="Q217">
        <v>0.90000000000000002</v>
      </c>
      <c r="R217">
        <v>0.90000000000000002</v>
      </c>
      <c r="S217">
        <v>0.90000000000000002</v>
      </c>
      <c r="T217">
        <v>0.90000000000000002</v>
      </c>
      <c r="U217">
        <v>0.90000000000000002</v>
      </c>
      <c r="V217">
        <v>0.90000000000000002</v>
      </c>
      <c r="W217">
        <v>0.90000000000000002</v>
      </c>
      <c r="X217">
        <v>0.90000000000000002</v>
      </c>
      <c r="Y217">
        <v>0.90000000000000002</v>
      </c>
      <c r="Z217">
        <v>0.90000000000000002</v>
      </c>
      <c r="AA217">
        <v>0.90000000000000002</v>
      </c>
      <c r="AB217">
        <v>0.90000000000000002</v>
      </c>
      <c r="AC217">
        <v>0.90000000000000002</v>
      </c>
      <c r="AD217">
        <v>0.90000000000000002</v>
      </c>
      <c r="AE217">
        <v>0.90000000000000002</v>
      </c>
      <c r="AF217">
        <v>0.90000000000000002</v>
      </c>
      <c r="AG217">
        <v>0.90000000000000002</v>
      </c>
      <c r="AH217">
        <v>0.90000000000000002</v>
      </c>
      <c r="AI217">
        <v>0.90000000000000002</v>
      </c>
      <c r="AJ217">
        <v>0.90000000000000002</v>
      </c>
      <c r="AK217">
        <v>0.90000000000000002</v>
      </c>
      <c r="AL217">
        <v>0.90000000000000002</v>
      </c>
      <c r="AM217">
        <v>0.90000000000000002</v>
      </c>
      <c r="AN217">
        <v>0.90000000000000002</v>
      </c>
      <c r="AO217">
        <v>0.90000000000000002</v>
      </c>
      <c r="AP217">
        <v>0.90000000000000002</v>
      </c>
      <c r="AQ217">
        <v>0.90000000000000002</v>
      </c>
      <c r="AR217">
        <v>0.90000000000000002</v>
      </c>
      <c r="AS217">
        <v>0</v>
      </c>
      <c r="AT217">
        <v>0.90000000000000002</v>
      </c>
      <c r="AU217">
        <v>0.90000000000000002</v>
      </c>
      <c r="AV217">
        <v>0.90000000000000002</v>
      </c>
      <c r="AW217" t="s">
        <v>296</v>
      </c>
    </row>
    <row r="218" spans="1:49" ht="12.75">
      <c r="A218" t="s">
        <v>295</v>
      </c>
      <c r="B218" t="s">
        <v>291</v>
      </c>
      <c r="C218" t="s">
        <v>146</v>
      </c>
      <c r="D218" t="s">
        <v>48</v>
      </c>
      <c r="E218" t="s">
        <v>296</v>
      </c>
      <c r="F218" t="s">
        <v>83</v>
      </c>
      <c r="G218" t="s">
        <v>474</v>
      </c>
      <c r="H218" t="s">
        <v>296</v>
      </c>
      <c r="I218" t="s">
        <v>296</v>
      </c>
      <c r="J218" t="s">
        <v>296</v>
      </c>
      <c r="K218" t="s">
        <v>296</v>
      </c>
      <c r="L218">
        <v>0.59999999999999998</v>
      </c>
      <c r="M218">
        <v>0.59999999999999998</v>
      </c>
      <c r="N218">
        <v>0.59999999999999998</v>
      </c>
      <c r="O218">
        <v>0.59999999999999998</v>
      </c>
      <c r="P218">
        <v>0.59999999999999998</v>
      </c>
      <c r="Q218">
        <v>0.59999999999999998</v>
      </c>
      <c r="R218">
        <v>0.59999999999999998</v>
      </c>
      <c r="S218">
        <v>0.59999999999999998</v>
      </c>
      <c r="T218">
        <v>0.59999999999999998</v>
      </c>
      <c r="U218">
        <v>0.59999999999999998</v>
      </c>
      <c r="V218">
        <v>0.59999999999999998</v>
      </c>
      <c r="W218">
        <v>0.59999999999999998</v>
      </c>
      <c r="X218">
        <v>0.59999999999999998</v>
      </c>
      <c r="Y218">
        <v>0.59999999999999998</v>
      </c>
      <c r="Z218">
        <v>0.59999999999999998</v>
      </c>
      <c r="AA218">
        <v>0.59999999999999998</v>
      </c>
      <c r="AB218">
        <v>0.59999999999999998</v>
      </c>
      <c r="AC218">
        <v>0.59999999999999998</v>
      </c>
      <c r="AD218">
        <v>0.59999999999999998</v>
      </c>
      <c r="AE218">
        <v>0.048599999999999997</v>
      </c>
      <c r="AF218">
        <v>0.59999999999999998</v>
      </c>
      <c r="AG218">
        <v>0.59999999999999998</v>
      </c>
      <c r="AH218">
        <v>0.59999999999999998</v>
      </c>
      <c r="AI218">
        <v>0.59999999999999998</v>
      </c>
      <c r="AJ218">
        <v>0.59999999999999998</v>
      </c>
      <c r="AK218">
        <v>0.59999999999999998</v>
      </c>
      <c r="AL218">
        <v>0.59999999999999998</v>
      </c>
      <c r="AM218">
        <v>0.59999999999999998</v>
      </c>
      <c r="AN218">
        <v>0.59999999999999998</v>
      </c>
      <c r="AO218">
        <v>0.59999999999999998</v>
      </c>
      <c r="AP218">
        <v>0.59999999999999998</v>
      </c>
      <c r="AQ218">
        <v>0.59999999999999998</v>
      </c>
      <c r="AR218">
        <v>0.59999999999999998</v>
      </c>
      <c r="AS218">
        <v>0.59999999999999998</v>
      </c>
      <c r="AT218">
        <v>0.59999999999999998</v>
      </c>
      <c r="AU218">
        <v>0.59999999999999998</v>
      </c>
      <c r="AV218">
        <v>0.59999999999999998</v>
      </c>
      <c r="AW218" t="s">
        <v>296</v>
      </c>
    </row>
    <row r="219" spans="1:49" ht="12.75">
      <c r="A219" t="s">
        <v>295</v>
      </c>
      <c r="B219" t="s">
        <v>291</v>
      </c>
      <c r="C219" t="s">
        <v>146</v>
      </c>
      <c r="D219" t="s">
        <v>51</v>
      </c>
      <c r="E219" t="s">
        <v>296</v>
      </c>
      <c r="F219" t="s">
        <v>83</v>
      </c>
      <c r="G219" t="s">
        <v>474</v>
      </c>
      <c r="H219" t="s">
        <v>296</v>
      </c>
      <c r="I219" t="s">
        <v>296</v>
      </c>
      <c r="J219" t="s">
        <v>296</v>
      </c>
      <c r="K219" t="s">
        <v>296</v>
      </c>
      <c r="L219">
        <v>15.4</v>
      </c>
      <c r="M219">
        <v>14</v>
      </c>
      <c r="N219">
        <v>15.4</v>
      </c>
      <c r="O219">
        <v>15.4</v>
      </c>
      <c r="P219">
        <v>15.4</v>
      </c>
      <c r="Q219">
        <v>15.4</v>
      </c>
      <c r="R219">
        <v>15.4</v>
      </c>
      <c r="S219">
        <v>15.4</v>
      </c>
      <c r="T219">
        <v>15.4</v>
      </c>
      <c r="U219">
        <v>15.4</v>
      </c>
      <c r="V219">
        <v>15.4</v>
      </c>
      <c r="W219">
        <v>15.4</v>
      </c>
      <c r="X219">
        <v>15.4</v>
      </c>
      <c r="Y219">
        <v>15.4</v>
      </c>
      <c r="Z219">
        <v>15.4</v>
      </c>
      <c r="AA219">
        <v>15.4</v>
      </c>
      <c r="AB219">
        <v>15.4</v>
      </c>
      <c r="AC219">
        <v>15.4</v>
      </c>
      <c r="AD219">
        <v>15.4</v>
      </c>
      <c r="AE219">
        <v>15.4</v>
      </c>
      <c r="AF219">
        <v>15.4</v>
      </c>
      <c r="AG219">
        <v>15.4</v>
      </c>
      <c r="AH219">
        <v>15.4</v>
      </c>
      <c r="AI219">
        <v>15.4</v>
      </c>
      <c r="AJ219">
        <v>15.4</v>
      </c>
      <c r="AK219">
        <v>15.4</v>
      </c>
      <c r="AL219">
        <v>15.4</v>
      </c>
      <c r="AM219">
        <v>13.398</v>
      </c>
      <c r="AN219">
        <v>15.4</v>
      </c>
      <c r="AO219">
        <v>13.859999999999999</v>
      </c>
      <c r="AP219">
        <v>15.4</v>
      </c>
      <c r="AQ219">
        <v>15.4</v>
      </c>
      <c r="AR219">
        <v>15.4</v>
      </c>
      <c r="AS219">
        <v>15.4</v>
      </c>
      <c r="AT219">
        <v>15.4</v>
      </c>
      <c r="AU219">
        <v>15.4</v>
      </c>
      <c r="AV219">
        <v>15.4</v>
      </c>
      <c r="AW219" t="s">
        <v>296</v>
      </c>
    </row>
    <row r="220" spans="1:49" ht="12.75">
      <c r="A220" t="s">
        <v>295</v>
      </c>
      <c r="B220" t="s">
        <v>291</v>
      </c>
      <c r="C220" t="s">
        <v>146</v>
      </c>
      <c r="D220" t="s">
        <v>37</v>
      </c>
      <c r="E220" t="s">
        <v>296</v>
      </c>
      <c r="F220" t="s">
        <v>83</v>
      </c>
      <c r="G220" t="s">
        <v>474</v>
      </c>
      <c r="H220" t="s">
        <v>296</v>
      </c>
      <c r="I220" t="s">
        <v>296</v>
      </c>
      <c r="J220" t="s">
        <v>296</v>
      </c>
      <c r="K220" t="s">
        <v>296</v>
      </c>
      <c r="L220">
        <v>11.300000000000001</v>
      </c>
      <c r="M220">
        <v>5</v>
      </c>
      <c r="N220">
        <v>11.300000000000001</v>
      </c>
      <c r="O220">
        <v>11.300000000000001</v>
      </c>
      <c r="P220">
        <v>11.300000000000001</v>
      </c>
      <c r="Q220">
        <v>11.300000000000001</v>
      </c>
      <c r="R220">
        <v>11.300000000000001</v>
      </c>
      <c r="S220">
        <v>11.300000000000001</v>
      </c>
      <c r="T220">
        <v>11.300000000000001</v>
      </c>
      <c r="U220">
        <v>11.300000000000001</v>
      </c>
      <c r="V220">
        <v>11.300000000000001</v>
      </c>
      <c r="W220">
        <v>11.300000000000001</v>
      </c>
      <c r="X220">
        <v>11.300000000000001</v>
      </c>
      <c r="Y220">
        <v>11.300000000000001</v>
      </c>
      <c r="Z220">
        <v>11.300000000000001</v>
      </c>
      <c r="AA220">
        <v>11.300000000000001</v>
      </c>
      <c r="AB220">
        <v>11.300000000000001</v>
      </c>
      <c r="AC220">
        <v>11.300000000000001</v>
      </c>
      <c r="AD220">
        <v>11.300000000000001</v>
      </c>
      <c r="AE220">
        <v>11.300000000000001</v>
      </c>
      <c r="AF220">
        <v>11.300000000000001</v>
      </c>
      <c r="AG220">
        <v>11.300000000000001</v>
      </c>
      <c r="AH220">
        <v>11.300000000000001</v>
      </c>
      <c r="AI220">
        <v>11.300000000000001</v>
      </c>
      <c r="AJ220">
        <v>11.300000000000001</v>
      </c>
      <c r="AK220">
        <v>11.300000000000001</v>
      </c>
      <c r="AL220">
        <v>11.300000000000001</v>
      </c>
      <c r="AM220">
        <v>9.8309999999999995</v>
      </c>
      <c r="AN220">
        <v>11.300000000000001</v>
      </c>
      <c r="AO220">
        <v>11.300000000000001</v>
      </c>
      <c r="AP220">
        <v>11.300000000000001</v>
      </c>
      <c r="AQ220">
        <v>11.300000000000001</v>
      </c>
      <c r="AR220">
        <v>11.300000000000001</v>
      </c>
      <c r="AS220">
        <v>11.300000000000001</v>
      </c>
      <c r="AT220">
        <v>11.300000000000001</v>
      </c>
      <c r="AU220">
        <v>11.300000000000001</v>
      </c>
      <c r="AV220">
        <v>10.734999999999999</v>
      </c>
      <c r="AW220" t="s">
        <v>296</v>
      </c>
    </row>
    <row r="221" spans="1:49" ht="12.75">
      <c r="A221" t="s">
        <v>295</v>
      </c>
      <c r="B221" t="s">
        <v>291</v>
      </c>
      <c r="C221" t="s">
        <v>146</v>
      </c>
      <c r="D221" t="s">
        <v>43</v>
      </c>
      <c r="E221" t="s">
        <v>296</v>
      </c>
      <c r="F221" t="s">
        <v>83</v>
      </c>
      <c r="G221" t="s">
        <v>474</v>
      </c>
      <c r="H221" t="s">
        <v>296</v>
      </c>
      <c r="I221" t="s">
        <v>296</v>
      </c>
      <c r="J221" t="s">
        <v>296</v>
      </c>
      <c r="K221" t="s">
        <v>296</v>
      </c>
      <c r="L221">
        <v>0.80000000000000004</v>
      </c>
      <c r="M221">
        <v>0.29999999999999999</v>
      </c>
      <c r="N221">
        <v>0.80000000000000004</v>
      </c>
      <c r="O221">
        <v>0</v>
      </c>
      <c r="P221">
        <v>0.80000000000000004</v>
      </c>
      <c r="Q221">
        <v>0.80000000000000004</v>
      </c>
      <c r="R221">
        <v>0.80000000000000004</v>
      </c>
      <c r="S221">
        <v>0.80000000000000004</v>
      </c>
      <c r="T221">
        <v>0.80000000000000004</v>
      </c>
      <c r="U221">
        <v>0.80000000000000004</v>
      </c>
      <c r="V221">
        <v>0.80000000000000004</v>
      </c>
      <c r="W221">
        <v>0.80000000000000004</v>
      </c>
      <c r="X221">
        <v>0.80000000000000004</v>
      </c>
      <c r="Y221">
        <v>0.80000000000000004</v>
      </c>
      <c r="Z221">
        <v>0.80000000000000004</v>
      </c>
      <c r="AA221">
        <v>0.80000000000000004</v>
      </c>
      <c r="AB221">
        <v>0.80000000000000004</v>
      </c>
      <c r="AC221">
        <v>0.80000000000000004</v>
      </c>
      <c r="AD221">
        <v>0.80000000000000004</v>
      </c>
      <c r="AE221">
        <v>0.80000000000000004</v>
      </c>
      <c r="AF221">
        <v>0.80000000000000004</v>
      </c>
      <c r="AG221">
        <v>0.80000000000000004</v>
      </c>
      <c r="AH221">
        <v>0.80000000000000004</v>
      </c>
      <c r="AI221">
        <v>0.80000000000000004</v>
      </c>
      <c r="AJ221">
        <v>0.80000000000000004</v>
      </c>
      <c r="AK221">
        <v>0.80000000000000004</v>
      </c>
      <c r="AL221">
        <v>0.80000000000000004</v>
      </c>
      <c r="AM221">
        <v>0</v>
      </c>
      <c r="AN221">
        <v>0.80000000000000004</v>
      </c>
      <c r="AO221">
        <v>0</v>
      </c>
      <c r="AP221">
        <v>0.80000000000000004</v>
      </c>
      <c r="AQ221">
        <v>0.80000000000000004</v>
      </c>
      <c r="AR221">
        <v>0.80000000000000004</v>
      </c>
      <c r="AS221">
        <v>0.80000000000000004</v>
      </c>
      <c r="AT221">
        <v>0.80000000000000004</v>
      </c>
      <c r="AU221">
        <v>0.80000000000000004</v>
      </c>
      <c r="AV221">
        <v>0.28000000000000003</v>
      </c>
      <c r="AW221" t="s">
        <v>296</v>
      </c>
    </row>
    <row r="222" spans="1:49" ht="12.75">
      <c r="A222" t="s">
        <v>295</v>
      </c>
      <c r="B222" t="s">
        <v>291</v>
      </c>
      <c r="C222" t="s">
        <v>146</v>
      </c>
      <c r="D222" t="s">
        <v>42</v>
      </c>
      <c r="E222" t="s">
        <v>296</v>
      </c>
      <c r="F222" t="s">
        <v>83</v>
      </c>
      <c r="G222" t="s">
        <v>474</v>
      </c>
      <c r="H222" t="s">
        <v>296</v>
      </c>
      <c r="I222" t="s">
        <v>296</v>
      </c>
      <c r="J222" t="s">
        <v>296</v>
      </c>
      <c r="K222" t="s">
        <v>296</v>
      </c>
      <c r="L222">
        <v>1.2</v>
      </c>
      <c r="M222">
        <v>1.2</v>
      </c>
      <c r="N222">
        <v>1.2</v>
      </c>
      <c r="O222">
        <v>1.2</v>
      </c>
      <c r="P222">
        <v>1.2</v>
      </c>
      <c r="Q222">
        <v>1.2</v>
      </c>
      <c r="R222">
        <v>1.2</v>
      </c>
      <c r="S222">
        <v>1.2</v>
      </c>
      <c r="T222">
        <v>1.2</v>
      </c>
      <c r="U222">
        <v>1.2</v>
      </c>
      <c r="V222">
        <v>1.2</v>
      </c>
      <c r="W222">
        <v>1.2</v>
      </c>
      <c r="X222">
        <v>1.2</v>
      </c>
      <c r="Y222">
        <v>1.2</v>
      </c>
      <c r="Z222">
        <v>1.2</v>
      </c>
      <c r="AA222">
        <v>1.2</v>
      </c>
      <c r="AB222">
        <v>1.2</v>
      </c>
      <c r="AC222">
        <v>1.2</v>
      </c>
      <c r="AD222">
        <v>1.2</v>
      </c>
      <c r="AE222">
        <v>1.2</v>
      </c>
      <c r="AF222">
        <v>1.2</v>
      </c>
      <c r="AG222">
        <v>1.2</v>
      </c>
      <c r="AH222">
        <v>1.2</v>
      </c>
      <c r="AI222">
        <v>1.2</v>
      </c>
      <c r="AJ222">
        <v>1.2</v>
      </c>
      <c r="AK222">
        <v>1.2</v>
      </c>
      <c r="AL222">
        <v>1.2</v>
      </c>
      <c r="AM222">
        <v>1.2</v>
      </c>
      <c r="AN222">
        <v>1.2</v>
      </c>
      <c r="AO222">
        <v>1.2</v>
      </c>
      <c r="AP222">
        <v>1.2</v>
      </c>
      <c r="AQ222">
        <v>1.2</v>
      </c>
      <c r="AR222">
        <v>1.2</v>
      </c>
      <c r="AS222">
        <v>1.2</v>
      </c>
      <c r="AT222">
        <v>1.2</v>
      </c>
      <c r="AU222">
        <v>1.2</v>
      </c>
      <c r="AV222">
        <v>1.2</v>
      </c>
      <c r="AW222" t="s">
        <v>296</v>
      </c>
    </row>
    <row r="223" spans="1:49" ht="12.75">
      <c r="A223" t="s">
        <v>295</v>
      </c>
      <c r="B223" t="s">
        <v>291</v>
      </c>
      <c r="C223" t="s">
        <v>146</v>
      </c>
      <c r="D223" t="s">
        <v>147</v>
      </c>
      <c r="E223" t="s">
        <v>296</v>
      </c>
      <c r="F223" t="s">
        <v>83</v>
      </c>
      <c r="G223" t="s">
        <v>474</v>
      </c>
      <c r="H223" t="s">
        <v>296</v>
      </c>
      <c r="I223" t="s">
        <v>296</v>
      </c>
      <c r="J223" t="s">
        <v>296</v>
      </c>
      <c r="K223" t="s">
        <v>296</v>
      </c>
      <c r="L223">
        <v>2.2999999999999998</v>
      </c>
      <c r="M223">
        <v>2.2999999999999998</v>
      </c>
      <c r="N223">
        <v>2.2999999999999998</v>
      </c>
      <c r="O223">
        <v>2.2999999999999998</v>
      </c>
      <c r="P223">
        <v>2.2999999999999998</v>
      </c>
      <c r="Q223">
        <v>2.2999999999999998</v>
      </c>
      <c r="R223">
        <v>2.2999999999999998</v>
      </c>
      <c r="S223">
        <v>2.2999999999999998</v>
      </c>
      <c r="T223">
        <v>2.2999999999999998</v>
      </c>
      <c r="U223">
        <v>2.2999999999999998</v>
      </c>
      <c r="V223">
        <v>2.2999999999999998</v>
      </c>
      <c r="W223">
        <v>2.2999999999999998</v>
      </c>
      <c r="X223">
        <v>2.2999999999999998</v>
      </c>
      <c r="Y223">
        <v>2.2999999999999998</v>
      </c>
      <c r="Z223">
        <v>2.2999999999999998</v>
      </c>
      <c r="AA223">
        <v>2.2999999999999998</v>
      </c>
      <c r="AB223">
        <v>2.2999999999999998</v>
      </c>
      <c r="AC223">
        <v>2.2999999999999998</v>
      </c>
      <c r="AD223">
        <v>2.2999999999999998</v>
      </c>
      <c r="AE223">
        <v>2.2999999999999998</v>
      </c>
      <c r="AF223">
        <v>2.2999999999999998</v>
      </c>
      <c r="AG223">
        <v>2.2999999999999998</v>
      </c>
      <c r="AH223">
        <v>2.2999999999999998</v>
      </c>
      <c r="AI223">
        <v>2.2999999999999998</v>
      </c>
      <c r="AJ223">
        <v>2.2999999999999998</v>
      </c>
      <c r="AK223">
        <v>2.2999999999999998</v>
      </c>
      <c r="AL223">
        <v>2.2999999999999998</v>
      </c>
      <c r="AM223">
        <v>2.2999999999999998</v>
      </c>
      <c r="AN223">
        <v>2.2999999999999998</v>
      </c>
      <c r="AO223">
        <v>2.2999999999999998</v>
      </c>
      <c r="AP223">
        <v>2.2999999999999998</v>
      </c>
      <c r="AQ223">
        <v>2.2999999999999998</v>
      </c>
      <c r="AR223">
        <v>2.2999999999999998</v>
      </c>
      <c r="AS223">
        <v>2.2999999999999998</v>
      </c>
      <c r="AT223">
        <v>2.2999999999999998</v>
      </c>
      <c r="AU223">
        <v>2.2999999999999998</v>
      </c>
      <c r="AV223">
        <v>2.2999999999999998</v>
      </c>
      <c r="AW223" t="s">
        <v>296</v>
      </c>
    </row>
    <row r="224" spans="1:49" ht="12.75">
      <c r="A224" t="s">
        <v>295</v>
      </c>
      <c r="B224" t="s">
        <v>291</v>
      </c>
      <c r="C224" t="s">
        <v>146</v>
      </c>
      <c r="D224" t="s">
        <v>131</v>
      </c>
      <c r="E224" t="s">
        <v>296</v>
      </c>
      <c r="F224" t="s">
        <v>83</v>
      </c>
      <c r="G224" t="s">
        <v>474</v>
      </c>
      <c r="H224" t="s">
        <v>296</v>
      </c>
      <c r="I224" t="s">
        <v>296</v>
      </c>
      <c r="J224" t="s">
        <v>296</v>
      </c>
      <c r="K224" t="s">
        <v>296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 t="s">
        <v>296</v>
      </c>
    </row>
    <row r="225" spans="1:49" ht="12.75">
      <c r="A225" t="s">
        <v>295</v>
      </c>
      <c r="B225" t="s">
        <v>291</v>
      </c>
      <c r="C225" t="s">
        <v>148</v>
      </c>
      <c r="D225" t="s">
        <v>425</v>
      </c>
      <c r="E225" t="s">
        <v>296</v>
      </c>
      <c r="F225" t="s">
        <v>83</v>
      </c>
      <c r="G225" t="s">
        <v>474</v>
      </c>
      <c r="H225" t="s">
        <v>296</v>
      </c>
      <c r="I225" t="s">
        <v>296</v>
      </c>
      <c r="J225" t="s">
        <v>296</v>
      </c>
      <c r="K225" t="s">
        <v>296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S225">
        <v>1</v>
      </c>
      <c r="T225">
        <v>1</v>
      </c>
      <c r="U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 t="s">
        <v>296</v>
      </c>
    </row>
    <row r="226" spans="1:49" ht="12.75">
      <c r="A226" t="s">
        <v>295</v>
      </c>
      <c r="B226" t="s">
        <v>291</v>
      </c>
      <c r="C226" t="s">
        <v>148</v>
      </c>
      <c r="D226" t="s">
        <v>47</v>
      </c>
      <c r="E226" t="s">
        <v>296</v>
      </c>
      <c r="F226" t="s">
        <v>83</v>
      </c>
      <c r="G226" t="s">
        <v>474</v>
      </c>
      <c r="H226" t="s">
        <v>296</v>
      </c>
      <c r="I226" t="s">
        <v>296</v>
      </c>
      <c r="J226" t="s">
        <v>296</v>
      </c>
      <c r="K226" t="s">
        <v>296</v>
      </c>
      <c r="M226">
        <v>0.115</v>
      </c>
      <c r="O226">
        <v>0.23999999999999999</v>
      </c>
      <c r="S226">
        <v>0.92000000000000004</v>
      </c>
      <c r="T226">
        <v>0.030574560803102901</v>
      </c>
      <c r="U226">
        <v>0.54230769230769205</v>
      </c>
      <c r="Y226">
        <v>0.64500000000000002</v>
      </c>
      <c r="AA226">
        <v>0.0105263157894737</v>
      </c>
      <c r="AB226">
        <v>0.439213349225268</v>
      </c>
      <c r="AE226">
        <v>0.05273595107318</v>
      </c>
      <c r="AG226">
        <v>0.10000000000000001</v>
      </c>
      <c r="AK226">
        <v>0.63230240549828198</v>
      </c>
      <c r="AN226">
        <v>1.29</v>
      </c>
      <c r="AO226">
        <v>1</v>
      </c>
      <c r="AQ226">
        <v>0.125</v>
      </c>
      <c r="AR226">
        <v>0.799043062200957</v>
      </c>
      <c r="AT226">
        <v>0.24422442244224399</v>
      </c>
      <c r="AU226">
        <v>0.78000000000000003</v>
      </c>
      <c r="AV226">
        <v>0.027333904402468901</v>
      </c>
      <c r="AW226" t="s">
        <v>296</v>
      </c>
    </row>
    <row r="227" spans="1:49" ht="12.75">
      <c r="A227" t="s">
        <v>295</v>
      </c>
      <c r="B227" t="s">
        <v>291</v>
      </c>
      <c r="C227" t="s">
        <v>148</v>
      </c>
      <c r="D227" t="s">
        <v>48</v>
      </c>
      <c r="E227" t="s">
        <v>296</v>
      </c>
      <c r="F227" t="s">
        <v>83</v>
      </c>
      <c r="G227" t="s">
        <v>474</v>
      </c>
      <c r="H227" t="s">
        <v>296</v>
      </c>
      <c r="I227" t="s">
        <v>296</v>
      </c>
      <c r="J227" t="s">
        <v>296</v>
      </c>
      <c r="K227" t="s">
        <v>296</v>
      </c>
      <c r="M227">
        <v>0.77463658062725504</v>
      </c>
      <c r="N227">
        <v>6.2294865147598797</v>
      </c>
      <c r="O227">
        <v>0.86528858083531901</v>
      </c>
      <c r="S227">
        <v>1.4316330939134401</v>
      </c>
      <c r="T227">
        <v>1.0236834451289101</v>
      </c>
      <c r="X227">
        <v>0.32537682172795701</v>
      </c>
      <c r="Y227">
        <v>0.92000000000000004</v>
      </c>
      <c r="Z227">
        <v>0.39921669126508402</v>
      </c>
      <c r="AB227">
        <v>1.62783766388558</v>
      </c>
      <c r="AM227">
        <v>1.1539584460983301</v>
      </c>
      <c r="AN227">
        <v>0.90858560311283998</v>
      </c>
      <c r="AO227">
        <v>1.24713773301639</v>
      </c>
      <c r="AQ227">
        <v>1.5111638504434299</v>
      </c>
      <c r="AR227">
        <v>1.8437240031897899</v>
      </c>
      <c r="AS227">
        <v>0.172600025484936</v>
      </c>
      <c r="AU227">
        <v>2.49869636264456</v>
      </c>
      <c r="AV227">
        <v>0.949927927438459</v>
      </c>
      <c r="AW227" t="s">
        <v>296</v>
      </c>
    </row>
    <row r="228" spans="1:49" ht="12.75">
      <c r="A228" t="s">
        <v>295</v>
      </c>
      <c r="B228" t="s">
        <v>291</v>
      </c>
      <c r="C228" t="s">
        <v>148</v>
      </c>
      <c r="D228" t="s">
        <v>49</v>
      </c>
      <c r="E228" t="s">
        <v>296</v>
      </c>
      <c r="F228" t="s">
        <v>83</v>
      </c>
      <c r="G228" t="s">
        <v>474</v>
      </c>
      <c r="H228" t="s">
        <v>296</v>
      </c>
      <c r="I228" t="s">
        <v>296</v>
      </c>
      <c r="J228" t="s">
        <v>296</v>
      </c>
      <c r="K228" t="s">
        <v>296</v>
      </c>
      <c r="M228">
        <v>0.00763252844851513</v>
      </c>
      <c r="Q228">
        <v>0.28999999999999998</v>
      </c>
      <c r="S228">
        <v>0.185</v>
      </c>
      <c r="X228">
        <v>0.55000000000000004</v>
      </c>
      <c r="Z228">
        <v>2.3100000000000001</v>
      </c>
      <c r="AE228">
        <v>0.20912856179349501</v>
      </c>
      <c r="AH228">
        <v>0.27000000000000002</v>
      </c>
      <c r="AI228">
        <v>0.037999999999999999</v>
      </c>
      <c r="AJ228">
        <v>0.66000000000000003</v>
      </c>
      <c r="AK228">
        <v>12.949999999999999</v>
      </c>
      <c r="AN228">
        <v>7.6976151750972797</v>
      </c>
      <c r="AO228">
        <v>0.22</v>
      </c>
      <c r="AP228">
        <v>0.128</v>
      </c>
      <c r="AQ228">
        <v>0.0088645549053540697</v>
      </c>
      <c r="AS228">
        <v>0.33000000000000002</v>
      </c>
      <c r="AU228">
        <v>0.23499999999999999</v>
      </c>
      <c r="AV228">
        <v>1.1156171492729401</v>
      </c>
      <c r="AW228" t="s">
        <v>296</v>
      </c>
    </row>
    <row r="229" spans="1:49" ht="12.75">
      <c r="A229" t="s">
        <v>295</v>
      </c>
      <c r="B229" t="s">
        <v>291</v>
      </c>
      <c r="C229" t="s">
        <v>148</v>
      </c>
      <c r="D229" t="s">
        <v>50</v>
      </c>
      <c r="E229" t="s">
        <v>296</v>
      </c>
      <c r="F229" t="s">
        <v>83</v>
      </c>
      <c r="G229" t="s">
        <v>474</v>
      </c>
      <c r="H229" t="s">
        <v>296</v>
      </c>
      <c r="I229" t="s">
        <v>296</v>
      </c>
      <c r="J229" t="s">
        <v>296</v>
      </c>
      <c r="K229" t="s">
        <v>296</v>
      </c>
      <c r="M229">
        <v>0.704829308909242</v>
      </c>
      <c r="O229">
        <v>0.78756393672394298</v>
      </c>
      <c r="S229">
        <v>0.510222691565407</v>
      </c>
      <c r="T229">
        <v>0.372934411362081</v>
      </c>
      <c r="X229">
        <v>0.209083724453895</v>
      </c>
      <c r="Y229">
        <v>0.88</v>
      </c>
      <c r="Z229">
        <v>0.64182185707798101</v>
      </c>
      <c r="AB229">
        <v>1.7640175208581601</v>
      </c>
      <c r="AM229">
        <v>1.0495270620959301</v>
      </c>
      <c r="AO229">
        <v>0.92827918803953402</v>
      </c>
      <c r="AS229">
        <v>0.30799671687990099</v>
      </c>
      <c r="AU229">
        <v>1.63182517455815</v>
      </c>
      <c r="AV229">
        <v>0.24297425417138699</v>
      </c>
      <c r="AW229" t="s">
        <v>296</v>
      </c>
    </row>
    <row r="230" spans="1:49" ht="12.75">
      <c r="A230" t="s">
        <v>295</v>
      </c>
      <c r="B230" t="s">
        <v>291</v>
      </c>
      <c r="C230" t="s">
        <v>148</v>
      </c>
      <c r="D230" t="s">
        <v>51</v>
      </c>
      <c r="E230" t="s">
        <v>296</v>
      </c>
      <c r="F230" t="s">
        <v>83</v>
      </c>
      <c r="G230" t="s">
        <v>474</v>
      </c>
      <c r="H230" t="s">
        <v>296</v>
      </c>
      <c r="I230" t="s">
        <v>296</v>
      </c>
      <c r="J230" t="s">
        <v>296</v>
      </c>
      <c r="K230" t="s">
        <v>296</v>
      </c>
      <c r="M230">
        <v>2.2711676380793802</v>
      </c>
      <c r="O230">
        <v>0.0271977753982184</v>
      </c>
      <c r="Q230">
        <v>0.042248120300751903</v>
      </c>
      <c r="S230">
        <v>2.2844392281442398</v>
      </c>
      <c r="X230">
        <v>0.045249620273205497</v>
      </c>
      <c r="Y230">
        <v>4.0599999999999996</v>
      </c>
      <c r="Z230">
        <v>0.029504723595431999</v>
      </c>
      <c r="AA230">
        <v>1.2</v>
      </c>
      <c r="AB230">
        <v>1.61047405244339</v>
      </c>
      <c r="AE230">
        <v>0.0499878682123902</v>
      </c>
      <c r="AG230">
        <v>0.93333333333333302</v>
      </c>
      <c r="AH230">
        <v>0.010989010989011</v>
      </c>
      <c r="AI230">
        <v>0.13129770992366399</v>
      </c>
      <c r="AJ230">
        <v>0.20999999999999999</v>
      </c>
      <c r="AK230">
        <v>2.5463917525773199</v>
      </c>
      <c r="AN230">
        <v>10.550000000000001</v>
      </c>
      <c r="AQ230">
        <v>0.65000000000000002</v>
      </c>
      <c r="AR230">
        <v>0.085108600478469895</v>
      </c>
      <c r="AS230">
        <v>0.55798229281881995</v>
      </c>
      <c r="AT230">
        <v>0.37623762376237602</v>
      </c>
      <c r="AU230">
        <v>0.21952084278856501</v>
      </c>
      <c r="AW230" t="s">
        <v>296</v>
      </c>
    </row>
    <row r="231" spans="1:49" ht="12.75">
      <c r="A231" t="s">
        <v>295</v>
      </c>
      <c r="B231" t="s">
        <v>291</v>
      </c>
      <c r="C231" t="s">
        <v>148</v>
      </c>
      <c r="D231" t="s">
        <v>37</v>
      </c>
      <c r="E231" t="s">
        <v>296</v>
      </c>
      <c r="F231" t="s">
        <v>83</v>
      </c>
      <c r="G231" t="s">
        <v>474</v>
      </c>
      <c r="H231" t="s">
        <v>296</v>
      </c>
      <c r="I231" t="s">
        <v>296</v>
      </c>
      <c r="J231" t="s">
        <v>296</v>
      </c>
      <c r="K231" t="s">
        <v>296</v>
      </c>
      <c r="M231">
        <v>0.51546849847349396</v>
      </c>
      <c r="N231">
        <v>2.28101648647413</v>
      </c>
      <c r="O231">
        <v>0.83499999999999996</v>
      </c>
      <c r="P231">
        <v>1.9251075268817199</v>
      </c>
      <c r="Q231">
        <v>1.9065714285714299</v>
      </c>
      <c r="S231">
        <v>0.88952997355299601</v>
      </c>
      <c r="T231">
        <v>1.0417823043577501</v>
      </c>
      <c r="U231">
        <v>2.3230769230769202</v>
      </c>
      <c r="W231">
        <v>0.39186051619989098</v>
      </c>
      <c r="X231">
        <v>1.2814179532368599</v>
      </c>
      <c r="Y231">
        <v>0.088999999999999996</v>
      </c>
      <c r="Z231">
        <v>0.68482284397301196</v>
      </c>
      <c r="AA231">
        <v>5.6631578947368402</v>
      </c>
      <c r="AB231">
        <v>0.066738402860548399</v>
      </c>
      <c r="AE231">
        <v>0.85232339991123995</v>
      </c>
      <c r="AF231">
        <v>11.644500000000001</v>
      </c>
      <c r="AG231">
        <v>0.266666666666667</v>
      </c>
      <c r="AH231">
        <v>1.0123704866562</v>
      </c>
      <c r="AI231">
        <v>0.013740458015267199</v>
      </c>
      <c r="AJ231">
        <v>0.60499999999999998</v>
      </c>
      <c r="AK231">
        <v>14.0584192439863</v>
      </c>
      <c r="AN231">
        <v>31.649999999999999</v>
      </c>
      <c r="AO231">
        <v>1.0149999999999999</v>
      </c>
      <c r="AP231">
        <v>0.79430421909696503</v>
      </c>
      <c r="AQ231">
        <v>4.7991534046627304</v>
      </c>
      <c r="AR231">
        <v>0.55500000000000005</v>
      </c>
      <c r="AS231">
        <v>0.216718131654973</v>
      </c>
      <c r="AT231">
        <v>2.3844884488448801</v>
      </c>
      <c r="AU231">
        <v>0.42432464215579302</v>
      </c>
      <c r="AW231" t="s">
        <v>296</v>
      </c>
    </row>
    <row r="232" spans="1:49" ht="12.75">
      <c r="A232" t="s">
        <v>295</v>
      </c>
      <c r="B232" t="s">
        <v>291</v>
      </c>
      <c r="C232" t="s">
        <v>148</v>
      </c>
      <c r="D232" t="s">
        <v>38</v>
      </c>
      <c r="E232" t="s">
        <v>296</v>
      </c>
      <c r="F232" t="s">
        <v>83</v>
      </c>
      <c r="G232" t="s">
        <v>474</v>
      </c>
      <c r="H232" t="s">
        <v>296</v>
      </c>
      <c r="I232" t="s">
        <v>296</v>
      </c>
      <c r="J232" t="s">
        <v>296</v>
      </c>
      <c r="K232" t="s">
        <v>296</v>
      </c>
      <c r="M232">
        <v>2.1567721343324999</v>
      </c>
      <c r="N232">
        <v>1.6245911601555301</v>
      </c>
      <c r="O232">
        <v>2.0302171077386202</v>
      </c>
      <c r="P232">
        <v>2.1418279569892502</v>
      </c>
      <c r="Q232">
        <v>1.68645112781955</v>
      </c>
      <c r="S232">
        <v>2.2917060155162798</v>
      </c>
      <c r="T232">
        <v>2.1013540953684702</v>
      </c>
      <c r="U232">
        <v>2.9653846153846199</v>
      </c>
      <c r="W232">
        <v>0.14556672158154901</v>
      </c>
      <c r="X232">
        <v>0.22877543902588299</v>
      </c>
      <c r="Y232">
        <v>0.089999999999999997</v>
      </c>
      <c r="Z232">
        <v>1.7690029842999899</v>
      </c>
      <c r="AA232">
        <v>7.7947368421052596</v>
      </c>
      <c r="AB232">
        <v>1.42284266984505</v>
      </c>
      <c r="AE232">
        <v>1.9119480799720201</v>
      </c>
      <c r="AH232">
        <v>1.8181632653061199</v>
      </c>
      <c r="AI232">
        <v>4.0988549618320604</v>
      </c>
      <c r="AK232">
        <v>3.3934707903780099</v>
      </c>
      <c r="AM232">
        <v>1.4583549842129</v>
      </c>
      <c r="AO232">
        <v>1.7854979356937299</v>
      </c>
      <c r="AP232">
        <v>0.76128793486306401</v>
      </c>
      <c r="AQ232">
        <v>4.4413625369524299</v>
      </c>
      <c r="AR232">
        <v>0.740074960127592</v>
      </c>
      <c r="AT232">
        <v>4.4686468646864697</v>
      </c>
      <c r="AU232">
        <v>1.3785577132882401</v>
      </c>
      <c r="AV232">
        <v>1.6543815016994501</v>
      </c>
      <c r="AW232" t="s">
        <v>296</v>
      </c>
    </row>
    <row r="233" spans="1:49" ht="12.75">
      <c r="A233" t="s">
        <v>295</v>
      </c>
      <c r="B233" t="s">
        <v>291</v>
      </c>
      <c r="C233" t="s">
        <v>148</v>
      </c>
      <c r="D233" t="s">
        <v>43</v>
      </c>
      <c r="E233" t="s">
        <v>296</v>
      </c>
      <c r="F233" t="s">
        <v>83</v>
      </c>
      <c r="G233" t="s">
        <v>474</v>
      </c>
      <c r="H233" t="s">
        <v>296</v>
      </c>
      <c r="I233" t="s">
        <v>296</v>
      </c>
      <c r="J233" t="s">
        <v>296</v>
      </c>
      <c r="K233" t="s">
        <v>296</v>
      </c>
      <c r="L233">
        <v>1.14082051282051</v>
      </c>
      <c r="M233">
        <v>1.15666994171524</v>
      </c>
      <c r="Q233">
        <v>0.030060150375939801</v>
      </c>
      <c r="S233">
        <v>0.143272552297976</v>
      </c>
      <c r="T233">
        <v>0.132763198722336</v>
      </c>
      <c r="U233">
        <v>0.15769230769230799</v>
      </c>
      <c r="W233">
        <v>0.065897858319604596</v>
      </c>
      <c r="X233">
        <v>0.84923938719941305</v>
      </c>
      <c r="Y233">
        <v>2.4849999999999999</v>
      </c>
      <c r="AA233">
        <v>0.326315789473684</v>
      </c>
      <c r="AE233">
        <v>0.00602993221917816</v>
      </c>
      <c r="AI233">
        <v>1.4809160305343501</v>
      </c>
      <c r="AJ233">
        <v>3.145</v>
      </c>
      <c r="AK233">
        <v>10.6357388316151</v>
      </c>
      <c r="AN233">
        <v>0.068093385214007804</v>
      </c>
      <c r="AP233">
        <v>0.029607698001480401</v>
      </c>
      <c r="AS233">
        <v>0.81792841106066905</v>
      </c>
      <c r="AW233" t="s">
        <v>296</v>
      </c>
    </row>
    <row r="234" spans="1:49" ht="12.75">
      <c r="A234" t="s">
        <v>295</v>
      </c>
      <c r="B234" t="s">
        <v>291</v>
      </c>
      <c r="C234" t="s">
        <v>148</v>
      </c>
      <c r="D234" t="s">
        <v>39</v>
      </c>
      <c r="E234" t="s">
        <v>296</v>
      </c>
      <c r="F234" t="s">
        <v>83</v>
      </c>
      <c r="G234" t="s">
        <v>474</v>
      </c>
      <c r="H234" t="s">
        <v>296</v>
      </c>
      <c r="I234" t="s">
        <v>296</v>
      </c>
      <c r="J234" t="s">
        <v>296</v>
      </c>
      <c r="K234" t="s">
        <v>296</v>
      </c>
      <c r="L234">
        <v>0.32764102564102598</v>
      </c>
      <c r="O234">
        <v>0.064593001379656304</v>
      </c>
      <c r="Q234">
        <v>0.288263157894737</v>
      </c>
      <c r="T234">
        <v>0.0293634496919918</v>
      </c>
      <c r="U234">
        <v>0.15384615384615399</v>
      </c>
      <c r="W234">
        <v>0.023613399231191701</v>
      </c>
      <c r="X234">
        <v>0.13651104448387699</v>
      </c>
      <c r="Y234">
        <v>0.042431761786600498</v>
      </c>
      <c r="Z234">
        <v>0.016673154275334098</v>
      </c>
      <c r="AB234">
        <v>0.050059594755661498</v>
      </c>
      <c r="AE234">
        <v>0.033087378640776703</v>
      </c>
      <c r="AH234">
        <v>0.0333594976452119</v>
      </c>
      <c r="AK234">
        <v>0.59106529209622005</v>
      </c>
      <c r="AM234">
        <v>0.0192452262817621</v>
      </c>
      <c r="AN234">
        <v>0.58754863813229596</v>
      </c>
      <c r="AO234">
        <v>0.0106343050168898</v>
      </c>
      <c r="AP234">
        <v>0.062916358253145802</v>
      </c>
      <c r="AQ234">
        <v>0.011287288363343201</v>
      </c>
      <c r="AR234">
        <v>0.035885167464114798</v>
      </c>
      <c r="AS234">
        <v>0.11514651258770101</v>
      </c>
      <c r="AT234">
        <v>0.069306930693069299</v>
      </c>
      <c r="AW234" t="s">
        <v>296</v>
      </c>
    </row>
    <row r="235" spans="1:49" ht="12.75">
      <c r="A235" t="s">
        <v>295</v>
      </c>
      <c r="B235" t="s">
        <v>291</v>
      </c>
      <c r="C235" t="s">
        <v>148</v>
      </c>
      <c r="D235" t="s">
        <v>44</v>
      </c>
      <c r="E235" t="s">
        <v>296</v>
      </c>
      <c r="F235" t="s">
        <v>83</v>
      </c>
      <c r="G235" t="s">
        <v>474</v>
      </c>
      <c r="H235" t="s">
        <v>296</v>
      </c>
      <c r="I235" t="s">
        <v>296</v>
      </c>
      <c r="J235" t="s">
        <v>296</v>
      </c>
      <c r="K235" t="s">
        <v>296</v>
      </c>
      <c r="T235">
        <v>0.0473676705452886</v>
      </c>
      <c r="U235">
        <v>0.17692307692307699</v>
      </c>
      <c r="X235">
        <v>0.090069142752248699</v>
      </c>
      <c r="Y235">
        <v>0.96999999999999997</v>
      </c>
      <c r="AE235">
        <v>0.013360088948410899</v>
      </c>
      <c r="AJ235">
        <v>4.4400000000000004</v>
      </c>
      <c r="AN235">
        <v>0.26848249027237397</v>
      </c>
      <c r="AP235">
        <v>0.034048852701702402</v>
      </c>
      <c r="AS235">
        <v>1.33588526619893</v>
      </c>
      <c r="AT235">
        <v>0.15181518151815199</v>
      </c>
      <c r="AW235" t="s">
        <v>296</v>
      </c>
    </row>
    <row r="236" spans="1:49" ht="12.75">
      <c r="A236" t="s">
        <v>295</v>
      </c>
      <c r="B236" t="s">
        <v>291</v>
      </c>
      <c r="C236" t="s">
        <v>148</v>
      </c>
      <c r="D236" t="s">
        <v>52</v>
      </c>
      <c r="E236" t="s">
        <v>296</v>
      </c>
      <c r="F236" t="s">
        <v>83</v>
      </c>
      <c r="G236" t="s">
        <v>474</v>
      </c>
      <c r="H236" t="s">
        <v>296</v>
      </c>
      <c r="I236" t="s">
        <v>296</v>
      </c>
      <c r="J236" t="s">
        <v>296</v>
      </c>
      <c r="K236" t="s">
        <v>296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S236">
        <v>1</v>
      </c>
      <c r="T236">
        <v>1</v>
      </c>
      <c r="U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 t="s">
        <v>296</v>
      </c>
    </row>
    <row r="237" spans="1:49" ht="12.75">
      <c r="A237" t="s">
        <v>295</v>
      </c>
      <c r="B237" t="s">
        <v>291</v>
      </c>
      <c r="C237" t="s">
        <v>149</v>
      </c>
      <c r="D237" t="s">
        <v>51</v>
      </c>
      <c r="E237" t="s">
        <v>296</v>
      </c>
      <c r="F237" t="s">
        <v>83</v>
      </c>
      <c r="G237" t="s">
        <v>474</v>
      </c>
      <c r="H237" t="s">
        <v>296</v>
      </c>
      <c r="I237" t="s">
        <v>296</v>
      </c>
      <c r="J237" t="s">
        <v>296</v>
      </c>
      <c r="K237" t="s">
        <v>296</v>
      </c>
      <c r="L237">
        <v>1.01</v>
      </c>
      <c r="M237">
        <v>1.01</v>
      </c>
      <c r="N237">
        <v>1.01</v>
      </c>
      <c r="O237">
        <v>1.01</v>
      </c>
      <c r="P237">
        <v>1.01</v>
      </c>
      <c r="Q237">
        <v>1.01</v>
      </c>
      <c r="R237">
        <v>1.01</v>
      </c>
      <c r="S237">
        <v>1.01</v>
      </c>
      <c r="T237">
        <v>1.01</v>
      </c>
      <c r="U237">
        <v>1.01</v>
      </c>
      <c r="V237">
        <v>1.01</v>
      </c>
      <c r="W237">
        <v>1.01</v>
      </c>
      <c r="X237">
        <v>1.01</v>
      </c>
      <c r="Y237">
        <v>1.01</v>
      </c>
      <c r="Z237">
        <v>1.01</v>
      </c>
      <c r="AA237">
        <v>1.01</v>
      </c>
      <c r="AB237">
        <v>1.01</v>
      </c>
      <c r="AC237">
        <v>1.01</v>
      </c>
      <c r="AD237">
        <v>1.01</v>
      </c>
      <c r="AE237">
        <v>1.01</v>
      </c>
      <c r="AF237">
        <v>1.01</v>
      </c>
      <c r="AG237">
        <v>1.01</v>
      </c>
      <c r="AH237">
        <v>1.01</v>
      </c>
      <c r="AI237">
        <v>1.01</v>
      </c>
      <c r="AJ237">
        <v>1.01</v>
      </c>
      <c r="AK237">
        <v>1.01</v>
      </c>
      <c r="AL237">
        <v>1.01</v>
      </c>
      <c r="AM237">
        <v>0.88880000000000003</v>
      </c>
      <c r="AN237">
        <v>1.01</v>
      </c>
      <c r="AO237">
        <v>1.01</v>
      </c>
      <c r="AP237">
        <v>1.01</v>
      </c>
      <c r="AQ237">
        <v>1.01</v>
      </c>
      <c r="AR237">
        <v>1.01</v>
      </c>
      <c r="AS237">
        <v>1.01</v>
      </c>
      <c r="AT237">
        <v>1.01</v>
      </c>
      <c r="AU237">
        <v>1.01</v>
      </c>
      <c r="AV237">
        <v>1.01</v>
      </c>
      <c r="AW237" t="s">
        <v>296</v>
      </c>
    </row>
    <row r="238" spans="1:49" ht="12.75">
      <c r="A238" t="s">
        <v>295</v>
      </c>
      <c r="B238" t="s">
        <v>291</v>
      </c>
      <c r="C238" t="s">
        <v>149</v>
      </c>
      <c r="D238" t="s">
        <v>37</v>
      </c>
      <c r="E238" t="s">
        <v>296</v>
      </c>
      <c r="F238" t="s">
        <v>83</v>
      </c>
      <c r="G238" t="s">
        <v>474</v>
      </c>
      <c r="H238" t="s">
        <v>296</v>
      </c>
      <c r="I238" t="s">
        <v>296</v>
      </c>
      <c r="J238" t="s">
        <v>296</v>
      </c>
      <c r="K238" t="s">
        <v>296</v>
      </c>
      <c r="L238">
        <v>1.0716000000000001</v>
      </c>
      <c r="M238">
        <v>1.1399999999999999</v>
      </c>
      <c r="N238">
        <v>1.1399999999999999</v>
      </c>
      <c r="O238">
        <v>1.1399999999999999</v>
      </c>
      <c r="P238">
        <v>1.1399999999999999</v>
      </c>
      <c r="Q238">
        <v>1.1399999999999999</v>
      </c>
      <c r="R238">
        <v>1.1399999999999999</v>
      </c>
      <c r="S238">
        <v>1.1399999999999999</v>
      </c>
      <c r="T238">
        <v>0.90000000000000002</v>
      </c>
      <c r="U238">
        <v>1.1399999999999999</v>
      </c>
      <c r="V238">
        <v>1.1399999999999999</v>
      </c>
      <c r="W238">
        <v>1.1399999999999999</v>
      </c>
      <c r="X238">
        <v>1.1399999999999999</v>
      </c>
      <c r="Y238">
        <v>1.1399999999999999</v>
      </c>
      <c r="Z238">
        <v>1.1399999999999999</v>
      </c>
      <c r="AA238">
        <v>0.90000000000000002</v>
      </c>
      <c r="AB238">
        <v>0.90000000000000002</v>
      </c>
      <c r="AC238">
        <v>1.1399999999999999</v>
      </c>
      <c r="AD238">
        <v>1.1399999999999999</v>
      </c>
      <c r="AE238">
        <v>1.1399999999999999</v>
      </c>
      <c r="AF238">
        <v>1.1399999999999999</v>
      </c>
      <c r="AG238">
        <v>1.1399999999999999</v>
      </c>
      <c r="AH238">
        <v>1.1399999999999999</v>
      </c>
      <c r="AI238">
        <v>1.1399999999999999</v>
      </c>
      <c r="AJ238">
        <v>1.1399999999999999</v>
      </c>
      <c r="AK238">
        <v>1.1399999999999999</v>
      </c>
      <c r="AL238">
        <v>1.1399999999999999</v>
      </c>
      <c r="AM238">
        <v>1.026</v>
      </c>
      <c r="AN238">
        <v>1.1399999999999999</v>
      </c>
      <c r="AO238">
        <v>1.1399999999999999</v>
      </c>
      <c r="AP238">
        <v>1.1399999999999999</v>
      </c>
      <c r="AQ238">
        <v>1.1399999999999999</v>
      </c>
      <c r="AR238">
        <v>1.1399999999999999</v>
      </c>
      <c r="AS238">
        <v>1.1399999999999999</v>
      </c>
      <c r="AT238">
        <v>1.1399999999999999</v>
      </c>
      <c r="AU238">
        <v>1.1399999999999999</v>
      </c>
      <c r="AV238">
        <v>1.0716000000000001</v>
      </c>
      <c r="AW238" t="s">
        <v>296</v>
      </c>
    </row>
    <row r="239" spans="1:49" ht="12.75">
      <c r="A239" t="s">
        <v>295</v>
      </c>
      <c r="B239" t="s">
        <v>291</v>
      </c>
      <c r="C239" t="s">
        <v>149</v>
      </c>
      <c r="D239" t="s">
        <v>147</v>
      </c>
      <c r="E239" t="s">
        <v>296</v>
      </c>
      <c r="F239" t="s">
        <v>83</v>
      </c>
      <c r="G239" t="s">
        <v>474</v>
      </c>
      <c r="H239" t="s">
        <v>296</v>
      </c>
      <c r="I239" t="s">
        <v>296</v>
      </c>
      <c r="J239" t="s">
        <v>296</v>
      </c>
      <c r="K239" t="s">
        <v>296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1.2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 t="s">
        <v>296</v>
      </c>
    </row>
    <row r="240" spans="1:49" ht="12.75">
      <c r="A240" t="s">
        <v>295</v>
      </c>
      <c r="B240" t="s">
        <v>291</v>
      </c>
      <c r="C240" t="s">
        <v>149</v>
      </c>
      <c r="D240" t="s">
        <v>134</v>
      </c>
      <c r="E240" t="s">
        <v>296</v>
      </c>
      <c r="F240" t="s">
        <v>83</v>
      </c>
      <c r="G240" t="s">
        <v>474</v>
      </c>
      <c r="H240" t="s">
        <v>296</v>
      </c>
      <c r="I240" t="s">
        <v>296</v>
      </c>
      <c r="J240" t="s">
        <v>296</v>
      </c>
      <c r="K240" t="s">
        <v>296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 t="s">
        <v>296</v>
      </c>
    </row>
    <row r="241" spans="1:49" ht="12.75">
      <c r="A241" t="s">
        <v>295</v>
      </c>
      <c r="B241" t="s">
        <v>291</v>
      </c>
      <c r="C241" t="s">
        <v>150</v>
      </c>
      <c r="D241" t="s">
        <v>50</v>
      </c>
      <c r="E241" t="s">
        <v>296</v>
      </c>
      <c r="F241" t="s">
        <v>83</v>
      </c>
      <c r="G241" t="s">
        <v>474</v>
      </c>
      <c r="H241" t="s">
        <v>296</v>
      </c>
      <c r="I241" t="s">
        <v>296</v>
      </c>
      <c r="J241" t="s">
        <v>296</v>
      </c>
      <c r="K241" t="s">
        <v>296</v>
      </c>
      <c r="L241">
        <v>0.90000000000000002</v>
      </c>
      <c r="M241">
        <v>0.90000000000000002</v>
      </c>
      <c r="N241">
        <v>0</v>
      </c>
      <c r="O241">
        <v>0.90000000000000002</v>
      </c>
      <c r="P241">
        <v>0.90000000000000002</v>
      </c>
      <c r="Q241">
        <v>0.90000000000000002</v>
      </c>
      <c r="R241">
        <v>0.90000000000000002</v>
      </c>
      <c r="S241">
        <v>0.90000000000000002</v>
      </c>
      <c r="T241">
        <v>0.90000000000000002</v>
      </c>
      <c r="U241">
        <v>0.90000000000000002</v>
      </c>
      <c r="V241">
        <v>0.90000000000000002</v>
      </c>
      <c r="W241">
        <v>0.90000000000000002</v>
      </c>
      <c r="X241">
        <v>0.90000000000000002</v>
      </c>
      <c r="Y241">
        <v>0.90000000000000002</v>
      </c>
      <c r="Z241">
        <v>0.90000000000000002</v>
      </c>
      <c r="AA241">
        <v>0.90000000000000002</v>
      </c>
      <c r="AB241">
        <v>0.90000000000000002</v>
      </c>
      <c r="AC241">
        <v>0.90000000000000002</v>
      </c>
      <c r="AD241">
        <v>0.90000000000000002</v>
      </c>
      <c r="AE241">
        <v>0</v>
      </c>
      <c r="AF241">
        <v>0</v>
      </c>
      <c r="AG241">
        <v>0.90000000000000002</v>
      </c>
      <c r="AH241">
        <v>0.90000000000000002</v>
      </c>
      <c r="AI241">
        <v>0.90000000000000002</v>
      </c>
      <c r="AJ241">
        <v>0.90000000000000002</v>
      </c>
      <c r="AK241">
        <v>0.90000000000000002</v>
      </c>
      <c r="AL241">
        <v>0.90000000000000002</v>
      </c>
      <c r="AM241">
        <v>0.80000000000000004</v>
      </c>
      <c r="AN241">
        <v>0</v>
      </c>
      <c r="AO241">
        <v>0.90000000000000002</v>
      </c>
      <c r="AP241">
        <v>0.90000000000000002</v>
      </c>
      <c r="AQ241">
        <v>0</v>
      </c>
      <c r="AR241">
        <v>0</v>
      </c>
      <c r="AS241">
        <v>0.90000000000000002</v>
      </c>
      <c r="AT241">
        <v>0.90000000000000002</v>
      </c>
      <c r="AU241">
        <v>0.90000000000000002</v>
      </c>
      <c r="AV241">
        <v>0.70799999999999996</v>
      </c>
      <c r="AW241" t="s">
        <v>296</v>
      </c>
    </row>
    <row r="242" spans="1:49" ht="12.75">
      <c r="A242" t="s">
        <v>295</v>
      </c>
      <c r="B242" t="s">
        <v>291</v>
      </c>
      <c r="C242" t="s">
        <v>150</v>
      </c>
      <c r="D242" t="s">
        <v>51</v>
      </c>
      <c r="E242" t="s">
        <v>296</v>
      </c>
      <c r="F242" t="s">
        <v>83</v>
      </c>
      <c r="G242" t="s">
        <v>474</v>
      </c>
      <c r="H242" t="s">
        <v>296</v>
      </c>
      <c r="I242" t="s">
        <v>296</v>
      </c>
      <c r="J242" t="s">
        <v>296</v>
      </c>
      <c r="K242" t="s">
        <v>296</v>
      </c>
      <c r="L242">
        <v>0.90000000000000002</v>
      </c>
      <c r="M242">
        <v>0.90000000000000002</v>
      </c>
      <c r="N242">
        <v>0.90000000000000002</v>
      </c>
      <c r="O242">
        <v>0.90000000000000002</v>
      </c>
      <c r="P242">
        <v>0.90000000000000002</v>
      </c>
      <c r="Q242">
        <v>0.90000000000000002</v>
      </c>
      <c r="R242">
        <v>0.90000000000000002</v>
      </c>
      <c r="S242">
        <v>0.90000000000000002</v>
      </c>
      <c r="T242">
        <v>0.90000000000000002</v>
      </c>
      <c r="U242">
        <v>0.90000000000000002</v>
      </c>
      <c r="V242">
        <v>0.90000000000000002</v>
      </c>
      <c r="W242">
        <v>0.90000000000000002</v>
      </c>
      <c r="X242">
        <v>0.90000000000000002</v>
      </c>
      <c r="Y242">
        <v>0.90000000000000002</v>
      </c>
      <c r="Z242">
        <v>0.90000000000000002</v>
      </c>
      <c r="AA242">
        <v>0.90000000000000002</v>
      </c>
      <c r="AB242">
        <v>0.90000000000000002</v>
      </c>
      <c r="AC242">
        <v>0.90000000000000002</v>
      </c>
      <c r="AD242">
        <v>0.90000000000000002</v>
      </c>
      <c r="AE242">
        <v>0.90000000000000002</v>
      </c>
      <c r="AF242">
        <v>0.90000000000000002</v>
      </c>
      <c r="AG242">
        <v>0.90000000000000002</v>
      </c>
      <c r="AH242">
        <v>0.90000000000000002</v>
      </c>
      <c r="AI242">
        <v>0.90000000000000002</v>
      </c>
      <c r="AJ242">
        <v>0.90000000000000002</v>
      </c>
      <c r="AK242">
        <v>0.90000000000000002</v>
      </c>
      <c r="AL242">
        <v>0.90000000000000002</v>
      </c>
      <c r="AM242">
        <v>0.79200000000000004</v>
      </c>
      <c r="AN242">
        <v>1.8</v>
      </c>
      <c r="AO242">
        <v>0.90000000000000002</v>
      </c>
      <c r="AP242">
        <v>0.90000000000000002</v>
      </c>
      <c r="AQ242">
        <v>1.8</v>
      </c>
      <c r="AR242">
        <v>1.8</v>
      </c>
      <c r="AS242">
        <v>0.90000000000000002</v>
      </c>
      <c r="AT242">
        <v>0.90000000000000002</v>
      </c>
      <c r="AU242">
        <v>0.90000000000000002</v>
      </c>
      <c r="AV242">
        <v>0.90000000000000002</v>
      </c>
      <c r="AW242" t="s">
        <v>296</v>
      </c>
    </row>
    <row r="243" spans="1:49" ht="12.75">
      <c r="A243" t="s">
        <v>295</v>
      </c>
      <c r="B243" t="s">
        <v>291</v>
      </c>
      <c r="C243" t="s">
        <v>150</v>
      </c>
      <c r="D243" t="s">
        <v>37</v>
      </c>
      <c r="E243" t="s">
        <v>296</v>
      </c>
      <c r="F243" t="s">
        <v>83</v>
      </c>
      <c r="G243" t="s">
        <v>474</v>
      </c>
      <c r="H243" t="s">
        <v>296</v>
      </c>
      <c r="I243" t="s">
        <v>296</v>
      </c>
      <c r="J243" t="s">
        <v>296</v>
      </c>
      <c r="K243" t="s">
        <v>296</v>
      </c>
      <c r="L243">
        <v>0.1128</v>
      </c>
      <c r="M243">
        <v>0.12</v>
      </c>
      <c r="N243">
        <v>0.12</v>
      </c>
      <c r="O243">
        <v>0.12</v>
      </c>
      <c r="P243">
        <v>0.12</v>
      </c>
      <c r="Q243">
        <v>0.12</v>
      </c>
      <c r="R243">
        <v>0.12</v>
      </c>
      <c r="S243">
        <v>0.12</v>
      </c>
      <c r="T243">
        <v>0.12</v>
      </c>
      <c r="U243">
        <v>0.12</v>
      </c>
      <c r="V243">
        <v>0.12</v>
      </c>
      <c r="W243">
        <v>0.12</v>
      </c>
      <c r="X243">
        <v>0.12</v>
      </c>
      <c r="Y243">
        <v>0.12</v>
      </c>
      <c r="Z243">
        <v>0.12</v>
      </c>
      <c r="AA243">
        <v>0.12</v>
      </c>
      <c r="AB243">
        <v>0.12</v>
      </c>
      <c r="AC243">
        <v>0.12</v>
      </c>
      <c r="AD243">
        <v>0.12</v>
      </c>
      <c r="AE243">
        <v>0.12</v>
      </c>
      <c r="AF243">
        <v>0.12</v>
      </c>
      <c r="AG243">
        <v>0.12</v>
      </c>
      <c r="AH243">
        <v>0.12</v>
      </c>
      <c r="AI243">
        <v>0.12</v>
      </c>
      <c r="AJ243">
        <v>0.12</v>
      </c>
      <c r="AK243">
        <v>0.12</v>
      </c>
      <c r="AL243">
        <v>0.12</v>
      </c>
      <c r="AM243">
        <v>0.12</v>
      </c>
      <c r="AN243">
        <v>0.12</v>
      </c>
      <c r="AO243">
        <v>0.12</v>
      </c>
      <c r="AP243">
        <v>0.12</v>
      </c>
      <c r="AQ243">
        <v>0.12</v>
      </c>
      <c r="AR243">
        <v>0.12</v>
      </c>
      <c r="AS243">
        <v>0.12</v>
      </c>
      <c r="AT243">
        <v>0.12</v>
      </c>
      <c r="AU243">
        <v>0.12</v>
      </c>
      <c r="AV243">
        <v>0.1128</v>
      </c>
      <c r="AW243" t="s">
        <v>296</v>
      </c>
    </row>
    <row r="244" spans="1:49" ht="12.75">
      <c r="A244" t="s">
        <v>295</v>
      </c>
      <c r="B244" t="s">
        <v>291</v>
      </c>
      <c r="C244" t="s">
        <v>150</v>
      </c>
      <c r="D244" t="s">
        <v>147</v>
      </c>
      <c r="E244" t="s">
        <v>296</v>
      </c>
      <c r="F244" t="s">
        <v>83</v>
      </c>
      <c r="G244" t="s">
        <v>474</v>
      </c>
      <c r="H244" t="s">
        <v>296</v>
      </c>
      <c r="I244" t="s">
        <v>296</v>
      </c>
      <c r="J244" t="s">
        <v>296</v>
      </c>
      <c r="K244" t="s">
        <v>296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1.2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 t="s">
        <v>296</v>
      </c>
    </row>
    <row r="245" spans="1:49" ht="12.75">
      <c r="A245" t="s">
        <v>295</v>
      </c>
      <c r="B245" t="s">
        <v>291</v>
      </c>
      <c r="C245" t="s">
        <v>150</v>
      </c>
      <c r="D245" t="s">
        <v>135</v>
      </c>
      <c r="E245" t="s">
        <v>296</v>
      </c>
      <c r="F245" t="s">
        <v>83</v>
      </c>
      <c r="G245" t="s">
        <v>474</v>
      </c>
      <c r="H245" t="s">
        <v>296</v>
      </c>
      <c r="I245" t="s">
        <v>296</v>
      </c>
      <c r="J245" t="s">
        <v>296</v>
      </c>
      <c r="K245" t="s">
        <v>296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 t="s">
        <v>296</v>
      </c>
    </row>
    <row r="246" spans="1:49" ht="12.75">
      <c r="A246" t="s">
        <v>295</v>
      </c>
      <c r="B246" t="s">
        <v>291</v>
      </c>
      <c r="C246" t="s">
        <v>151</v>
      </c>
      <c r="D246" t="s">
        <v>429</v>
      </c>
      <c r="E246" t="s">
        <v>296</v>
      </c>
      <c r="F246" t="s">
        <v>83</v>
      </c>
      <c r="G246" t="s">
        <v>474</v>
      </c>
      <c r="H246" t="s">
        <v>296</v>
      </c>
      <c r="I246" t="s">
        <v>296</v>
      </c>
      <c r="J246" t="s">
        <v>296</v>
      </c>
      <c r="K246" t="s">
        <v>296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 t="s">
        <v>296</v>
      </c>
    </row>
    <row r="247" spans="1:49" ht="12.75">
      <c r="A247" t="s">
        <v>295</v>
      </c>
      <c r="B247" t="s">
        <v>291</v>
      </c>
      <c r="C247" t="s">
        <v>151</v>
      </c>
      <c r="D247" t="s">
        <v>152</v>
      </c>
      <c r="E247" t="s">
        <v>296</v>
      </c>
      <c r="F247" t="s">
        <v>83</v>
      </c>
      <c r="G247" t="s">
        <v>474</v>
      </c>
      <c r="H247" t="s">
        <v>296</v>
      </c>
      <c r="I247" t="s">
        <v>296</v>
      </c>
      <c r="J247" t="s">
        <v>296</v>
      </c>
      <c r="K247" t="s">
        <v>296</v>
      </c>
      <c r="L247">
        <v>0.252</v>
      </c>
      <c r="M247">
        <v>0.252</v>
      </c>
      <c r="N247">
        <v>0.252</v>
      </c>
      <c r="O247">
        <v>0.252</v>
      </c>
      <c r="P247">
        <v>0.252</v>
      </c>
      <c r="Q247">
        <v>0.252</v>
      </c>
      <c r="R247">
        <v>0.252</v>
      </c>
      <c r="S247">
        <v>0.252</v>
      </c>
      <c r="T247">
        <v>0.252</v>
      </c>
      <c r="U247">
        <v>0.252</v>
      </c>
      <c r="V247">
        <v>0.252</v>
      </c>
      <c r="W247">
        <v>0.252</v>
      </c>
      <c r="X247">
        <v>0.252</v>
      </c>
      <c r="Y247">
        <v>0.252</v>
      </c>
      <c r="Z247">
        <v>0.252</v>
      </c>
      <c r="AA247">
        <v>0.252</v>
      </c>
      <c r="AB247">
        <v>0.252</v>
      </c>
      <c r="AC247">
        <v>0.252</v>
      </c>
      <c r="AD247">
        <v>0.252</v>
      </c>
      <c r="AE247">
        <v>0.252</v>
      </c>
      <c r="AF247">
        <v>0.252</v>
      </c>
      <c r="AG247">
        <v>0.252</v>
      </c>
      <c r="AH247">
        <v>0.252</v>
      </c>
      <c r="AI247">
        <v>0.252</v>
      </c>
      <c r="AJ247">
        <v>0.252</v>
      </c>
      <c r="AK247">
        <v>0.252</v>
      </c>
      <c r="AL247">
        <v>0.252</v>
      </c>
      <c r="AM247">
        <v>0.252</v>
      </c>
      <c r="AN247">
        <v>0.252</v>
      </c>
      <c r="AO247">
        <v>0.252</v>
      </c>
      <c r="AP247">
        <v>0.252</v>
      </c>
      <c r="AQ247">
        <v>0.252</v>
      </c>
      <c r="AR247">
        <v>0.252</v>
      </c>
      <c r="AS247">
        <v>0.252</v>
      </c>
      <c r="AT247">
        <v>0.252</v>
      </c>
      <c r="AU247">
        <v>0.252</v>
      </c>
      <c r="AV247">
        <v>0.252</v>
      </c>
      <c r="AW247" t="s">
        <v>296</v>
      </c>
    </row>
    <row r="248" spans="1:49" ht="12.75">
      <c r="A248" t="s">
        <v>295</v>
      </c>
      <c r="B248" t="s">
        <v>291</v>
      </c>
      <c r="C248" t="s">
        <v>151</v>
      </c>
      <c r="D248" t="s">
        <v>125</v>
      </c>
      <c r="E248" t="s">
        <v>296</v>
      </c>
      <c r="F248" t="s">
        <v>83</v>
      </c>
      <c r="G248" t="s">
        <v>474</v>
      </c>
      <c r="H248" t="s">
        <v>296</v>
      </c>
      <c r="I248" t="s">
        <v>296</v>
      </c>
      <c r="J248" t="s">
        <v>296</v>
      </c>
      <c r="K248" t="s">
        <v>296</v>
      </c>
      <c r="L248">
        <v>0.78600000000000003</v>
      </c>
      <c r="M248">
        <v>0.78600000000000003</v>
      </c>
      <c r="N248">
        <v>0.78600000000000003</v>
      </c>
      <c r="O248">
        <v>0.78600000000000003</v>
      </c>
      <c r="P248">
        <v>0.78600000000000003</v>
      </c>
      <c r="Q248">
        <v>0.78600000000000003</v>
      </c>
      <c r="R248">
        <v>0.78600000000000003</v>
      </c>
      <c r="S248">
        <v>0.78600000000000003</v>
      </c>
      <c r="T248">
        <v>0.78600000000000003</v>
      </c>
      <c r="U248">
        <v>0.78600000000000003</v>
      </c>
      <c r="V248">
        <v>0.78600000000000003</v>
      </c>
      <c r="W248">
        <v>0.78600000000000003</v>
      </c>
      <c r="X248">
        <v>0.78600000000000003</v>
      </c>
      <c r="Y248">
        <v>0.78600000000000003</v>
      </c>
      <c r="Z248">
        <v>0.78600000000000003</v>
      </c>
      <c r="AA248">
        <v>0.78600000000000003</v>
      </c>
      <c r="AB248">
        <v>0.78600000000000003</v>
      </c>
      <c r="AC248">
        <v>0.78600000000000003</v>
      </c>
      <c r="AD248">
        <v>0.78600000000000003</v>
      </c>
      <c r="AE248">
        <v>0.78600000000000003</v>
      </c>
      <c r="AF248">
        <v>0.78600000000000003</v>
      </c>
      <c r="AG248">
        <v>0.78600000000000003</v>
      </c>
      <c r="AH248">
        <v>0.78600000000000003</v>
      </c>
      <c r="AI248">
        <v>0.78600000000000003</v>
      </c>
      <c r="AJ248">
        <v>0.78600000000000003</v>
      </c>
      <c r="AK248">
        <v>0.78600000000000003</v>
      </c>
      <c r="AL248">
        <v>0.78600000000000003</v>
      </c>
      <c r="AM248">
        <v>0.78600000000000003</v>
      </c>
      <c r="AN248">
        <v>0.78600000000000003</v>
      </c>
      <c r="AO248">
        <v>0.78600000000000003</v>
      </c>
      <c r="AP248">
        <v>0.78600000000000003</v>
      </c>
      <c r="AQ248">
        <v>0.78600000000000003</v>
      </c>
      <c r="AR248">
        <v>0.78600000000000003</v>
      </c>
      <c r="AS248">
        <v>0.78600000000000003</v>
      </c>
      <c r="AT248">
        <v>0.78600000000000003</v>
      </c>
      <c r="AU248">
        <v>0.78600000000000003</v>
      </c>
      <c r="AV248">
        <v>0.78600000000000003</v>
      </c>
      <c r="AW248" t="s">
        <v>296</v>
      </c>
    </row>
    <row r="249" spans="1:49" ht="12.75">
      <c r="A249" t="s">
        <v>295</v>
      </c>
      <c r="B249" t="s">
        <v>291</v>
      </c>
      <c r="C249" t="s">
        <v>151</v>
      </c>
      <c r="D249" t="s">
        <v>37</v>
      </c>
      <c r="E249" t="s">
        <v>296</v>
      </c>
      <c r="F249" t="s">
        <v>83</v>
      </c>
      <c r="G249" t="s">
        <v>474</v>
      </c>
      <c r="H249" t="s">
        <v>296</v>
      </c>
      <c r="I249" t="s">
        <v>296</v>
      </c>
      <c r="J249" t="s">
        <v>296</v>
      </c>
      <c r="K249" t="s">
        <v>296</v>
      </c>
      <c r="L249">
        <v>0.252</v>
      </c>
      <c r="M249">
        <v>0.252</v>
      </c>
      <c r="N249">
        <v>0.252</v>
      </c>
      <c r="O249">
        <v>0.2016</v>
      </c>
      <c r="P249">
        <v>0.252</v>
      </c>
      <c r="Q249">
        <v>0.252</v>
      </c>
      <c r="R249">
        <v>0.252</v>
      </c>
      <c r="S249">
        <v>0.252</v>
      </c>
      <c r="T249">
        <v>0.252</v>
      </c>
      <c r="U249">
        <v>0.252</v>
      </c>
      <c r="V249">
        <v>0.252</v>
      </c>
      <c r="W249">
        <v>0.252</v>
      </c>
      <c r="X249">
        <v>0.252</v>
      </c>
      <c r="Y249">
        <v>0.252</v>
      </c>
      <c r="Z249">
        <v>0.252</v>
      </c>
      <c r="AA249">
        <v>0.252</v>
      </c>
      <c r="AB249">
        <v>0.252</v>
      </c>
      <c r="AC249">
        <v>0.252</v>
      </c>
      <c r="AD249">
        <v>0.252</v>
      </c>
      <c r="AE249">
        <v>0.252</v>
      </c>
      <c r="AF249">
        <v>0.252</v>
      </c>
      <c r="AG249">
        <v>0.252</v>
      </c>
      <c r="AH249">
        <v>0.252</v>
      </c>
      <c r="AI249">
        <v>0.252</v>
      </c>
      <c r="AJ249">
        <v>0.252</v>
      </c>
      <c r="AK249">
        <v>0.252</v>
      </c>
      <c r="AL249">
        <v>0.252</v>
      </c>
      <c r="AM249">
        <v>0.252</v>
      </c>
      <c r="AN249">
        <v>0.252</v>
      </c>
      <c r="AO249">
        <v>0.252</v>
      </c>
      <c r="AP249">
        <v>0.252</v>
      </c>
      <c r="AQ249">
        <v>0.252</v>
      </c>
      <c r="AR249">
        <v>0.252</v>
      </c>
      <c r="AS249">
        <v>0.252</v>
      </c>
      <c r="AT249">
        <v>0.252</v>
      </c>
      <c r="AU249">
        <v>0.252</v>
      </c>
      <c r="AV249">
        <v>0.252</v>
      </c>
      <c r="AW249" t="s">
        <v>296</v>
      </c>
    </row>
    <row r="250" spans="1:49" ht="12.75">
      <c r="A250" t="s">
        <v>295</v>
      </c>
      <c r="B250" t="s">
        <v>291</v>
      </c>
      <c r="C250" t="s">
        <v>151</v>
      </c>
      <c r="D250" t="s">
        <v>124</v>
      </c>
      <c r="E250" t="s">
        <v>296</v>
      </c>
      <c r="F250" t="s">
        <v>83</v>
      </c>
      <c r="G250" t="s">
        <v>474</v>
      </c>
      <c r="H250" t="s">
        <v>296</v>
      </c>
      <c r="I250" t="s">
        <v>296</v>
      </c>
      <c r="J250" t="s">
        <v>296</v>
      </c>
      <c r="K250" t="s">
        <v>296</v>
      </c>
      <c r="L250">
        <v>1.786</v>
      </c>
      <c r="M250">
        <v>1.786</v>
      </c>
      <c r="N250">
        <v>1.786</v>
      </c>
      <c r="O250">
        <v>1.786</v>
      </c>
      <c r="P250">
        <v>1.786</v>
      </c>
      <c r="Q250">
        <v>1.786</v>
      </c>
      <c r="R250">
        <v>1.786</v>
      </c>
      <c r="S250">
        <v>1.786</v>
      </c>
      <c r="T250">
        <v>1.786</v>
      </c>
      <c r="U250">
        <v>1.786</v>
      </c>
      <c r="V250">
        <v>1.786</v>
      </c>
      <c r="W250">
        <v>1.786</v>
      </c>
      <c r="X250">
        <v>1.786</v>
      </c>
      <c r="Y250">
        <v>1.786</v>
      </c>
      <c r="Z250">
        <v>1.786</v>
      </c>
      <c r="AA250">
        <v>1.786</v>
      </c>
      <c r="AB250">
        <v>1.786</v>
      </c>
      <c r="AC250">
        <v>1.786</v>
      </c>
      <c r="AD250">
        <v>1.786</v>
      </c>
      <c r="AE250">
        <v>1.786</v>
      </c>
      <c r="AF250">
        <v>1.786</v>
      </c>
      <c r="AG250">
        <v>1.786</v>
      </c>
      <c r="AH250">
        <v>1.786</v>
      </c>
      <c r="AI250">
        <v>1.786</v>
      </c>
      <c r="AJ250">
        <v>1.786</v>
      </c>
      <c r="AK250">
        <v>1.786</v>
      </c>
      <c r="AL250">
        <v>1.786</v>
      </c>
      <c r="AM250">
        <v>1.786</v>
      </c>
      <c r="AN250">
        <v>1.786</v>
      </c>
      <c r="AO250">
        <v>1.786</v>
      </c>
      <c r="AP250">
        <v>1.786</v>
      </c>
      <c r="AQ250">
        <v>1.786</v>
      </c>
      <c r="AR250">
        <v>1.786</v>
      </c>
      <c r="AS250">
        <v>1.786</v>
      </c>
      <c r="AT250">
        <v>1.786</v>
      </c>
      <c r="AU250">
        <v>1.786</v>
      </c>
      <c r="AV250">
        <v>1.786</v>
      </c>
      <c r="AW250" t="s">
        <v>296</v>
      </c>
    </row>
    <row r="251" spans="1:49" ht="12.75">
      <c r="A251" t="s">
        <v>295</v>
      </c>
      <c r="B251" t="s">
        <v>291</v>
      </c>
      <c r="C251" t="s">
        <v>327</v>
      </c>
      <c r="D251" t="s">
        <v>37</v>
      </c>
      <c r="E251" t="s">
        <v>296</v>
      </c>
      <c r="F251" t="s">
        <v>83</v>
      </c>
      <c r="G251" t="s">
        <v>474</v>
      </c>
      <c r="H251" t="s">
        <v>296</v>
      </c>
      <c r="I251" t="s">
        <v>296</v>
      </c>
      <c r="J251" t="s">
        <v>296</v>
      </c>
      <c r="K251" t="s">
        <v>296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 t="s">
        <v>296</v>
      </c>
    </row>
    <row r="252" spans="1:49" ht="12.75">
      <c r="A252" t="s">
        <v>295</v>
      </c>
      <c r="B252" t="s">
        <v>291</v>
      </c>
      <c r="C252" t="s">
        <v>327</v>
      </c>
      <c r="D252" t="s">
        <v>414</v>
      </c>
      <c r="E252" t="s">
        <v>296</v>
      </c>
      <c r="F252" t="s">
        <v>83</v>
      </c>
      <c r="G252" t="s">
        <v>474</v>
      </c>
      <c r="H252" t="s">
        <v>296</v>
      </c>
      <c r="I252" t="s">
        <v>296</v>
      </c>
      <c r="J252" t="s">
        <v>296</v>
      </c>
      <c r="K252" t="s">
        <v>296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 t="s">
        <v>296</v>
      </c>
    </row>
    <row r="253" spans="1:49" ht="12.75">
      <c r="A253" t="s">
        <v>295</v>
      </c>
      <c r="B253" t="s">
        <v>291</v>
      </c>
      <c r="C253" t="s">
        <v>328</v>
      </c>
      <c r="D253" t="s">
        <v>155</v>
      </c>
      <c r="E253" t="s">
        <v>296</v>
      </c>
      <c r="F253" t="s">
        <v>83</v>
      </c>
      <c r="G253" t="s">
        <v>474</v>
      </c>
      <c r="H253" t="s">
        <v>296</v>
      </c>
      <c r="I253" t="s">
        <v>296</v>
      </c>
      <c r="J253" t="s">
        <v>296</v>
      </c>
      <c r="K253" t="s">
        <v>296</v>
      </c>
      <c r="L253">
        <v>2</v>
      </c>
      <c r="M253">
        <v>2</v>
      </c>
      <c r="N253">
        <v>2</v>
      </c>
      <c r="O253">
        <v>2</v>
      </c>
      <c r="P253">
        <v>2</v>
      </c>
      <c r="Q253">
        <v>2</v>
      </c>
      <c r="R253">
        <v>2</v>
      </c>
      <c r="S253">
        <v>2</v>
      </c>
      <c r="T253">
        <v>2</v>
      </c>
      <c r="U253">
        <v>2</v>
      </c>
      <c r="V253">
        <v>2</v>
      </c>
      <c r="W253">
        <v>2</v>
      </c>
      <c r="X253">
        <v>2</v>
      </c>
      <c r="Y253">
        <v>2</v>
      </c>
      <c r="Z253">
        <v>2</v>
      </c>
      <c r="AA253">
        <v>2</v>
      </c>
      <c r="AB253">
        <v>2</v>
      </c>
      <c r="AC253">
        <v>2</v>
      </c>
      <c r="AD253">
        <v>2</v>
      </c>
      <c r="AE253">
        <v>2</v>
      </c>
      <c r="AF253">
        <v>2</v>
      </c>
      <c r="AG253">
        <v>2</v>
      </c>
      <c r="AH253">
        <v>2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2</v>
      </c>
      <c r="AR253">
        <v>2</v>
      </c>
      <c r="AS253">
        <v>2</v>
      </c>
      <c r="AT253">
        <v>2</v>
      </c>
      <c r="AU253">
        <v>2</v>
      </c>
      <c r="AV253">
        <v>2</v>
      </c>
      <c r="AW253" t="s">
        <v>296</v>
      </c>
    </row>
    <row r="254" spans="1:49" ht="12.75">
      <c r="A254" t="s">
        <v>295</v>
      </c>
      <c r="B254" t="s">
        <v>291</v>
      </c>
      <c r="C254" t="s">
        <v>328</v>
      </c>
      <c r="D254" t="s">
        <v>415</v>
      </c>
      <c r="E254" t="s">
        <v>296</v>
      </c>
      <c r="F254" t="s">
        <v>83</v>
      </c>
      <c r="G254" t="s">
        <v>474</v>
      </c>
      <c r="H254" t="s">
        <v>296</v>
      </c>
      <c r="I254" t="s">
        <v>296</v>
      </c>
      <c r="J254" t="s">
        <v>296</v>
      </c>
      <c r="K254" t="s">
        <v>296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 t="s">
        <v>296</v>
      </c>
    </row>
    <row r="255" spans="1:49" ht="12.75">
      <c r="A255" t="s">
        <v>295</v>
      </c>
      <c r="B255" t="s">
        <v>291</v>
      </c>
      <c r="C255" t="s">
        <v>329</v>
      </c>
      <c r="D255" t="s">
        <v>49</v>
      </c>
      <c r="E255" t="s">
        <v>296</v>
      </c>
      <c r="F255" t="s">
        <v>83</v>
      </c>
      <c r="G255" t="s">
        <v>474</v>
      </c>
      <c r="H255" t="s">
        <v>296</v>
      </c>
      <c r="I255" t="s">
        <v>296</v>
      </c>
      <c r="J255" t="s">
        <v>296</v>
      </c>
      <c r="K255" t="s">
        <v>296</v>
      </c>
      <c r="L255">
        <v>2</v>
      </c>
      <c r="M255">
        <v>2</v>
      </c>
      <c r="N255">
        <v>2</v>
      </c>
      <c r="O255">
        <v>2.8700000000000001</v>
      </c>
      <c r="P255">
        <v>2</v>
      </c>
      <c r="Q255">
        <v>2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2</v>
      </c>
      <c r="AB255">
        <v>2</v>
      </c>
      <c r="AC255">
        <v>2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2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2</v>
      </c>
      <c r="AW255" t="s">
        <v>296</v>
      </c>
    </row>
    <row r="256" spans="1:49" ht="12.75">
      <c r="A256" t="s">
        <v>295</v>
      </c>
      <c r="B256" t="s">
        <v>291</v>
      </c>
      <c r="C256" t="s">
        <v>329</v>
      </c>
      <c r="D256" t="s">
        <v>415</v>
      </c>
      <c r="E256" t="s">
        <v>296</v>
      </c>
      <c r="F256" t="s">
        <v>83</v>
      </c>
      <c r="G256" t="s">
        <v>474</v>
      </c>
      <c r="H256" t="s">
        <v>296</v>
      </c>
      <c r="I256" t="s">
        <v>296</v>
      </c>
      <c r="J256" t="s">
        <v>296</v>
      </c>
      <c r="K256" t="s">
        <v>296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 t="s">
        <v>296</v>
      </c>
    </row>
    <row r="257" spans="1:49" ht="12.75">
      <c r="A257" t="s">
        <v>295</v>
      </c>
      <c r="B257" t="s">
        <v>291</v>
      </c>
      <c r="C257" t="s">
        <v>330</v>
      </c>
      <c r="D257" t="s">
        <v>51</v>
      </c>
      <c r="E257" t="s">
        <v>296</v>
      </c>
      <c r="F257" t="s">
        <v>83</v>
      </c>
      <c r="G257" t="s">
        <v>474</v>
      </c>
      <c r="H257" t="s">
        <v>296</v>
      </c>
      <c r="I257" t="s">
        <v>296</v>
      </c>
      <c r="J257" t="s">
        <v>296</v>
      </c>
      <c r="K257" t="s">
        <v>296</v>
      </c>
      <c r="L257">
        <v>2</v>
      </c>
      <c r="M257">
        <v>2</v>
      </c>
      <c r="N257">
        <v>2</v>
      </c>
      <c r="O257">
        <v>2.8700000000000001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  <c r="AC257">
        <v>2</v>
      </c>
      <c r="AD257">
        <v>2</v>
      </c>
      <c r="AE257">
        <v>2</v>
      </c>
      <c r="AF257">
        <v>2</v>
      </c>
      <c r="AG257">
        <v>2</v>
      </c>
      <c r="AH257">
        <v>2</v>
      </c>
      <c r="AI257">
        <v>2</v>
      </c>
      <c r="AJ257">
        <v>2</v>
      </c>
      <c r="AK257">
        <v>2</v>
      </c>
      <c r="AL257">
        <v>2</v>
      </c>
      <c r="AM257">
        <v>2</v>
      </c>
      <c r="AN257">
        <v>2</v>
      </c>
      <c r="AO257">
        <v>2</v>
      </c>
      <c r="AP257">
        <v>2</v>
      </c>
      <c r="AQ257">
        <v>2</v>
      </c>
      <c r="AR257">
        <v>2</v>
      </c>
      <c r="AS257">
        <v>2</v>
      </c>
      <c r="AT257">
        <v>2</v>
      </c>
      <c r="AU257">
        <v>2</v>
      </c>
      <c r="AV257">
        <v>2</v>
      </c>
      <c r="AW257" t="s">
        <v>296</v>
      </c>
    </row>
    <row r="258" spans="1:49" ht="12.75">
      <c r="A258" t="s">
        <v>295</v>
      </c>
      <c r="B258" t="s">
        <v>291</v>
      </c>
      <c r="C258" t="s">
        <v>330</v>
      </c>
      <c r="D258" t="s">
        <v>415</v>
      </c>
      <c r="E258" t="s">
        <v>296</v>
      </c>
      <c r="F258" t="s">
        <v>83</v>
      </c>
      <c r="G258" t="s">
        <v>474</v>
      </c>
      <c r="H258" t="s">
        <v>296</v>
      </c>
      <c r="I258" t="s">
        <v>296</v>
      </c>
      <c r="J258" t="s">
        <v>296</v>
      </c>
      <c r="K258" t="s">
        <v>296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 t="s">
        <v>296</v>
      </c>
    </row>
    <row r="259" spans="1:49" ht="12.75">
      <c r="A259" t="s">
        <v>295</v>
      </c>
      <c r="B259" t="s">
        <v>291</v>
      </c>
      <c r="C259" t="s">
        <v>331</v>
      </c>
      <c r="D259" t="s">
        <v>37</v>
      </c>
      <c r="E259" t="s">
        <v>296</v>
      </c>
      <c r="F259" t="s">
        <v>83</v>
      </c>
      <c r="G259" t="s">
        <v>474</v>
      </c>
      <c r="H259" t="s">
        <v>296</v>
      </c>
      <c r="I259" t="s">
        <v>296</v>
      </c>
      <c r="J259" t="s">
        <v>296</v>
      </c>
      <c r="K259" t="s">
        <v>296</v>
      </c>
      <c r="L259">
        <v>1.0526315789473699</v>
      </c>
      <c r="M259">
        <v>1.0526315789473699</v>
      </c>
      <c r="N259">
        <v>1.0526315789473699</v>
      </c>
      <c r="O259">
        <v>1.0526315789473699</v>
      </c>
      <c r="P259">
        <v>1.0526315789473699</v>
      </c>
      <c r="Q259">
        <v>1.0526315789473699</v>
      </c>
      <c r="R259">
        <v>1.0526315789473699</v>
      </c>
      <c r="S259">
        <v>1.0526315789473699</v>
      </c>
      <c r="T259">
        <v>1.0526315789473699</v>
      </c>
      <c r="U259">
        <v>1.0526315789473699</v>
      </c>
      <c r="V259">
        <v>1.0526315789473699</v>
      </c>
      <c r="W259">
        <v>1.0526315789473699</v>
      </c>
      <c r="X259">
        <v>1.0526315789473699</v>
      </c>
      <c r="Y259">
        <v>1.0526315789473699</v>
      </c>
      <c r="Z259">
        <v>1.0526315789473699</v>
      </c>
      <c r="AA259">
        <v>1.0526315789473699</v>
      </c>
      <c r="AB259">
        <v>1.0526315789473699</v>
      </c>
      <c r="AC259">
        <v>1.0526315789473699</v>
      </c>
      <c r="AD259">
        <v>1.0526315789473699</v>
      </c>
      <c r="AE259">
        <v>1.0526315789473699</v>
      </c>
      <c r="AF259">
        <v>1.0526315789473699</v>
      </c>
      <c r="AG259">
        <v>1.0526315789473699</v>
      </c>
      <c r="AH259">
        <v>1.0526315789473699</v>
      </c>
      <c r="AI259">
        <v>1.0526315789473699</v>
      </c>
      <c r="AJ259">
        <v>1.0526315789473699</v>
      </c>
      <c r="AK259">
        <v>1.0526315789473699</v>
      </c>
      <c r="AL259">
        <v>1.0526315789473699</v>
      </c>
      <c r="AM259">
        <v>1.0526315789473699</v>
      </c>
      <c r="AN259">
        <v>1.0526315789473699</v>
      </c>
      <c r="AO259">
        <v>1.0526315789473699</v>
      </c>
      <c r="AP259">
        <v>1.0526315789473699</v>
      </c>
      <c r="AQ259">
        <v>1.0526315789473699</v>
      </c>
      <c r="AR259">
        <v>1.0526315789473699</v>
      </c>
      <c r="AS259">
        <v>1.0526315789473699</v>
      </c>
      <c r="AT259">
        <v>1.0526315789473699</v>
      </c>
      <c r="AU259">
        <v>1.0526315789473699</v>
      </c>
      <c r="AV259">
        <v>1.0526315789473699</v>
      </c>
      <c r="AW259" t="s">
        <v>296</v>
      </c>
    </row>
    <row r="260" spans="1:49" ht="12.75">
      <c r="A260" t="s">
        <v>295</v>
      </c>
      <c r="B260" t="s">
        <v>291</v>
      </c>
      <c r="C260" t="s">
        <v>331</v>
      </c>
      <c r="D260" t="s">
        <v>415</v>
      </c>
      <c r="E260" t="s">
        <v>296</v>
      </c>
      <c r="F260" t="s">
        <v>83</v>
      </c>
      <c r="G260" t="s">
        <v>474</v>
      </c>
      <c r="H260" t="s">
        <v>296</v>
      </c>
      <c r="I260" t="s">
        <v>296</v>
      </c>
      <c r="J260" t="s">
        <v>296</v>
      </c>
      <c r="K260" t="s">
        <v>296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 t="s">
        <v>296</v>
      </c>
    </row>
    <row r="261" spans="1:49" ht="12.75">
      <c r="A261" t="s">
        <v>295</v>
      </c>
      <c r="B261" t="s">
        <v>291</v>
      </c>
      <c r="C261" t="s">
        <v>332</v>
      </c>
      <c r="D261" t="s">
        <v>38</v>
      </c>
      <c r="E261" t="s">
        <v>296</v>
      </c>
      <c r="F261" t="s">
        <v>83</v>
      </c>
      <c r="G261" t="s">
        <v>474</v>
      </c>
      <c r="H261" t="s">
        <v>296</v>
      </c>
      <c r="I261" t="s">
        <v>296</v>
      </c>
      <c r="J261" t="s">
        <v>296</v>
      </c>
      <c r="K261" t="s">
        <v>296</v>
      </c>
      <c r="L261">
        <v>2</v>
      </c>
      <c r="M261">
        <v>2</v>
      </c>
      <c r="N261">
        <v>2</v>
      </c>
      <c r="O261">
        <v>2.8700000000000001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2</v>
      </c>
      <c r="V261">
        <v>2</v>
      </c>
      <c r="W261">
        <v>2</v>
      </c>
      <c r="X261">
        <v>2</v>
      </c>
      <c r="Y261">
        <v>2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2</v>
      </c>
      <c r="AW261" t="s">
        <v>296</v>
      </c>
    </row>
    <row r="262" spans="1:49" ht="12.75">
      <c r="A262" t="s">
        <v>295</v>
      </c>
      <c r="B262" t="s">
        <v>291</v>
      </c>
      <c r="C262" t="s">
        <v>332</v>
      </c>
      <c r="D262" t="s">
        <v>415</v>
      </c>
      <c r="E262" t="s">
        <v>296</v>
      </c>
      <c r="F262" t="s">
        <v>83</v>
      </c>
      <c r="G262" t="s">
        <v>474</v>
      </c>
      <c r="H262" t="s">
        <v>296</v>
      </c>
      <c r="I262" t="s">
        <v>296</v>
      </c>
      <c r="J262" t="s">
        <v>296</v>
      </c>
      <c r="K262" t="s">
        <v>296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 t="s">
        <v>296</v>
      </c>
    </row>
    <row r="263" spans="1:49" ht="12.75">
      <c r="A263" t="s">
        <v>295</v>
      </c>
      <c r="B263" t="s">
        <v>291</v>
      </c>
      <c r="C263" t="s">
        <v>333</v>
      </c>
      <c r="D263" t="s">
        <v>43</v>
      </c>
      <c r="E263" t="s">
        <v>296</v>
      </c>
      <c r="F263" t="s">
        <v>83</v>
      </c>
      <c r="G263" t="s">
        <v>474</v>
      </c>
      <c r="H263" t="s">
        <v>296</v>
      </c>
      <c r="I263" t="s">
        <v>296</v>
      </c>
      <c r="J263" t="s">
        <v>296</v>
      </c>
      <c r="K263" t="s">
        <v>296</v>
      </c>
      <c r="L263">
        <v>2</v>
      </c>
      <c r="M263">
        <v>2</v>
      </c>
      <c r="N263">
        <v>2</v>
      </c>
      <c r="O263">
        <v>2.8700000000000001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2</v>
      </c>
      <c r="AG263">
        <v>2</v>
      </c>
      <c r="AH263">
        <v>2</v>
      </c>
      <c r="AI263">
        <v>2</v>
      </c>
      <c r="AJ263">
        <v>2</v>
      </c>
      <c r="AK263">
        <v>2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2</v>
      </c>
      <c r="AR263">
        <v>2</v>
      </c>
      <c r="AS263">
        <v>2</v>
      </c>
      <c r="AT263">
        <v>2</v>
      </c>
      <c r="AU263">
        <v>2</v>
      </c>
      <c r="AV263">
        <v>2</v>
      </c>
      <c r="AW263" t="s">
        <v>296</v>
      </c>
    </row>
    <row r="264" spans="1:49" ht="12.75">
      <c r="A264" t="s">
        <v>295</v>
      </c>
      <c r="B264" t="s">
        <v>291</v>
      </c>
      <c r="C264" t="s">
        <v>333</v>
      </c>
      <c r="D264" t="s">
        <v>415</v>
      </c>
      <c r="E264" t="s">
        <v>296</v>
      </c>
      <c r="F264" t="s">
        <v>83</v>
      </c>
      <c r="G264" t="s">
        <v>474</v>
      </c>
      <c r="H264" t="s">
        <v>296</v>
      </c>
      <c r="I264" t="s">
        <v>296</v>
      </c>
      <c r="J264" t="s">
        <v>296</v>
      </c>
      <c r="K264" t="s">
        <v>296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 t="s">
        <v>296</v>
      </c>
    </row>
    <row r="265" spans="1:49" ht="12.75">
      <c r="A265" t="s">
        <v>295</v>
      </c>
      <c r="B265" t="s">
        <v>291</v>
      </c>
      <c r="C265" t="s">
        <v>334</v>
      </c>
      <c r="D265" t="s">
        <v>39</v>
      </c>
      <c r="E265" t="s">
        <v>296</v>
      </c>
      <c r="F265" t="s">
        <v>83</v>
      </c>
      <c r="G265" t="s">
        <v>474</v>
      </c>
      <c r="H265" t="s">
        <v>296</v>
      </c>
      <c r="I265" t="s">
        <v>296</v>
      </c>
      <c r="J265" t="s">
        <v>296</v>
      </c>
      <c r="K265" t="s">
        <v>296</v>
      </c>
      <c r="L265">
        <v>2</v>
      </c>
      <c r="M265">
        <v>2</v>
      </c>
      <c r="N265">
        <v>2</v>
      </c>
      <c r="O265">
        <v>2.8700000000000001</v>
      </c>
      <c r="P265">
        <v>2</v>
      </c>
      <c r="Q265">
        <v>2</v>
      </c>
      <c r="R265">
        <v>2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2</v>
      </c>
      <c r="AB265">
        <v>2</v>
      </c>
      <c r="AC265">
        <v>2</v>
      </c>
      <c r="AD265">
        <v>2</v>
      </c>
      <c r="AE265">
        <v>2</v>
      </c>
      <c r="AF265">
        <v>2</v>
      </c>
      <c r="AG265">
        <v>2</v>
      </c>
      <c r="AH265">
        <v>2</v>
      </c>
      <c r="AI265">
        <v>2</v>
      </c>
      <c r="AJ265">
        <v>2</v>
      </c>
      <c r="AK265">
        <v>2</v>
      </c>
      <c r="AL265">
        <v>2</v>
      </c>
      <c r="AM265">
        <v>2</v>
      </c>
      <c r="AN265">
        <v>2</v>
      </c>
      <c r="AO265">
        <v>2</v>
      </c>
      <c r="AP265">
        <v>2</v>
      </c>
      <c r="AQ265">
        <v>2</v>
      </c>
      <c r="AR265">
        <v>2</v>
      </c>
      <c r="AS265">
        <v>2</v>
      </c>
      <c r="AT265">
        <v>2</v>
      </c>
      <c r="AU265">
        <v>2</v>
      </c>
      <c r="AV265">
        <v>2</v>
      </c>
      <c r="AW265" t="s">
        <v>296</v>
      </c>
    </row>
    <row r="266" spans="1:49" ht="12.75">
      <c r="A266" t="s">
        <v>295</v>
      </c>
      <c r="B266" t="s">
        <v>291</v>
      </c>
      <c r="C266" t="s">
        <v>334</v>
      </c>
      <c r="D266" t="s">
        <v>415</v>
      </c>
      <c r="E266" t="s">
        <v>296</v>
      </c>
      <c r="F266" t="s">
        <v>83</v>
      </c>
      <c r="G266" t="s">
        <v>474</v>
      </c>
      <c r="H266" t="s">
        <v>296</v>
      </c>
      <c r="I266" t="s">
        <v>296</v>
      </c>
      <c r="J266" t="s">
        <v>296</v>
      </c>
      <c r="K266" t="s">
        <v>296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 t="s">
        <v>296</v>
      </c>
    </row>
    <row r="267" spans="1:49" ht="12.75">
      <c r="A267" t="s">
        <v>295</v>
      </c>
      <c r="B267" t="s">
        <v>291</v>
      </c>
      <c r="C267" t="s">
        <v>335</v>
      </c>
      <c r="D267" t="s">
        <v>44</v>
      </c>
      <c r="E267" t="s">
        <v>296</v>
      </c>
      <c r="F267" t="s">
        <v>83</v>
      </c>
      <c r="G267" t="s">
        <v>474</v>
      </c>
      <c r="H267" t="s">
        <v>296</v>
      </c>
      <c r="I267" t="s">
        <v>296</v>
      </c>
      <c r="J267" t="s">
        <v>296</v>
      </c>
      <c r="K267" t="s">
        <v>296</v>
      </c>
      <c r="L267">
        <v>2</v>
      </c>
      <c r="M267">
        <v>2</v>
      </c>
      <c r="N267">
        <v>2</v>
      </c>
      <c r="O267">
        <v>2.8700000000000001</v>
      </c>
      <c r="P267">
        <v>2</v>
      </c>
      <c r="Q267">
        <v>2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2</v>
      </c>
      <c r="Z267">
        <v>2</v>
      </c>
      <c r="AA267">
        <v>2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2</v>
      </c>
      <c r="AH267">
        <v>2</v>
      </c>
      <c r="AI267">
        <v>2</v>
      </c>
      <c r="AJ267">
        <v>2</v>
      </c>
      <c r="AK267">
        <v>2</v>
      </c>
      <c r="AL267">
        <v>2</v>
      </c>
      <c r="AM267">
        <v>2</v>
      </c>
      <c r="AN267">
        <v>2</v>
      </c>
      <c r="AO267">
        <v>2</v>
      </c>
      <c r="AP267">
        <v>2</v>
      </c>
      <c r="AQ267">
        <v>2</v>
      </c>
      <c r="AR267">
        <v>2</v>
      </c>
      <c r="AS267">
        <v>2</v>
      </c>
      <c r="AT267">
        <v>2</v>
      </c>
      <c r="AU267">
        <v>2</v>
      </c>
      <c r="AV267">
        <v>2</v>
      </c>
      <c r="AW267" t="s">
        <v>296</v>
      </c>
    </row>
    <row r="268" spans="1:49" ht="12.75">
      <c r="A268" t="s">
        <v>295</v>
      </c>
      <c r="B268" t="s">
        <v>291</v>
      </c>
      <c r="C268" t="s">
        <v>335</v>
      </c>
      <c r="D268" t="s">
        <v>415</v>
      </c>
      <c r="E268" t="s">
        <v>296</v>
      </c>
      <c r="F268" t="s">
        <v>83</v>
      </c>
      <c r="G268" t="s">
        <v>474</v>
      </c>
      <c r="H268" t="s">
        <v>296</v>
      </c>
      <c r="I268" t="s">
        <v>296</v>
      </c>
      <c r="J268" t="s">
        <v>296</v>
      </c>
      <c r="K268" t="s">
        <v>296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 t="s">
        <v>296</v>
      </c>
    </row>
    <row r="269" spans="1:49" ht="12.75">
      <c r="A269" t="s">
        <v>295</v>
      </c>
      <c r="B269" t="s">
        <v>291</v>
      </c>
      <c r="C269" t="s">
        <v>336</v>
      </c>
      <c r="D269" t="s">
        <v>155</v>
      </c>
      <c r="E269" t="s">
        <v>296</v>
      </c>
      <c r="F269" t="s">
        <v>83</v>
      </c>
      <c r="G269" t="s">
        <v>474</v>
      </c>
      <c r="H269" t="s">
        <v>296</v>
      </c>
      <c r="I269" t="s">
        <v>296</v>
      </c>
      <c r="J269" t="s">
        <v>296</v>
      </c>
      <c r="K269" t="s">
        <v>296</v>
      </c>
      <c r="L269">
        <v>1.25</v>
      </c>
      <c r="M269">
        <v>1.25</v>
      </c>
      <c r="N269">
        <v>1.25</v>
      </c>
      <c r="O269">
        <v>1.25</v>
      </c>
      <c r="P269">
        <v>1.25</v>
      </c>
      <c r="Q269">
        <v>1.25</v>
      </c>
      <c r="R269">
        <v>1.25</v>
      </c>
      <c r="S269">
        <v>1.25</v>
      </c>
      <c r="T269">
        <v>1.25</v>
      </c>
      <c r="U269">
        <v>1.25</v>
      </c>
      <c r="V269">
        <v>1.25</v>
      </c>
      <c r="W269">
        <v>1.25</v>
      </c>
      <c r="X269">
        <v>1.25</v>
      </c>
      <c r="Y269">
        <v>1.25</v>
      </c>
      <c r="Z269">
        <v>1.25</v>
      </c>
      <c r="AA269">
        <v>1.25</v>
      </c>
      <c r="AB269">
        <v>1.25</v>
      </c>
      <c r="AC269">
        <v>1.25</v>
      </c>
      <c r="AD269">
        <v>1.25</v>
      </c>
      <c r="AE269">
        <v>1.25</v>
      </c>
      <c r="AF269">
        <v>1.25</v>
      </c>
      <c r="AG269">
        <v>1.25</v>
      </c>
      <c r="AH269">
        <v>1.25</v>
      </c>
      <c r="AI269">
        <v>1.25</v>
      </c>
      <c r="AJ269">
        <v>1.25</v>
      </c>
      <c r="AK269">
        <v>1.25</v>
      </c>
      <c r="AL269">
        <v>1.25</v>
      </c>
      <c r="AM269">
        <v>1.25</v>
      </c>
      <c r="AN269">
        <v>1.25</v>
      </c>
      <c r="AO269">
        <v>1.25</v>
      </c>
      <c r="AP269">
        <v>1.25</v>
      </c>
      <c r="AQ269">
        <v>1.25</v>
      </c>
      <c r="AR269">
        <v>1.25</v>
      </c>
      <c r="AS269">
        <v>1.25</v>
      </c>
      <c r="AT269">
        <v>1.25</v>
      </c>
      <c r="AU269">
        <v>1.25</v>
      </c>
      <c r="AV269">
        <v>1.25</v>
      </c>
      <c r="AW269" t="s">
        <v>296</v>
      </c>
    </row>
    <row r="270" spans="1:49" ht="12.75">
      <c r="A270" t="s">
        <v>295</v>
      </c>
      <c r="B270" t="s">
        <v>291</v>
      </c>
      <c r="C270" t="s">
        <v>336</v>
      </c>
      <c r="D270" t="s">
        <v>416</v>
      </c>
      <c r="E270" t="s">
        <v>296</v>
      </c>
      <c r="F270" t="s">
        <v>83</v>
      </c>
      <c r="G270" t="s">
        <v>474</v>
      </c>
      <c r="H270" t="s">
        <v>296</v>
      </c>
      <c r="I270" t="s">
        <v>296</v>
      </c>
      <c r="J270" t="s">
        <v>296</v>
      </c>
      <c r="K270" t="s">
        <v>296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 t="s">
        <v>296</v>
      </c>
    </row>
    <row r="271" spans="1:49" ht="12.75">
      <c r="A271" t="s">
        <v>295</v>
      </c>
      <c r="B271" t="s">
        <v>291</v>
      </c>
      <c r="C271" t="s">
        <v>337</v>
      </c>
      <c r="D271" t="s">
        <v>49</v>
      </c>
      <c r="E271" t="s">
        <v>296</v>
      </c>
      <c r="F271" t="s">
        <v>83</v>
      </c>
      <c r="G271" t="s">
        <v>474</v>
      </c>
      <c r="H271" t="s">
        <v>296</v>
      </c>
      <c r="I271" t="s">
        <v>296</v>
      </c>
      <c r="J271" t="s">
        <v>296</v>
      </c>
      <c r="K271" t="s">
        <v>296</v>
      </c>
      <c r="L271">
        <v>1.25</v>
      </c>
      <c r="M271">
        <v>1.25</v>
      </c>
      <c r="N271">
        <v>1.25</v>
      </c>
      <c r="O271">
        <v>1.25</v>
      </c>
      <c r="P271">
        <v>1.25</v>
      </c>
      <c r="Q271">
        <v>1.25</v>
      </c>
      <c r="R271">
        <v>1.25</v>
      </c>
      <c r="S271">
        <v>1.25</v>
      </c>
      <c r="T271">
        <v>1.25</v>
      </c>
      <c r="U271">
        <v>1.25</v>
      </c>
      <c r="V271">
        <v>1.25</v>
      </c>
      <c r="W271">
        <v>1.25</v>
      </c>
      <c r="X271">
        <v>1.25</v>
      </c>
      <c r="Y271">
        <v>1.25</v>
      </c>
      <c r="Z271">
        <v>1.25</v>
      </c>
      <c r="AA271">
        <v>1.25</v>
      </c>
      <c r="AB271">
        <v>1.25</v>
      </c>
      <c r="AC271">
        <v>1.25</v>
      </c>
      <c r="AD271">
        <v>1.25</v>
      </c>
      <c r="AE271">
        <v>1.25</v>
      </c>
      <c r="AF271">
        <v>1.25</v>
      </c>
      <c r="AG271">
        <v>1.25</v>
      </c>
      <c r="AH271">
        <v>1.25</v>
      </c>
      <c r="AI271">
        <v>1.25</v>
      </c>
      <c r="AJ271">
        <v>1.25</v>
      </c>
      <c r="AK271">
        <v>1.25</v>
      </c>
      <c r="AL271">
        <v>1.25</v>
      </c>
      <c r="AM271">
        <v>1.25</v>
      </c>
      <c r="AN271">
        <v>1.25</v>
      </c>
      <c r="AO271">
        <v>1.25</v>
      </c>
      <c r="AP271">
        <v>1.25</v>
      </c>
      <c r="AQ271">
        <v>1.25</v>
      </c>
      <c r="AR271">
        <v>1.25</v>
      </c>
      <c r="AS271">
        <v>1.25</v>
      </c>
      <c r="AT271">
        <v>1.25</v>
      </c>
      <c r="AU271">
        <v>1.25</v>
      </c>
      <c r="AV271">
        <v>1.25</v>
      </c>
      <c r="AW271" t="s">
        <v>296</v>
      </c>
    </row>
    <row r="272" spans="1:49" ht="12.75">
      <c r="A272" t="s">
        <v>295</v>
      </c>
      <c r="B272" t="s">
        <v>291</v>
      </c>
      <c r="C272" t="s">
        <v>337</v>
      </c>
      <c r="D272" t="s">
        <v>416</v>
      </c>
      <c r="E272" t="s">
        <v>296</v>
      </c>
      <c r="F272" t="s">
        <v>83</v>
      </c>
      <c r="G272" t="s">
        <v>474</v>
      </c>
      <c r="H272" t="s">
        <v>296</v>
      </c>
      <c r="I272" t="s">
        <v>296</v>
      </c>
      <c r="J272" t="s">
        <v>296</v>
      </c>
      <c r="K272" t="s">
        <v>296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 t="s">
        <v>296</v>
      </c>
    </row>
    <row r="273" spans="1:49" ht="12.75">
      <c r="A273" t="s">
        <v>295</v>
      </c>
      <c r="B273" t="s">
        <v>291</v>
      </c>
      <c r="C273" t="s">
        <v>338</v>
      </c>
      <c r="D273" t="s">
        <v>51</v>
      </c>
      <c r="E273" t="s">
        <v>296</v>
      </c>
      <c r="F273" t="s">
        <v>83</v>
      </c>
      <c r="G273" t="s">
        <v>474</v>
      </c>
      <c r="H273" t="s">
        <v>296</v>
      </c>
      <c r="I273" t="s">
        <v>296</v>
      </c>
      <c r="J273" t="s">
        <v>296</v>
      </c>
      <c r="K273" t="s">
        <v>296</v>
      </c>
      <c r="L273">
        <v>1.25</v>
      </c>
      <c r="M273">
        <v>1.25</v>
      </c>
      <c r="N273">
        <v>1.25</v>
      </c>
      <c r="O273">
        <v>1.25</v>
      </c>
      <c r="P273">
        <v>1.25</v>
      </c>
      <c r="Q273">
        <v>1.25</v>
      </c>
      <c r="R273">
        <v>1.25</v>
      </c>
      <c r="S273">
        <v>1.25</v>
      </c>
      <c r="T273">
        <v>1.25</v>
      </c>
      <c r="U273">
        <v>1.25</v>
      </c>
      <c r="V273">
        <v>1.25</v>
      </c>
      <c r="W273">
        <v>1.25</v>
      </c>
      <c r="X273">
        <v>1.25</v>
      </c>
      <c r="Y273">
        <v>1.25</v>
      </c>
      <c r="Z273">
        <v>1.25</v>
      </c>
      <c r="AA273">
        <v>1.25</v>
      </c>
      <c r="AB273">
        <v>1.25</v>
      </c>
      <c r="AC273">
        <v>1.25</v>
      </c>
      <c r="AD273">
        <v>1.25</v>
      </c>
      <c r="AE273">
        <v>1.25</v>
      </c>
      <c r="AF273">
        <v>1.25</v>
      </c>
      <c r="AG273">
        <v>1.25</v>
      </c>
      <c r="AH273">
        <v>1.25</v>
      </c>
      <c r="AI273">
        <v>1.25</v>
      </c>
      <c r="AJ273">
        <v>1.25</v>
      </c>
      <c r="AK273">
        <v>1.25</v>
      </c>
      <c r="AL273">
        <v>1.25</v>
      </c>
      <c r="AM273">
        <v>1.25</v>
      </c>
      <c r="AN273">
        <v>1.25</v>
      </c>
      <c r="AO273">
        <v>1.25</v>
      </c>
      <c r="AP273">
        <v>1.25</v>
      </c>
      <c r="AQ273">
        <v>1.25</v>
      </c>
      <c r="AR273">
        <v>1.25</v>
      </c>
      <c r="AS273">
        <v>1.25</v>
      </c>
      <c r="AT273">
        <v>1.25</v>
      </c>
      <c r="AU273">
        <v>1.25</v>
      </c>
      <c r="AV273">
        <v>1.25</v>
      </c>
      <c r="AW273" t="s">
        <v>296</v>
      </c>
    </row>
    <row r="274" spans="1:49" ht="12.75">
      <c r="A274" t="s">
        <v>295</v>
      </c>
      <c r="B274" t="s">
        <v>291</v>
      </c>
      <c r="C274" t="s">
        <v>338</v>
      </c>
      <c r="D274" t="s">
        <v>416</v>
      </c>
      <c r="E274" t="s">
        <v>296</v>
      </c>
      <c r="F274" t="s">
        <v>83</v>
      </c>
      <c r="G274" t="s">
        <v>474</v>
      </c>
      <c r="H274" t="s">
        <v>296</v>
      </c>
      <c r="I274" t="s">
        <v>296</v>
      </c>
      <c r="J274" t="s">
        <v>296</v>
      </c>
      <c r="K274" t="s">
        <v>296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 t="s">
        <v>296</v>
      </c>
    </row>
    <row r="275" spans="1:49" ht="12.75">
      <c r="A275" t="s">
        <v>295</v>
      </c>
      <c r="B275" t="s">
        <v>291</v>
      </c>
      <c r="C275" t="s">
        <v>339</v>
      </c>
      <c r="D275" t="s">
        <v>37</v>
      </c>
      <c r="E275" t="s">
        <v>296</v>
      </c>
      <c r="F275" t="s">
        <v>83</v>
      </c>
      <c r="G275" t="s">
        <v>474</v>
      </c>
      <c r="H275" t="s">
        <v>296</v>
      </c>
      <c r="I275" t="s">
        <v>296</v>
      </c>
      <c r="J275" t="s">
        <v>296</v>
      </c>
      <c r="K275" t="s">
        <v>296</v>
      </c>
      <c r="L275">
        <v>1</v>
      </c>
      <c r="M275">
        <v>1</v>
      </c>
      <c r="N275">
        <v>1</v>
      </c>
      <c r="O275">
        <v>1.1764705882352899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 t="s">
        <v>296</v>
      </c>
    </row>
    <row r="276" spans="1:49" ht="12.75">
      <c r="A276" t="s">
        <v>295</v>
      </c>
      <c r="B276" t="s">
        <v>291</v>
      </c>
      <c r="C276" t="s">
        <v>339</v>
      </c>
      <c r="D276" t="s">
        <v>416</v>
      </c>
      <c r="E276" t="s">
        <v>296</v>
      </c>
      <c r="F276" t="s">
        <v>83</v>
      </c>
      <c r="G276" t="s">
        <v>474</v>
      </c>
      <c r="H276" t="s">
        <v>296</v>
      </c>
      <c r="I276" t="s">
        <v>296</v>
      </c>
      <c r="J276" t="s">
        <v>296</v>
      </c>
      <c r="K276" t="s">
        <v>296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 t="s">
        <v>296</v>
      </c>
    </row>
    <row r="277" spans="1:49" ht="12.75">
      <c r="A277" t="s">
        <v>295</v>
      </c>
      <c r="B277" t="s">
        <v>291</v>
      </c>
      <c r="C277" t="s">
        <v>340</v>
      </c>
      <c r="D277" t="s">
        <v>38</v>
      </c>
      <c r="E277" t="s">
        <v>296</v>
      </c>
      <c r="F277" t="s">
        <v>83</v>
      </c>
      <c r="G277" t="s">
        <v>474</v>
      </c>
      <c r="H277" t="s">
        <v>296</v>
      </c>
      <c r="I277" t="s">
        <v>296</v>
      </c>
      <c r="J277" t="s">
        <v>296</v>
      </c>
      <c r="K277" t="s">
        <v>296</v>
      </c>
      <c r="L277">
        <v>1.25</v>
      </c>
      <c r="M277">
        <v>1.25</v>
      </c>
      <c r="N277">
        <v>1.25</v>
      </c>
      <c r="O277">
        <v>1.2048192771084301</v>
      </c>
      <c r="P277">
        <v>1.25</v>
      </c>
      <c r="Q277">
        <v>1.25</v>
      </c>
      <c r="R277">
        <v>1.25</v>
      </c>
      <c r="S277">
        <v>1.25</v>
      </c>
      <c r="T277">
        <v>1.25</v>
      </c>
      <c r="U277">
        <v>1.25</v>
      </c>
      <c r="V277">
        <v>1.25</v>
      </c>
      <c r="W277">
        <v>1.25</v>
      </c>
      <c r="X277">
        <v>1.25</v>
      </c>
      <c r="Y277">
        <v>1.25</v>
      </c>
      <c r="Z277">
        <v>1.25</v>
      </c>
      <c r="AA277">
        <v>1.25</v>
      </c>
      <c r="AB277">
        <v>1.25</v>
      </c>
      <c r="AC277">
        <v>1.25</v>
      </c>
      <c r="AD277">
        <v>1.25</v>
      </c>
      <c r="AE277">
        <v>1.25</v>
      </c>
      <c r="AF277">
        <v>1.25</v>
      </c>
      <c r="AG277">
        <v>1.25</v>
      </c>
      <c r="AH277">
        <v>1.25</v>
      </c>
      <c r="AI277">
        <v>1.25</v>
      </c>
      <c r="AJ277">
        <v>1.25</v>
      </c>
      <c r="AK277">
        <v>1.25</v>
      </c>
      <c r="AL277">
        <v>1.25</v>
      </c>
      <c r="AM277">
        <v>1.25</v>
      </c>
      <c r="AN277">
        <v>1.25</v>
      </c>
      <c r="AO277">
        <v>1.25</v>
      </c>
      <c r="AP277">
        <v>1.25</v>
      </c>
      <c r="AQ277">
        <v>1.25</v>
      </c>
      <c r="AR277">
        <v>1.25</v>
      </c>
      <c r="AS277">
        <v>1.25</v>
      </c>
      <c r="AT277">
        <v>1.25</v>
      </c>
      <c r="AU277">
        <v>1.25</v>
      </c>
      <c r="AV277">
        <v>1.25</v>
      </c>
      <c r="AW277" t="s">
        <v>296</v>
      </c>
    </row>
    <row r="278" spans="1:49" ht="12.75">
      <c r="A278" t="s">
        <v>295</v>
      </c>
      <c r="B278" t="s">
        <v>291</v>
      </c>
      <c r="C278" t="s">
        <v>340</v>
      </c>
      <c r="D278" t="s">
        <v>416</v>
      </c>
      <c r="E278" t="s">
        <v>296</v>
      </c>
      <c r="F278" t="s">
        <v>83</v>
      </c>
      <c r="G278" t="s">
        <v>474</v>
      </c>
      <c r="H278" t="s">
        <v>296</v>
      </c>
      <c r="I278" t="s">
        <v>296</v>
      </c>
      <c r="J278" t="s">
        <v>296</v>
      </c>
      <c r="K278" t="s">
        <v>296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 t="s">
        <v>296</v>
      </c>
    </row>
    <row r="279" spans="1:49" ht="12.75">
      <c r="A279" t="s">
        <v>295</v>
      </c>
      <c r="B279" t="s">
        <v>291</v>
      </c>
      <c r="C279" t="s">
        <v>341</v>
      </c>
      <c r="D279" t="s">
        <v>43</v>
      </c>
      <c r="E279" t="s">
        <v>296</v>
      </c>
      <c r="F279" t="s">
        <v>83</v>
      </c>
      <c r="G279" t="s">
        <v>474</v>
      </c>
      <c r="H279" t="s">
        <v>296</v>
      </c>
      <c r="I279" t="s">
        <v>296</v>
      </c>
      <c r="J279" t="s">
        <v>296</v>
      </c>
      <c r="K279" t="s">
        <v>296</v>
      </c>
      <c r="L279">
        <v>1.25</v>
      </c>
      <c r="M279">
        <v>1.25</v>
      </c>
      <c r="N279">
        <v>1.25</v>
      </c>
      <c r="O279">
        <v>1.2195121951219501</v>
      </c>
      <c r="P279">
        <v>1.25</v>
      </c>
      <c r="Q279">
        <v>1.25</v>
      </c>
      <c r="R279">
        <v>1.25</v>
      </c>
      <c r="S279">
        <v>1.25</v>
      </c>
      <c r="T279">
        <v>1.25</v>
      </c>
      <c r="U279">
        <v>1.25</v>
      </c>
      <c r="V279">
        <v>1.25</v>
      </c>
      <c r="W279">
        <v>1.25</v>
      </c>
      <c r="X279">
        <v>1.25</v>
      </c>
      <c r="Y279">
        <v>1.25</v>
      </c>
      <c r="Z279">
        <v>1.25</v>
      </c>
      <c r="AA279">
        <v>1.25</v>
      </c>
      <c r="AB279">
        <v>1.25</v>
      </c>
      <c r="AC279">
        <v>1.25</v>
      </c>
      <c r="AD279">
        <v>1.25</v>
      </c>
      <c r="AE279">
        <v>1.25</v>
      </c>
      <c r="AF279">
        <v>1.25</v>
      </c>
      <c r="AG279">
        <v>1.25</v>
      </c>
      <c r="AH279">
        <v>1.25</v>
      </c>
      <c r="AI279">
        <v>1.25</v>
      </c>
      <c r="AJ279">
        <v>1.25</v>
      </c>
      <c r="AK279">
        <v>1.25</v>
      </c>
      <c r="AL279">
        <v>1.25</v>
      </c>
      <c r="AM279">
        <v>1.25</v>
      </c>
      <c r="AN279">
        <v>1.25</v>
      </c>
      <c r="AO279">
        <v>1.25</v>
      </c>
      <c r="AP279">
        <v>1.25</v>
      </c>
      <c r="AQ279">
        <v>1.25</v>
      </c>
      <c r="AR279">
        <v>1.25</v>
      </c>
      <c r="AS279">
        <v>1.25</v>
      </c>
      <c r="AT279">
        <v>1.25</v>
      </c>
      <c r="AU279">
        <v>1.25</v>
      </c>
      <c r="AV279">
        <v>1.25</v>
      </c>
      <c r="AW279" t="s">
        <v>296</v>
      </c>
    </row>
    <row r="280" spans="1:49" ht="12.75">
      <c r="A280" t="s">
        <v>295</v>
      </c>
      <c r="B280" t="s">
        <v>291</v>
      </c>
      <c r="C280" t="s">
        <v>341</v>
      </c>
      <c r="D280" t="s">
        <v>416</v>
      </c>
      <c r="E280" t="s">
        <v>296</v>
      </c>
      <c r="F280" t="s">
        <v>83</v>
      </c>
      <c r="G280" t="s">
        <v>474</v>
      </c>
      <c r="H280" t="s">
        <v>296</v>
      </c>
      <c r="I280" t="s">
        <v>296</v>
      </c>
      <c r="J280" t="s">
        <v>296</v>
      </c>
      <c r="K280" t="s">
        <v>296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 t="s">
        <v>296</v>
      </c>
    </row>
    <row r="281" spans="1:49" ht="12.75">
      <c r="A281" t="s">
        <v>295</v>
      </c>
      <c r="B281" t="s">
        <v>291</v>
      </c>
      <c r="C281" t="s">
        <v>342</v>
      </c>
      <c r="D281" t="s">
        <v>39</v>
      </c>
      <c r="E281" t="s">
        <v>296</v>
      </c>
      <c r="F281" t="s">
        <v>83</v>
      </c>
      <c r="G281" t="s">
        <v>474</v>
      </c>
      <c r="H281" t="s">
        <v>296</v>
      </c>
      <c r="I281" t="s">
        <v>296</v>
      </c>
      <c r="J281" t="s">
        <v>296</v>
      </c>
      <c r="K281" t="s">
        <v>296</v>
      </c>
      <c r="L281">
        <v>1.25</v>
      </c>
      <c r="M281">
        <v>1.25</v>
      </c>
      <c r="N281">
        <v>1.25</v>
      </c>
      <c r="O281">
        <v>1.2195121951219501</v>
      </c>
      <c r="P281">
        <v>1.25</v>
      </c>
      <c r="Q281">
        <v>1.25</v>
      </c>
      <c r="R281">
        <v>1.25</v>
      </c>
      <c r="S281">
        <v>1.25</v>
      </c>
      <c r="T281">
        <v>1.25</v>
      </c>
      <c r="U281">
        <v>1.25</v>
      </c>
      <c r="V281">
        <v>1.25</v>
      </c>
      <c r="W281">
        <v>1.25</v>
      </c>
      <c r="X281">
        <v>1.25</v>
      </c>
      <c r="Y281">
        <v>1.25</v>
      </c>
      <c r="Z281">
        <v>1.25</v>
      </c>
      <c r="AA281">
        <v>1.25</v>
      </c>
      <c r="AB281">
        <v>1.25</v>
      </c>
      <c r="AC281">
        <v>1.25</v>
      </c>
      <c r="AD281">
        <v>1.25</v>
      </c>
      <c r="AE281">
        <v>1.25</v>
      </c>
      <c r="AF281">
        <v>1.25</v>
      </c>
      <c r="AG281">
        <v>1.25</v>
      </c>
      <c r="AH281">
        <v>1.25</v>
      </c>
      <c r="AI281">
        <v>1.25</v>
      </c>
      <c r="AJ281">
        <v>1.25</v>
      </c>
      <c r="AK281">
        <v>1.25</v>
      </c>
      <c r="AL281">
        <v>1.25</v>
      </c>
      <c r="AM281">
        <v>1.25</v>
      </c>
      <c r="AN281">
        <v>1.25</v>
      </c>
      <c r="AO281">
        <v>1.25</v>
      </c>
      <c r="AP281">
        <v>1.25</v>
      </c>
      <c r="AQ281">
        <v>1.25</v>
      </c>
      <c r="AR281">
        <v>1.25</v>
      </c>
      <c r="AS281">
        <v>1.25</v>
      </c>
      <c r="AT281">
        <v>1.25</v>
      </c>
      <c r="AU281">
        <v>1.25</v>
      </c>
      <c r="AV281">
        <v>1.25</v>
      </c>
      <c r="AW281" t="s">
        <v>296</v>
      </c>
    </row>
    <row r="282" spans="1:49" ht="12.75">
      <c r="A282" t="s">
        <v>295</v>
      </c>
      <c r="B282" t="s">
        <v>291</v>
      </c>
      <c r="C282" t="s">
        <v>342</v>
      </c>
      <c r="D282" t="s">
        <v>416</v>
      </c>
      <c r="E282" t="s">
        <v>296</v>
      </c>
      <c r="F282" t="s">
        <v>83</v>
      </c>
      <c r="G282" t="s">
        <v>474</v>
      </c>
      <c r="H282" t="s">
        <v>296</v>
      </c>
      <c r="I282" t="s">
        <v>296</v>
      </c>
      <c r="J282" t="s">
        <v>296</v>
      </c>
      <c r="K282" t="s">
        <v>296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 t="s">
        <v>296</v>
      </c>
    </row>
    <row r="283" spans="1:49" ht="12.75">
      <c r="A283" t="s">
        <v>295</v>
      </c>
      <c r="B283" t="s">
        <v>291</v>
      </c>
      <c r="C283" t="s">
        <v>343</v>
      </c>
      <c r="D283" t="s">
        <v>44</v>
      </c>
      <c r="E283" t="s">
        <v>296</v>
      </c>
      <c r="F283" t="s">
        <v>83</v>
      </c>
      <c r="G283" t="s">
        <v>474</v>
      </c>
      <c r="H283" t="s">
        <v>296</v>
      </c>
      <c r="I283" t="s">
        <v>296</v>
      </c>
      <c r="J283" t="s">
        <v>296</v>
      </c>
      <c r="K283" t="s">
        <v>296</v>
      </c>
      <c r="L283">
        <v>1.25</v>
      </c>
      <c r="M283">
        <v>1.25</v>
      </c>
      <c r="N283">
        <v>1.25</v>
      </c>
      <c r="O283">
        <v>1.2195121951219501</v>
      </c>
      <c r="P283">
        <v>1.25</v>
      </c>
      <c r="Q283">
        <v>1.25</v>
      </c>
      <c r="R283">
        <v>1.25</v>
      </c>
      <c r="S283">
        <v>1.25</v>
      </c>
      <c r="T283">
        <v>1.25</v>
      </c>
      <c r="U283">
        <v>1.25</v>
      </c>
      <c r="V283">
        <v>1.25</v>
      </c>
      <c r="W283">
        <v>1.25</v>
      </c>
      <c r="X283">
        <v>1.25</v>
      </c>
      <c r="Y283">
        <v>1.25</v>
      </c>
      <c r="Z283">
        <v>1.25</v>
      </c>
      <c r="AA283">
        <v>1.25</v>
      </c>
      <c r="AB283">
        <v>1.25</v>
      </c>
      <c r="AC283">
        <v>1.25</v>
      </c>
      <c r="AD283">
        <v>1.25</v>
      </c>
      <c r="AE283">
        <v>1.25</v>
      </c>
      <c r="AF283">
        <v>1.25</v>
      </c>
      <c r="AG283">
        <v>1.25</v>
      </c>
      <c r="AH283">
        <v>1.25</v>
      </c>
      <c r="AI283">
        <v>1.25</v>
      </c>
      <c r="AJ283">
        <v>1.25</v>
      </c>
      <c r="AK283">
        <v>1.25</v>
      </c>
      <c r="AL283">
        <v>1.25</v>
      </c>
      <c r="AM283">
        <v>1.25</v>
      </c>
      <c r="AN283">
        <v>1.25</v>
      </c>
      <c r="AO283">
        <v>1.25</v>
      </c>
      <c r="AP283">
        <v>1.25</v>
      </c>
      <c r="AQ283">
        <v>1.25</v>
      </c>
      <c r="AR283">
        <v>1.25</v>
      </c>
      <c r="AS283">
        <v>1.25</v>
      </c>
      <c r="AT283">
        <v>1.25</v>
      </c>
      <c r="AU283">
        <v>1.25</v>
      </c>
      <c r="AV283">
        <v>1.25</v>
      </c>
      <c r="AW283" t="s">
        <v>296</v>
      </c>
    </row>
    <row r="284" spans="1:49" ht="12.75">
      <c r="A284" t="s">
        <v>295</v>
      </c>
      <c r="B284" t="s">
        <v>291</v>
      </c>
      <c r="C284" t="s">
        <v>343</v>
      </c>
      <c r="D284" t="s">
        <v>416</v>
      </c>
      <c r="E284" t="s">
        <v>296</v>
      </c>
      <c r="F284" t="s">
        <v>83</v>
      </c>
      <c r="G284" t="s">
        <v>474</v>
      </c>
      <c r="H284" t="s">
        <v>296</v>
      </c>
      <c r="I284" t="s">
        <v>296</v>
      </c>
      <c r="J284" t="s">
        <v>296</v>
      </c>
      <c r="K284" t="s">
        <v>296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 t="s">
        <v>296</v>
      </c>
    </row>
    <row r="285" spans="1:49" ht="12.75">
      <c r="A285" t="s">
        <v>295</v>
      </c>
      <c r="B285" t="s">
        <v>291</v>
      </c>
      <c r="C285" t="s">
        <v>344</v>
      </c>
      <c r="D285" t="s">
        <v>155</v>
      </c>
      <c r="E285" t="s">
        <v>296</v>
      </c>
      <c r="F285" t="s">
        <v>83</v>
      </c>
      <c r="G285" t="s">
        <v>474</v>
      </c>
      <c r="H285" t="s">
        <v>296</v>
      </c>
      <c r="I285" t="s">
        <v>296</v>
      </c>
      <c r="J285" t="s">
        <v>296</v>
      </c>
      <c r="K285" t="s">
        <v>296</v>
      </c>
      <c r="L285">
        <v>1.25</v>
      </c>
      <c r="M285">
        <v>1.25</v>
      </c>
      <c r="N285">
        <v>1.25</v>
      </c>
      <c r="O285">
        <v>1.25</v>
      </c>
      <c r="P285">
        <v>1.25</v>
      </c>
      <c r="Q285">
        <v>1.25</v>
      </c>
      <c r="R285">
        <v>1.25</v>
      </c>
      <c r="S285">
        <v>1.25</v>
      </c>
      <c r="T285">
        <v>1.25</v>
      </c>
      <c r="U285">
        <v>1.25</v>
      </c>
      <c r="V285">
        <v>1.25</v>
      </c>
      <c r="W285">
        <v>1.25</v>
      </c>
      <c r="X285">
        <v>1.25</v>
      </c>
      <c r="Y285">
        <v>1.25</v>
      </c>
      <c r="Z285">
        <v>1.25</v>
      </c>
      <c r="AA285">
        <v>1.25</v>
      </c>
      <c r="AB285">
        <v>1.25</v>
      </c>
      <c r="AC285">
        <v>1.25</v>
      </c>
      <c r="AD285">
        <v>1.25</v>
      </c>
      <c r="AE285">
        <v>1.25</v>
      </c>
      <c r="AF285">
        <v>1.25</v>
      </c>
      <c r="AG285">
        <v>1.25</v>
      </c>
      <c r="AH285">
        <v>1.25</v>
      </c>
      <c r="AI285">
        <v>1.25</v>
      </c>
      <c r="AJ285">
        <v>1.25</v>
      </c>
      <c r="AK285">
        <v>1.25</v>
      </c>
      <c r="AL285">
        <v>1.25</v>
      </c>
      <c r="AM285">
        <v>1.25</v>
      </c>
      <c r="AN285">
        <v>1.25</v>
      </c>
      <c r="AO285">
        <v>1.25</v>
      </c>
      <c r="AP285">
        <v>1.25</v>
      </c>
      <c r="AQ285">
        <v>1.25</v>
      </c>
      <c r="AR285">
        <v>1.25</v>
      </c>
      <c r="AS285">
        <v>1.25</v>
      </c>
      <c r="AT285">
        <v>1.25</v>
      </c>
      <c r="AU285">
        <v>1.25</v>
      </c>
      <c r="AV285">
        <v>1.25</v>
      </c>
      <c r="AW285" t="s">
        <v>296</v>
      </c>
    </row>
    <row r="286" spans="1:49" ht="12.75">
      <c r="A286" t="s">
        <v>295</v>
      </c>
      <c r="B286" t="s">
        <v>291</v>
      </c>
      <c r="C286" t="s">
        <v>344</v>
      </c>
      <c r="D286" t="s">
        <v>417</v>
      </c>
      <c r="E286" t="s">
        <v>296</v>
      </c>
      <c r="F286" t="s">
        <v>83</v>
      </c>
      <c r="G286" t="s">
        <v>474</v>
      </c>
      <c r="H286" t="s">
        <v>296</v>
      </c>
      <c r="I286" t="s">
        <v>296</v>
      </c>
      <c r="J286" t="s">
        <v>296</v>
      </c>
      <c r="K286" t="s">
        <v>296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 t="s">
        <v>296</v>
      </c>
    </row>
    <row r="287" spans="1:49" ht="12.75">
      <c r="A287" t="s">
        <v>295</v>
      </c>
      <c r="B287" t="s">
        <v>291</v>
      </c>
      <c r="C287" t="s">
        <v>345</v>
      </c>
      <c r="D287" t="s">
        <v>49</v>
      </c>
      <c r="E287" t="s">
        <v>296</v>
      </c>
      <c r="F287" t="s">
        <v>83</v>
      </c>
      <c r="G287" t="s">
        <v>474</v>
      </c>
      <c r="H287" t="s">
        <v>296</v>
      </c>
      <c r="I287" t="s">
        <v>296</v>
      </c>
      <c r="J287" t="s">
        <v>296</v>
      </c>
      <c r="K287" t="s">
        <v>296</v>
      </c>
      <c r="L287">
        <v>1.25</v>
      </c>
      <c r="M287">
        <v>1.25</v>
      </c>
      <c r="N287">
        <v>1.25</v>
      </c>
      <c r="O287">
        <v>1.25</v>
      </c>
      <c r="P287">
        <v>1.25</v>
      </c>
      <c r="Q287">
        <v>1.25</v>
      </c>
      <c r="R287">
        <v>1.25</v>
      </c>
      <c r="S287">
        <v>1.25</v>
      </c>
      <c r="T287">
        <v>1.25</v>
      </c>
      <c r="U287">
        <v>1.25</v>
      </c>
      <c r="V287">
        <v>1.25</v>
      </c>
      <c r="W287">
        <v>1.25</v>
      </c>
      <c r="X287">
        <v>1.25</v>
      </c>
      <c r="Y287">
        <v>1.25</v>
      </c>
      <c r="Z287">
        <v>1.25</v>
      </c>
      <c r="AA287">
        <v>1.25</v>
      </c>
      <c r="AB287">
        <v>1.25</v>
      </c>
      <c r="AC287">
        <v>1.25</v>
      </c>
      <c r="AD287">
        <v>1.25</v>
      </c>
      <c r="AE287">
        <v>1.25</v>
      </c>
      <c r="AF287">
        <v>1.25</v>
      </c>
      <c r="AG287">
        <v>1.25</v>
      </c>
      <c r="AH287">
        <v>1.25</v>
      </c>
      <c r="AI287">
        <v>1.25</v>
      </c>
      <c r="AJ287">
        <v>1.25</v>
      </c>
      <c r="AK287">
        <v>1.25</v>
      </c>
      <c r="AL287">
        <v>1.25</v>
      </c>
      <c r="AM287">
        <v>1.25</v>
      </c>
      <c r="AN287">
        <v>1.25</v>
      </c>
      <c r="AO287">
        <v>1.25</v>
      </c>
      <c r="AP287">
        <v>1.25</v>
      </c>
      <c r="AQ287">
        <v>1.25</v>
      </c>
      <c r="AR287">
        <v>1.25</v>
      </c>
      <c r="AS287">
        <v>1.25</v>
      </c>
      <c r="AT287">
        <v>1.25</v>
      </c>
      <c r="AU287">
        <v>1.25</v>
      </c>
      <c r="AV287">
        <v>1.25</v>
      </c>
      <c r="AW287" t="s">
        <v>296</v>
      </c>
    </row>
    <row r="288" spans="1:49" ht="12.75">
      <c r="A288" t="s">
        <v>295</v>
      </c>
      <c r="B288" t="s">
        <v>291</v>
      </c>
      <c r="C288" t="s">
        <v>345</v>
      </c>
      <c r="D288" t="s">
        <v>417</v>
      </c>
      <c r="E288" t="s">
        <v>296</v>
      </c>
      <c r="F288" t="s">
        <v>83</v>
      </c>
      <c r="G288" t="s">
        <v>474</v>
      </c>
      <c r="H288" t="s">
        <v>296</v>
      </c>
      <c r="I288" t="s">
        <v>296</v>
      </c>
      <c r="J288" t="s">
        <v>296</v>
      </c>
      <c r="K288" t="s">
        <v>296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 t="s">
        <v>296</v>
      </c>
    </row>
    <row r="289" spans="1:49" ht="12.75">
      <c r="A289" t="s">
        <v>295</v>
      </c>
      <c r="B289" t="s">
        <v>291</v>
      </c>
      <c r="C289" t="s">
        <v>346</v>
      </c>
      <c r="D289" t="s">
        <v>51</v>
      </c>
      <c r="E289" t="s">
        <v>296</v>
      </c>
      <c r="F289" t="s">
        <v>83</v>
      </c>
      <c r="G289" t="s">
        <v>474</v>
      </c>
      <c r="H289" t="s">
        <v>296</v>
      </c>
      <c r="I289" t="s">
        <v>296</v>
      </c>
      <c r="J289" t="s">
        <v>296</v>
      </c>
      <c r="K289" t="s">
        <v>296</v>
      </c>
      <c r="L289">
        <v>1.25</v>
      </c>
      <c r="M289">
        <v>1.25</v>
      </c>
      <c r="N289">
        <v>1.25</v>
      </c>
      <c r="O289">
        <v>1.25</v>
      </c>
      <c r="P289">
        <v>1.25</v>
      </c>
      <c r="Q289">
        <v>1.25</v>
      </c>
      <c r="R289">
        <v>1.25</v>
      </c>
      <c r="S289">
        <v>1.25</v>
      </c>
      <c r="T289">
        <v>1.25</v>
      </c>
      <c r="U289">
        <v>1.25</v>
      </c>
      <c r="V289">
        <v>1.25</v>
      </c>
      <c r="W289">
        <v>1.25</v>
      </c>
      <c r="X289">
        <v>1.25</v>
      </c>
      <c r="Y289">
        <v>1.25</v>
      </c>
      <c r="Z289">
        <v>1.25</v>
      </c>
      <c r="AA289">
        <v>1.25</v>
      </c>
      <c r="AB289">
        <v>1.25</v>
      </c>
      <c r="AC289">
        <v>1.25</v>
      </c>
      <c r="AD289">
        <v>1.25</v>
      </c>
      <c r="AE289">
        <v>1.25</v>
      </c>
      <c r="AF289">
        <v>1.25</v>
      </c>
      <c r="AG289">
        <v>1.25</v>
      </c>
      <c r="AH289">
        <v>1.25</v>
      </c>
      <c r="AI289">
        <v>1.25</v>
      </c>
      <c r="AJ289">
        <v>1.25</v>
      </c>
      <c r="AK289">
        <v>1.25</v>
      </c>
      <c r="AL289">
        <v>1.25</v>
      </c>
      <c r="AM289">
        <v>1.25</v>
      </c>
      <c r="AN289">
        <v>1.25</v>
      </c>
      <c r="AO289">
        <v>1.25</v>
      </c>
      <c r="AP289">
        <v>1.25</v>
      </c>
      <c r="AQ289">
        <v>1.25</v>
      </c>
      <c r="AR289">
        <v>1.25</v>
      </c>
      <c r="AS289">
        <v>1.25</v>
      </c>
      <c r="AT289">
        <v>1.25</v>
      </c>
      <c r="AU289">
        <v>1.25</v>
      </c>
      <c r="AV289">
        <v>1.25</v>
      </c>
      <c r="AW289" t="s">
        <v>296</v>
      </c>
    </row>
    <row r="290" spans="1:49" ht="12.75">
      <c r="A290" t="s">
        <v>295</v>
      </c>
      <c r="B290" t="s">
        <v>291</v>
      </c>
      <c r="C290" t="s">
        <v>346</v>
      </c>
      <c r="D290" t="s">
        <v>417</v>
      </c>
      <c r="E290" t="s">
        <v>296</v>
      </c>
      <c r="F290" t="s">
        <v>83</v>
      </c>
      <c r="G290" t="s">
        <v>474</v>
      </c>
      <c r="H290" t="s">
        <v>296</v>
      </c>
      <c r="I290" t="s">
        <v>296</v>
      </c>
      <c r="J290" t="s">
        <v>296</v>
      </c>
      <c r="K290" t="s">
        <v>296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 t="s">
        <v>296</v>
      </c>
    </row>
    <row r="291" spans="1:49" ht="12.75">
      <c r="A291" t="s">
        <v>295</v>
      </c>
      <c r="B291" t="s">
        <v>291</v>
      </c>
      <c r="C291" t="s">
        <v>347</v>
      </c>
      <c r="D291" t="s">
        <v>37</v>
      </c>
      <c r="E291" t="s">
        <v>296</v>
      </c>
      <c r="F291" t="s">
        <v>83</v>
      </c>
      <c r="G291" t="s">
        <v>474</v>
      </c>
      <c r="H291" t="s">
        <v>296</v>
      </c>
      <c r="I291" t="s">
        <v>296</v>
      </c>
      <c r="J291" t="s">
        <v>296</v>
      </c>
      <c r="K291" t="s">
        <v>296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 t="s">
        <v>296</v>
      </c>
    </row>
    <row r="292" spans="1:49" ht="12.75">
      <c r="A292" t="s">
        <v>295</v>
      </c>
      <c r="B292" t="s">
        <v>291</v>
      </c>
      <c r="C292" t="s">
        <v>347</v>
      </c>
      <c r="D292" t="s">
        <v>417</v>
      </c>
      <c r="E292" t="s">
        <v>296</v>
      </c>
      <c r="F292" t="s">
        <v>83</v>
      </c>
      <c r="G292" t="s">
        <v>474</v>
      </c>
      <c r="H292" t="s">
        <v>296</v>
      </c>
      <c r="I292" t="s">
        <v>296</v>
      </c>
      <c r="J292" t="s">
        <v>296</v>
      </c>
      <c r="K292" t="s">
        <v>296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 t="s">
        <v>296</v>
      </c>
    </row>
    <row r="293" spans="1:49" ht="12.75">
      <c r="A293" t="s">
        <v>295</v>
      </c>
      <c r="B293" t="s">
        <v>291</v>
      </c>
      <c r="C293" t="s">
        <v>348</v>
      </c>
      <c r="D293" t="s">
        <v>38</v>
      </c>
      <c r="E293" t="s">
        <v>296</v>
      </c>
      <c r="F293" t="s">
        <v>83</v>
      </c>
      <c r="G293" t="s">
        <v>474</v>
      </c>
      <c r="H293" t="s">
        <v>296</v>
      </c>
      <c r="I293" t="s">
        <v>296</v>
      </c>
      <c r="J293" t="s">
        <v>296</v>
      </c>
      <c r="K293" t="s">
        <v>296</v>
      </c>
      <c r="L293">
        <v>1.25</v>
      </c>
      <c r="M293">
        <v>1.25</v>
      </c>
      <c r="N293">
        <v>1.25</v>
      </c>
      <c r="O293">
        <v>1.25</v>
      </c>
      <c r="P293">
        <v>1.25</v>
      </c>
      <c r="Q293">
        <v>1.25</v>
      </c>
      <c r="R293">
        <v>1.25</v>
      </c>
      <c r="S293">
        <v>1.25</v>
      </c>
      <c r="T293">
        <v>1.25</v>
      </c>
      <c r="U293">
        <v>1.25</v>
      </c>
      <c r="V293">
        <v>1.25</v>
      </c>
      <c r="W293">
        <v>1.25</v>
      </c>
      <c r="X293">
        <v>1.25</v>
      </c>
      <c r="Y293">
        <v>1.25</v>
      </c>
      <c r="Z293">
        <v>1.25</v>
      </c>
      <c r="AA293">
        <v>1.25</v>
      </c>
      <c r="AB293">
        <v>1.25</v>
      </c>
      <c r="AC293">
        <v>1.25</v>
      </c>
      <c r="AD293">
        <v>1.25</v>
      </c>
      <c r="AE293">
        <v>1.25</v>
      </c>
      <c r="AF293">
        <v>1.25</v>
      </c>
      <c r="AG293">
        <v>1.25</v>
      </c>
      <c r="AH293">
        <v>1.25</v>
      </c>
      <c r="AI293">
        <v>1.25</v>
      </c>
      <c r="AJ293">
        <v>1.25</v>
      </c>
      <c r="AK293">
        <v>1.25</v>
      </c>
      <c r="AL293">
        <v>1.25</v>
      </c>
      <c r="AM293">
        <v>1.25</v>
      </c>
      <c r="AN293">
        <v>1.25</v>
      </c>
      <c r="AO293">
        <v>1.25</v>
      </c>
      <c r="AP293">
        <v>1.25</v>
      </c>
      <c r="AQ293">
        <v>1.25</v>
      </c>
      <c r="AR293">
        <v>1.25</v>
      </c>
      <c r="AS293">
        <v>1.25</v>
      </c>
      <c r="AT293">
        <v>1.25</v>
      </c>
      <c r="AU293">
        <v>1.25</v>
      </c>
      <c r="AV293">
        <v>1.25</v>
      </c>
      <c r="AW293" t="s">
        <v>296</v>
      </c>
    </row>
    <row r="294" spans="1:49" ht="12.75">
      <c r="A294" t="s">
        <v>295</v>
      </c>
      <c r="B294" t="s">
        <v>291</v>
      </c>
      <c r="C294" t="s">
        <v>348</v>
      </c>
      <c r="D294" t="s">
        <v>417</v>
      </c>
      <c r="E294" t="s">
        <v>296</v>
      </c>
      <c r="F294" t="s">
        <v>83</v>
      </c>
      <c r="G294" t="s">
        <v>474</v>
      </c>
      <c r="H294" t="s">
        <v>296</v>
      </c>
      <c r="I294" t="s">
        <v>296</v>
      </c>
      <c r="J294" t="s">
        <v>296</v>
      </c>
      <c r="K294" t="s">
        <v>296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 t="s">
        <v>296</v>
      </c>
    </row>
    <row r="295" spans="1:49" ht="12.75">
      <c r="A295" t="s">
        <v>295</v>
      </c>
      <c r="B295" t="s">
        <v>291</v>
      </c>
      <c r="C295" t="s">
        <v>349</v>
      </c>
      <c r="D295" t="s">
        <v>43</v>
      </c>
      <c r="E295" t="s">
        <v>296</v>
      </c>
      <c r="F295" t="s">
        <v>83</v>
      </c>
      <c r="G295" t="s">
        <v>474</v>
      </c>
      <c r="H295" t="s">
        <v>296</v>
      </c>
      <c r="I295" t="s">
        <v>296</v>
      </c>
      <c r="J295" t="s">
        <v>296</v>
      </c>
      <c r="K295" t="s">
        <v>296</v>
      </c>
      <c r="L295">
        <v>1.25</v>
      </c>
      <c r="M295">
        <v>1.25</v>
      </c>
      <c r="N295">
        <v>1.25</v>
      </c>
      <c r="O295">
        <v>1.25</v>
      </c>
      <c r="P295">
        <v>1.25</v>
      </c>
      <c r="Q295">
        <v>1.25</v>
      </c>
      <c r="R295">
        <v>1.25</v>
      </c>
      <c r="S295">
        <v>1.25</v>
      </c>
      <c r="T295">
        <v>1.25</v>
      </c>
      <c r="U295">
        <v>1.25</v>
      </c>
      <c r="V295">
        <v>1.25</v>
      </c>
      <c r="W295">
        <v>1.25</v>
      </c>
      <c r="X295">
        <v>1.25</v>
      </c>
      <c r="Y295">
        <v>1.25</v>
      </c>
      <c r="Z295">
        <v>1.25</v>
      </c>
      <c r="AA295">
        <v>1.25</v>
      </c>
      <c r="AB295">
        <v>1.25</v>
      </c>
      <c r="AC295">
        <v>1.25</v>
      </c>
      <c r="AD295">
        <v>1.25</v>
      </c>
      <c r="AE295">
        <v>1.25</v>
      </c>
      <c r="AF295">
        <v>1.25</v>
      </c>
      <c r="AG295">
        <v>1.25</v>
      </c>
      <c r="AH295">
        <v>1.25</v>
      </c>
      <c r="AI295">
        <v>1.25</v>
      </c>
      <c r="AJ295">
        <v>1.25</v>
      </c>
      <c r="AK295">
        <v>1.25</v>
      </c>
      <c r="AL295">
        <v>1.25</v>
      </c>
      <c r="AM295">
        <v>1.25</v>
      </c>
      <c r="AN295">
        <v>1.25</v>
      </c>
      <c r="AO295">
        <v>1.25</v>
      </c>
      <c r="AP295">
        <v>1.25</v>
      </c>
      <c r="AQ295">
        <v>1.25</v>
      </c>
      <c r="AR295">
        <v>1.25</v>
      </c>
      <c r="AS295">
        <v>1.25</v>
      </c>
      <c r="AT295">
        <v>1.25</v>
      </c>
      <c r="AU295">
        <v>1.25</v>
      </c>
      <c r="AV295">
        <v>1.25</v>
      </c>
      <c r="AW295" t="s">
        <v>296</v>
      </c>
    </row>
    <row r="296" spans="1:49" ht="12.75">
      <c r="A296" t="s">
        <v>295</v>
      </c>
      <c r="B296" t="s">
        <v>291</v>
      </c>
      <c r="C296" t="s">
        <v>349</v>
      </c>
      <c r="D296" t="s">
        <v>417</v>
      </c>
      <c r="E296" t="s">
        <v>296</v>
      </c>
      <c r="F296" t="s">
        <v>83</v>
      </c>
      <c r="G296" t="s">
        <v>474</v>
      </c>
      <c r="H296" t="s">
        <v>296</v>
      </c>
      <c r="I296" t="s">
        <v>296</v>
      </c>
      <c r="J296" t="s">
        <v>296</v>
      </c>
      <c r="K296" t="s">
        <v>296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 t="s">
        <v>296</v>
      </c>
    </row>
    <row r="297" spans="1:49" ht="12.75">
      <c r="A297" t="s">
        <v>295</v>
      </c>
      <c r="B297" t="s">
        <v>291</v>
      </c>
      <c r="C297" t="s">
        <v>350</v>
      </c>
      <c r="D297" t="s">
        <v>114</v>
      </c>
      <c r="E297" t="s">
        <v>296</v>
      </c>
      <c r="F297" t="s">
        <v>83</v>
      </c>
      <c r="G297" t="s">
        <v>474</v>
      </c>
      <c r="H297" t="s">
        <v>296</v>
      </c>
      <c r="I297" t="s">
        <v>296</v>
      </c>
      <c r="J297" t="s">
        <v>296</v>
      </c>
      <c r="K297" t="s">
        <v>296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 t="s">
        <v>296</v>
      </c>
    </row>
    <row r="298" spans="1:49" ht="12.75">
      <c r="A298" t="s">
        <v>295</v>
      </c>
      <c r="B298" t="s">
        <v>291</v>
      </c>
      <c r="C298" t="s">
        <v>350</v>
      </c>
      <c r="D298" t="s">
        <v>417</v>
      </c>
      <c r="E298" t="s">
        <v>296</v>
      </c>
      <c r="F298" t="s">
        <v>83</v>
      </c>
      <c r="G298" t="s">
        <v>474</v>
      </c>
      <c r="H298" t="s">
        <v>296</v>
      </c>
      <c r="I298" t="s">
        <v>296</v>
      </c>
      <c r="J298" t="s">
        <v>296</v>
      </c>
      <c r="K298" t="s">
        <v>296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 t="s">
        <v>296</v>
      </c>
    </row>
    <row r="299" spans="1:49" ht="12.75">
      <c r="A299" t="s">
        <v>295</v>
      </c>
      <c r="B299" t="s">
        <v>291</v>
      </c>
      <c r="C299" t="s">
        <v>351</v>
      </c>
      <c r="D299" t="s">
        <v>39</v>
      </c>
      <c r="E299" t="s">
        <v>296</v>
      </c>
      <c r="F299" t="s">
        <v>83</v>
      </c>
      <c r="G299" t="s">
        <v>474</v>
      </c>
      <c r="H299" t="s">
        <v>296</v>
      </c>
      <c r="I299" t="s">
        <v>296</v>
      </c>
      <c r="J299" t="s">
        <v>296</v>
      </c>
      <c r="K299" t="s">
        <v>296</v>
      </c>
      <c r="L299">
        <v>1.25</v>
      </c>
      <c r="M299">
        <v>1.25</v>
      </c>
      <c r="N299">
        <v>1.25</v>
      </c>
      <c r="O299">
        <v>1.25</v>
      </c>
      <c r="P299">
        <v>1.25</v>
      </c>
      <c r="Q299">
        <v>1.25</v>
      </c>
      <c r="R299">
        <v>1.25</v>
      </c>
      <c r="S299">
        <v>1.25</v>
      </c>
      <c r="T299">
        <v>1.25</v>
      </c>
      <c r="U299">
        <v>1.25</v>
      </c>
      <c r="V299">
        <v>1.25</v>
      </c>
      <c r="W299">
        <v>1.25</v>
      </c>
      <c r="X299">
        <v>1.25</v>
      </c>
      <c r="Y299">
        <v>1.25</v>
      </c>
      <c r="Z299">
        <v>1.25</v>
      </c>
      <c r="AA299">
        <v>1.25</v>
      </c>
      <c r="AB299">
        <v>1.25</v>
      </c>
      <c r="AC299">
        <v>1.25</v>
      </c>
      <c r="AD299">
        <v>1.25</v>
      </c>
      <c r="AE299">
        <v>1.25</v>
      </c>
      <c r="AF299">
        <v>1.25</v>
      </c>
      <c r="AG299">
        <v>1.25</v>
      </c>
      <c r="AH299">
        <v>1.25</v>
      </c>
      <c r="AI299">
        <v>1.25</v>
      </c>
      <c r="AJ299">
        <v>1.25</v>
      </c>
      <c r="AK299">
        <v>1.25</v>
      </c>
      <c r="AL299">
        <v>1.25</v>
      </c>
      <c r="AM299">
        <v>1.25</v>
      </c>
      <c r="AN299">
        <v>1.25</v>
      </c>
      <c r="AO299">
        <v>1.25</v>
      </c>
      <c r="AP299">
        <v>1.25</v>
      </c>
      <c r="AQ299">
        <v>1.25</v>
      </c>
      <c r="AR299">
        <v>1.25</v>
      </c>
      <c r="AS299">
        <v>1.25</v>
      </c>
      <c r="AT299">
        <v>1.25</v>
      </c>
      <c r="AU299">
        <v>1.25</v>
      </c>
      <c r="AV299">
        <v>1.25</v>
      </c>
      <c r="AW299" t="s">
        <v>296</v>
      </c>
    </row>
    <row r="300" spans="1:49" ht="12.75">
      <c r="A300" t="s">
        <v>295</v>
      </c>
      <c r="B300" t="s">
        <v>291</v>
      </c>
      <c r="C300" t="s">
        <v>351</v>
      </c>
      <c r="D300" t="s">
        <v>417</v>
      </c>
      <c r="E300" t="s">
        <v>296</v>
      </c>
      <c r="F300" t="s">
        <v>83</v>
      </c>
      <c r="G300" t="s">
        <v>474</v>
      </c>
      <c r="H300" t="s">
        <v>296</v>
      </c>
      <c r="I300" t="s">
        <v>296</v>
      </c>
      <c r="J300" t="s">
        <v>296</v>
      </c>
      <c r="K300" t="s">
        <v>296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 t="s">
        <v>296</v>
      </c>
    </row>
    <row r="301" spans="1:49" ht="12.75">
      <c r="A301" t="s">
        <v>295</v>
      </c>
      <c r="B301" t="s">
        <v>291</v>
      </c>
      <c r="C301" t="s">
        <v>352</v>
      </c>
      <c r="D301" t="s">
        <v>44</v>
      </c>
      <c r="E301" t="s">
        <v>296</v>
      </c>
      <c r="F301" t="s">
        <v>83</v>
      </c>
      <c r="G301" t="s">
        <v>474</v>
      </c>
      <c r="H301" t="s">
        <v>296</v>
      </c>
      <c r="I301" t="s">
        <v>296</v>
      </c>
      <c r="J301" t="s">
        <v>296</v>
      </c>
      <c r="K301" t="s">
        <v>296</v>
      </c>
      <c r="L301">
        <v>1.25</v>
      </c>
      <c r="M301">
        <v>1.25</v>
      </c>
      <c r="N301">
        <v>1.25</v>
      </c>
      <c r="O301">
        <v>1.25</v>
      </c>
      <c r="P301">
        <v>1.25</v>
      </c>
      <c r="Q301">
        <v>1.25</v>
      </c>
      <c r="R301">
        <v>1.25</v>
      </c>
      <c r="S301">
        <v>1.25</v>
      </c>
      <c r="T301">
        <v>1.25</v>
      </c>
      <c r="U301">
        <v>1.25</v>
      </c>
      <c r="V301">
        <v>1.25</v>
      </c>
      <c r="W301">
        <v>1.25</v>
      </c>
      <c r="X301">
        <v>1.25</v>
      </c>
      <c r="Y301">
        <v>1.25</v>
      </c>
      <c r="Z301">
        <v>1.25</v>
      </c>
      <c r="AA301">
        <v>1.25</v>
      </c>
      <c r="AB301">
        <v>1.25</v>
      </c>
      <c r="AC301">
        <v>1.25</v>
      </c>
      <c r="AD301">
        <v>1.25</v>
      </c>
      <c r="AE301">
        <v>1.25</v>
      </c>
      <c r="AF301">
        <v>1.25</v>
      </c>
      <c r="AG301">
        <v>1.25</v>
      </c>
      <c r="AH301">
        <v>1.25</v>
      </c>
      <c r="AI301">
        <v>1.25</v>
      </c>
      <c r="AJ301">
        <v>1.25</v>
      </c>
      <c r="AK301">
        <v>1.25</v>
      </c>
      <c r="AL301">
        <v>1.25</v>
      </c>
      <c r="AM301">
        <v>1.25</v>
      </c>
      <c r="AN301">
        <v>1.25</v>
      </c>
      <c r="AO301">
        <v>1.25</v>
      </c>
      <c r="AP301">
        <v>1.25</v>
      </c>
      <c r="AQ301">
        <v>1.25</v>
      </c>
      <c r="AR301">
        <v>1.25</v>
      </c>
      <c r="AS301">
        <v>1.25</v>
      </c>
      <c r="AT301">
        <v>1.25</v>
      </c>
      <c r="AU301">
        <v>1.25</v>
      </c>
      <c r="AV301">
        <v>1.25</v>
      </c>
      <c r="AW301" t="s">
        <v>296</v>
      </c>
    </row>
    <row r="302" spans="1:49" ht="12.75">
      <c r="A302" t="s">
        <v>295</v>
      </c>
      <c r="B302" t="s">
        <v>291</v>
      </c>
      <c r="C302" t="s">
        <v>352</v>
      </c>
      <c r="D302" t="s">
        <v>417</v>
      </c>
      <c r="E302" t="s">
        <v>296</v>
      </c>
      <c r="F302" t="s">
        <v>83</v>
      </c>
      <c r="G302" t="s">
        <v>474</v>
      </c>
      <c r="H302" t="s">
        <v>296</v>
      </c>
      <c r="I302" t="s">
        <v>296</v>
      </c>
      <c r="J302" t="s">
        <v>296</v>
      </c>
      <c r="K302" t="s">
        <v>296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 t="s">
        <v>296</v>
      </c>
    </row>
    <row r="303" spans="1:49" ht="12.75">
      <c r="A303" t="s">
        <v>295</v>
      </c>
      <c r="B303" t="s">
        <v>291</v>
      </c>
      <c r="C303" t="s">
        <v>353</v>
      </c>
      <c r="D303" t="s">
        <v>37</v>
      </c>
      <c r="E303" t="s">
        <v>296</v>
      </c>
      <c r="F303" t="s">
        <v>83</v>
      </c>
      <c r="G303" t="s">
        <v>474</v>
      </c>
      <c r="H303" t="s">
        <v>296</v>
      </c>
      <c r="I303" t="s">
        <v>296</v>
      </c>
      <c r="J303" t="s">
        <v>296</v>
      </c>
      <c r="K303" t="s">
        <v>296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 t="s">
        <v>296</v>
      </c>
    </row>
    <row r="304" spans="1:49" ht="12.75">
      <c r="A304" t="s">
        <v>295</v>
      </c>
      <c r="B304" t="s">
        <v>291</v>
      </c>
      <c r="C304" t="s">
        <v>353</v>
      </c>
      <c r="D304" t="s">
        <v>430</v>
      </c>
      <c r="E304" t="s">
        <v>296</v>
      </c>
      <c r="F304" t="s">
        <v>83</v>
      </c>
      <c r="G304" t="s">
        <v>474</v>
      </c>
      <c r="H304" t="s">
        <v>296</v>
      </c>
      <c r="I304" t="s">
        <v>296</v>
      </c>
      <c r="J304" t="s">
        <v>296</v>
      </c>
      <c r="K304" t="s">
        <v>296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 t="s">
        <v>296</v>
      </c>
    </row>
    <row r="305" spans="1:49" ht="12.75">
      <c r="A305" t="s">
        <v>295</v>
      </c>
      <c r="B305" t="s">
        <v>291</v>
      </c>
      <c r="C305" t="s">
        <v>354</v>
      </c>
      <c r="D305" t="s">
        <v>155</v>
      </c>
      <c r="E305" t="s">
        <v>296</v>
      </c>
      <c r="F305" t="s">
        <v>83</v>
      </c>
      <c r="G305" t="s">
        <v>474</v>
      </c>
      <c r="H305" t="s">
        <v>296</v>
      </c>
      <c r="I305" t="s">
        <v>296</v>
      </c>
      <c r="J305" t="s">
        <v>296</v>
      </c>
      <c r="K305" t="s">
        <v>296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  <c r="AC305">
        <v>2</v>
      </c>
      <c r="AD305">
        <v>2</v>
      </c>
      <c r="AE305">
        <v>2</v>
      </c>
      <c r="AF305">
        <v>2</v>
      </c>
      <c r="AG305">
        <v>2</v>
      </c>
      <c r="AH305">
        <v>2</v>
      </c>
      <c r="AI305">
        <v>2</v>
      </c>
      <c r="AJ305">
        <v>2</v>
      </c>
      <c r="AK305">
        <v>2</v>
      </c>
      <c r="AL305">
        <v>2</v>
      </c>
      <c r="AM305">
        <v>2</v>
      </c>
      <c r="AN305">
        <v>2</v>
      </c>
      <c r="AO305">
        <v>2</v>
      </c>
      <c r="AP305">
        <v>2</v>
      </c>
      <c r="AQ305">
        <v>2</v>
      </c>
      <c r="AR305">
        <v>2</v>
      </c>
      <c r="AS305">
        <v>2</v>
      </c>
      <c r="AT305">
        <v>2</v>
      </c>
      <c r="AU305">
        <v>2</v>
      </c>
      <c r="AV305">
        <v>2</v>
      </c>
      <c r="AW305" t="s">
        <v>296</v>
      </c>
    </row>
    <row r="306" spans="1:49" ht="12.75">
      <c r="A306" t="s">
        <v>295</v>
      </c>
      <c r="B306" t="s">
        <v>291</v>
      </c>
      <c r="C306" t="s">
        <v>354</v>
      </c>
      <c r="D306" t="s">
        <v>431</v>
      </c>
      <c r="E306" t="s">
        <v>296</v>
      </c>
      <c r="F306" t="s">
        <v>83</v>
      </c>
      <c r="G306" t="s">
        <v>474</v>
      </c>
      <c r="H306" t="s">
        <v>296</v>
      </c>
      <c r="I306" t="s">
        <v>296</v>
      </c>
      <c r="J306" t="s">
        <v>296</v>
      </c>
      <c r="K306" t="s">
        <v>296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 t="s">
        <v>296</v>
      </c>
    </row>
    <row r="307" spans="1:49" ht="12.75">
      <c r="A307" t="s">
        <v>295</v>
      </c>
      <c r="B307" t="s">
        <v>291</v>
      </c>
      <c r="C307" t="s">
        <v>355</v>
      </c>
      <c r="D307" t="s">
        <v>49</v>
      </c>
      <c r="E307" t="s">
        <v>296</v>
      </c>
      <c r="F307" t="s">
        <v>83</v>
      </c>
      <c r="G307" t="s">
        <v>474</v>
      </c>
      <c r="H307" t="s">
        <v>296</v>
      </c>
      <c r="I307" t="s">
        <v>296</v>
      </c>
      <c r="J307" t="s">
        <v>296</v>
      </c>
      <c r="K307" t="s">
        <v>296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  <c r="AC307">
        <v>2</v>
      </c>
      <c r="AD307">
        <v>2</v>
      </c>
      <c r="AE307">
        <v>2</v>
      </c>
      <c r="AF307">
        <v>2</v>
      </c>
      <c r="AG307">
        <v>2</v>
      </c>
      <c r="AH307">
        <v>2</v>
      </c>
      <c r="AI307">
        <v>2</v>
      </c>
      <c r="AJ307">
        <v>2</v>
      </c>
      <c r="AK307">
        <v>2</v>
      </c>
      <c r="AL307">
        <v>2</v>
      </c>
      <c r="AM307">
        <v>2</v>
      </c>
      <c r="AN307">
        <v>2</v>
      </c>
      <c r="AO307">
        <v>2</v>
      </c>
      <c r="AP307">
        <v>2</v>
      </c>
      <c r="AQ307">
        <v>2</v>
      </c>
      <c r="AR307">
        <v>2</v>
      </c>
      <c r="AS307">
        <v>2</v>
      </c>
      <c r="AT307">
        <v>2</v>
      </c>
      <c r="AU307">
        <v>2</v>
      </c>
      <c r="AV307">
        <v>2</v>
      </c>
      <c r="AW307" t="s">
        <v>296</v>
      </c>
    </row>
    <row r="308" spans="1:49" ht="12.75">
      <c r="A308" t="s">
        <v>295</v>
      </c>
      <c r="B308" t="s">
        <v>291</v>
      </c>
      <c r="C308" t="s">
        <v>355</v>
      </c>
      <c r="D308" t="s">
        <v>431</v>
      </c>
      <c r="E308" t="s">
        <v>296</v>
      </c>
      <c r="F308" t="s">
        <v>83</v>
      </c>
      <c r="G308" t="s">
        <v>474</v>
      </c>
      <c r="H308" t="s">
        <v>296</v>
      </c>
      <c r="I308" t="s">
        <v>296</v>
      </c>
      <c r="J308" t="s">
        <v>296</v>
      </c>
      <c r="K308" t="s">
        <v>296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 t="s">
        <v>296</v>
      </c>
    </row>
    <row r="309" spans="1:49" ht="12.75">
      <c r="A309" t="s">
        <v>295</v>
      </c>
      <c r="B309" t="s">
        <v>291</v>
      </c>
      <c r="C309" t="s">
        <v>356</v>
      </c>
      <c r="D309" t="s">
        <v>51</v>
      </c>
      <c r="E309" t="s">
        <v>296</v>
      </c>
      <c r="F309" t="s">
        <v>83</v>
      </c>
      <c r="G309" t="s">
        <v>474</v>
      </c>
      <c r="H309" t="s">
        <v>296</v>
      </c>
      <c r="I309" t="s">
        <v>296</v>
      </c>
      <c r="J309" t="s">
        <v>296</v>
      </c>
      <c r="K309" t="s">
        <v>296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2</v>
      </c>
      <c r="AD309">
        <v>2</v>
      </c>
      <c r="AE309">
        <v>2</v>
      </c>
      <c r="AF309">
        <v>2</v>
      </c>
      <c r="AG309">
        <v>2</v>
      </c>
      <c r="AH309">
        <v>2</v>
      </c>
      <c r="AI309">
        <v>2</v>
      </c>
      <c r="AJ309">
        <v>2</v>
      </c>
      <c r="AK309">
        <v>2</v>
      </c>
      <c r="AL309">
        <v>2</v>
      </c>
      <c r="AM309">
        <v>2</v>
      </c>
      <c r="AN309">
        <v>2</v>
      </c>
      <c r="AO309">
        <v>2</v>
      </c>
      <c r="AP309">
        <v>2</v>
      </c>
      <c r="AQ309">
        <v>2</v>
      </c>
      <c r="AR309">
        <v>2</v>
      </c>
      <c r="AS309">
        <v>2</v>
      </c>
      <c r="AT309">
        <v>2</v>
      </c>
      <c r="AU309">
        <v>2</v>
      </c>
      <c r="AV309">
        <v>2</v>
      </c>
      <c r="AW309" t="s">
        <v>296</v>
      </c>
    </row>
    <row r="310" spans="1:49" ht="12.75">
      <c r="A310" t="s">
        <v>295</v>
      </c>
      <c r="B310" t="s">
        <v>291</v>
      </c>
      <c r="C310" t="s">
        <v>356</v>
      </c>
      <c r="D310" t="s">
        <v>431</v>
      </c>
      <c r="E310" t="s">
        <v>296</v>
      </c>
      <c r="F310" t="s">
        <v>83</v>
      </c>
      <c r="G310" t="s">
        <v>474</v>
      </c>
      <c r="H310" t="s">
        <v>296</v>
      </c>
      <c r="I310" t="s">
        <v>296</v>
      </c>
      <c r="J310" t="s">
        <v>296</v>
      </c>
      <c r="K310" t="s">
        <v>296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 t="s">
        <v>296</v>
      </c>
    </row>
    <row r="311" spans="1:49" ht="12.75">
      <c r="A311" t="s">
        <v>295</v>
      </c>
      <c r="B311" t="s">
        <v>291</v>
      </c>
      <c r="C311" t="s">
        <v>357</v>
      </c>
      <c r="D311" t="s">
        <v>37</v>
      </c>
      <c r="E311" t="s">
        <v>296</v>
      </c>
      <c r="F311" t="s">
        <v>83</v>
      </c>
      <c r="G311" t="s">
        <v>474</v>
      </c>
      <c r="H311" t="s">
        <v>296</v>
      </c>
      <c r="I311" t="s">
        <v>296</v>
      </c>
      <c r="J311" t="s">
        <v>296</v>
      </c>
      <c r="K311" t="s">
        <v>296</v>
      </c>
      <c r="L311">
        <v>1.0526315789473699</v>
      </c>
      <c r="M311">
        <v>1.0526315789473699</v>
      </c>
      <c r="N311">
        <v>1.0526315789473699</v>
      </c>
      <c r="O311">
        <v>1.0526315789473699</v>
      </c>
      <c r="P311">
        <v>1.0526315789473699</v>
      </c>
      <c r="Q311">
        <v>1.0526315789473699</v>
      </c>
      <c r="R311">
        <v>1.0526315789473699</v>
      </c>
      <c r="S311">
        <v>1.0526315789473699</v>
      </c>
      <c r="T311">
        <v>1.0526315789473699</v>
      </c>
      <c r="U311">
        <v>1.0526315789473699</v>
      </c>
      <c r="V311">
        <v>1.0526315789473699</v>
      </c>
      <c r="W311">
        <v>1.0526315789473699</v>
      </c>
      <c r="X311">
        <v>1.0526315789473699</v>
      </c>
      <c r="Y311">
        <v>1.0526315789473699</v>
      </c>
      <c r="Z311">
        <v>1.0526315789473699</v>
      </c>
      <c r="AA311">
        <v>1.0526315789473699</v>
      </c>
      <c r="AB311">
        <v>1.0526315789473699</v>
      </c>
      <c r="AC311">
        <v>1.0526315789473699</v>
      </c>
      <c r="AD311">
        <v>1.0526315789473699</v>
      </c>
      <c r="AE311">
        <v>1.0526315789473699</v>
      </c>
      <c r="AF311">
        <v>1.0526315789473699</v>
      </c>
      <c r="AG311">
        <v>1.0526315789473699</v>
      </c>
      <c r="AH311">
        <v>1.0526315789473699</v>
      </c>
      <c r="AI311">
        <v>1.0526315789473699</v>
      </c>
      <c r="AJ311">
        <v>1.0526315789473699</v>
      </c>
      <c r="AK311">
        <v>1.0526315789473699</v>
      </c>
      <c r="AL311">
        <v>1.0526315789473699</v>
      </c>
      <c r="AM311">
        <v>1.0526315789473699</v>
      </c>
      <c r="AN311">
        <v>1.0526315789473699</v>
      </c>
      <c r="AO311">
        <v>1.0526315789473699</v>
      </c>
      <c r="AP311">
        <v>1.0526315789473699</v>
      </c>
      <c r="AQ311">
        <v>1.0526315789473699</v>
      </c>
      <c r="AR311">
        <v>1.0526315789473699</v>
      </c>
      <c r="AS311">
        <v>1.0526315789473699</v>
      </c>
      <c r="AT311">
        <v>1.0526315789473699</v>
      </c>
      <c r="AU311">
        <v>1.0526315789473699</v>
      </c>
      <c r="AV311">
        <v>1.0526315789473699</v>
      </c>
      <c r="AW311" t="s">
        <v>296</v>
      </c>
    </row>
    <row r="312" spans="1:49" ht="12.75">
      <c r="A312" t="s">
        <v>295</v>
      </c>
      <c r="B312" t="s">
        <v>291</v>
      </c>
      <c r="C312" t="s">
        <v>357</v>
      </c>
      <c r="D312" t="s">
        <v>431</v>
      </c>
      <c r="E312" t="s">
        <v>296</v>
      </c>
      <c r="F312" t="s">
        <v>83</v>
      </c>
      <c r="G312" t="s">
        <v>474</v>
      </c>
      <c r="H312" t="s">
        <v>296</v>
      </c>
      <c r="I312" t="s">
        <v>296</v>
      </c>
      <c r="J312" t="s">
        <v>296</v>
      </c>
      <c r="K312" t="s">
        <v>296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 t="s">
        <v>296</v>
      </c>
    </row>
    <row r="313" spans="1:49" ht="12.75">
      <c r="A313" t="s">
        <v>295</v>
      </c>
      <c r="B313" t="s">
        <v>291</v>
      </c>
      <c r="C313" t="s">
        <v>358</v>
      </c>
      <c r="D313" t="s">
        <v>38</v>
      </c>
      <c r="E313" t="s">
        <v>296</v>
      </c>
      <c r="F313" t="s">
        <v>83</v>
      </c>
      <c r="G313" t="s">
        <v>474</v>
      </c>
      <c r="H313" t="s">
        <v>296</v>
      </c>
      <c r="I313" t="s">
        <v>296</v>
      </c>
      <c r="J313" t="s">
        <v>296</v>
      </c>
      <c r="K313" t="s">
        <v>296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2</v>
      </c>
      <c r="AC313">
        <v>2</v>
      </c>
      <c r="AD313">
        <v>2</v>
      </c>
      <c r="AE313">
        <v>2</v>
      </c>
      <c r="AF313">
        <v>2</v>
      </c>
      <c r="AG313">
        <v>2</v>
      </c>
      <c r="AH313">
        <v>2</v>
      </c>
      <c r="AI313">
        <v>2</v>
      </c>
      <c r="AJ313">
        <v>2</v>
      </c>
      <c r="AK313">
        <v>2</v>
      </c>
      <c r="AL313">
        <v>2</v>
      </c>
      <c r="AM313">
        <v>2</v>
      </c>
      <c r="AN313">
        <v>2</v>
      </c>
      <c r="AO313">
        <v>2</v>
      </c>
      <c r="AP313">
        <v>2</v>
      </c>
      <c r="AQ313">
        <v>2</v>
      </c>
      <c r="AR313">
        <v>2</v>
      </c>
      <c r="AS313">
        <v>2</v>
      </c>
      <c r="AT313">
        <v>2</v>
      </c>
      <c r="AU313">
        <v>2</v>
      </c>
      <c r="AV313">
        <v>2</v>
      </c>
      <c r="AW313" t="s">
        <v>296</v>
      </c>
    </row>
    <row r="314" spans="1:49" ht="12.75">
      <c r="A314" t="s">
        <v>295</v>
      </c>
      <c r="B314" t="s">
        <v>291</v>
      </c>
      <c r="C314" t="s">
        <v>358</v>
      </c>
      <c r="D314" t="s">
        <v>431</v>
      </c>
      <c r="E314" t="s">
        <v>296</v>
      </c>
      <c r="F314" t="s">
        <v>83</v>
      </c>
      <c r="G314" t="s">
        <v>474</v>
      </c>
      <c r="H314" t="s">
        <v>296</v>
      </c>
      <c r="I314" t="s">
        <v>296</v>
      </c>
      <c r="J314" t="s">
        <v>296</v>
      </c>
      <c r="K314" t="s">
        <v>296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 t="s">
        <v>296</v>
      </c>
    </row>
    <row r="315" spans="1:49" ht="12.75">
      <c r="A315" t="s">
        <v>295</v>
      </c>
      <c r="B315" t="s">
        <v>291</v>
      </c>
      <c r="C315" t="s">
        <v>359</v>
      </c>
      <c r="D315" t="s">
        <v>43</v>
      </c>
      <c r="E315" t="s">
        <v>296</v>
      </c>
      <c r="F315" t="s">
        <v>83</v>
      </c>
      <c r="G315" t="s">
        <v>474</v>
      </c>
      <c r="H315" t="s">
        <v>296</v>
      </c>
      <c r="I315" t="s">
        <v>296</v>
      </c>
      <c r="J315" t="s">
        <v>296</v>
      </c>
      <c r="K315" t="s">
        <v>296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2</v>
      </c>
      <c r="AC315">
        <v>2</v>
      </c>
      <c r="AD315">
        <v>2</v>
      </c>
      <c r="AE315">
        <v>2</v>
      </c>
      <c r="AF315">
        <v>2</v>
      </c>
      <c r="AG315">
        <v>2</v>
      </c>
      <c r="AH315">
        <v>2</v>
      </c>
      <c r="AI315">
        <v>2</v>
      </c>
      <c r="AJ315">
        <v>2</v>
      </c>
      <c r="AK315">
        <v>2</v>
      </c>
      <c r="AL315">
        <v>2</v>
      </c>
      <c r="AM315">
        <v>2</v>
      </c>
      <c r="AN315">
        <v>2</v>
      </c>
      <c r="AO315">
        <v>2</v>
      </c>
      <c r="AP315">
        <v>2</v>
      </c>
      <c r="AQ315">
        <v>2</v>
      </c>
      <c r="AR315">
        <v>2</v>
      </c>
      <c r="AS315">
        <v>2</v>
      </c>
      <c r="AT315">
        <v>2</v>
      </c>
      <c r="AU315">
        <v>2</v>
      </c>
      <c r="AV315">
        <v>2</v>
      </c>
      <c r="AW315" t="s">
        <v>296</v>
      </c>
    </row>
    <row r="316" spans="1:49" ht="12.75">
      <c r="A316" t="s">
        <v>295</v>
      </c>
      <c r="B316" t="s">
        <v>291</v>
      </c>
      <c r="C316" t="s">
        <v>359</v>
      </c>
      <c r="D316" t="s">
        <v>431</v>
      </c>
      <c r="E316" t="s">
        <v>296</v>
      </c>
      <c r="F316" t="s">
        <v>83</v>
      </c>
      <c r="G316" t="s">
        <v>474</v>
      </c>
      <c r="H316" t="s">
        <v>296</v>
      </c>
      <c r="I316" t="s">
        <v>296</v>
      </c>
      <c r="J316" t="s">
        <v>296</v>
      </c>
      <c r="K316" t="s">
        <v>296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 t="s">
        <v>296</v>
      </c>
    </row>
    <row r="317" spans="1:49" ht="12.75">
      <c r="A317" t="s">
        <v>295</v>
      </c>
      <c r="B317" t="s">
        <v>291</v>
      </c>
      <c r="C317" t="s">
        <v>360</v>
      </c>
      <c r="D317" t="s">
        <v>39</v>
      </c>
      <c r="E317" t="s">
        <v>296</v>
      </c>
      <c r="F317" t="s">
        <v>83</v>
      </c>
      <c r="G317" t="s">
        <v>474</v>
      </c>
      <c r="H317" t="s">
        <v>296</v>
      </c>
      <c r="I317" t="s">
        <v>296</v>
      </c>
      <c r="J317" t="s">
        <v>296</v>
      </c>
      <c r="K317" t="s">
        <v>296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>
        <v>2</v>
      </c>
      <c r="AC317">
        <v>2</v>
      </c>
      <c r="AD317">
        <v>2</v>
      </c>
      <c r="AE317">
        <v>2</v>
      </c>
      <c r="AF317">
        <v>2</v>
      </c>
      <c r="AG317">
        <v>2</v>
      </c>
      <c r="AH317">
        <v>2</v>
      </c>
      <c r="AI317">
        <v>2</v>
      </c>
      <c r="AJ317">
        <v>2</v>
      </c>
      <c r="AK317">
        <v>2</v>
      </c>
      <c r="AL317">
        <v>2</v>
      </c>
      <c r="AM317">
        <v>2</v>
      </c>
      <c r="AN317">
        <v>2</v>
      </c>
      <c r="AO317">
        <v>2</v>
      </c>
      <c r="AP317">
        <v>2</v>
      </c>
      <c r="AQ317">
        <v>2</v>
      </c>
      <c r="AR317">
        <v>2</v>
      </c>
      <c r="AS317">
        <v>2</v>
      </c>
      <c r="AT317">
        <v>2</v>
      </c>
      <c r="AU317">
        <v>2</v>
      </c>
      <c r="AV317">
        <v>2</v>
      </c>
      <c r="AW317" t="s">
        <v>296</v>
      </c>
    </row>
    <row r="318" spans="1:49" ht="12.75">
      <c r="A318" t="s">
        <v>295</v>
      </c>
      <c r="B318" t="s">
        <v>291</v>
      </c>
      <c r="C318" t="s">
        <v>360</v>
      </c>
      <c r="D318" t="s">
        <v>431</v>
      </c>
      <c r="E318" t="s">
        <v>296</v>
      </c>
      <c r="F318" t="s">
        <v>83</v>
      </c>
      <c r="G318" t="s">
        <v>474</v>
      </c>
      <c r="H318" t="s">
        <v>296</v>
      </c>
      <c r="I318" t="s">
        <v>296</v>
      </c>
      <c r="J318" t="s">
        <v>296</v>
      </c>
      <c r="K318" t="s">
        <v>296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 t="s">
        <v>296</v>
      </c>
    </row>
    <row r="319" spans="1:49" ht="12.75">
      <c r="A319" t="s">
        <v>295</v>
      </c>
      <c r="B319" t="s">
        <v>291</v>
      </c>
      <c r="C319" t="s">
        <v>361</v>
      </c>
      <c r="D319" t="s">
        <v>44</v>
      </c>
      <c r="E319" t="s">
        <v>296</v>
      </c>
      <c r="F319" t="s">
        <v>83</v>
      </c>
      <c r="G319" t="s">
        <v>474</v>
      </c>
      <c r="H319" t="s">
        <v>296</v>
      </c>
      <c r="I319" t="s">
        <v>296</v>
      </c>
      <c r="J319" t="s">
        <v>296</v>
      </c>
      <c r="K319" t="s">
        <v>296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  <c r="AC319">
        <v>2</v>
      </c>
      <c r="AD319">
        <v>2</v>
      </c>
      <c r="AE319">
        <v>2</v>
      </c>
      <c r="AF319">
        <v>2</v>
      </c>
      <c r="AG319">
        <v>2</v>
      </c>
      <c r="AH319">
        <v>2</v>
      </c>
      <c r="AI319">
        <v>2</v>
      </c>
      <c r="AJ319">
        <v>2</v>
      </c>
      <c r="AK319">
        <v>2</v>
      </c>
      <c r="AL319">
        <v>2</v>
      </c>
      <c r="AM319">
        <v>2</v>
      </c>
      <c r="AN319">
        <v>2</v>
      </c>
      <c r="AO319">
        <v>2</v>
      </c>
      <c r="AP319">
        <v>2</v>
      </c>
      <c r="AQ319">
        <v>2</v>
      </c>
      <c r="AR319">
        <v>2</v>
      </c>
      <c r="AS319">
        <v>2</v>
      </c>
      <c r="AT319">
        <v>2</v>
      </c>
      <c r="AU319">
        <v>2</v>
      </c>
      <c r="AV319">
        <v>2</v>
      </c>
      <c r="AW319" t="s">
        <v>296</v>
      </c>
    </row>
    <row r="320" spans="1:49" ht="12.75">
      <c r="A320" t="s">
        <v>295</v>
      </c>
      <c r="B320" t="s">
        <v>291</v>
      </c>
      <c r="C320" t="s">
        <v>361</v>
      </c>
      <c r="D320" t="s">
        <v>431</v>
      </c>
      <c r="E320" t="s">
        <v>296</v>
      </c>
      <c r="F320" t="s">
        <v>83</v>
      </c>
      <c r="G320" t="s">
        <v>474</v>
      </c>
      <c r="H320" t="s">
        <v>296</v>
      </c>
      <c r="I320" t="s">
        <v>296</v>
      </c>
      <c r="J320" t="s">
        <v>296</v>
      </c>
      <c r="K320" t="s">
        <v>296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 t="s">
        <v>296</v>
      </c>
    </row>
    <row r="321" spans="1:49" ht="12.75">
      <c r="A321" t="s">
        <v>295</v>
      </c>
      <c r="B321" t="s">
        <v>291</v>
      </c>
      <c r="C321" t="s">
        <v>362</v>
      </c>
      <c r="D321" t="s">
        <v>155</v>
      </c>
      <c r="E321" t="s">
        <v>296</v>
      </c>
      <c r="F321" t="s">
        <v>83</v>
      </c>
      <c r="G321" t="s">
        <v>474</v>
      </c>
      <c r="H321" t="s">
        <v>296</v>
      </c>
      <c r="I321" t="s">
        <v>296</v>
      </c>
      <c r="J321" t="s">
        <v>296</v>
      </c>
      <c r="K321" t="s">
        <v>296</v>
      </c>
      <c r="L321">
        <v>1.25</v>
      </c>
      <c r="M321">
        <v>1.25</v>
      </c>
      <c r="N321">
        <v>1.25</v>
      </c>
      <c r="O321">
        <v>1.25</v>
      </c>
      <c r="P321">
        <v>1.25</v>
      </c>
      <c r="Q321">
        <v>1.25</v>
      </c>
      <c r="R321">
        <v>1.25</v>
      </c>
      <c r="S321">
        <v>1.25</v>
      </c>
      <c r="T321">
        <v>1.25</v>
      </c>
      <c r="U321">
        <v>1.25</v>
      </c>
      <c r="V321">
        <v>1.25</v>
      </c>
      <c r="W321">
        <v>1.25</v>
      </c>
      <c r="X321">
        <v>1.25</v>
      </c>
      <c r="Y321">
        <v>1.25</v>
      </c>
      <c r="Z321">
        <v>1.25</v>
      </c>
      <c r="AA321">
        <v>1.25</v>
      </c>
      <c r="AB321">
        <v>1.25</v>
      </c>
      <c r="AC321">
        <v>1.25</v>
      </c>
      <c r="AD321">
        <v>1.25</v>
      </c>
      <c r="AE321">
        <v>1.25</v>
      </c>
      <c r="AF321">
        <v>1.25</v>
      </c>
      <c r="AG321">
        <v>1.25</v>
      </c>
      <c r="AH321">
        <v>1.25</v>
      </c>
      <c r="AI321">
        <v>1.25</v>
      </c>
      <c r="AJ321">
        <v>1.25</v>
      </c>
      <c r="AK321">
        <v>1.25</v>
      </c>
      <c r="AL321">
        <v>1.25</v>
      </c>
      <c r="AM321">
        <v>1.25</v>
      </c>
      <c r="AN321">
        <v>1.25</v>
      </c>
      <c r="AO321">
        <v>1.25</v>
      </c>
      <c r="AP321">
        <v>1.25</v>
      </c>
      <c r="AQ321">
        <v>1.25</v>
      </c>
      <c r="AR321">
        <v>1.25</v>
      </c>
      <c r="AS321">
        <v>1.25</v>
      </c>
      <c r="AT321">
        <v>1.25</v>
      </c>
      <c r="AU321">
        <v>1.25</v>
      </c>
      <c r="AV321">
        <v>1.25</v>
      </c>
      <c r="AW321" t="s">
        <v>296</v>
      </c>
    </row>
    <row r="322" spans="1:49" ht="12.75">
      <c r="A322" t="s">
        <v>295</v>
      </c>
      <c r="B322" t="s">
        <v>291</v>
      </c>
      <c r="C322" t="s">
        <v>362</v>
      </c>
      <c r="D322" t="s">
        <v>432</v>
      </c>
      <c r="E322" t="s">
        <v>296</v>
      </c>
      <c r="F322" t="s">
        <v>83</v>
      </c>
      <c r="G322" t="s">
        <v>474</v>
      </c>
      <c r="H322" t="s">
        <v>296</v>
      </c>
      <c r="I322" t="s">
        <v>296</v>
      </c>
      <c r="J322" t="s">
        <v>296</v>
      </c>
      <c r="K322" t="s">
        <v>296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 t="s">
        <v>296</v>
      </c>
    </row>
    <row r="323" spans="1:49" ht="12.75">
      <c r="A323" t="s">
        <v>295</v>
      </c>
      <c r="B323" t="s">
        <v>291</v>
      </c>
      <c r="C323" t="s">
        <v>363</v>
      </c>
      <c r="D323" t="s">
        <v>49</v>
      </c>
      <c r="E323" t="s">
        <v>296</v>
      </c>
      <c r="F323" t="s">
        <v>83</v>
      </c>
      <c r="G323" t="s">
        <v>474</v>
      </c>
      <c r="H323" t="s">
        <v>296</v>
      </c>
      <c r="I323" t="s">
        <v>296</v>
      </c>
      <c r="J323" t="s">
        <v>296</v>
      </c>
      <c r="K323" t="s">
        <v>296</v>
      </c>
      <c r="L323">
        <v>1.25</v>
      </c>
      <c r="M323">
        <v>1.25</v>
      </c>
      <c r="N323">
        <v>1.25</v>
      </c>
      <c r="O323">
        <v>1.25</v>
      </c>
      <c r="P323">
        <v>1.25</v>
      </c>
      <c r="Q323">
        <v>1.25</v>
      </c>
      <c r="R323">
        <v>1.25</v>
      </c>
      <c r="S323">
        <v>1.25</v>
      </c>
      <c r="T323">
        <v>1.25</v>
      </c>
      <c r="U323">
        <v>1.25</v>
      </c>
      <c r="V323">
        <v>1.25</v>
      </c>
      <c r="W323">
        <v>1.25</v>
      </c>
      <c r="X323">
        <v>1.25</v>
      </c>
      <c r="Y323">
        <v>1.25</v>
      </c>
      <c r="Z323">
        <v>1.25</v>
      </c>
      <c r="AA323">
        <v>1.25</v>
      </c>
      <c r="AB323">
        <v>1.25</v>
      </c>
      <c r="AC323">
        <v>1.25</v>
      </c>
      <c r="AD323">
        <v>1.25</v>
      </c>
      <c r="AE323">
        <v>1.25</v>
      </c>
      <c r="AF323">
        <v>1.25</v>
      </c>
      <c r="AG323">
        <v>1.25</v>
      </c>
      <c r="AH323">
        <v>1.25</v>
      </c>
      <c r="AI323">
        <v>1.25</v>
      </c>
      <c r="AJ323">
        <v>1.25</v>
      </c>
      <c r="AK323">
        <v>1.25</v>
      </c>
      <c r="AL323">
        <v>1.25</v>
      </c>
      <c r="AM323">
        <v>1.25</v>
      </c>
      <c r="AN323">
        <v>1.25</v>
      </c>
      <c r="AO323">
        <v>1.25</v>
      </c>
      <c r="AP323">
        <v>1.25</v>
      </c>
      <c r="AQ323">
        <v>1.25</v>
      </c>
      <c r="AR323">
        <v>1.25</v>
      </c>
      <c r="AS323">
        <v>1.25</v>
      </c>
      <c r="AT323">
        <v>1.25</v>
      </c>
      <c r="AU323">
        <v>1.25</v>
      </c>
      <c r="AV323">
        <v>1.25</v>
      </c>
      <c r="AW323" t="s">
        <v>296</v>
      </c>
    </row>
    <row r="324" spans="1:49" ht="12.75">
      <c r="A324" t="s">
        <v>295</v>
      </c>
      <c r="B324" t="s">
        <v>291</v>
      </c>
      <c r="C324" t="s">
        <v>363</v>
      </c>
      <c r="D324" t="s">
        <v>432</v>
      </c>
      <c r="E324" t="s">
        <v>296</v>
      </c>
      <c r="F324" t="s">
        <v>83</v>
      </c>
      <c r="G324" t="s">
        <v>474</v>
      </c>
      <c r="H324" t="s">
        <v>296</v>
      </c>
      <c r="I324" t="s">
        <v>296</v>
      </c>
      <c r="J324" t="s">
        <v>296</v>
      </c>
      <c r="K324" t="s">
        <v>296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 t="s">
        <v>296</v>
      </c>
    </row>
    <row r="325" spans="1:49" ht="12.75">
      <c r="A325" t="s">
        <v>295</v>
      </c>
      <c r="B325" t="s">
        <v>291</v>
      </c>
      <c r="C325" t="s">
        <v>364</v>
      </c>
      <c r="D325" t="s">
        <v>51</v>
      </c>
      <c r="E325" t="s">
        <v>296</v>
      </c>
      <c r="F325" t="s">
        <v>83</v>
      </c>
      <c r="G325" t="s">
        <v>474</v>
      </c>
      <c r="H325" t="s">
        <v>296</v>
      </c>
      <c r="I325" t="s">
        <v>296</v>
      </c>
      <c r="J325" t="s">
        <v>296</v>
      </c>
      <c r="K325" t="s">
        <v>296</v>
      </c>
      <c r="L325">
        <v>1.25</v>
      </c>
      <c r="M325">
        <v>1.25</v>
      </c>
      <c r="N325">
        <v>1.25</v>
      </c>
      <c r="O325">
        <v>1.25</v>
      </c>
      <c r="P325">
        <v>1.25</v>
      </c>
      <c r="Q325">
        <v>1.25</v>
      </c>
      <c r="R325">
        <v>1.25</v>
      </c>
      <c r="S325">
        <v>1.25</v>
      </c>
      <c r="T325">
        <v>1.25</v>
      </c>
      <c r="U325">
        <v>1.25</v>
      </c>
      <c r="V325">
        <v>1.25</v>
      </c>
      <c r="W325">
        <v>1.25</v>
      </c>
      <c r="X325">
        <v>1.25</v>
      </c>
      <c r="Y325">
        <v>1.25</v>
      </c>
      <c r="Z325">
        <v>1.25</v>
      </c>
      <c r="AA325">
        <v>1.25</v>
      </c>
      <c r="AB325">
        <v>1.25</v>
      </c>
      <c r="AC325">
        <v>1.25</v>
      </c>
      <c r="AD325">
        <v>1.25</v>
      </c>
      <c r="AE325">
        <v>1.25</v>
      </c>
      <c r="AF325">
        <v>1.25</v>
      </c>
      <c r="AG325">
        <v>1.25</v>
      </c>
      <c r="AH325">
        <v>1.25</v>
      </c>
      <c r="AI325">
        <v>1.25</v>
      </c>
      <c r="AJ325">
        <v>1.25</v>
      </c>
      <c r="AK325">
        <v>1.25</v>
      </c>
      <c r="AL325">
        <v>1.25</v>
      </c>
      <c r="AM325">
        <v>1.25</v>
      </c>
      <c r="AN325">
        <v>1.25</v>
      </c>
      <c r="AO325">
        <v>1.25</v>
      </c>
      <c r="AP325">
        <v>1.25</v>
      </c>
      <c r="AQ325">
        <v>1.25</v>
      </c>
      <c r="AR325">
        <v>1.25</v>
      </c>
      <c r="AS325">
        <v>1.25</v>
      </c>
      <c r="AT325">
        <v>1.25</v>
      </c>
      <c r="AU325">
        <v>1.25</v>
      </c>
      <c r="AV325">
        <v>1.25</v>
      </c>
      <c r="AW325" t="s">
        <v>296</v>
      </c>
    </row>
    <row r="326" spans="1:49" ht="12.75">
      <c r="A326" t="s">
        <v>295</v>
      </c>
      <c r="B326" t="s">
        <v>291</v>
      </c>
      <c r="C326" t="s">
        <v>364</v>
      </c>
      <c r="D326" t="s">
        <v>432</v>
      </c>
      <c r="E326" t="s">
        <v>296</v>
      </c>
      <c r="F326" t="s">
        <v>83</v>
      </c>
      <c r="G326" t="s">
        <v>474</v>
      </c>
      <c r="H326" t="s">
        <v>296</v>
      </c>
      <c r="I326" t="s">
        <v>296</v>
      </c>
      <c r="J326" t="s">
        <v>296</v>
      </c>
      <c r="K326" t="s">
        <v>296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 t="s">
        <v>296</v>
      </c>
    </row>
    <row r="327" spans="1:49" ht="12.75">
      <c r="A327" t="s">
        <v>295</v>
      </c>
      <c r="B327" t="s">
        <v>291</v>
      </c>
      <c r="C327" t="s">
        <v>365</v>
      </c>
      <c r="D327" t="s">
        <v>37</v>
      </c>
      <c r="E327" t="s">
        <v>296</v>
      </c>
      <c r="F327" t="s">
        <v>83</v>
      </c>
      <c r="G327" t="s">
        <v>474</v>
      </c>
      <c r="H327" t="s">
        <v>296</v>
      </c>
      <c r="I327" t="s">
        <v>296</v>
      </c>
      <c r="J327" t="s">
        <v>296</v>
      </c>
      <c r="K327" t="s">
        <v>296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 t="s">
        <v>296</v>
      </c>
    </row>
    <row r="328" spans="1:49" ht="12.75">
      <c r="A328" t="s">
        <v>295</v>
      </c>
      <c r="B328" t="s">
        <v>291</v>
      </c>
      <c r="C328" t="s">
        <v>365</v>
      </c>
      <c r="D328" t="s">
        <v>432</v>
      </c>
      <c r="E328" t="s">
        <v>296</v>
      </c>
      <c r="F328" t="s">
        <v>83</v>
      </c>
      <c r="G328" t="s">
        <v>474</v>
      </c>
      <c r="H328" t="s">
        <v>296</v>
      </c>
      <c r="I328" t="s">
        <v>296</v>
      </c>
      <c r="J328" t="s">
        <v>296</v>
      </c>
      <c r="K328" t="s">
        <v>296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 t="s">
        <v>296</v>
      </c>
    </row>
    <row r="329" spans="1:49" ht="12.75">
      <c r="A329" t="s">
        <v>295</v>
      </c>
      <c r="B329" t="s">
        <v>291</v>
      </c>
      <c r="C329" t="s">
        <v>366</v>
      </c>
      <c r="D329" t="s">
        <v>38</v>
      </c>
      <c r="E329" t="s">
        <v>296</v>
      </c>
      <c r="F329" t="s">
        <v>83</v>
      </c>
      <c r="G329" t="s">
        <v>474</v>
      </c>
      <c r="H329" t="s">
        <v>296</v>
      </c>
      <c r="I329" t="s">
        <v>296</v>
      </c>
      <c r="J329" t="s">
        <v>296</v>
      </c>
      <c r="K329" t="s">
        <v>296</v>
      </c>
      <c r="L329">
        <v>1.25</v>
      </c>
      <c r="M329">
        <v>1.25</v>
      </c>
      <c r="N329">
        <v>1.25</v>
      </c>
      <c r="O329">
        <v>1.25</v>
      </c>
      <c r="P329">
        <v>1.25</v>
      </c>
      <c r="Q329">
        <v>1.25</v>
      </c>
      <c r="R329">
        <v>1.25</v>
      </c>
      <c r="S329">
        <v>1.25</v>
      </c>
      <c r="T329">
        <v>1.25</v>
      </c>
      <c r="U329">
        <v>1.25</v>
      </c>
      <c r="V329">
        <v>1.25</v>
      </c>
      <c r="W329">
        <v>1.25</v>
      </c>
      <c r="X329">
        <v>1.25</v>
      </c>
      <c r="Y329">
        <v>1.25</v>
      </c>
      <c r="Z329">
        <v>1.25</v>
      </c>
      <c r="AA329">
        <v>1.25</v>
      </c>
      <c r="AB329">
        <v>1.25</v>
      </c>
      <c r="AC329">
        <v>1.25</v>
      </c>
      <c r="AD329">
        <v>1.25</v>
      </c>
      <c r="AE329">
        <v>1.25</v>
      </c>
      <c r="AF329">
        <v>1.25</v>
      </c>
      <c r="AG329">
        <v>1.25</v>
      </c>
      <c r="AH329">
        <v>1.25</v>
      </c>
      <c r="AI329">
        <v>1.25</v>
      </c>
      <c r="AJ329">
        <v>1.25</v>
      </c>
      <c r="AK329">
        <v>1.25</v>
      </c>
      <c r="AL329">
        <v>1.25</v>
      </c>
      <c r="AM329">
        <v>1.25</v>
      </c>
      <c r="AN329">
        <v>1.25</v>
      </c>
      <c r="AO329">
        <v>1.25</v>
      </c>
      <c r="AP329">
        <v>1.25</v>
      </c>
      <c r="AQ329">
        <v>1.25</v>
      </c>
      <c r="AR329">
        <v>1.25</v>
      </c>
      <c r="AS329">
        <v>1.25</v>
      </c>
      <c r="AT329">
        <v>1.25</v>
      </c>
      <c r="AU329">
        <v>1.25</v>
      </c>
      <c r="AV329">
        <v>1.25</v>
      </c>
      <c r="AW329" t="s">
        <v>296</v>
      </c>
    </row>
    <row r="330" spans="1:49" ht="12.75">
      <c r="A330" t="s">
        <v>295</v>
      </c>
      <c r="B330" t="s">
        <v>291</v>
      </c>
      <c r="C330" t="s">
        <v>366</v>
      </c>
      <c r="D330" t="s">
        <v>432</v>
      </c>
      <c r="E330" t="s">
        <v>296</v>
      </c>
      <c r="F330" t="s">
        <v>83</v>
      </c>
      <c r="G330" t="s">
        <v>474</v>
      </c>
      <c r="H330" t="s">
        <v>296</v>
      </c>
      <c r="I330" t="s">
        <v>296</v>
      </c>
      <c r="J330" t="s">
        <v>296</v>
      </c>
      <c r="K330" t="s">
        <v>296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 t="s">
        <v>296</v>
      </c>
    </row>
    <row r="331" spans="1:49" ht="12.75">
      <c r="A331" t="s">
        <v>295</v>
      </c>
      <c r="B331" t="s">
        <v>291</v>
      </c>
      <c r="C331" t="s">
        <v>367</v>
      </c>
      <c r="D331" t="s">
        <v>43</v>
      </c>
      <c r="E331" t="s">
        <v>296</v>
      </c>
      <c r="F331" t="s">
        <v>83</v>
      </c>
      <c r="G331" t="s">
        <v>474</v>
      </c>
      <c r="H331" t="s">
        <v>296</v>
      </c>
      <c r="I331" t="s">
        <v>296</v>
      </c>
      <c r="J331" t="s">
        <v>296</v>
      </c>
      <c r="K331" t="s">
        <v>296</v>
      </c>
      <c r="L331">
        <v>1.25</v>
      </c>
      <c r="M331">
        <v>1.25</v>
      </c>
      <c r="N331">
        <v>1.25</v>
      </c>
      <c r="O331">
        <v>1.25</v>
      </c>
      <c r="P331">
        <v>1.25</v>
      </c>
      <c r="Q331">
        <v>1.25</v>
      </c>
      <c r="R331">
        <v>1.25</v>
      </c>
      <c r="S331">
        <v>1.25</v>
      </c>
      <c r="T331">
        <v>1.25</v>
      </c>
      <c r="U331">
        <v>1.25</v>
      </c>
      <c r="V331">
        <v>1.25</v>
      </c>
      <c r="W331">
        <v>1.25</v>
      </c>
      <c r="X331">
        <v>1.25</v>
      </c>
      <c r="Y331">
        <v>1.25</v>
      </c>
      <c r="Z331">
        <v>1.25</v>
      </c>
      <c r="AA331">
        <v>1.25</v>
      </c>
      <c r="AB331">
        <v>1.25</v>
      </c>
      <c r="AC331">
        <v>1.25</v>
      </c>
      <c r="AD331">
        <v>1.25</v>
      </c>
      <c r="AE331">
        <v>1.25</v>
      </c>
      <c r="AF331">
        <v>1.25</v>
      </c>
      <c r="AG331">
        <v>1.25</v>
      </c>
      <c r="AH331">
        <v>1.25</v>
      </c>
      <c r="AI331">
        <v>1.25</v>
      </c>
      <c r="AJ331">
        <v>1.25</v>
      </c>
      <c r="AK331">
        <v>1.25</v>
      </c>
      <c r="AL331">
        <v>1.25</v>
      </c>
      <c r="AM331">
        <v>1.25</v>
      </c>
      <c r="AN331">
        <v>1.25</v>
      </c>
      <c r="AO331">
        <v>1.25</v>
      </c>
      <c r="AP331">
        <v>1.25</v>
      </c>
      <c r="AQ331">
        <v>1.25</v>
      </c>
      <c r="AR331">
        <v>1.25</v>
      </c>
      <c r="AS331">
        <v>1.25</v>
      </c>
      <c r="AT331">
        <v>1.25</v>
      </c>
      <c r="AU331">
        <v>1.25</v>
      </c>
      <c r="AV331">
        <v>1.25</v>
      </c>
      <c r="AW331" t="s">
        <v>296</v>
      </c>
    </row>
    <row r="332" spans="1:49" ht="12.75">
      <c r="A332" t="s">
        <v>295</v>
      </c>
      <c r="B332" t="s">
        <v>291</v>
      </c>
      <c r="C332" t="s">
        <v>367</v>
      </c>
      <c r="D332" t="s">
        <v>432</v>
      </c>
      <c r="E332" t="s">
        <v>296</v>
      </c>
      <c r="F332" t="s">
        <v>83</v>
      </c>
      <c r="G332" t="s">
        <v>474</v>
      </c>
      <c r="H332" t="s">
        <v>296</v>
      </c>
      <c r="I332" t="s">
        <v>296</v>
      </c>
      <c r="J332" t="s">
        <v>296</v>
      </c>
      <c r="K332" t="s">
        <v>296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 t="s">
        <v>296</v>
      </c>
    </row>
    <row r="333" spans="1:49" ht="12.75">
      <c r="A333" t="s">
        <v>295</v>
      </c>
      <c r="B333" t="s">
        <v>291</v>
      </c>
      <c r="C333" t="s">
        <v>368</v>
      </c>
      <c r="D333" t="s">
        <v>39</v>
      </c>
      <c r="E333" t="s">
        <v>296</v>
      </c>
      <c r="F333" t="s">
        <v>83</v>
      </c>
      <c r="G333" t="s">
        <v>474</v>
      </c>
      <c r="H333" t="s">
        <v>296</v>
      </c>
      <c r="I333" t="s">
        <v>296</v>
      </c>
      <c r="J333" t="s">
        <v>296</v>
      </c>
      <c r="K333" t="s">
        <v>296</v>
      </c>
      <c r="L333">
        <v>1.25</v>
      </c>
      <c r="M333">
        <v>1.25</v>
      </c>
      <c r="N333">
        <v>1.25</v>
      </c>
      <c r="O333">
        <v>1.25</v>
      </c>
      <c r="P333">
        <v>1.25</v>
      </c>
      <c r="Q333">
        <v>1.25</v>
      </c>
      <c r="R333">
        <v>1.25</v>
      </c>
      <c r="S333">
        <v>1.25</v>
      </c>
      <c r="T333">
        <v>1.25</v>
      </c>
      <c r="U333">
        <v>1.25</v>
      </c>
      <c r="V333">
        <v>1.25</v>
      </c>
      <c r="W333">
        <v>1.25</v>
      </c>
      <c r="X333">
        <v>1.25</v>
      </c>
      <c r="Y333">
        <v>1.25</v>
      </c>
      <c r="Z333">
        <v>1.25</v>
      </c>
      <c r="AA333">
        <v>1.25</v>
      </c>
      <c r="AB333">
        <v>1.25</v>
      </c>
      <c r="AC333">
        <v>1.25</v>
      </c>
      <c r="AD333">
        <v>1.25</v>
      </c>
      <c r="AE333">
        <v>1.25</v>
      </c>
      <c r="AF333">
        <v>1.25</v>
      </c>
      <c r="AG333">
        <v>1.25</v>
      </c>
      <c r="AH333">
        <v>1.25</v>
      </c>
      <c r="AI333">
        <v>1.25</v>
      </c>
      <c r="AJ333">
        <v>1.25</v>
      </c>
      <c r="AK333">
        <v>1.25</v>
      </c>
      <c r="AL333">
        <v>1.25</v>
      </c>
      <c r="AM333">
        <v>1.25</v>
      </c>
      <c r="AN333">
        <v>1.25</v>
      </c>
      <c r="AO333">
        <v>1.25</v>
      </c>
      <c r="AP333">
        <v>1.25</v>
      </c>
      <c r="AQ333">
        <v>1.25</v>
      </c>
      <c r="AR333">
        <v>1.25</v>
      </c>
      <c r="AS333">
        <v>1.25</v>
      </c>
      <c r="AT333">
        <v>1.25</v>
      </c>
      <c r="AU333">
        <v>1.25</v>
      </c>
      <c r="AV333">
        <v>1.25</v>
      </c>
      <c r="AW333" t="s">
        <v>296</v>
      </c>
    </row>
    <row r="334" spans="1:49" ht="12.75">
      <c r="A334" t="s">
        <v>295</v>
      </c>
      <c r="B334" t="s">
        <v>291</v>
      </c>
      <c r="C334" t="s">
        <v>368</v>
      </c>
      <c r="D334" t="s">
        <v>432</v>
      </c>
      <c r="E334" t="s">
        <v>296</v>
      </c>
      <c r="F334" t="s">
        <v>83</v>
      </c>
      <c r="G334" t="s">
        <v>474</v>
      </c>
      <c r="H334" t="s">
        <v>296</v>
      </c>
      <c r="I334" t="s">
        <v>296</v>
      </c>
      <c r="J334" t="s">
        <v>296</v>
      </c>
      <c r="K334" t="s">
        <v>296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 t="s">
        <v>296</v>
      </c>
    </row>
    <row r="335" spans="1:49" ht="12.75">
      <c r="A335" t="s">
        <v>295</v>
      </c>
      <c r="B335" t="s">
        <v>291</v>
      </c>
      <c r="C335" t="s">
        <v>369</v>
      </c>
      <c r="D335" t="s">
        <v>44</v>
      </c>
      <c r="E335" t="s">
        <v>296</v>
      </c>
      <c r="F335" t="s">
        <v>83</v>
      </c>
      <c r="G335" t="s">
        <v>474</v>
      </c>
      <c r="H335" t="s">
        <v>296</v>
      </c>
      <c r="I335" t="s">
        <v>296</v>
      </c>
      <c r="J335" t="s">
        <v>296</v>
      </c>
      <c r="K335" t="s">
        <v>296</v>
      </c>
      <c r="L335">
        <v>1.25</v>
      </c>
      <c r="M335">
        <v>1.25</v>
      </c>
      <c r="N335">
        <v>1.25</v>
      </c>
      <c r="O335">
        <v>1.25</v>
      </c>
      <c r="P335">
        <v>1.25</v>
      </c>
      <c r="Q335">
        <v>1.25</v>
      </c>
      <c r="R335">
        <v>1.25</v>
      </c>
      <c r="S335">
        <v>1.25</v>
      </c>
      <c r="T335">
        <v>1.25</v>
      </c>
      <c r="U335">
        <v>1.25</v>
      </c>
      <c r="V335">
        <v>1.25</v>
      </c>
      <c r="W335">
        <v>1.25</v>
      </c>
      <c r="X335">
        <v>1.25</v>
      </c>
      <c r="Y335">
        <v>1.25</v>
      </c>
      <c r="Z335">
        <v>1.25</v>
      </c>
      <c r="AA335">
        <v>1.25</v>
      </c>
      <c r="AB335">
        <v>1.25</v>
      </c>
      <c r="AC335">
        <v>1.25</v>
      </c>
      <c r="AD335">
        <v>1.25</v>
      </c>
      <c r="AE335">
        <v>1.25</v>
      </c>
      <c r="AF335">
        <v>1.25</v>
      </c>
      <c r="AG335">
        <v>1.25</v>
      </c>
      <c r="AH335">
        <v>1.25</v>
      </c>
      <c r="AI335">
        <v>1.25</v>
      </c>
      <c r="AJ335">
        <v>1.25</v>
      </c>
      <c r="AK335">
        <v>1.25</v>
      </c>
      <c r="AL335">
        <v>1.25</v>
      </c>
      <c r="AM335">
        <v>1.25</v>
      </c>
      <c r="AN335">
        <v>1.25</v>
      </c>
      <c r="AO335">
        <v>1.25</v>
      </c>
      <c r="AP335">
        <v>1.25</v>
      </c>
      <c r="AQ335">
        <v>1.25</v>
      </c>
      <c r="AR335">
        <v>1.25</v>
      </c>
      <c r="AS335">
        <v>1.25</v>
      </c>
      <c r="AT335">
        <v>1.25</v>
      </c>
      <c r="AU335">
        <v>1.25</v>
      </c>
      <c r="AV335">
        <v>1.25</v>
      </c>
      <c r="AW335" t="s">
        <v>296</v>
      </c>
    </row>
    <row r="336" spans="1:49" ht="12.75">
      <c r="A336" t="s">
        <v>295</v>
      </c>
      <c r="B336" t="s">
        <v>291</v>
      </c>
      <c r="C336" t="s">
        <v>369</v>
      </c>
      <c r="D336" t="s">
        <v>432</v>
      </c>
      <c r="E336" t="s">
        <v>296</v>
      </c>
      <c r="F336" t="s">
        <v>83</v>
      </c>
      <c r="G336" t="s">
        <v>474</v>
      </c>
      <c r="H336" t="s">
        <v>296</v>
      </c>
      <c r="I336" t="s">
        <v>296</v>
      </c>
      <c r="J336" t="s">
        <v>296</v>
      </c>
      <c r="K336" t="s">
        <v>296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 t="s">
        <v>296</v>
      </c>
    </row>
    <row r="337" spans="1:49" ht="12.75">
      <c r="A337" t="s">
        <v>295</v>
      </c>
      <c r="B337" t="s">
        <v>291</v>
      </c>
      <c r="C337" t="s">
        <v>370</v>
      </c>
      <c r="D337" t="s">
        <v>155</v>
      </c>
      <c r="E337" t="s">
        <v>296</v>
      </c>
      <c r="F337" t="s">
        <v>83</v>
      </c>
      <c r="G337" t="s">
        <v>474</v>
      </c>
      <c r="H337" t="s">
        <v>296</v>
      </c>
      <c r="I337" t="s">
        <v>296</v>
      </c>
      <c r="J337" t="s">
        <v>296</v>
      </c>
      <c r="K337" t="s">
        <v>296</v>
      </c>
      <c r="L337">
        <v>1.25</v>
      </c>
      <c r="M337">
        <v>1.25</v>
      </c>
      <c r="N337">
        <v>1.25</v>
      </c>
      <c r="O337">
        <v>1.25</v>
      </c>
      <c r="P337">
        <v>1.25</v>
      </c>
      <c r="Q337">
        <v>1.25</v>
      </c>
      <c r="R337">
        <v>1.25</v>
      </c>
      <c r="S337">
        <v>1.25</v>
      </c>
      <c r="T337">
        <v>1.25</v>
      </c>
      <c r="U337">
        <v>1.25</v>
      </c>
      <c r="V337">
        <v>1.25</v>
      </c>
      <c r="W337">
        <v>1.25</v>
      </c>
      <c r="X337">
        <v>1.25</v>
      </c>
      <c r="Y337">
        <v>1.25</v>
      </c>
      <c r="Z337">
        <v>1.25</v>
      </c>
      <c r="AA337">
        <v>1.25</v>
      </c>
      <c r="AB337">
        <v>1.25</v>
      </c>
      <c r="AC337">
        <v>1.25</v>
      </c>
      <c r="AD337">
        <v>1.25</v>
      </c>
      <c r="AE337">
        <v>1.25</v>
      </c>
      <c r="AF337">
        <v>1.25</v>
      </c>
      <c r="AG337">
        <v>1.25</v>
      </c>
      <c r="AH337">
        <v>1.25</v>
      </c>
      <c r="AI337">
        <v>1.25</v>
      </c>
      <c r="AJ337">
        <v>1.25</v>
      </c>
      <c r="AK337">
        <v>1.25</v>
      </c>
      <c r="AL337">
        <v>1.25</v>
      </c>
      <c r="AM337">
        <v>1.25</v>
      </c>
      <c r="AN337">
        <v>1.25</v>
      </c>
      <c r="AO337">
        <v>1.25</v>
      </c>
      <c r="AP337">
        <v>1.25</v>
      </c>
      <c r="AQ337">
        <v>1.25</v>
      </c>
      <c r="AR337">
        <v>1.25</v>
      </c>
      <c r="AS337">
        <v>1.25</v>
      </c>
      <c r="AT337">
        <v>1.25</v>
      </c>
      <c r="AU337">
        <v>1.25</v>
      </c>
      <c r="AV337">
        <v>1.25</v>
      </c>
      <c r="AW337" t="s">
        <v>296</v>
      </c>
    </row>
    <row r="338" spans="1:49" ht="12.75">
      <c r="A338" t="s">
        <v>295</v>
      </c>
      <c r="B338" t="s">
        <v>291</v>
      </c>
      <c r="C338" t="s">
        <v>370</v>
      </c>
      <c r="D338" t="s">
        <v>433</v>
      </c>
      <c r="E338" t="s">
        <v>296</v>
      </c>
      <c r="F338" t="s">
        <v>83</v>
      </c>
      <c r="G338" t="s">
        <v>474</v>
      </c>
      <c r="H338" t="s">
        <v>296</v>
      </c>
      <c r="I338" t="s">
        <v>296</v>
      </c>
      <c r="J338" t="s">
        <v>296</v>
      </c>
      <c r="K338" t="s">
        <v>296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 t="s">
        <v>296</v>
      </c>
    </row>
    <row r="339" spans="1:49" ht="12.75">
      <c r="A339" t="s">
        <v>295</v>
      </c>
      <c r="B339" t="s">
        <v>291</v>
      </c>
      <c r="C339" t="s">
        <v>371</v>
      </c>
      <c r="D339" t="s">
        <v>49</v>
      </c>
      <c r="E339" t="s">
        <v>296</v>
      </c>
      <c r="F339" t="s">
        <v>83</v>
      </c>
      <c r="G339" t="s">
        <v>474</v>
      </c>
      <c r="H339" t="s">
        <v>296</v>
      </c>
      <c r="I339" t="s">
        <v>296</v>
      </c>
      <c r="J339" t="s">
        <v>296</v>
      </c>
      <c r="K339" t="s">
        <v>296</v>
      </c>
      <c r="L339">
        <v>1.25</v>
      </c>
      <c r="M339">
        <v>1.25</v>
      </c>
      <c r="N339">
        <v>1.25</v>
      </c>
      <c r="O339">
        <v>1.25</v>
      </c>
      <c r="P339">
        <v>1.25</v>
      </c>
      <c r="Q339">
        <v>1.25</v>
      </c>
      <c r="R339">
        <v>1.25</v>
      </c>
      <c r="S339">
        <v>1.25</v>
      </c>
      <c r="T339">
        <v>1.25</v>
      </c>
      <c r="U339">
        <v>1.25</v>
      </c>
      <c r="V339">
        <v>1.25</v>
      </c>
      <c r="W339">
        <v>1.25</v>
      </c>
      <c r="X339">
        <v>1.25</v>
      </c>
      <c r="Y339">
        <v>1.25</v>
      </c>
      <c r="Z339">
        <v>1.25</v>
      </c>
      <c r="AA339">
        <v>1.25</v>
      </c>
      <c r="AB339">
        <v>1.25</v>
      </c>
      <c r="AC339">
        <v>1.25</v>
      </c>
      <c r="AD339">
        <v>1.25</v>
      </c>
      <c r="AE339">
        <v>1.25</v>
      </c>
      <c r="AF339">
        <v>1.25</v>
      </c>
      <c r="AG339">
        <v>1.25</v>
      </c>
      <c r="AH339">
        <v>1.25</v>
      </c>
      <c r="AI339">
        <v>1.25</v>
      </c>
      <c r="AJ339">
        <v>1.25</v>
      </c>
      <c r="AK339">
        <v>1.25</v>
      </c>
      <c r="AL339">
        <v>1.25</v>
      </c>
      <c r="AM339">
        <v>1.25</v>
      </c>
      <c r="AN339">
        <v>1.25</v>
      </c>
      <c r="AO339">
        <v>1.25</v>
      </c>
      <c r="AP339">
        <v>1.25</v>
      </c>
      <c r="AQ339">
        <v>1.25</v>
      </c>
      <c r="AR339">
        <v>1.25</v>
      </c>
      <c r="AS339">
        <v>1.25</v>
      </c>
      <c r="AT339">
        <v>1.25</v>
      </c>
      <c r="AU339">
        <v>1.25</v>
      </c>
      <c r="AV339">
        <v>1.25</v>
      </c>
      <c r="AW339" t="s">
        <v>296</v>
      </c>
    </row>
    <row r="340" spans="1:49" ht="12.75">
      <c r="A340" t="s">
        <v>295</v>
      </c>
      <c r="B340" t="s">
        <v>291</v>
      </c>
      <c r="C340" t="s">
        <v>371</v>
      </c>
      <c r="D340" t="s">
        <v>433</v>
      </c>
      <c r="E340" t="s">
        <v>296</v>
      </c>
      <c r="F340" t="s">
        <v>83</v>
      </c>
      <c r="G340" t="s">
        <v>474</v>
      </c>
      <c r="H340" t="s">
        <v>296</v>
      </c>
      <c r="I340" t="s">
        <v>296</v>
      </c>
      <c r="J340" t="s">
        <v>296</v>
      </c>
      <c r="K340" t="s">
        <v>296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 t="s">
        <v>296</v>
      </c>
    </row>
    <row r="341" spans="1:49" ht="12.75">
      <c r="A341" t="s">
        <v>295</v>
      </c>
      <c r="B341" t="s">
        <v>291</v>
      </c>
      <c r="C341" t="s">
        <v>372</v>
      </c>
      <c r="D341" t="s">
        <v>51</v>
      </c>
      <c r="E341" t="s">
        <v>296</v>
      </c>
      <c r="F341" t="s">
        <v>83</v>
      </c>
      <c r="G341" t="s">
        <v>474</v>
      </c>
      <c r="H341" t="s">
        <v>296</v>
      </c>
      <c r="I341" t="s">
        <v>296</v>
      </c>
      <c r="J341" t="s">
        <v>296</v>
      </c>
      <c r="K341" t="s">
        <v>296</v>
      </c>
      <c r="L341">
        <v>1.25</v>
      </c>
      <c r="M341">
        <v>1.25</v>
      </c>
      <c r="N341">
        <v>1.25</v>
      </c>
      <c r="O341">
        <v>1.25</v>
      </c>
      <c r="P341">
        <v>1.25</v>
      </c>
      <c r="Q341">
        <v>1.25</v>
      </c>
      <c r="R341">
        <v>1.25</v>
      </c>
      <c r="S341">
        <v>1.25</v>
      </c>
      <c r="T341">
        <v>1.25</v>
      </c>
      <c r="U341">
        <v>1.25</v>
      </c>
      <c r="V341">
        <v>1.25</v>
      </c>
      <c r="W341">
        <v>1.25</v>
      </c>
      <c r="X341">
        <v>1.25</v>
      </c>
      <c r="Y341">
        <v>1.25</v>
      </c>
      <c r="Z341">
        <v>1.25</v>
      </c>
      <c r="AA341">
        <v>1.25</v>
      </c>
      <c r="AB341">
        <v>1.25</v>
      </c>
      <c r="AC341">
        <v>1.25</v>
      </c>
      <c r="AD341">
        <v>1.25</v>
      </c>
      <c r="AE341">
        <v>1.25</v>
      </c>
      <c r="AF341">
        <v>1.25</v>
      </c>
      <c r="AG341">
        <v>1.25</v>
      </c>
      <c r="AH341">
        <v>1.25</v>
      </c>
      <c r="AI341">
        <v>1.25</v>
      </c>
      <c r="AJ341">
        <v>1.25</v>
      </c>
      <c r="AK341">
        <v>1.25</v>
      </c>
      <c r="AL341">
        <v>1.25</v>
      </c>
      <c r="AM341">
        <v>1.25</v>
      </c>
      <c r="AN341">
        <v>1.25</v>
      </c>
      <c r="AO341">
        <v>1.25</v>
      </c>
      <c r="AP341">
        <v>1.25</v>
      </c>
      <c r="AQ341">
        <v>1.25</v>
      </c>
      <c r="AR341">
        <v>1.25</v>
      </c>
      <c r="AS341">
        <v>1.25</v>
      </c>
      <c r="AT341">
        <v>1.25</v>
      </c>
      <c r="AU341">
        <v>1.25</v>
      </c>
      <c r="AV341">
        <v>1.25</v>
      </c>
      <c r="AW341" t="s">
        <v>296</v>
      </c>
    </row>
    <row r="342" spans="1:49" ht="12.75">
      <c r="A342" t="s">
        <v>295</v>
      </c>
      <c r="B342" t="s">
        <v>291</v>
      </c>
      <c r="C342" t="s">
        <v>372</v>
      </c>
      <c r="D342" t="s">
        <v>433</v>
      </c>
      <c r="E342" t="s">
        <v>296</v>
      </c>
      <c r="F342" t="s">
        <v>83</v>
      </c>
      <c r="G342" t="s">
        <v>474</v>
      </c>
      <c r="H342" t="s">
        <v>296</v>
      </c>
      <c r="I342" t="s">
        <v>296</v>
      </c>
      <c r="J342" t="s">
        <v>296</v>
      </c>
      <c r="K342" t="s">
        <v>296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 t="s">
        <v>296</v>
      </c>
    </row>
    <row r="343" spans="1:49" ht="12.75">
      <c r="A343" t="s">
        <v>295</v>
      </c>
      <c r="B343" t="s">
        <v>291</v>
      </c>
      <c r="C343" t="s">
        <v>373</v>
      </c>
      <c r="D343" t="s">
        <v>37</v>
      </c>
      <c r="E343" t="s">
        <v>296</v>
      </c>
      <c r="F343" t="s">
        <v>83</v>
      </c>
      <c r="G343" t="s">
        <v>474</v>
      </c>
      <c r="H343" t="s">
        <v>296</v>
      </c>
      <c r="I343" t="s">
        <v>296</v>
      </c>
      <c r="J343" t="s">
        <v>296</v>
      </c>
      <c r="K343" t="s">
        <v>296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 t="s">
        <v>296</v>
      </c>
    </row>
    <row r="344" spans="1:49" ht="12.75">
      <c r="A344" t="s">
        <v>295</v>
      </c>
      <c r="B344" t="s">
        <v>291</v>
      </c>
      <c r="C344" t="s">
        <v>373</v>
      </c>
      <c r="D344" t="s">
        <v>433</v>
      </c>
      <c r="E344" t="s">
        <v>296</v>
      </c>
      <c r="F344" t="s">
        <v>83</v>
      </c>
      <c r="G344" t="s">
        <v>474</v>
      </c>
      <c r="H344" t="s">
        <v>296</v>
      </c>
      <c r="I344" t="s">
        <v>296</v>
      </c>
      <c r="J344" t="s">
        <v>296</v>
      </c>
      <c r="K344" t="s">
        <v>296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 t="s">
        <v>296</v>
      </c>
    </row>
    <row r="345" spans="1:49" ht="12.75">
      <c r="A345" t="s">
        <v>295</v>
      </c>
      <c r="B345" t="s">
        <v>291</v>
      </c>
      <c r="C345" t="s">
        <v>374</v>
      </c>
      <c r="D345" t="s">
        <v>38</v>
      </c>
      <c r="E345" t="s">
        <v>296</v>
      </c>
      <c r="F345" t="s">
        <v>83</v>
      </c>
      <c r="G345" t="s">
        <v>474</v>
      </c>
      <c r="H345" t="s">
        <v>296</v>
      </c>
      <c r="I345" t="s">
        <v>296</v>
      </c>
      <c r="J345" t="s">
        <v>296</v>
      </c>
      <c r="K345" t="s">
        <v>296</v>
      </c>
      <c r="L345">
        <v>1.25</v>
      </c>
      <c r="M345">
        <v>1.25</v>
      </c>
      <c r="N345">
        <v>1.25</v>
      </c>
      <c r="O345">
        <v>1.25</v>
      </c>
      <c r="P345">
        <v>1.25</v>
      </c>
      <c r="Q345">
        <v>1.25</v>
      </c>
      <c r="R345">
        <v>1.25</v>
      </c>
      <c r="S345">
        <v>1.25</v>
      </c>
      <c r="T345">
        <v>1.25</v>
      </c>
      <c r="U345">
        <v>1.25</v>
      </c>
      <c r="V345">
        <v>1.25</v>
      </c>
      <c r="W345">
        <v>1.25</v>
      </c>
      <c r="X345">
        <v>1.25</v>
      </c>
      <c r="Y345">
        <v>1.25</v>
      </c>
      <c r="Z345">
        <v>1.25</v>
      </c>
      <c r="AA345">
        <v>1.25</v>
      </c>
      <c r="AB345">
        <v>1.25</v>
      </c>
      <c r="AC345">
        <v>1.25</v>
      </c>
      <c r="AD345">
        <v>1.25</v>
      </c>
      <c r="AE345">
        <v>1.25</v>
      </c>
      <c r="AF345">
        <v>1.25</v>
      </c>
      <c r="AG345">
        <v>1.25</v>
      </c>
      <c r="AH345">
        <v>1.25</v>
      </c>
      <c r="AI345">
        <v>1.25</v>
      </c>
      <c r="AJ345">
        <v>1.25</v>
      </c>
      <c r="AK345">
        <v>1.25</v>
      </c>
      <c r="AL345">
        <v>1.25</v>
      </c>
      <c r="AM345">
        <v>1.25</v>
      </c>
      <c r="AN345">
        <v>1.25</v>
      </c>
      <c r="AO345">
        <v>1.25</v>
      </c>
      <c r="AP345">
        <v>1.25</v>
      </c>
      <c r="AQ345">
        <v>1.25</v>
      </c>
      <c r="AR345">
        <v>1.25</v>
      </c>
      <c r="AS345">
        <v>1.25</v>
      </c>
      <c r="AT345">
        <v>1.25</v>
      </c>
      <c r="AU345">
        <v>1.25</v>
      </c>
      <c r="AV345">
        <v>1.25</v>
      </c>
      <c r="AW345" t="s">
        <v>296</v>
      </c>
    </row>
    <row r="346" spans="1:49" ht="12.75">
      <c r="A346" t="s">
        <v>295</v>
      </c>
      <c r="B346" t="s">
        <v>291</v>
      </c>
      <c r="C346" t="s">
        <v>374</v>
      </c>
      <c r="D346" t="s">
        <v>433</v>
      </c>
      <c r="E346" t="s">
        <v>296</v>
      </c>
      <c r="F346" t="s">
        <v>83</v>
      </c>
      <c r="G346" t="s">
        <v>474</v>
      </c>
      <c r="H346" t="s">
        <v>296</v>
      </c>
      <c r="I346" t="s">
        <v>296</v>
      </c>
      <c r="J346" t="s">
        <v>296</v>
      </c>
      <c r="K346" t="s">
        <v>296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 t="s">
        <v>296</v>
      </c>
    </row>
    <row r="347" spans="1:49" ht="12.75">
      <c r="A347" t="s">
        <v>295</v>
      </c>
      <c r="B347" t="s">
        <v>291</v>
      </c>
      <c r="C347" t="s">
        <v>375</v>
      </c>
      <c r="D347" t="s">
        <v>43</v>
      </c>
      <c r="E347" t="s">
        <v>296</v>
      </c>
      <c r="F347" t="s">
        <v>83</v>
      </c>
      <c r="G347" t="s">
        <v>474</v>
      </c>
      <c r="H347" t="s">
        <v>296</v>
      </c>
      <c r="I347" t="s">
        <v>296</v>
      </c>
      <c r="J347" t="s">
        <v>296</v>
      </c>
      <c r="K347" t="s">
        <v>296</v>
      </c>
      <c r="L347">
        <v>1.25</v>
      </c>
      <c r="M347">
        <v>1.25</v>
      </c>
      <c r="N347">
        <v>1.25</v>
      </c>
      <c r="O347">
        <v>1.25</v>
      </c>
      <c r="P347">
        <v>1.25</v>
      </c>
      <c r="Q347">
        <v>1.25</v>
      </c>
      <c r="R347">
        <v>1.25</v>
      </c>
      <c r="S347">
        <v>1.25</v>
      </c>
      <c r="T347">
        <v>1.25</v>
      </c>
      <c r="U347">
        <v>1.25</v>
      </c>
      <c r="V347">
        <v>1.25</v>
      </c>
      <c r="W347">
        <v>1.25</v>
      </c>
      <c r="X347">
        <v>1.25</v>
      </c>
      <c r="Y347">
        <v>1.25</v>
      </c>
      <c r="Z347">
        <v>1.25</v>
      </c>
      <c r="AA347">
        <v>1.25</v>
      </c>
      <c r="AB347">
        <v>1.25</v>
      </c>
      <c r="AC347">
        <v>1.25</v>
      </c>
      <c r="AD347">
        <v>1.25</v>
      </c>
      <c r="AE347">
        <v>1.25</v>
      </c>
      <c r="AF347">
        <v>1.25</v>
      </c>
      <c r="AG347">
        <v>1.25</v>
      </c>
      <c r="AH347">
        <v>1.25</v>
      </c>
      <c r="AI347">
        <v>1.25</v>
      </c>
      <c r="AJ347">
        <v>1.25</v>
      </c>
      <c r="AK347">
        <v>1.25</v>
      </c>
      <c r="AL347">
        <v>1.25</v>
      </c>
      <c r="AM347">
        <v>1.25</v>
      </c>
      <c r="AN347">
        <v>1.25</v>
      </c>
      <c r="AO347">
        <v>1.25</v>
      </c>
      <c r="AP347">
        <v>1.25</v>
      </c>
      <c r="AQ347">
        <v>1.25</v>
      </c>
      <c r="AR347">
        <v>1.25</v>
      </c>
      <c r="AS347">
        <v>1.25</v>
      </c>
      <c r="AT347">
        <v>1.25</v>
      </c>
      <c r="AU347">
        <v>1.25</v>
      </c>
      <c r="AV347">
        <v>1.25</v>
      </c>
      <c r="AW347" t="s">
        <v>296</v>
      </c>
    </row>
    <row r="348" spans="1:49" ht="12.75">
      <c r="A348" t="s">
        <v>295</v>
      </c>
      <c r="B348" t="s">
        <v>291</v>
      </c>
      <c r="C348" t="s">
        <v>375</v>
      </c>
      <c r="D348" t="s">
        <v>433</v>
      </c>
      <c r="E348" t="s">
        <v>296</v>
      </c>
      <c r="F348" t="s">
        <v>83</v>
      </c>
      <c r="G348" t="s">
        <v>474</v>
      </c>
      <c r="H348" t="s">
        <v>296</v>
      </c>
      <c r="I348" t="s">
        <v>296</v>
      </c>
      <c r="J348" t="s">
        <v>296</v>
      </c>
      <c r="K348" t="s">
        <v>296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 t="s">
        <v>296</v>
      </c>
    </row>
    <row r="349" spans="1:49" ht="12.75">
      <c r="A349" t="s">
        <v>295</v>
      </c>
      <c r="B349" t="s">
        <v>291</v>
      </c>
      <c r="C349" t="s">
        <v>376</v>
      </c>
      <c r="D349" t="s">
        <v>114</v>
      </c>
      <c r="E349" t="s">
        <v>296</v>
      </c>
      <c r="F349" t="s">
        <v>83</v>
      </c>
      <c r="G349" t="s">
        <v>474</v>
      </c>
      <c r="H349" t="s">
        <v>296</v>
      </c>
      <c r="I349" t="s">
        <v>296</v>
      </c>
      <c r="J349" t="s">
        <v>296</v>
      </c>
      <c r="K349" t="s">
        <v>296</v>
      </c>
      <c r="L349">
        <v>1.25</v>
      </c>
      <c r="M349">
        <v>1.25</v>
      </c>
      <c r="N349">
        <v>1.25</v>
      </c>
      <c r="O349">
        <v>1.25</v>
      </c>
      <c r="P349">
        <v>1.25</v>
      </c>
      <c r="Q349">
        <v>1.25</v>
      </c>
      <c r="R349">
        <v>1.25</v>
      </c>
      <c r="S349">
        <v>1.25</v>
      </c>
      <c r="T349">
        <v>1.25</v>
      </c>
      <c r="U349">
        <v>1.25</v>
      </c>
      <c r="V349">
        <v>1.25</v>
      </c>
      <c r="W349">
        <v>1.25</v>
      </c>
      <c r="X349">
        <v>1.25</v>
      </c>
      <c r="Y349">
        <v>1.25</v>
      </c>
      <c r="Z349">
        <v>1.25</v>
      </c>
      <c r="AA349">
        <v>1.25</v>
      </c>
      <c r="AB349">
        <v>1.25</v>
      </c>
      <c r="AC349">
        <v>1.25</v>
      </c>
      <c r="AD349">
        <v>1.25</v>
      </c>
      <c r="AE349">
        <v>1.25</v>
      </c>
      <c r="AF349">
        <v>1.25</v>
      </c>
      <c r="AG349">
        <v>1.25</v>
      </c>
      <c r="AH349">
        <v>1.25</v>
      </c>
      <c r="AI349">
        <v>1.25</v>
      </c>
      <c r="AJ349">
        <v>1.25</v>
      </c>
      <c r="AK349">
        <v>1.25</v>
      </c>
      <c r="AL349">
        <v>1.25</v>
      </c>
      <c r="AM349">
        <v>1.25</v>
      </c>
      <c r="AN349">
        <v>1.25</v>
      </c>
      <c r="AO349">
        <v>1.25</v>
      </c>
      <c r="AP349">
        <v>1.25</v>
      </c>
      <c r="AQ349">
        <v>1.25</v>
      </c>
      <c r="AR349">
        <v>1.25</v>
      </c>
      <c r="AS349">
        <v>1.25</v>
      </c>
      <c r="AT349">
        <v>1.25</v>
      </c>
      <c r="AU349">
        <v>1.25</v>
      </c>
      <c r="AV349">
        <v>1.25</v>
      </c>
      <c r="AW349" t="s">
        <v>296</v>
      </c>
    </row>
    <row r="350" spans="1:49" ht="12.75">
      <c r="A350" t="s">
        <v>295</v>
      </c>
      <c r="B350" t="s">
        <v>291</v>
      </c>
      <c r="C350" t="s">
        <v>376</v>
      </c>
      <c r="D350" t="s">
        <v>433</v>
      </c>
      <c r="E350" t="s">
        <v>296</v>
      </c>
      <c r="F350" t="s">
        <v>83</v>
      </c>
      <c r="G350" t="s">
        <v>474</v>
      </c>
      <c r="H350" t="s">
        <v>296</v>
      </c>
      <c r="I350" t="s">
        <v>296</v>
      </c>
      <c r="J350" t="s">
        <v>296</v>
      </c>
      <c r="K350" t="s">
        <v>296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 t="s">
        <v>296</v>
      </c>
    </row>
    <row r="351" spans="1:49" ht="12.75">
      <c r="A351" t="s">
        <v>295</v>
      </c>
      <c r="B351" t="s">
        <v>291</v>
      </c>
      <c r="C351" t="s">
        <v>377</v>
      </c>
      <c r="D351" t="s">
        <v>39</v>
      </c>
      <c r="E351" t="s">
        <v>296</v>
      </c>
      <c r="F351" t="s">
        <v>83</v>
      </c>
      <c r="G351" t="s">
        <v>474</v>
      </c>
      <c r="H351" t="s">
        <v>296</v>
      </c>
      <c r="I351" t="s">
        <v>296</v>
      </c>
      <c r="J351" t="s">
        <v>296</v>
      </c>
      <c r="K351" t="s">
        <v>296</v>
      </c>
      <c r="L351">
        <v>1.25</v>
      </c>
      <c r="M351">
        <v>1.25</v>
      </c>
      <c r="N351">
        <v>1.25</v>
      </c>
      <c r="O351">
        <v>1.25</v>
      </c>
      <c r="P351">
        <v>1.25</v>
      </c>
      <c r="Q351">
        <v>1.25</v>
      </c>
      <c r="R351">
        <v>1.25</v>
      </c>
      <c r="S351">
        <v>1.25</v>
      </c>
      <c r="T351">
        <v>1.25</v>
      </c>
      <c r="U351">
        <v>1.25</v>
      </c>
      <c r="V351">
        <v>1.25</v>
      </c>
      <c r="W351">
        <v>1.25</v>
      </c>
      <c r="X351">
        <v>1.25</v>
      </c>
      <c r="Y351">
        <v>1.25</v>
      </c>
      <c r="Z351">
        <v>1.25</v>
      </c>
      <c r="AA351">
        <v>1.25</v>
      </c>
      <c r="AB351">
        <v>1.25</v>
      </c>
      <c r="AC351">
        <v>1.25</v>
      </c>
      <c r="AD351">
        <v>1.25</v>
      </c>
      <c r="AE351">
        <v>1.25</v>
      </c>
      <c r="AF351">
        <v>1.25</v>
      </c>
      <c r="AG351">
        <v>1.25</v>
      </c>
      <c r="AH351">
        <v>1.25</v>
      </c>
      <c r="AI351">
        <v>1.25</v>
      </c>
      <c r="AJ351">
        <v>1.25</v>
      </c>
      <c r="AK351">
        <v>1.25</v>
      </c>
      <c r="AL351">
        <v>1.25</v>
      </c>
      <c r="AM351">
        <v>1.25</v>
      </c>
      <c r="AN351">
        <v>1.25</v>
      </c>
      <c r="AO351">
        <v>1.25</v>
      </c>
      <c r="AP351">
        <v>1.25</v>
      </c>
      <c r="AQ351">
        <v>1.25</v>
      </c>
      <c r="AR351">
        <v>1.25</v>
      </c>
      <c r="AS351">
        <v>1.25</v>
      </c>
      <c r="AT351">
        <v>1.25</v>
      </c>
      <c r="AU351">
        <v>1.25</v>
      </c>
      <c r="AV351">
        <v>1.25</v>
      </c>
      <c r="AW351" t="s">
        <v>296</v>
      </c>
    </row>
    <row r="352" spans="1:49" ht="12.75">
      <c r="A352" t="s">
        <v>295</v>
      </c>
      <c r="B352" t="s">
        <v>291</v>
      </c>
      <c r="C352" t="s">
        <v>377</v>
      </c>
      <c r="D352" t="s">
        <v>433</v>
      </c>
      <c r="E352" t="s">
        <v>296</v>
      </c>
      <c r="F352" t="s">
        <v>83</v>
      </c>
      <c r="G352" t="s">
        <v>474</v>
      </c>
      <c r="H352" t="s">
        <v>296</v>
      </c>
      <c r="I352" t="s">
        <v>296</v>
      </c>
      <c r="J352" t="s">
        <v>296</v>
      </c>
      <c r="K352" t="s">
        <v>296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 t="s">
        <v>296</v>
      </c>
    </row>
    <row r="353" spans="1:49" ht="12.75">
      <c r="A353" t="s">
        <v>295</v>
      </c>
      <c r="B353" t="s">
        <v>291</v>
      </c>
      <c r="C353" t="s">
        <v>378</v>
      </c>
      <c r="D353" t="s">
        <v>44</v>
      </c>
      <c r="E353" t="s">
        <v>296</v>
      </c>
      <c r="F353" t="s">
        <v>83</v>
      </c>
      <c r="G353" t="s">
        <v>474</v>
      </c>
      <c r="H353" t="s">
        <v>296</v>
      </c>
      <c r="I353" t="s">
        <v>296</v>
      </c>
      <c r="J353" t="s">
        <v>296</v>
      </c>
      <c r="K353" t="s">
        <v>296</v>
      </c>
      <c r="L353">
        <v>1.25</v>
      </c>
      <c r="M353">
        <v>1.25</v>
      </c>
      <c r="N353">
        <v>1.25</v>
      </c>
      <c r="O353">
        <v>1.25</v>
      </c>
      <c r="P353">
        <v>1.25</v>
      </c>
      <c r="Q353">
        <v>1.25</v>
      </c>
      <c r="R353">
        <v>1.25</v>
      </c>
      <c r="S353">
        <v>1.25</v>
      </c>
      <c r="T353">
        <v>1.25</v>
      </c>
      <c r="U353">
        <v>1.25</v>
      </c>
      <c r="V353">
        <v>1.25</v>
      </c>
      <c r="W353">
        <v>1.25</v>
      </c>
      <c r="X353">
        <v>1.25</v>
      </c>
      <c r="Y353">
        <v>1.25</v>
      </c>
      <c r="Z353">
        <v>1.25</v>
      </c>
      <c r="AA353">
        <v>1.25</v>
      </c>
      <c r="AB353">
        <v>1.25</v>
      </c>
      <c r="AC353">
        <v>1.25</v>
      </c>
      <c r="AD353">
        <v>1.25</v>
      </c>
      <c r="AE353">
        <v>1.25</v>
      </c>
      <c r="AF353">
        <v>1.25</v>
      </c>
      <c r="AG353">
        <v>1.25</v>
      </c>
      <c r="AH353">
        <v>1.25</v>
      </c>
      <c r="AI353">
        <v>1.25</v>
      </c>
      <c r="AJ353">
        <v>1.25</v>
      </c>
      <c r="AK353">
        <v>1.25</v>
      </c>
      <c r="AL353">
        <v>1.25</v>
      </c>
      <c r="AM353">
        <v>1.25</v>
      </c>
      <c r="AN353">
        <v>1.25</v>
      </c>
      <c r="AO353">
        <v>1.25</v>
      </c>
      <c r="AP353">
        <v>1.25</v>
      </c>
      <c r="AQ353">
        <v>1.25</v>
      </c>
      <c r="AR353">
        <v>1.25</v>
      </c>
      <c r="AS353">
        <v>1.25</v>
      </c>
      <c r="AT353">
        <v>1.25</v>
      </c>
      <c r="AU353">
        <v>1.25</v>
      </c>
      <c r="AV353">
        <v>1.25</v>
      </c>
      <c r="AW353" t="s">
        <v>296</v>
      </c>
    </row>
    <row r="354" spans="1:49" ht="12.75">
      <c r="A354" t="s">
        <v>295</v>
      </c>
      <c r="B354" t="s">
        <v>291</v>
      </c>
      <c r="C354" t="s">
        <v>378</v>
      </c>
      <c r="D354" t="s">
        <v>433</v>
      </c>
      <c r="E354" t="s">
        <v>296</v>
      </c>
      <c r="F354" t="s">
        <v>83</v>
      </c>
      <c r="G354" t="s">
        <v>474</v>
      </c>
      <c r="H354" t="s">
        <v>296</v>
      </c>
      <c r="I354" t="s">
        <v>296</v>
      </c>
      <c r="J354" t="s">
        <v>296</v>
      </c>
      <c r="K354" t="s">
        <v>296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 t="s">
        <v>296</v>
      </c>
    </row>
    <row r="355" spans="1:49" ht="12.75">
      <c r="A355" t="s">
        <v>295</v>
      </c>
      <c r="B355" t="s">
        <v>291</v>
      </c>
      <c r="C355" t="s">
        <v>379</v>
      </c>
      <c r="D355" t="s">
        <v>37</v>
      </c>
      <c r="E355" t="s">
        <v>296</v>
      </c>
      <c r="F355" t="s">
        <v>83</v>
      </c>
      <c r="G355" t="s">
        <v>474</v>
      </c>
      <c r="H355" t="s">
        <v>296</v>
      </c>
      <c r="I355" t="s">
        <v>296</v>
      </c>
      <c r="J355" t="s">
        <v>296</v>
      </c>
      <c r="K355" t="s">
        <v>296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 t="s">
        <v>296</v>
      </c>
    </row>
    <row r="356" spans="1:49" ht="12.75">
      <c r="A356" t="s">
        <v>295</v>
      </c>
      <c r="B356" t="s">
        <v>291</v>
      </c>
      <c r="C356" t="s">
        <v>379</v>
      </c>
      <c r="D356" t="s">
        <v>418</v>
      </c>
      <c r="E356" t="s">
        <v>296</v>
      </c>
      <c r="F356" t="s">
        <v>83</v>
      </c>
      <c r="G356" t="s">
        <v>474</v>
      </c>
      <c r="H356" t="s">
        <v>296</v>
      </c>
      <c r="I356" t="s">
        <v>296</v>
      </c>
      <c r="J356" t="s">
        <v>296</v>
      </c>
      <c r="K356" t="s">
        <v>296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 t="s">
        <v>296</v>
      </c>
    </row>
    <row r="357" spans="1:49" ht="12.75">
      <c r="A357" t="s">
        <v>295</v>
      </c>
      <c r="B357" t="s">
        <v>291</v>
      </c>
      <c r="C357" t="s">
        <v>380</v>
      </c>
      <c r="D357" t="s">
        <v>155</v>
      </c>
      <c r="E357" t="s">
        <v>296</v>
      </c>
      <c r="F357" t="s">
        <v>83</v>
      </c>
      <c r="G357" t="s">
        <v>474</v>
      </c>
      <c r="H357" t="s">
        <v>296</v>
      </c>
      <c r="I357" t="s">
        <v>296</v>
      </c>
      <c r="J357" t="s">
        <v>296</v>
      </c>
      <c r="K357" t="s">
        <v>296</v>
      </c>
      <c r="L357">
        <v>2</v>
      </c>
      <c r="M357">
        <v>2</v>
      </c>
      <c r="N357">
        <v>2</v>
      </c>
      <c r="O357">
        <v>2.8700000000000001</v>
      </c>
      <c r="P357">
        <v>2</v>
      </c>
      <c r="Q357">
        <v>2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2</v>
      </c>
      <c r="AC357">
        <v>2</v>
      </c>
      <c r="AD357">
        <v>2</v>
      </c>
      <c r="AE357">
        <v>2</v>
      </c>
      <c r="AF357">
        <v>2</v>
      </c>
      <c r="AG357">
        <v>2</v>
      </c>
      <c r="AH357">
        <v>2</v>
      </c>
      <c r="AI357">
        <v>2</v>
      </c>
      <c r="AJ357">
        <v>2</v>
      </c>
      <c r="AK357">
        <v>2</v>
      </c>
      <c r="AL357">
        <v>2</v>
      </c>
      <c r="AM357">
        <v>2</v>
      </c>
      <c r="AN357">
        <v>2</v>
      </c>
      <c r="AO357">
        <v>2</v>
      </c>
      <c r="AP357">
        <v>2</v>
      </c>
      <c r="AQ357">
        <v>2</v>
      </c>
      <c r="AR357">
        <v>2</v>
      </c>
      <c r="AS357">
        <v>2</v>
      </c>
      <c r="AT357">
        <v>2</v>
      </c>
      <c r="AU357">
        <v>2</v>
      </c>
      <c r="AV357">
        <v>2</v>
      </c>
      <c r="AW357" t="s">
        <v>296</v>
      </c>
    </row>
    <row r="358" spans="1:49" ht="12.75">
      <c r="A358" t="s">
        <v>295</v>
      </c>
      <c r="B358" t="s">
        <v>291</v>
      </c>
      <c r="C358" t="s">
        <v>380</v>
      </c>
      <c r="D358" t="s">
        <v>419</v>
      </c>
      <c r="E358" t="s">
        <v>296</v>
      </c>
      <c r="F358" t="s">
        <v>83</v>
      </c>
      <c r="G358" t="s">
        <v>474</v>
      </c>
      <c r="H358" t="s">
        <v>296</v>
      </c>
      <c r="I358" t="s">
        <v>296</v>
      </c>
      <c r="J358" t="s">
        <v>296</v>
      </c>
      <c r="K358" t="s">
        <v>296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 t="s">
        <v>296</v>
      </c>
    </row>
    <row r="359" spans="1:49" ht="12.75">
      <c r="A359" t="s">
        <v>295</v>
      </c>
      <c r="B359" t="s">
        <v>291</v>
      </c>
      <c r="C359" t="s">
        <v>381</v>
      </c>
      <c r="D359" t="s">
        <v>49</v>
      </c>
      <c r="E359" t="s">
        <v>296</v>
      </c>
      <c r="F359" t="s">
        <v>83</v>
      </c>
      <c r="G359" t="s">
        <v>474</v>
      </c>
      <c r="H359" t="s">
        <v>296</v>
      </c>
      <c r="I359" t="s">
        <v>296</v>
      </c>
      <c r="J359" t="s">
        <v>296</v>
      </c>
      <c r="K359" t="s">
        <v>296</v>
      </c>
      <c r="L359">
        <v>2</v>
      </c>
      <c r="M359">
        <v>2</v>
      </c>
      <c r="N359">
        <v>2</v>
      </c>
      <c r="O359">
        <v>2.8700000000000001</v>
      </c>
      <c r="P359">
        <v>2</v>
      </c>
      <c r="Q359">
        <v>2</v>
      </c>
      <c r="R359">
        <v>2</v>
      </c>
      <c r="S359">
        <v>2</v>
      </c>
      <c r="T359">
        <v>2</v>
      </c>
      <c r="U359">
        <v>2</v>
      </c>
      <c r="V359">
        <v>2</v>
      </c>
      <c r="W359">
        <v>2</v>
      </c>
      <c r="X359">
        <v>2</v>
      </c>
      <c r="Y359">
        <v>2</v>
      </c>
      <c r="Z359">
        <v>2</v>
      </c>
      <c r="AA359">
        <v>2</v>
      </c>
      <c r="AB359">
        <v>2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2</v>
      </c>
      <c r="AI359">
        <v>2</v>
      </c>
      <c r="AJ359">
        <v>2</v>
      </c>
      <c r="AK359">
        <v>2</v>
      </c>
      <c r="AL359">
        <v>2</v>
      </c>
      <c r="AM359">
        <v>2</v>
      </c>
      <c r="AN359">
        <v>2</v>
      </c>
      <c r="AO359">
        <v>2</v>
      </c>
      <c r="AP359">
        <v>2</v>
      </c>
      <c r="AQ359">
        <v>2</v>
      </c>
      <c r="AR359">
        <v>2</v>
      </c>
      <c r="AS359">
        <v>2</v>
      </c>
      <c r="AT359">
        <v>2</v>
      </c>
      <c r="AU359">
        <v>2</v>
      </c>
      <c r="AV359">
        <v>2</v>
      </c>
      <c r="AW359" t="s">
        <v>296</v>
      </c>
    </row>
    <row r="360" spans="1:49" ht="12.75">
      <c r="A360" t="s">
        <v>295</v>
      </c>
      <c r="B360" t="s">
        <v>291</v>
      </c>
      <c r="C360" t="s">
        <v>381</v>
      </c>
      <c r="D360" t="s">
        <v>419</v>
      </c>
      <c r="E360" t="s">
        <v>296</v>
      </c>
      <c r="F360" t="s">
        <v>83</v>
      </c>
      <c r="G360" t="s">
        <v>474</v>
      </c>
      <c r="H360" t="s">
        <v>296</v>
      </c>
      <c r="I360" t="s">
        <v>296</v>
      </c>
      <c r="J360" t="s">
        <v>296</v>
      </c>
      <c r="K360" t="s">
        <v>296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 t="s">
        <v>296</v>
      </c>
    </row>
    <row r="361" spans="1:49" ht="12.75">
      <c r="A361" t="s">
        <v>295</v>
      </c>
      <c r="B361" t="s">
        <v>291</v>
      </c>
      <c r="C361" t="s">
        <v>382</v>
      </c>
      <c r="D361" t="s">
        <v>51</v>
      </c>
      <c r="E361" t="s">
        <v>296</v>
      </c>
      <c r="F361" t="s">
        <v>83</v>
      </c>
      <c r="G361" t="s">
        <v>474</v>
      </c>
      <c r="H361" t="s">
        <v>296</v>
      </c>
      <c r="I361" t="s">
        <v>296</v>
      </c>
      <c r="J361" t="s">
        <v>296</v>
      </c>
      <c r="K361" t="s">
        <v>296</v>
      </c>
      <c r="L361">
        <v>2</v>
      </c>
      <c r="M361">
        <v>2</v>
      </c>
      <c r="N361">
        <v>2</v>
      </c>
      <c r="O361">
        <v>2.8700000000000001</v>
      </c>
      <c r="P361">
        <v>2</v>
      </c>
      <c r="Q361">
        <v>2</v>
      </c>
      <c r="R361">
        <v>2</v>
      </c>
      <c r="S361">
        <v>2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2</v>
      </c>
      <c r="AA361">
        <v>2</v>
      </c>
      <c r="AB361">
        <v>2</v>
      </c>
      <c r="AC361">
        <v>2</v>
      </c>
      <c r="AD361">
        <v>2</v>
      </c>
      <c r="AE361">
        <v>2</v>
      </c>
      <c r="AF361">
        <v>2</v>
      </c>
      <c r="AG361">
        <v>2</v>
      </c>
      <c r="AH361">
        <v>2</v>
      </c>
      <c r="AI361">
        <v>2</v>
      </c>
      <c r="AJ361">
        <v>2</v>
      </c>
      <c r="AK361">
        <v>2</v>
      </c>
      <c r="AL361">
        <v>2</v>
      </c>
      <c r="AM361">
        <v>2</v>
      </c>
      <c r="AN361">
        <v>2</v>
      </c>
      <c r="AO361">
        <v>2</v>
      </c>
      <c r="AP361">
        <v>2</v>
      </c>
      <c r="AQ361">
        <v>2</v>
      </c>
      <c r="AR361">
        <v>2</v>
      </c>
      <c r="AS361">
        <v>2</v>
      </c>
      <c r="AT361">
        <v>2</v>
      </c>
      <c r="AU361">
        <v>2</v>
      </c>
      <c r="AV361">
        <v>2</v>
      </c>
      <c r="AW361" t="s">
        <v>296</v>
      </c>
    </row>
    <row r="362" spans="1:49" ht="12.75">
      <c r="A362" t="s">
        <v>295</v>
      </c>
      <c r="B362" t="s">
        <v>291</v>
      </c>
      <c r="C362" t="s">
        <v>382</v>
      </c>
      <c r="D362" t="s">
        <v>419</v>
      </c>
      <c r="E362" t="s">
        <v>296</v>
      </c>
      <c r="F362" t="s">
        <v>83</v>
      </c>
      <c r="G362" t="s">
        <v>474</v>
      </c>
      <c r="H362" t="s">
        <v>296</v>
      </c>
      <c r="I362" t="s">
        <v>296</v>
      </c>
      <c r="J362" t="s">
        <v>296</v>
      </c>
      <c r="K362" t="s">
        <v>296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 t="s">
        <v>296</v>
      </c>
    </row>
    <row r="363" spans="1:49" ht="12.75">
      <c r="A363" t="s">
        <v>295</v>
      </c>
      <c r="B363" t="s">
        <v>291</v>
      </c>
      <c r="C363" t="s">
        <v>383</v>
      </c>
      <c r="D363" t="s">
        <v>37</v>
      </c>
      <c r="E363" t="s">
        <v>296</v>
      </c>
      <c r="F363" t="s">
        <v>83</v>
      </c>
      <c r="G363" t="s">
        <v>474</v>
      </c>
      <c r="H363" t="s">
        <v>296</v>
      </c>
      <c r="I363" t="s">
        <v>296</v>
      </c>
      <c r="J363" t="s">
        <v>296</v>
      </c>
      <c r="K363" t="s">
        <v>296</v>
      </c>
      <c r="L363">
        <v>1.0526315789473699</v>
      </c>
      <c r="M363">
        <v>1.0526315789473699</v>
      </c>
      <c r="N363">
        <v>1.0526315789473699</v>
      </c>
      <c r="O363">
        <v>1.06595744680851</v>
      </c>
      <c r="P363">
        <v>1.0526315789473699</v>
      </c>
      <c r="Q363">
        <v>1.1111111111111101</v>
      </c>
      <c r="R363">
        <v>1.1111111111111101</v>
      </c>
      <c r="S363">
        <v>1.0526315789473699</v>
      </c>
      <c r="T363">
        <v>1.0526315789473699</v>
      </c>
      <c r="U363">
        <v>1.0526315789473699</v>
      </c>
      <c r="V363">
        <v>1.1111111111111101</v>
      </c>
      <c r="W363">
        <v>1.1111111111111101</v>
      </c>
      <c r="X363">
        <v>1.1111111111111101</v>
      </c>
      <c r="Y363">
        <v>1.1111111111111101</v>
      </c>
      <c r="Z363">
        <v>1.1111111111111101</v>
      </c>
      <c r="AA363">
        <v>1.0526315789473699</v>
      </c>
      <c r="AB363">
        <v>1.0526315789473699</v>
      </c>
      <c r="AC363">
        <v>1.1111111111111101</v>
      </c>
      <c r="AD363">
        <v>1.0526315789473699</v>
      </c>
      <c r="AE363">
        <v>1.0101010101010099</v>
      </c>
      <c r="AF363">
        <v>1.0526315789473699</v>
      </c>
      <c r="AG363">
        <v>1.1111111111111101</v>
      </c>
      <c r="AH363">
        <v>1.0526315789473699</v>
      </c>
      <c r="AI363">
        <v>1.1111111111111101</v>
      </c>
      <c r="AJ363">
        <v>1.0526315789473699</v>
      </c>
      <c r="AK363">
        <v>1.0526315789473699</v>
      </c>
      <c r="AL363">
        <v>1.0526315789473699</v>
      </c>
      <c r="AM363">
        <v>1.1111111111111101</v>
      </c>
      <c r="AN363">
        <v>1.1111111111111101</v>
      </c>
      <c r="AO363">
        <v>1.0526315789473699</v>
      </c>
      <c r="AP363">
        <v>1.1111111111111101</v>
      </c>
      <c r="AQ363">
        <v>1.1111111111111101</v>
      </c>
      <c r="AR363">
        <v>1.0526315789473699</v>
      </c>
      <c r="AS363">
        <v>1.1111111111111101</v>
      </c>
      <c r="AT363">
        <v>1.1111111111111101</v>
      </c>
      <c r="AU363">
        <v>1.0526315789473699</v>
      </c>
      <c r="AV363">
        <v>1</v>
      </c>
      <c r="AW363" t="s">
        <v>296</v>
      </c>
    </row>
    <row r="364" spans="1:49" ht="12.75">
      <c r="A364" t="s">
        <v>295</v>
      </c>
      <c r="B364" t="s">
        <v>291</v>
      </c>
      <c r="C364" t="s">
        <v>383</v>
      </c>
      <c r="D364" t="s">
        <v>419</v>
      </c>
      <c r="E364" t="s">
        <v>296</v>
      </c>
      <c r="F364" t="s">
        <v>83</v>
      </c>
      <c r="G364" t="s">
        <v>474</v>
      </c>
      <c r="H364" t="s">
        <v>296</v>
      </c>
      <c r="I364" t="s">
        <v>296</v>
      </c>
      <c r="J364" t="s">
        <v>296</v>
      </c>
      <c r="K364" t="s">
        <v>296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 t="s">
        <v>296</v>
      </c>
    </row>
    <row r="365" spans="1:49" ht="12.75">
      <c r="A365" t="s">
        <v>295</v>
      </c>
      <c r="B365" t="s">
        <v>291</v>
      </c>
      <c r="C365" t="s">
        <v>384</v>
      </c>
      <c r="D365" t="s">
        <v>38</v>
      </c>
      <c r="E365" t="s">
        <v>296</v>
      </c>
      <c r="F365" t="s">
        <v>83</v>
      </c>
      <c r="G365" t="s">
        <v>474</v>
      </c>
      <c r="H365" t="s">
        <v>296</v>
      </c>
      <c r="I365" t="s">
        <v>296</v>
      </c>
      <c r="J365" t="s">
        <v>296</v>
      </c>
      <c r="K365" t="s">
        <v>296</v>
      </c>
      <c r="L365">
        <v>2</v>
      </c>
      <c r="M365">
        <v>2</v>
      </c>
      <c r="N365">
        <v>2</v>
      </c>
      <c r="O365">
        <v>2.8700000000000001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2</v>
      </c>
      <c r="AA365">
        <v>2</v>
      </c>
      <c r="AB365">
        <v>2</v>
      </c>
      <c r="AC365">
        <v>2</v>
      </c>
      <c r="AD365">
        <v>2</v>
      </c>
      <c r="AE365">
        <v>2</v>
      </c>
      <c r="AF365">
        <v>2</v>
      </c>
      <c r="AG365">
        <v>2</v>
      </c>
      <c r="AH365">
        <v>2</v>
      </c>
      <c r="AI365">
        <v>2</v>
      </c>
      <c r="AJ365">
        <v>2</v>
      </c>
      <c r="AK365">
        <v>2</v>
      </c>
      <c r="AL365">
        <v>2</v>
      </c>
      <c r="AM365">
        <v>2</v>
      </c>
      <c r="AN365">
        <v>2</v>
      </c>
      <c r="AO365">
        <v>2</v>
      </c>
      <c r="AP365">
        <v>2</v>
      </c>
      <c r="AQ365">
        <v>2</v>
      </c>
      <c r="AR365">
        <v>2</v>
      </c>
      <c r="AS365">
        <v>2</v>
      </c>
      <c r="AT365">
        <v>2</v>
      </c>
      <c r="AU365">
        <v>2</v>
      </c>
      <c r="AV365">
        <v>2</v>
      </c>
      <c r="AW365" t="s">
        <v>296</v>
      </c>
    </row>
    <row r="366" spans="1:49" ht="12.75">
      <c r="A366" t="s">
        <v>295</v>
      </c>
      <c r="B366" t="s">
        <v>291</v>
      </c>
      <c r="C366" t="s">
        <v>384</v>
      </c>
      <c r="D366" t="s">
        <v>419</v>
      </c>
      <c r="E366" t="s">
        <v>296</v>
      </c>
      <c r="F366" t="s">
        <v>83</v>
      </c>
      <c r="G366" t="s">
        <v>474</v>
      </c>
      <c r="H366" t="s">
        <v>296</v>
      </c>
      <c r="I366" t="s">
        <v>296</v>
      </c>
      <c r="J366" t="s">
        <v>296</v>
      </c>
      <c r="K366" t="s">
        <v>296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 t="s">
        <v>296</v>
      </c>
    </row>
    <row r="367" spans="1:49" ht="12.75">
      <c r="A367" t="s">
        <v>295</v>
      </c>
      <c r="B367" t="s">
        <v>291</v>
      </c>
      <c r="C367" t="s">
        <v>385</v>
      </c>
      <c r="D367" t="s">
        <v>43</v>
      </c>
      <c r="E367" t="s">
        <v>296</v>
      </c>
      <c r="F367" t="s">
        <v>83</v>
      </c>
      <c r="G367" t="s">
        <v>474</v>
      </c>
      <c r="H367" t="s">
        <v>296</v>
      </c>
      <c r="I367" t="s">
        <v>296</v>
      </c>
      <c r="J367" t="s">
        <v>296</v>
      </c>
      <c r="K367" t="s">
        <v>296</v>
      </c>
      <c r="L367">
        <v>2</v>
      </c>
      <c r="M367">
        <v>2</v>
      </c>
      <c r="N367">
        <v>2</v>
      </c>
      <c r="O367">
        <v>2.8700000000000001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  <c r="AH367">
        <v>2</v>
      </c>
      <c r="AI367">
        <v>2</v>
      </c>
      <c r="AJ367">
        <v>2</v>
      </c>
      <c r="AK367">
        <v>2</v>
      </c>
      <c r="AL367">
        <v>2</v>
      </c>
      <c r="AM367">
        <v>2</v>
      </c>
      <c r="AN367">
        <v>2</v>
      </c>
      <c r="AO367">
        <v>2</v>
      </c>
      <c r="AP367">
        <v>2</v>
      </c>
      <c r="AQ367">
        <v>2</v>
      </c>
      <c r="AR367">
        <v>2</v>
      </c>
      <c r="AS367">
        <v>2</v>
      </c>
      <c r="AT367">
        <v>2</v>
      </c>
      <c r="AU367">
        <v>2</v>
      </c>
      <c r="AV367">
        <v>2</v>
      </c>
      <c r="AW367" t="s">
        <v>296</v>
      </c>
    </row>
    <row r="368" spans="1:49" ht="12.75">
      <c r="A368" t="s">
        <v>295</v>
      </c>
      <c r="B368" t="s">
        <v>291</v>
      </c>
      <c r="C368" t="s">
        <v>385</v>
      </c>
      <c r="D368" t="s">
        <v>419</v>
      </c>
      <c r="E368" t="s">
        <v>296</v>
      </c>
      <c r="F368" t="s">
        <v>83</v>
      </c>
      <c r="G368" t="s">
        <v>474</v>
      </c>
      <c r="H368" t="s">
        <v>296</v>
      </c>
      <c r="I368" t="s">
        <v>296</v>
      </c>
      <c r="J368" t="s">
        <v>296</v>
      </c>
      <c r="K368" t="s">
        <v>296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 t="s">
        <v>296</v>
      </c>
    </row>
    <row r="369" spans="1:49" ht="12.75">
      <c r="A369" t="s">
        <v>295</v>
      </c>
      <c r="B369" t="s">
        <v>291</v>
      </c>
      <c r="C369" t="s">
        <v>386</v>
      </c>
      <c r="D369" t="s">
        <v>39</v>
      </c>
      <c r="E369" t="s">
        <v>296</v>
      </c>
      <c r="F369" t="s">
        <v>83</v>
      </c>
      <c r="G369" t="s">
        <v>474</v>
      </c>
      <c r="H369" t="s">
        <v>296</v>
      </c>
      <c r="I369" t="s">
        <v>296</v>
      </c>
      <c r="J369" t="s">
        <v>296</v>
      </c>
      <c r="K369" t="s">
        <v>296</v>
      </c>
      <c r="L369">
        <v>2</v>
      </c>
      <c r="M369">
        <v>2</v>
      </c>
      <c r="N369">
        <v>2</v>
      </c>
      <c r="O369">
        <v>2.8700000000000001</v>
      </c>
      <c r="P369">
        <v>2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2</v>
      </c>
      <c r="AD369">
        <v>2</v>
      </c>
      <c r="AE369">
        <v>2</v>
      </c>
      <c r="AF369">
        <v>2</v>
      </c>
      <c r="AG369">
        <v>2</v>
      </c>
      <c r="AH369">
        <v>2</v>
      </c>
      <c r="AI369">
        <v>2</v>
      </c>
      <c r="AJ369">
        <v>2</v>
      </c>
      <c r="AK369">
        <v>2</v>
      </c>
      <c r="AL369">
        <v>2</v>
      </c>
      <c r="AM369">
        <v>2</v>
      </c>
      <c r="AN369">
        <v>2</v>
      </c>
      <c r="AO369">
        <v>2</v>
      </c>
      <c r="AP369">
        <v>2</v>
      </c>
      <c r="AQ369">
        <v>2</v>
      </c>
      <c r="AR369">
        <v>2</v>
      </c>
      <c r="AS369">
        <v>2</v>
      </c>
      <c r="AT369">
        <v>2</v>
      </c>
      <c r="AU369">
        <v>2</v>
      </c>
      <c r="AV369">
        <v>2</v>
      </c>
      <c r="AW369" t="s">
        <v>296</v>
      </c>
    </row>
    <row r="370" spans="1:49" ht="12.75">
      <c r="A370" t="s">
        <v>295</v>
      </c>
      <c r="B370" t="s">
        <v>291</v>
      </c>
      <c r="C370" t="s">
        <v>386</v>
      </c>
      <c r="D370" t="s">
        <v>419</v>
      </c>
      <c r="E370" t="s">
        <v>296</v>
      </c>
      <c r="F370" t="s">
        <v>83</v>
      </c>
      <c r="G370" t="s">
        <v>474</v>
      </c>
      <c r="H370" t="s">
        <v>296</v>
      </c>
      <c r="I370" t="s">
        <v>296</v>
      </c>
      <c r="J370" t="s">
        <v>296</v>
      </c>
      <c r="K370" t="s">
        <v>296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 t="s">
        <v>296</v>
      </c>
    </row>
    <row r="371" spans="1:49" ht="12.75">
      <c r="A371" t="s">
        <v>295</v>
      </c>
      <c r="B371" t="s">
        <v>291</v>
      </c>
      <c r="C371" t="s">
        <v>387</v>
      </c>
      <c r="D371" t="s">
        <v>44</v>
      </c>
      <c r="E371" t="s">
        <v>296</v>
      </c>
      <c r="F371" t="s">
        <v>83</v>
      </c>
      <c r="G371" t="s">
        <v>474</v>
      </c>
      <c r="H371" t="s">
        <v>296</v>
      </c>
      <c r="I371" t="s">
        <v>296</v>
      </c>
      <c r="J371" t="s">
        <v>296</v>
      </c>
      <c r="K371" t="s">
        <v>296</v>
      </c>
      <c r="L371">
        <v>2</v>
      </c>
      <c r="M371">
        <v>2</v>
      </c>
      <c r="N371">
        <v>2</v>
      </c>
      <c r="O371">
        <v>2.8700000000000001</v>
      </c>
      <c r="P371">
        <v>2</v>
      </c>
      <c r="Q371">
        <v>2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2</v>
      </c>
      <c r="AC371">
        <v>2</v>
      </c>
      <c r="AD371">
        <v>2</v>
      </c>
      <c r="AE371">
        <v>2</v>
      </c>
      <c r="AF371">
        <v>2</v>
      </c>
      <c r="AG371">
        <v>2</v>
      </c>
      <c r="AH371">
        <v>2</v>
      </c>
      <c r="AI371">
        <v>2</v>
      </c>
      <c r="AJ371">
        <v>2</v>
      </c>
      <c r="AK371">
        <v>2</v>
      </c>
      <c r="AL371">
        <v>2</v>
      </c>
      <c r="AM371">
        <v>2</v>
      </c>
      <c r="AN371">
        <v>2</v>
      </c>
      <c r="AO371">
        <v>2</v>
      </c>
      <c r="AP371">
        <v>2</v>
      </c>
      <c r="AQ371">
        <v>2</v>
      </c>
      <c r="AR371">
        <v>2</v>
      </c>
      <c r="AS371">
        <v>2</v>
      </c>
      <c r="AT371">
        <v>2</v>
      </c>
      <c r="AU371">
        <v>2</v>
      </c>
      <c r="AV371">
        <v>2</v>
      </c>
      <c r="AW371" t="s">
        <v>296</v>
      </c>
    </row>
    <row r="372" spans="1:49" ht="12.75">
      <c r="A372" t="s">
        <v>295</v>
      </c>
      <c r="B372" t="s">
        <v>291</v>
      </c>
      <c r="C372" t="s">
        <v>387</v>
      </c>
      <c r="D372" t="s">
        <v>419</v>
      </c>
      <c r="E372" t="s">
        <v>296</v>
      </c>
      <c r="F372" t="s">
        <v>83</v>
      </c>
      <c r="G372" t="s">
        <v>474</v>
      </c>
      <c r="H372" t="s">
        <v>296</v>
      </c>
      <c r="I372" t="s">
        <v>296</v>
      </c>
      <c r="J372" t="s">
        <v>296</v>
      </c>
      <c r="K372" t="s">
        <v>296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 t="s">
        <v>296</v>
      </c>
    </row>
    <row r="373" spans="1:49" ht="12.75">
      <c r="A373" t="s">
        <v>295</v>
      </c>
      <c r="B373" t="s">
        <v>291</v>
      </c>
      <c r="C373" t="s">
        <v>388</v>
      </c>
      <c r="D373" t="s">
        <v>155</v>
      </c>
      <c r="E373" t="s">
        <v>296</v>
      </c>
      <c r="F373" t="s">
        <v>83</v>
      </c>
      <c r="G373" t="s">
        <v>474</v>
      </c>
      <c r="H373" t="s">
        <v>296</v>
      </c>
      <c r="I373" t="s">
        <v>296</v>
      </c>
      <c r="J373" t="s">
        <v>296</v>
      </c>
      <c r="K373" t="s">
        <v>296</v>
      </c>
      <c r="L373">
        <v>1.25</v>
      </c>
      <c r="M373">
        <v>1.25</v>
      </c>
      <c r="N373">
        <v>1.25</v>
      </c>
      <c r="O373">
        <v>1.25</v>
      </c>
      <c r="P373">
        <v>1.25</v>
      </c>
      <c r="Q373">
        <v>1.25</v>
      </c>
      <c r="R373">
        <v>1.25</v>
      </c>
      <c r="S373">
        <v>1.25</v>
      </c>
      <c r="T373">
        <v>1.25</v>
      </c>
      <c r="U373">
        <v>1.25</v>
      </c>
      <c r="V373">
        <v>1.25</v>
      </c>
      <c r="W373">
        <v>1.25</v>
      </c>
      <c r="X373">
        <v>1.25</v>
      </c>
      <c r="Y373">
        <v>1.25</v>
      </c>
      <c r="Z373">
        <v>1.25</v>
      </c>
      <c r="AA373">
        <v>1.25</v>
      </c>
      <c r="AB373">
        <v>1.25</v>
      </c>
      <c r="AC373">
        <v>1.25</v>
      </c>
      <c r="AD373">
        <v>1.25</v>
      </c>
      <c r="AE373">
        <v>1.25</v>
      </c>
      <c r="AF373">
        <v>1.25</v>
      </c>
      <c r="AG373">
        <v>1.25</v>
      </c>
      <c r="AH373">
        <v>1.25</v>
      </c>
      <c r="AI373">
        <v>1.25</v>
      </c>
      <c r="AJ373">
        <v>1.25</v>
      </c>
      <c r="AK373">
        <v>1.25</v>
      </c>
      <c r="AL373">
        <v>1.25</v>
      </c>
      <c r="AM373">
        <v>1.25</v>
      </c>
      <c r="AN373">
        <v>1.25</v>
      </c>
      <c r="AO373">
        <v>1.25</v>
      </c>
      <c r="AP373">
        <v>1.25</v>
      </c>
      <c r="AQ373">
        <v>1.25</v>
      </c>
      <c r="AR373">
        <v>1.25</v>
      </c>
      <c r="AS373">
        <v>1.25</v>
      </c>
      <c r="AT373">
        <v>1.25</v>
      </c>
      <c r="AU373">
        <v>1.25</v>
      </c>
      <c r="AV373">
        <v>1.25</v>
      </c>
      <c r="AW373" t="s">
        <v>296</v>
      </c>
    </row>
    <row r="374" spans="1:49" ht="12.75">
      <c r="A374" t="s">
        <v>295</v>
      </c>
      <c r="B374" t="s">
        <v>291</v>
      </c>
      <c r="C374" t="s">
        <v>388</v>
      </c>
      <c r="D374" t="s">
        <v>420</v>
      </c>
      <c r="E374" t="s">
        <v>296</v>
      </c>
      <c r="F374" t="s">
        <v>83</v>
      </c>
      <c r="G374" t="s">
        <v>474</v>
      </c>
      <c r="H374" t="s">
        <v>296</v>
      </c>
      <c r="I374" t="s">
        <v>296</v>
      </c>
      <c r="J374" t="s">
        <v>296</v>
      </c>
      <c r="K374" t="s">
        <v>296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 t="s">
        <v>296</v>
      </c>
    </row>
    <row r="375" spans="1:49" ht="12.75">
      <c r="A375" t="s">
        <v>295</v>
      </c>
      <c r="B375" t="s">
        <v>291</v>
      </c>
      <c r="C375" t="s">
        <v>389</v>
      </c>
      <c r="D375" t="s">
        <v>49</v>
      </c>
      <c r="E375" t="s">
        <v>296</v>
      </c>
      <c r="F375" t="s">
        <v>83</v>
      </c>
      <c r="G375" t="s">
        <v>474</v>
      </c>
      <c r="H375" t="s">
        <v>296</v>
      </c>
      <c r="I375" t="s">
        <v>296</v>
      </c>
      <c r="J375" t="s">
        <v>296</v>
      </c>
      <c r="K375" t="s">
        <v>296</v>
      </c>
      <c r="L375">
        <v>1.25</v>
      </c>
      <c r="M375">
        <v>1.25</v>
      </c>
      <c r="N375">
        <v>1.25</v>
      </c>
      <c r="O375">
        <v>1.25</v>
      </c>
      <c r="P375">
        <v>1.25</v>
      </c>
      <c r="Q375">
        <v>1.25</v>
      </c>
      <c r="R375">
        <v>1.25</v>
      </c>
      <c r="S375">
        <v>1.25</v>
      </c>
      <c r="T375">
        <v>1.25</v>
      </c>
      <c r="U375">
        <v>1.25</v>
      </c>
      <c r="V375">
        <v>1.25</v>
      </c>
      <c r="W375">
        <v>1.25</v>
      </c>
      <c r="X375">
        <v>1.25</v>
      </c>
      <c r="Y375">
        <v>1.25</v>
      </c>
      <c r="Z375">
        <v>1.25</v>
      </c>
      <c r="AA375">
        <v>1.25</v>
      </c>
      <c r="AB375">
        <v>1.25</v>
      </c>
      <c r="AC375">
        <v>1.25</v>
      </c>
      <c r="AD375">
        <v>1.25</v>
      </c>
      <c r="AE375">
        <v>1.25</v>
      </c>
      <c r="AF375">
        <v>1.25</v>
      </c>
      <c r="AG375">
        <v>1.25</v>
      </c>
      <c r="AH375">
        <v>1.25</v>
      </c>
      <c r="AI375">
        <v>1.25</v>
      </c>
      <c r="AJ375">
        <v>1.25</v>
      </c>
      <c r="AK375">
        <v>1.25</v>
      </c>
      <c r="AL375">
        <v>1.25</v>
      </c>
      <c r="AM375">
        <v>1.25</v>
      </c>
      <c r="AN375">
        <v>1.25</v>
      </c>
      <c r="AO375">
        <v>1.25</v>
      </c>
      <c r="AP375">
        <v>1.25</v>
      </c>
      <c r="AQ375">
        <v>1.25</v>
      </c>
      <c r="AR375">
        <v>1.25</v>
      </c>
      <c r="AS375">
        <v>1.25</v>
      </c>
      <c r="AT375">
        <v>1.25</v>
      </c>
      <c r="AU375">
        <v>1.25</v>
      </c>
      <c r="AV375">
        <v>1.25</v>
      </c>
      <c r="AW375" t="s">
        <v>296</v>
      </c>
    </row>
    <row r="376" spans="1:49" ht="12.75">
      <c r="A376" t="s">
        <v>295</v>
      </c>
      <c r="B376" t="s">
        <v>291</v>
      </c>
      <c r="C376" t="s">
        <v>389</v>
      </c>
      <c r="D376" t="s">
        <v>420</v>
      </c>
      <c r="E376" t="s">
        <v>296</v>
      </c>
      <c r="F376" t="s">
        <v>83</v>
      </c>
      <c r="G376" t="s">
        <v>474</v>
      </c>
      <c r="H376" t="s">
        <v>296</v>
      </c>
      <c r="I376" t="s">
        <v>296</v>
      </c>
      <c r="J376" t="s">
        <v>296</v>
      </c>
      <c r="K376" t="s">
        <v>296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 t="s">
        <v>296</v>
      </c>
    </row>
    <row r="377" spans="1:49" ht="12.75">
      <c r="A377" t="s">
        <v>295</v>
      </c>
      <c r="B377" t="s">
        <v>291</v>
      </c>
      <c r="C377" t="s">
        <v>390</v>
      </c>
      <c r="D377" t="s">
        <v>51</v>
      </c>
      <c r="E377" t="s">
        <v>296</v>
      </c>
      <c r="F377" t="s">
        <v>83</v>
      </c>
      <c r="G377" t="s">
        <v>474</v>
      </c>
      <c r="H377" t="s">
        <v>296</v>
      </c>
      <c r="I377" t="s">
        <v>296</v>
      </c>
      <c r="J377" t="s">
        <v>296</v>
      </c>
      <c r="K377" t="s">
        <v>296</v>
      </c>
      <c r="L377">
        <v>1.25</v>
      </c>
      <c r="M377">
        <v>1.25</v>
      </c>
      <c r="N377">
        <v>1.25</v>
      </c>
      <c r="O377">
        <v>1.25</v>
      </c>
      <c r="P377">
        <v>1.25</v>
      </c>
      <c r="Q377">
        <v>1.25</v>
      </c>
      <c r="R377">
        <v>1.25</v>
      </c>
      <c r="S377">
        <v>1.25</v>
      </c>
      <c r="T377">
        <v>1.25</v>
      </c>
      <c r="U377">
        <v>1.25</v>
      </c>
      <c r="V377">
        <v>1.25</v>
      </c>
      <c r="W377">
        <v>1.25</v>
      </c>
      <c r="X377">
        <v>1.25</v>
      </c>
      <c r="Y377">
        <v>1.25</v>
      </c>
      <c r="Z377">
        <v>1.25</v>
      </c>
      <c r="AA377">
        <v>1.25</v>
      </c>
      <c r="AB377">
        <v>1.25</v>
      </c>
      <c r="AC377">
        <v>1.25</v>
      </c>
      <c r="AD377">
        <v>1.25</v>
      </c>
      <c r="AE377">
        <v>1.25</v>
      </c>
      <c r="AF377">
        <v>1.25</v>
      </c>
      <c r="AG377">
        <v>1.25</v>
      </c>
      <c r="AH377">
        <v>1.25</v>
      </c>
      <c r="AI377">
        <v>1.25</v>
      </c>
      <c r="AJ377">
        <v>1.25</v>
      </c>
      <c r="AK377">
        <v>1.25</v>
      </c>
      <c r="AL377">
        <v>1.25</v>
      </c>
      <c r="AM377">
        <v>1.25</v>
      </c>
      <c r="AN377">
        <v>1.25</v>
      </c>
      <c r="AO377">
        <v>1.25</v>
      </c>
      <c r="AP377">
        <v>1.25</v>
      </c>
      <c r="AQ377">
        <v>1.25</v>
      </c>
      <c r="AR377">
        <v>1.25</v>
      </c>
      <c r="AS377">
        <v>1.25</v>
      </c>
      <c r="AT377">
        <v>1.25</v>
      </c>
      <c r="AU377">
        <v>1.25</v>
      </c>
      <c r="AV377">
        <v>1.25</v>
      </c>
      <c r="AW377" t="s">
        <v>296</v>
      </c>
    </row>
    <row r="378" spans="1:49" ht="12.75">
      <c r="A378" t="s">
        <v>295</v>
      </c>
      <c r="B378" t="s">
        <v>291</v>
      </c>
      <c r="C378" t="s">
        <v>390</v>
      </c>
      <c r="D378" t="s">
        <v>420</v>
      </c>
      <c r="E378" t="s">
        <v>296</v>
      </c>
      <c r="F378" t="s">
        <v>83</v>
      </c>
      <c r="G378" t="s">
        <v>474</v>
      </c>
      <c r="H378" t="s">
        <v>296</v>
      </c>
      <c r="I378" t="s">
        <v>296</v>
      </c>
      <c r="J378" t="s">
        <v>296</v>
      </c>
      <c r="K378" t="s">
        <v>296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 t="s">
        <v>296</v>
      </c>
    </row>
    <row r="379" spans="1:49" ht="12.75">
      <c r="A379" t="s">
        <v>295</v>
      </c>
      <c r="B379" t="s">
        <v>291</v>
      </c>
      <c r="C379" t="s">
        <v>391</v>
      </c>
      <c r="D379" t="s">
        <v>37</v>
      </c>
      <c r="E379" t="s">
        <v>296</v>
      </c>
      <c r="F379" t="s">
        <v>83</v>
      </c>
      <c r="G379" t="s">
        <v>474</v>
      </c>
      <c r="H379" t="s">
        <v>296</v>
      </c>
      <c r="I379" t="s">
        <v>296</v>
      </c>
      <c r="J379" t="s">
        <v>296</v>
      </c>
      <c r="K379" t="s">
        <v>296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 t="s">
        <v>296</v>
      </c>
    </row>
    <row r="380" spans="1:49" ht="12.75">
      <c r="A380" t="s">
        <v>295</v>
      </c>
      <c r="B380" t="s">
        <v>291</v>
      </c>
      <c r="C380" t="s">
        <v>391</v>
      </c>
      <c r="D380" t="s">
        <v>420</v>
      </c>
      <c r="E380" t="s">
        <v>296</v>
      </c>
      <c r="F380" t="s">
        <v>83</v>
      </c>
      <c r="G380" t="s">
        <v>474</v>
      </c>
      <c r="H380" t="s">
        <v>296</v>
      </c>
      <c r="I380" t="s">
        <v>296</v>
      </c>
      <c r="J380" t="s">
        <v>296</v>
      </c>
      <c r="K380" t="s">
        <v>296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 t="s">
        <v>296</v>
      </c>
    </row>
    <row r="381" spans="1:49" ht="12.75">
      <c r="A381" t="s">
        <v>295</v>
      </c>
      <c r="B381" t="s">
        <v>291</v>
      </c>
      <c r="C381" t="s">
        <v>392</v>
      </c>
      <c r="D381" t="s">
        <v>38</v>
      </c>
      <c r="E381" t="s">
        <v>296</v>
      </c>
      <c r="F381" t="s">
        <v>83</v>
      </c>
      <c r="G381" t="s">
        <v>474</v>
      </c>
      <c r="H381" t="s">
        <v>296</v>
      </c>
      <c r="I381" t="s">
        <v>296</v>
      </c>
      <c r="J381" t="s">
        <v>296</v>
      </c>
      <c r="K381" t="s">
        <v>296</v>
      </c>
      <c r="L381">
        <v>1.25</v>
      </c>
      <c r="M381">
        <v>1.25</v>
      </c>
      <c r="N381">
        <v>1.25</v>
      </c>
      <c r="O381">
        <v>1.25</v>
      </c>
      <c r="P381">
        <v>1.25</v>
      </c>
      <c r="Q381">
        <v>1.25</v>
      </c>
      <c r="R381">
        <v>1.25</v>
      </c>
      <c r="S381">
        <v>1.25</v>
      </c>
      <c r="T381">
        <v>1.25</v>
      </c>
      <c r="U381">
        <v>1.25</v>
      </c>
      <c r="V381">
        <v>1.25</v>
      </c>
      <c r="W381">
        <v>1.25</v>
      </c>
      <c r="X381">
        <v>1.25</v>
      </c>
      <c r="Y381">
        <v>1.25</v>
      </c>
      <c r="Z381">
        <v>1.25</v>
      </c>
      <c r="AA381">
        <v>1.25</v>
      </c>
      <c r="AB381">
        <v>1.25</v>
      </c>
      <c r="AC381">
        <v>1.25</v>
      </c>
      <c r="AD381">
        <v>1.25</v>
      </c>
      <c r="AE381">
        <v>1.25</v>
      </c>
      <c r="AF381">
        <v>1.25</v>
      </c>
      <c r="AG381">
        <v>1.25</v>
      </c>
      <c r="AH381">
        <v>1.25</v>
      </c>
      <c r="AI381">
        <v>1.25</v>
      </c>
      <c r="AJ381">
        <v>1.25</v>
      </c>
      <c r="AK381">
        <v>1.25</v>
      </c>
      <c r="AL381">
        <v>1.25</v>
      </c>
      <c r="AM381">
        <v>1.25</v>
      </c>
      <c r="AN381">
        <v>1.25</v>
      </c>
      <c r="AO381">
        <v>1.25</v>
      </c>
      <c r="AP381">
        <v>1.25</v>
      </c>
      <c r="AQ381">
        <v>1.25</v>
      </c>
      <c r="AR381">
        <v>1.25</v>
      </c>
      <c r="AS381">
        <v>1.25</v>
      </c>
      <c r="AT381">
        <v>1.25</v>
      </c>
      <c r="AU381">
        <v>1.25</v>
      </c>
      <c r="AV381">
        <v>1.25</v>
      </c>
      <c r="AW381" t="s">
        <v>296</v>
      </c>
    </row>
    <row r="382" spans="1:49" ht="12.75">
      <c r="A382" t="s">
        <v>295</v>
      </c>
      <c r="B382" t="s">
        <v>291</v>
      </c>
      <c r="C382" t="s">
        <v>392</v>
      </c>
      <c r="D382" t="s">
        <v>420</v>
      </c>
      <c r="E382" t="s">
        <v>296</v>
      </c>
      <c r="F382" t="s">
        <v>83</v>
      </c>
      <c r="G382" t="s">
        <v>474</v>
      </c>
      <c r="H382" t="s">
        <v>296</v>
      </c>
      <c r="I382" t="s">
        <v>296</v>
      </c>
      <c r="J382" t="s">
        <v>296</v>
      </c>
      <c r="K382" t="s">
        <v>296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 t="s">
        <v>296</v>
      </c>
    </row>
    <row r="383" spans="1:49" ht="12.75">
      <c r="A383" t="s">
        <v>295</v>
      </c>
      <c r="B383" t="s">
        <v>291</v>
      </c>
      <c r="C383" t="s">
        <v>393</v>
      </c>
      <c r="D383" t="s">
        <v>43</v>
      </c>
      <c r="E383" t="s">
        <v>296</v>
      </c>
      <c r="F383" t="s">
        <v>83</v>
      </c>
      <c r="G383" t="s">
        <v>474</v>
      </c>
      <c r="H383" t="s">
        <v>296</v>
      </c>
      <c r="I383" t="s">
        <v>296</v>
      </c>
      <c r="J383" t="s">
        <v>296</v>
      </c>
      <c r="K383" t="s">
        <v>296</v>
      </c>
      <c r="L383">
        <v>1.25</v>
      </c>
      <c r="M383">
        <v>1.25</v>
      </c>
      <c r="N383">
        <v>1.25</v>
      </c>
      <c r="O383">
        <v>1.25</v>
      </c>
      <c r="P383">
        <v>1.25</v>
      </c>
      <c r="Q383">
        <v>1.25</v>
      </c>
      <c r="R383">
        <v>1.25</v>
      </c>
      <c r="S383">
        <v>1.25</v>
      </c>
      <c r="T383">
        <v>1.25</v>
      </c>
      <c r="U383">
        <v>1.25</v>
      </c>
      <c r="V383">
        <v>1.25</v>
      </c>
      <c r="W383">
        <v>1.25</v>
      </c>
      <c r="X383">
        <v>1.25</v>
      </c>
      <c r="Y383">
        <v>1.25</v>
      </c>
      <c r="Z383">
        <v>1.25</v>
      </c>
      <c r="AA383">
        <v>1.25</v>
      </c>
      <c r="AB383">
        <v>1.25</v>
      </c>
      <c r="AC383">
        <v>1.25</v>
      </c>
      <c r="AD383">
        <v>1.25</v>
      </c>
      <c r="AE383">
        <v>1.25</v>
      </c>
      <c r="AF383">
        <v>1.25</v>
      </c>
      <c r="AG383">
        <v>1.25</v>
      </c>
      <c r="AH383">
        <v>1.25</v>
      </c>
      <c r="AI383">
        <v>1.25</v>
      </c>
      <c r="AJ383">
        <v>1.25</v>
      </c>
      <c r="AK383">
        <v>1.25</v>
      </c>
      <c r="AL383">
        <v>1.25</v>
      </c>
      <c r="AM383">
        <v>1.25</v>
      </c>
      <c r="AN383">
        <v>1.25</v>
      </c>
      <c r="AO383">
        <v>1.25</v>
      </c>
      <c r="AP383">
        <v>1.25</v>
      </c>
      <c r="AQ383">
        <v>1.25</v>
      </c>
      <c r="AR383">
        <v>1.25</v>
      </c>
      <c r="AS383">
        <v>1.25</v>
      </c>
      <c r="AT383">
        <v>1.25</v>
      </c>
      <c r="AU383">
        <v>1.25</v>
      </c>
      <c r="AV383">
        <v>1.25</v>
      </c>
      <c r="AW383" t="s">
        <v>296</v>
      </c>
    </row>
    <row r="384" spans="1:49" ht="12.75">
      <c r="A384" t="s">
        <v>295</v>
      </c>
      <c r="B384" t="s">
        <v>291</v>
      </c>
      <c r="C384" t="s">
        <v>393</v>
      </c>
      <c r="D384" t="s">
        <v>420</v>
      </c>
      <c r="E384" t="s">
        <v>296</v>
      </c>
      <c r="F384" t="s">
        <v>83</v>
      </c>
      <c r="G384" t="s">
        <v>474</v>
      </c>
      <c r="H384" t="s">
        <v>296</v>
      </c>
      <c r="I384" t="s">
        <v>296</v>
      </c>
      <c r="J384" t="s">
        <v>296</v>
      </c>
      <c r="K384" t="s">
        <v>296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 t="s">
        <v>296</v>
      </c>
    </row>
    <row r="385" spans="1:49" ht="12.75">
      <c r="A385" t="s">
        <v>295</v>
      </c>
      <c r="B385" t="s">
        <v>291</v>
      </c>
      <c r="C385" t="s">
        <v>394</v>
      </c>
      <c r="D385" t="s">
        <v>39</v>
      </c>
      <c r="E385" t="s">
        <v>296</v>
      </c>
      <c r="F385" t="s">
        <v>83</v>
      </c>
      <c r="G385" t="s">
        <v>474</v>
      </c>
      <c r="H385" t="s">
        <v>296</v>
      </c>
      <c r="I385" t="s">
        <v>296</v>
      </c>
      <c r="J385" t="s">
        <v>296</v>
      </c>
      <c r="K385" t="s">
        <v>296</v>
      </c>
      <c r="L385">
        <v>1.25</v>
      </c>
      <c r="M385">
        <v>1.25</v>
      </c>
      <c r="N385">
        <v>1.25</v>
      </c>
      <c r="O385">
        <v>1.25</v>
      </c>
      <c r="P385">
        <v>1.25</v>
      </c>
      <c r="Q385">
        <v>1.25</v>
      </c>
      <c r="R385">
        <v>1.25</v>
      </c>
      <c r="S385">
        <v>1.25</v>
      </c>
      <c r="T385">
        <v>1.25</v>
      </c>
      <c r="U385">
        <v>1.25</v>
      </c>
      <c r="V385">
        <v>1.25</v>
      </c>
      <c r="W385">
        <v>1.25</v>
      </c>
      <c r="X385">
        <v>1.25</v>
      </c>
      <c r="Y385">
        <v>1.25</v>
      </c>
      <c r="Z385">
        <v>1.25</v>
      </c>
      <c r="AA385">
        <v>1.25</v>
      </c>
      <c r="AB385">
        <v>1.25</v>
      </c>
      <c r="AC385">
        <v>1.25</v>
      </c>
      <c r="AD385">
        <v>1.25</v>
      </c>
      <c r="AE385">
        <v>1.25</v>
      </c>
      <c r="AF385">
        <v>1.25</v>
      </c>
      <c r="AG385">
        <v>1.25</v>
      </c>
      <c r="AH385">
        <v>1.25</v>
      </c>
      <c r="AI385">
        <v>1.25</v>
      </c>
      <c r="AJ385">
        <v>1.25</v>
      </c>
      <c r="AK385">
        <v>1.25</v>
      </c>
      <c r="AL385">
        <v>1.25</v>
      </c>
      <c r="AM385">
        <v>1.25</v>
      </c>
      <c r="AN385">
        <v>1.25</v>
      </c>
      <c r="AO385">
        <v>1.25</v>
      </c>
      <c r="AP385">
        <v>1.25</v>
      </c>
      <c r="AQ385">
        <v>1.25</v>
      </c>
      <c r="AR385">
        <v>1.25</v>
      </c>
      <c r="AS385">
        <v>1.25</v>
      </c>
      <c r="AT385">
        <v>1.25</v>
      </c>
      <c r="AU385">
        <v>1.25</v>
      </c>
      <c r="AV385">
        <v>1.25</v>
      </c>
      <c r="AW385" t="s">
        <v>296</v>
      </c>
    </row>
    <row r="386" spans="1:49" ht="12.75">
      <c r="A386" t="s">
        <v>295</v>
      </c>
      <c r="B386" t="s">
        <v>291</v>
      </c>
      <c r="C386" t="s">
        <v>394</v>
      </c>
      <c r="D386" t="s">
        <v>420</v>
      </c>
      <c r="E386" t="s">
        <v>296</v>
      </c>
      <c r="F386" t="s">
        <v>83</v>
      </c>
      <c r="G386" t="s">
        <v>474</v>
      </c>
      <c r="H386" t="s">
        <v>296</v>
      </c>
      <c r="I386" t="s">
        <v>296</v>
      </c>
      <c r="J386" t="s">
        <v>296</v>
      </c>
      <c r="K386" t="s">
        <v>296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 t="s">
        <v>296</v>
      </c>
    </row>
    <row r="387" spans="1:49" ht="12.75">
      <c r="A387" t="s">
        <v>295</v>
      </c>
      <c r="B387" t="s">
        <v>291</v>
      </c>
      <c r="C387" t="s">
        <v>395</v>
      </c>
      <c r="D387" t="s">
        <v>44</v>
      </c>
      <c r="E387" t="s">
        <v>296</v>
      </c>
      <c r="F387" t="s">
        <v>83</v>
      </c>
      <c r="G387" t="s">
        <v>474</v>
      </c>
      <c r="H387" t="s">
        <v>296</v>
      </c>
      <c r="I387" t="s">
        <v>296</v>
      </c>
      <c r="J387" t="s">
        <v>296</v>
      </c>
      <c r="K387" t="s">
        <v>296</v>
      </c>
      <c r="L387">
        <v>1.25</v>
      </c>
      <c r="M387">
        <v>1.25</v>
      </c>
      <c r="N387">
        <v>1.25</v>
      </c>
      <c r="O387">
        <v>1.25</v>
      </c>
      <c r="P387">
        <v>1.25</v>
      </c>
      <c r="Q387">
        <v>1.25</v>
      </c>
      <c r="R387">
        <v>1.25</v>
      </c>
      <c r="S387">
        <v>1.25</v>
      </c>
      <c r="T387">
        <v>1.25</v>
      </c>
      <c r="U387">
        <v>1.25</v>
      </c>
      <c r="V387">
        <v>1.25</v>
      </c>
      <c r="W387">
        <v>1.25</v>
      </c>
      <c r="X387">
        <v>1.25</v>
      </c>
      <c r="Y387">
        <v>1.25</v>
      </c>
      <c r="Z387">
        <v>1.25</v>
      </c>
      <c r="AA387">
        <v>1.25</v>
      </c>
      <c r="AB387">
        <v>1.25</v>
      </c>
      <c r="AC387">
        <v>1.25</v>
      </c>
      <c r="AD387">
        <v>1.25</v>
      </c>
      <c r="AE387">
        <v>1.25</v>
      </c>
      <c r="AF387">
        <v>1.25</v>
      </c>
      <c r="AG387">
        <v>1.25</v>
      </c>
      <c r="AH387">
        <v>1.25</v>
      </c>
      <c r="AI387">
        <v>1.25</v>
      </c>
      <c r="AJ387">
        <v>1.25</v>
      </c>
      <c r="AK387">
        <v>1.25</v>
      </c>
      <c r="AL387">
        <v>1.25</v>
      </c>
      <c r="AM387">
        <v>1.25</v>
      </c>
      <c r="AN387">
        <v>1.25</v>
      </c>
      <c r="AO387">
        <v>1.25</v>
      </c>
      <c r="AP387">
        <v>1.25</v>
      </c>
      <c r="AQ387">
        <v>1.25</v>
      </c>
      <c r="AR387">
        <v>1.25</v>
      </c>
      <c r="AS387">
        <v>1.25</v>
      </c>
      <c r="AT387">
        <v>1.25</v>
      </c>
      <c r="AU387">
        <v>1.25</v>
      </c>
      <c r="AV387">
        <v>1.25</v>
      </c>
      <c r="AW387" t="s">
        <v>296</v>
      </c>
    </row>
    <row r="388" spans="1:49" ht="12.75">
      <c r="A388" t="s">
        <v>295</v>
      </c>
      <c r="B388" t="s">
        <v>291</v>
      </c>
      <c r="C388" t="s">
        <v>395</v>
      </c>
      <c r="D388" t="s">
        <v>420</v>
      </c>
      <c r="E388" t="s">
        <v>296</v>
      </c>
      <c r="F388" t="s">
        <v>83</v>
      </c>
      <c r="G388" t="s">
        <v>474</v>
      </c>
      <c r="H388" t="s">
        <v>296</v>
      </c>
      <c r="I388" t="s">
        <v>296</v>
      </c>
      <c r="J388" t="s">
        <v>296</v>
      </c>
      <c r="K388" t="s">
        <v>296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 t="s">
        <v>296</v>
      </c>
    </row>
    <row r="389" spans="1:49" ht="12.75">
      <c r="A389" t="s">
        <v>295</v>
      </c>
      <c r="B389" t="s">
        <v>291</v>
      </c>
      <c r="C389" t="s">
        <v>396</v>
      </c>
      <c r="D389" t="s">
        <v>155</v>
      </c>
      <c r="E389" t="s">
        <v>296</v>
      </c>
      <c r="F389" t="s">
        <v>83</v>
      </c>
      <c r="G389" t="s">
        <v>474</v>
      </c>
      <c r="H389" t="s">
        <v>296</v>
      </c>
      <c r="I389" t="s">
        <v>296</v>
      </c>
      <c r="J389" t="s">
        <v>296</v>
      </c>
      <c r="K389" t="s">
        <v>296</v>
      </c>
      <c r="L389">
        <v>1.25</v>
      </c>
      <c r="M389">
        <v>1.25</v>
      </c>
      <c r="N389">
        <v>1.25</v>
      </c>
      <c r="O389">
        <v>1.25</v>
      </c>
      <c r="P389">
        <v>1.25</v>
      </c>
      <c r="Q389">
        <v>1.25</v>
      </c>
      <c r="R389">
        <v>1.25</v>
      </c>
      <c r="S389">
        <v>1.25</v>
      </c>
      <c r="T389">
        <v>1.25</v>
      </c>
      <c r="U389">
        <v>1.25</v>
      </c>
      <c r="V389">
        <v>1.25</v>
      </c>
      <c r="W389">
        <v>1.25</v>
      </c>
      <c r="X389">
        <v>1.25</v>
      </c>
      <c r="Y389">
        <v>1.25</v>
      </c>
      <c r="Z389">
        <v>1.25</v>
      </c>
      <c r="AA389">
        <v>1.25</v>
      </c>
      <c r="AB389">
        <v>1.25</v>
      </c>
      <c r="AC389">
        <v>1.25</v>
      </c>
      <c r="AD389">
        <v>1.25</v>
      </c>
      <c r="AE389">
        <v>1.25</v>
      </c>
      <c r="AF389">
        <v>1.25</v>
      </c>
      <c r="AG389">
        <v>1.25</v>
      </c>
      <c r="AH389">
        <v>1.25</v>
      </c>
      <c r="AI389">
        <v>1.25</v>
      </c>
      <c r="AJ389">
        <v>1.25</v>
      </c>
      <c r="AK389">
        <v>1.25</v>
      </c>
      <c r="AL389">
        <v>1.25</v>
      </c>
      <c r="AM389">
        <v>1.25</v>
      </c>
      <c r="AN389">
        <v>1.25</v>
      </c>
      <c r="AO389">
        <v>1.25</v>
      </c>
      <c r="AP389">
        <v>1.25</v>
      </c>
      <c r="AQ389">
        <v>1.25</v>
      </c>
      <c r="AR389">
        <v>1.25</v>
      </c>
      <c r="AS389">
        <v>1.25</v>
      </c>
      <c r="AT389">
        <v>1.25</v>
      </c>
      <c r="AU389">
        <v>1.25</v>
      </c>
      <c r="AV389">
        <v>1.25</v>
      </c>
      <c r="AW389" t="s">
        <v>296</v>
      </c>
    </row>
    <row r="390" spans="1:49" ht="12.75">
      <c r="A390" t="s">
        <v>295</v>
      </c>
      <c r="B390" t="s">
        <v>291</v>
      </c>
      <c r="C390" t="s">
        <v>396</v>
      </c>
      <c r="D390" t="s">
        <v>421</v>
      </c>
      <c r="E390" t="s">
        <v>296</v>
      </c>
      <c r="F390" t="s">
        <v>83</v>
      </c>
      <c r="G390" t="s">
        <v>474</v>
      </c>
      <c r="H390" t="s">
        <v>296</v>
      </c>
      <c r="I390" t="s">
        <v>296</v>
      </c>
      <c r="J390" t="s">
        <v>296</v>
      </c>
      <c r="K390" t="s">
        <v>296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 t="s">
        <v>296</v>
      </c>
    </row>
    <row r="391" spans="1:49" ht="12.75">
      <c r="A391" t="s">
        <v>295</v>
      </c>
      <c r="B391" t="s">
        <v>291</v>
      </c>
      <c r="C391" t="s">
        <v>397</v>
      </c>
      <c r="D391" t="s">
        <v>49</v>
      </c>
      <c r="E391" t="s">
        <v>296</v>
      </c>
      <c r="F391" t="s">
        <v>83</v>
      </c>
      <c r="G391" t="s">
        <v>474</v>
      </c>
      <c r="H391" t="s">
        <v>296</v>
      </c>
      <c r="I391" t="s">
        <v>296</v>
      </c>
      <c r="J391" t="s">
        <v>296</v>
      </c>
      <c r="K391" t="s">
        <v>296</v>
      </c>
      <c r="L391">
        <v>1.25</v>
      </c>
      <c r="M391">
        <v>1.25</v>
      </c>
      <c r="N391">
        <v>1.25</v>
      </c>
      <c r="O391">
        <v>1.25</v>
      </c>
      <c r="P391">
        <v>1.25</v>
      </c>
      <c r="Q391">
        <v>1.25</v>
      </c>
      <c r="R391">
        <v>1.25</v>
      </c>
      <c r="S391">
        <v>1.25</v>
      </c>
      <c r="T391">
        <v>1.25</v>
      </c>
      <c r="U391">
        <v>1.25</v>
      </c>
      <c r="V391">
        <v>1.25</v>
      </c>
      <c r="W391">
        <v>1.25</v>
      </c>
      <c r="X391">
        <v>1.25</v>
      </c>
      <c r="Y391">
        <v>1.25</v>
      </c>
      <c r="Z391">
        <v>1.25</v>
      </c>
      <c r="AA391">
        <v>1.25</v>
      </c>
      <c r="AB391">
        <v>1.25</v>
      </c>
      <c r="AC391">
        <v>1.25</v>
      </c>
      <c r="AD391">
        <v>1.25</v>
      </c>
      <c r="AE391">
        <v>1.25</v>
      </c>
      <c r="AF391">
        <v>1.25</v>
      </c>
      <c r="AG391">
        <v>1.25</v>
      </c>
      <c r="AH391">
        <v>1.25</v>
      </c>
      <c r="AI391">
        <v>1.25</v>
      </c>
      <c r="AJ391">
        <v>1.25</v>
      </c>
      <c r="AK391">
        <v>1.25</v>
      </c>
      <c r="AL391">
        <v>1.25</v>
      </c>
      <c r="AM391">
        <v>1.25</v>
      </c>
      <c r="AN391">
        <v>1.25</v>
      </c>
      <c r="AO391">
        <v>1.25</v>
      </c>
      <c r="AP391">
        <v>1.25</v>
      </c>
      <c r="AQ391">
        <v>1.25</v>
      </c>
      <c r="AR391">
        <v>1.25</v>
      </c>
      <c r="AS391">
        <v>1.25</v>
      </c>
      <c r="AT391">
        <v>1.25</v>
      </c>
      <c r="AU391">
        <v>1.25</v>
      </c>
      <c r="AV391">
        <v>1.2350000000000001</v>
      </c>
      <c r="AW391" t="s">
        <v>296</v>
      </c>
    </row>
    <row r="392" spans="1:49" ht="12.75">
      <c r="A392" t="s">
        <v>295</v>
      </c>
      <c r="B392" t="s">
        <v>291</v>
      </c>
      <c r="C392" t="s">
        <v>397</v>
      </c>
      <c r="D392" t="s">
        <v>421</v>
      </c>
      <c r="E392" t="s">
        <v>296</v>
      </c>
      <c r="F392" t="s">
        <v>83</v>
      </c>
      <c r="G392" t="s">
        <v>474</v>
      </c>
      <c r="H392" t="s">
        <v>296</v>
      </c>
      <c r="I392" t="s">
        <v>296</v>
      </c>
      <c r="J392" t="s">
        <v>296</v>
      </c>
      <c r="K392" t="s">
        <v>296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 t="s">
        <v>296</v>
      </c>
    </row>
    <row r="393" spans="1:49" ht="12.75">
      <c r="A393" t="s">
        <v>295</v>
      </c>
      <c r="B393" t="s">
        <v>291</v>
      </c>
      <c r="C393" t="s">
        <v>398</v>
      </c>
      <c r="D393" t="s">
        <v>51</v>
      </c>
      <c r="E393" t="s">
        <v>296</v>
      </c>
      <c r="F393" t="s">
        <v>83</v>
      </c>
      <c r="G393" t="s">
        <v>474</v>
      </c>
      <c r="H393" t="s">
        <v>296</v>
      </c>
      <c r="I393" t="s">
        <v>296</v>
      </c>
      <c r="J393" t="s">
        <v>296</v>
      </c>
      <c r="K393" t="s">
        <v>296</v>
      </c>
      <c r="L393">
        <v>1.25</v>
      </c>
      <c r="M393">
        <v>1.25</v>
      </c>
      <c r="N393">
        <v>1.25</v>
      </c>
      <c r="O393">
        <v>1.25</v>
      </c>
      <c r="P393">
        <v>1.25</v>
      </c>
      <c r="Q393">
        <v>1.25</v>
      </c>
      <c r="R393">
        <v>1.25</v>
      </c>
      <c r="S393">
        <v>1.25</v>
      </c>
      <c r="T393">
        <v>1.25</v>
      </c>
      <c r="U393">
        <v>1.25</v>
      </c>
      <c r="V393">
        <v>1.25</v>
      </c>
      <c r="W393">
        <v>1.25</v>
      </c>
      <c r="X393">
        <v>1.25</v>
      </c>
      <c r="Y393">
        <v>1.25</v>
      </c>
      <c r="Z393">
        <v>1.25</v>
      </c>
      <c r="AA393">
        <v>1.25</v>
      </c>
      <c r="AB393">
        <v>1.25</v>
      </c>
      <c r="AC393">
        <v>1.25</v>
      </c>
      <c r="AD393">
        <v>1.25</v>
      </c>
      <c r="AE393">
        <v>1.25</v>
      </c>
      <c r="AF393">
        <v>1.25</v>
      </c>
      <c r="AG393">
        <v>1.25</v>
      </c>
      <c r="AH393">
        <v>1.25</v>
      </c>
      <c r="AI393">
        <v>1.25</v>
      </c>
      <c r="AJ393">
        <v>1.25</v>
      </c>
      <c r="AK393">
        <v>1.25</v>
      </c>
      <c r="AL393">
        <v>1.25</v>
      </c>
      <c r="AM393">
        <v>1.25</v>
      </c>
      <c r="AN393">
        <v>1.25</v>
      </c>
      <c r="AO393">
        <v>1.25</v>
      </c>
      <c r="AP393">
        <v>1.25</v>
      </c>
      <c r="AQ393">
        <v>1.25</v>
      </c>
      <c r="AR393">
        <v>1.25</v>
      </c>
      <c r="AS393">
        <v>1.25</v>
      </c>
      <c r="AT393">
        <v>1.25</v>
      </c>
      <c r="AU393">
        <v>1.25</v>
      </c>
      <c r="AV393">
        <v>1.2350000000000001</v>
      </c>
      <c r="AW393" t="s">
        <v>296</v>
      </c>
    </row>
    <row r="394" spans="1:49" ht="12.75">
      <c r="A394" t="s">
        <v>295</v>
      </c>
      <c r="B394" t="s">
        <v>291</v>
      </c>
      <c r="C394" t="s">
        <v>398</v>
      </c>
      <c r="D394" t="s">
        <v>421</v>
      </c>
      <c r="E394" t="s">
        <v>296</v>
      </c>
      <c r="F394" t="s">
        <v>83</v>
      </c>
      <c r="G394" t="s">
        <v>474</v>
      </c>
      <c r="H394" t="s">
        <v>296</v>
      </c>
      <c r="I394" t="s">
        <v>296</v>
      </c>
      <c r="J394" t="s">
        <v>296</v>
      </c>
      <c r="K394" t="s">
        <v>296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 t="s">
        <v>296</v>
      </c>
    </row>
    <row r="395" spans="1:49" ht="12.75">
      <c r="A395" t="s">
        <v>295</v>
      </c>
      <c r="B395" t="s">
        <v>291</v>
      </c>
      <c r="C395" t="s">
        <v>399</v>
      </c>
      <c r="D395" t="s">
        <v>37</v>
      </c>
      <c r="E395" t="s">
        <v>296</v>
      </c>
      <c r="F395" t="s">
        <v>83</v>
      </c>
      <c r="G395" t="s">
        <v>474</v>
      </c>
      <c r="H395" t="s">
        <v>296</v>
      </c>
      <c r="I395" t="s">
        <v>296</v>
      </c>
      <c r="J395" t="s">
        <v>296</v>
      </c>
      <c r="K395" t="s">
        <v>296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1.1764705882352899</v>
      </c>
      <c r="AW395" t="s">
        <v>296</v>
      </c>
    </row>
    <row r="396" spans="1:49" ht="12.75">
      <c r="A396" t="s">
        <v>295</v>
      </c>
      <c r="B396" t="s">
        <v>291</v>
      </c>
      <c r="C396" t="s">
        <v>399</v>
      </c>
      <c r="D396" t="s">
        <v>421</v>
      </c>
      <c r="E396" t="s">
        <v>296</v>
      </c>
      <c r="F396" t="s">
        <v>83</v>
      </c>
      <c r="G396" t="s">
        <v>474</v>
      </c>
      <c r="H396" t="s">
        <v>296</v>
      </c>
      <c r="I396" t="s">
        <v>296</v>
      </c>
      <c r="J396" t="s">
        <v>296</v>
      </c>
      <c r="K396" t="s">
        <v>296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 t="s">
        <v>296</v>
      </c>
    </row>
    <row r="397" spans="1:49" ht="12.75">
      <c r="A397" t="s">
        <v>295</v>
      </c>
      <c r="B397" t="s">
        <v>291</v>
      </c>
      <c r="C397" t="s">
        <v>400</v>
      </c>
      <c r="D397" t="s">
        <v>38</v>
      </c>
      <c r="E397" t="s">
        <v>296</v>
      </c>
      <c r="F397" t="s">
        <v>83</v>
      </c>
      <c r="G397" t="s">
        <v>474</v>
      </c>
      <c r="H397" t="s">
        <v>296</v>
      </c>
      <c r="I397" t="s">
        <v>296</v>
      </c>
      <c r="J397" t="s">
        <v>296</v>
      </c>
      <c r="K397" t="s">
        <v>296</v>
      </c>
      <c r="L397">
        <v>1.25</v>
      </c>
      <c r="M397">
        <v>1.25</v>
      </c>
      <c r="N397">
        <v>1.25</v>
      </c>
      <c r="O397">
        <v>1.25</v>
      </c>
      <c r="P397">
        <v>1.25</v>
      </c>
      <c r="Q397">
        <v>1.25</v>
      </c>
      <c r="R397">
        <v>1.25</v>
      </c>
      <c r="S397">
        <v>1.25</v>
      </c>
      <c r="T397">
        <v>1.25</v>
      </c>
      <c r="U397">
        <v>1.25</v>
      </c>
      <c r="V397">
        <v>1.25</v>
      </c>
      <c r="W397">
        <v>1.25</v>
      </c>
      <c r="X397">
        <v>1.25</v>
      </c>
      <c r="Y397">
        <v>1.25</v>
      </c>
      <c r="Z397">
        <v>1.25</v>
      </c>
      <c r="AA397">
        <v>1.25</v>
      </c>
      <c r="AB397">
        <v>1.25</v>
      </c>
      <c r="AC397">
        <v>1.25</v>
      </c>
      <c r="AD397">
        <v>1.25</v>
      </c>
      <c r="AE397">
        <v>1.25</v>
      </c>
      <c r="AF397">
        <v>1.25</v>
      </c>
      <c r="AG397">
        <v>1.25</v>
      </c>
      <c r="AH397">
        <v>1.25</v>
      </c>
      <c r="AI397">
        <v>1.25</v>
      </c>
      <c r="AJ397">
        <v>1.25</v>
      </c>
      <c r="AK397">
        <v>1.25</v>
      </c>
      <c r="AL397">
        <v>1.25</v>
      </c>
      <c r="AM397">
        <v>1.25</v>
      </c>
      <c r="AN397">
        <v>1.25</v>
      </c>
      <c r="AO397">
        <v>1.25</v>
      </c>
      <c r="AP397">
        <v>1.25</v>
      </c>
      <c r="AQ397">
        <v>1.25</v>
      </c>
      <c r="AR397">
        <v>1.25</v>
      </c>
      <c r="AS397">
        <v>1.25</v>
      </c>
      <c r="AT397">
        <v>1.25</v>
      </c>
      <c r="AU397">
        <v>1.25</v>
      </c>
      <c r="AV397">
        <v>1.25</v>
      </c>
      <c r="AW397" t="s">
        <v>296</v>
      </c>
    </row>
    <row r="398" spans="1:49" ht="12.75">
      <c r="A398" t="s">
        <v>295</v>
      </c>
      <c r="B398" t="s">
        <v>291</v>
      </c>
      <c r="C398" t="s">
        <v>400</v>
      </c>
      <c r="D398" t="s">
        <v>421</v>
      </c>
      <c r="E398" t="s">
        <v>296</v>
      </c>
      <c r="F398" t="s">
        <v>83</v>
      </c>
      <c r="G398" t="s">
        <v>474</v>
      </c>
      <c r="H398" t="s">
        <v>296</v>
      </c>
      <c r="I398" t="s">
        <v>296</v>
      </c>
      <c r="J398" t="s">
        <v>296</v>
      </c>
      <c r="K398" t="s">
        <v>296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 t="s">
        <v>296</v>
      </c>
    </row>
    <row r="399" spans="1:49" ht="12.75">
      <c r="A399" t="s">
        <v>295</v>
      </c>
      <c r="B399" t="s">
        <v>291</v>
      </c>
      <c r="C399" t="s">
        <v>401</v>
      </c>
      <c r="D399" t="s">
        <v>43</v>
      </c>
      <c r="E399" t="s">
        <v>296</v>
      </c>
      <c r="F399" t="s">
        <v>83</v>
      </c>
      <c r="G399" t="s">
        <v>474</v>
      </c>
      <c r="H399" t="s">
        <v>296</v>
      </c>
      <c r="I399" t="s">
        <v>296</v>
      </c>
      <c r="J399" t="s">
        <v>296</v>
      </c>
      <c r="K399" t="s">
        <v>296</v>
      </c>
      <c r="L399">
        <v>1.25</v>
      </c>
      <c r="M399">
        <v>1.25</v>
      </c>
      <c r="N399">
        <v>1.25</v>
      </c>
      <c r="O399">
        <v>1.25</v>
      </c>
      <c r="P399">
        <v>1.25</v>
      </c>
      <c r="Q399">
        <v>1.25</v>
      </c>
      <c r="R399">
        <v>1.25</v>
      </c>
      <c r="S399">
        <v>1.25</v>
      </c>
      <c r="T399">
        <v>1.25</v>
      </c>
      <c r="U399">
        <v>1.25</v>
      </c>
      <c r="V399">
        <v>1.25</v>
      </c>
      <c r="W399">
        <v>1.25</v>
      </c>
      <c r="X399">
        <v>1.25</v>
      </c>
      <c r="Y399">
        <v>1.25</v>
      </c>
      <c r="Z399">
        <v>1.25</v>
      </c>
      <c r="AA399">
        <v>1.25</v>
      </c>
      <c r="AB399">
        <v>1.25</v>
      </c>
      <c r="AC399">
        <v>1.25</v>
      </c>
      <c r="AD399">
        <v>1.25</v>
      </c>
      <c r="AE399">
        <v>1.25</v>
      </c>
      <c r="AF399">
        <v>1.25</v>
      </c>
      <c r="AG399">
        <v>1.25</v>
      </c>
      <c r="AH399">
        <v>1.25</v>
      </c>
      <c r="AI399">
        <v>1.25</v>
      </c>
      <c r="AJ399">
        <v>1.25</v>
      </c>
      <c r="AK399">
        <v>1.25</v>
      </c>
      <c r="AL399">
        <v>1.25</v>
      </c>
      <c r="AM399">
        <v>1.25</v>
      </c>
      <c r="AN399">
        <v>1.25</v>
      </c>
      <c r="AO399">
        <v>1.25</v>
      </c>
      <c r="AP399">
        <v>1.25</v>
      </c>
      <c r="AQ399">
        <v>1.25</v>
      </c>
      <c r="AR399">
        <v>1.25</v>
      </c>
      <c r="AS399">
        <v>1.25</v>
      </c>
      <c r="AT399">
        <v>1.25</v>
      </c>
      <c r="AU399">
        <v>1.25</v>
      </c>
      <c r="AV399">
        <v>1.25</v>
      </c>
      <c r="AW399" t="s">
        <v>296</v>
      </c>
    </row>
    <row r="400" spans="1:49" ht="12.75">
      <c r="A400" t="s">
        <v>295</v>
      </c>
      <c r="B400" t="s">
        <v>291</v>
      </c>
      <c r="C400" t="s">
        <v>401</v>
      </c>
      <c r="D400" t="s">
        <v>421</v>
      </c>
      <c r="E400" t="s">
        <v>296</v>
      </c>
      <c r="F400" t="s">
        <v>83</v>
      </c>
      <c r="G400" t="s">
        <v>474</v>
      </c>
      <c r="H400" t="s">
        <v>296</v>
      </c>
      <c r="I400" t="s">
        <v>296</v>
      </c>
      <c r="J400" t="s">
        <v>296</v>
      </c>
      <c r="K400" t="s">
        <v>296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 t="s">
        <v>296</v>
      </c>
    </row>
    <row r="401" spans="1:49" ht="12.75">
      <c r="A401" t="s">
        <v>295</v>
      </c>
      <c r="B401" t="s">
        <v>291</v>
      </c>
      <c r="C401" t="s">
        <v>402</v>
      </c>
      <c r="D401" t="s">
        <v>114</v>
      </c>
      <c r="E401" t="s">
        <v>296</v>
      </c>
      <c r="F401" t="s">
        <v>83</v>
      </c>
      <c r="G401" t="s">
        <v>474</v>
      </c>
      <c r="H401" t="s">
        <v>296</v>
      </c>
      <c r="I401" t="s">
        <v>296</v>
      </c>
      <c r="J401" t="s">
        <v>296</v>
      </c>
      <c r="K401" t="s">
        <v>296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1.0204081632653099</v>
      </c>
      <c r="AW401" t="s">
        <v>296</v>
      </c>
    </row>
    <row r="402" spans="1:49" ht="12.75">
      <c r="A402" t="s">
        <v>295</v>
      </c>
      <c r="B402" t="s">
        <v>291</v>
      </c>
      <c r="C402" t="s">
        <v>402</v>
      </c>
      <c r="D402" t="s">
        <v>421</v>
      </c>
      <c r="E402" t="s">
        <v>296</v>
      </c>
      <c r="F402" t="s">
        <v>83</v>
      </c>
      <c r="G402" t="s">
        <v>474</v>
      </c>
      <c r="H402" t="s">
        <v>296</v>
      </c>
      <c r="I402" t="s">
        <v>296</v>
      </c>
      <c r="J402" t="s">
        <v>296</v>
      </c>
      <c r="K402" t="s">
        <v>296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 t="s">
        <v>296</v>
      </c>
    </row>
    <row r="403" spans="1:49" ht="12.75">
      <c r="A403" t="s">
        <v>295</v>
      </c>
      <c r="B403" t="s">
        <v>291</v>
      </c>
      <c r="C403" t="s">
        <v>403</v>
      </c>
      <c r="D403" t="s">
        <v>39</v>
      </c>
      <c r="E403" t="s">
        <v>296</v>
      </c>
      <c r="F403" t="s">
        <v>83</v>
      </c>
      <c r="G403" t="s">
        <v>474</v>
      </c>
      <c r="H403" t="s">
        <v>296</v>
      </c>
      <c r="I403" t="s">
        <v>296</v>
      </c>
      <c r="J403" t="s">
        <v>296</v>
      </c>
      <c r="K403" t="s">
        <v>296</v>
      </c>
      <c r="L403">
        <v>1.25</v>
      </c>
      <c r="M403">
        <v>1.25</v>
      </c>
      <c r="N403">
        <v>1.25</v>
      </c>
      <c r="O403">
        <v>1.25</v>
      </c>
      <c r="P403">
        <v>1.25</v>
      </c>
      <c r="Q403">
        <v>1.25</v>
      </c>
      <c r="R403">
        <v>1.25</v>
      </c>
      <c r="S403">
        <v>1.25</v>
      </c>
      <c r="T403">
        <v>1.25</v>
      </c>
      <c r="U403">
        <v>1.25</v>
      </c>
      <c r="V403">
        <v>1.25</v>
      </c>
      <c r="W403">
        <v>1.25</v>
      </c>
      <c r="X403">
        <v>1.25</v>
      </c>
      <c r="Y403">
        <v>1.25</v>
      </c>
      <c r="Z403">
        <v>1.25</v>
      </c>
      <c r="AA403">
        <v>1.25</v>
      </c>
      <c r="AB403">
        <v>1.25</v>
      </c>
      <c r="AC403">
        <v>1.25</v>
      </c>
      <c r="AD403">
        <v>1.25</v>
      </c>
      <c r="AE403">
        <v>1.25</v>
      </c>
      <c r="AF403">
        <v>1.25</v>
      </c>
      <c r="AG403">
        <v>1.25</v>
      </c>
      <c r="AH403">
        <v>1.25</v>
      </c>
      <c r="AI403">
        <v>1.25</v>
      </c>
      <c r="AJ403">
        <v>1.25</v>
      </c>
      <c r="AK403">
        <v>1.25</v>
      </c>
      <c r="AL403">
        <v>1.25</v>
      </c>
      <c r="AM403">
        <v>1.25</v>
      </c>
      <c r="AN403">
        <v>1.25</v>
      </c>
      <c r="AO403">
        <v>1.25</v>
      </c>
      <c r="AP403">
        <v>1.25</v>
      </c>
      <c r="AQ403">
        <v>1.25</v>
      </c>
      <c r="AR403">
        <v>1.25</v>
      </c>
      <c r="AS403">
        <v>1.25</v>
      </c>
      <c r="AT403">
        <v>1.25</v>
      </c>
      <c r="AU403">
        <v>1.25</v>
      </c>
      <c r="AV403">
        <v>1.1111111111111101</v>
      </c>
      <c r="AW403" t="s">
        <v>296</v>
      </c>
    </row>
    <row r="404" spans="1:49" ht="12.75">
      <c r="A404" t="s">
        <v>295</v>
      </c>
      <c r="B404" t="s">
        <v>291</v>
      </c>
      <c r="C404" t="s">
        <v>403</v>
      </c>
      <c r="D404" t="s">
        <v>421</v>
      </c>
      <c r="E404" t="s">
        <v>296</v>
      </c>
      <c r="F404" t="s">
        <v>83</v>
      </c>
      <c r="G404" t="s">
        <v>474</v>
      </c>
      <c r="H404" t="s">
        <v>296</v>
      </c>
      <c r="I404" t="s">
        <v>296</v>
      </c>
      <c r="J404" t="s">
        <v>296</v>
      </c>
      <c r="K404" t="s">
        <v>296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 t="s">
        <v>296</v>
      </c>
    </row>
    <row r="405" spans="1:49" ht="12.75">
      <c r="A405" t="s">
        <v>295</v>
      </c>
      <c r="B405" t="s">
        <v>291</v>
      </c>
      <c r="C405" t="s">
        <v>404</v>
      </c>
      <c r="D405" t="s">
        <v>44</v>
      </c>
      <c r="E405" t="s">
        <v>296</v>
      </c>
      <c r="F405" t="s">
        <v>83</v>
      </c>
      <c r="G405" t="s">
        <v>474</v>
      </c>
      <c r="H405" t="s">
        <v>296</v>
      </c>
      <c r="I405" t="s">
        <v>296</v>
      </c>
      <c r="J405" t="s">
        <v>296</v>
      </c>
      <c r="K405" t="s">
        <v>296</v>
      </c>
      <c r="L405">
        <v>1.25</v>
      </c>
      <c r="M405">
        <v>1.25</v>
      </c>
      <c r="N405">
        <v>1.25</v>
      </c>
      <c r="O405">
        <v>1.25</v>
      </c>
      <c r="P405">
        <v>1.25</v>
      </c>
      <c r="Q405">
        <v>1.25</v>
      </c>
      <c r="R405">
        <v>1.25</v>
      </c>
      <c r="S405">
        <v>1.25</v>
      </c>
      <c r="T405">
        <v>1.25</v>
      </c>
      <c r="U405">
        <v>1.25</v>
      </c>
      <c r="V405">
        <v>1.25</v>
      </c>
      <c r="W405">
        <v>1.25</v>
      </c>
      <c r="X405">
        <v>1.25</v>
      </c>
      <c r="Y405">
        <v>1.25</v>
      </c>
      <c r="Z405">
        <v>1.25</v>
      </c>
      <c r="AA405">
        <v>1.25</v>
      </c>
      <c r="AB405">
        <v>1.25</v>
      </c>
      <c r="AC405">
        <v>1.25</v>
      </c>
      <c r="AD405">
        <v>1.25</v>
      </c>
      <c r="AE405">
        <v>1.25</v>
      </c>
      <c r="AF405">
        <v>1.25</v>
      </c>
      <c r="AG405">
        <v>1.25</v>
      </c>
      <c r="AH405">
        <v>1.25</v>
      </c>
      <c r="AI405">
        <v>1.25</v>
      </c>
      <c r="AJ405">
        <v>1.25</v>
      </c>
      <c r="AK405">
        <v>1.25</v>
      </c>
      <c r="AL405">
        <v>1.25</v>
      </c>
      <c r="AM405">
        <v>1.25</v>
      </c>
      <c r="AN405">
        <v>1.25</v>
      </c>
      <c r="AO405">
        <v>1.25</v>
      </c>
      <c r="AP405">
        <v>1.25</v>
      </c>
      <c r="AQ405">
        <v>1.25</v>
      </c>
      <c r="AR405">
        <v>1.25</v>
      </c>
      <c r="AS405">
        <v>1.25</v>
      </c>
      <c r="AT405">
        <v>1.25</v>
      </c>
      <c r="AU405">
        <v>1.25</v>
      </c>
      <c r="AV405">
        <v>1.25</v>
      </c>
      <c r="AW405" t="s">
        <v>296</v>
      </c>
    </row>
    <row r="406" spans="1:49" ht="12.75">
      <c r="A406" t="s">
        <v>295</v>
      </c>
      <c r="B406" t="s">
        <v>291</v>
      </c>
      <c r="C406" t="s">
        <v>404</v>
      </c>
      <c r="D406" t="s">
        <v>421</v>
      </c>
      <c r="E406" t="s">
        <v>296</v>
      </c>
      <c r="F406" t="s">
        <v>83</v>
      </c>
      <c r="G406" t="s">
        <v>474</v>
      </c>
      <c r="H406" t="s">
        <v>296</v>
      </c>
      <c r="I406" t="s">
        <v>296</v>
      </c>
      <c r="J406" t="s">
        <v>296</v>
      </c>
      <c r="K406" t="s">
        <v>296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 t="s">
        <v>296</v>
      </c>
    </row>
    <row r="407" spans="1:49" ht="12.75">
      <c r="A407" t="s">
        <v>295</v>
      </c>
      <c r="B407" t="s">
        <v>291</v>
      </c>
      <c r="C407" t="s">
        <v>153</v>
      </c>
      <c r="D407" t="s">
        <v>37</v>
      </c>
      <c r="E407" t="s">
        <v>296</v>
      </c>
      <c r="F407" t="s">
        <v>83</v>
      </c>
      <c r="G407" t="s">
        <v>474</v>
      </c>
      <c r="H407" t="s">
        <v>296</v>
      </c>
      <c r="I407" t="s">
        <v>296</v>
      </c>
      <c r="J407" t="s">
        <v>296</v>
      </c>
      <c r="K407" t="s">
        <v>296</v>
      </c>
      <c r="L407">
        <v>2.415</v>
      </c>
      <c r="M407">
        <v>2.1000000000000001</v>
      </c>
      <c r="N407">
        <v>3.0449999999999999</v>
      </c>
      <c r="O407">
        <v>2.226</v>
      </c>
      <c r="P407">
        <v>2.52</v>
      </c>
      <c r="Q407">
        <v>2.52</v>
      </c>
      <c r="R407">
        <v>4.95714285714286</v>
      </c>
      <c r="S407">
        <v>2.835</v>
      </c>
      <c r="T407">
        <v>2.1000000000000001</v>
      </c>
      <c r="U407">
        <v>2.1000000000000001</v>
      </c>
      <c r="V407">
        <v>3.1185</v>
      </c>
      <c r="W407">
        <v>1.8899999999999999</v>
      </c>
      <c r="X407">
        <v>1.4175</v>
      </c>
      <c r="Y407">
        <v>3.5070000000000001</v>
      </c>
      <c r="Z407">
        <v>2.1840000000000002</v>
      </c>
      <c r="AA407">
        <v>2.0895000000000001</v>
      </c>
      <c r="AB407">
        <v>2.1000000000000001</v>
      </c>
      <c r="AC407">
        <v>4.0110000000000001</v>
      </c>
      <c r="AD407">
        <v>2.1000000000000001</v>
      </c>
      <c r="AE407">
        <v>2.0579999999999998</v>
      </c>
      <c r="AF407">
        <v>2.1000000000000001</v>
      </c>
      <c r="AG407">
        <v>2.625</v>
      </c>
      <c r="AH407">
        <v>2.8140000000000001</v>
      </c>
      <c r="AI407">
        <v>1.6316999999999999</v>
      </c>
      <c r="AJ407">
        <v>2.1000000000000001</v>
      </c>
      <c r="AK407">
        <v>2.625</v>
      </c>
      <c r="AL407">
        <v>2</v>
      </c>
      <c r="AM407">
        <v>1.7849999999999999</v>
      </c>
      <c r="AN407">
        <v>2.4674999999999998</v>
      </c>
      <c r="AO407">
        <v>2.3100000000000001</v>
      </c>
      <c r="AP407">
        <v>3.5699999999999998</v>
      </c>
      <c r="AQ407">
        <v>2.3100000000000001</v>
      </c>
      <c r="AR407">
        <v>2.1000000000000001</v>
      </c>
      <c r="AS407">
        <v>3.7799999999999998</v>
      </c>
      <c r="AT407">
        <v>2.016</v>
      </c>
      <c r="AU407">
        <v>2.52</v>
      </c>
      <c r="AV407">
        <v>2.9609999999999999</v>
      </c>
      <c r="AW407" t="s">
        <v>296</v>
      </c>
    </row>
    <row r="408" spans="1:49" ht="12.75">
      <c r="A408" t="s">
        <v>295</v>
      </c>
      <c r="B408" t="s">
        <v>291</v>
      </c>
      <c r="C408" t="s">
        <v>153</v>
      </c>
      <c r="D408" t="s">
        <v>422</v>
      </c>
      <c r="E408" t="s">
        <v>296</v>
      </c>
      <c r="F408" t="s">
        <v>83</v>
      </c>
      <c r="G408" t="s">
        <v>474</v>
      </c>
      <c r="H408" t="s">
        <v>296</v>
      </c>
      <c r="I408" t="s">
        <v>296</v>
      </c>
      <c r="J408" t="s">
        <v>296</v>
      </c>
      <c r="K408" t="s">
        <v>296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 t="s">
        <v>296</v>
      </c>
    </row>
    <row r="409" spans="1:49" ht="12.75">
      <c r="A409" t="s">
        <v>295</v>
      </c>
      <c r="B409" t="s">
        <v>291</v>
      </c>
      <c r="C409" t="s">
        <v>153</v>
      </c>
      <c r="D409" t="s">
        <v>59</v>
      </c>
      <c r="E409" t="s">
        <v>296</v>
      </c>
      <c r="F409" t="s">
        <v>83</v>
      </c>
      <c r="G409" t="s">
        <v>474</v>
      </c>
      <c r="H409" t="s">
        <v>296</v>
      </c>
      <c r="I409" t="s">
        <v>296</v>
      </c>
      <c r="J409" t="s">
        <v>296</v>
      </c>
      <c r="K409" t="s">
        <v>296</v>
      </c>
      <c r="L409">
        <v>10.199999999999999</v>
      </c>
      <c r="M409">
        <v>9.4719999999999995</v>
      </c>
      <c r="N409">
        <v>11.6</v>
      </c>
      <c r="O409">
        <v>8.8000000000000007</v>
      </c>
      <c r="P409">
        <v>10.880000000000001</v>
      </c>
      <c r="Q409">
        <v>6.5119999999999996</v>
      </c>
      <c r="R409">
        <v>0</v>
      </c>
      <c r="S409">
        <v>12.32</v>
      </c>
      <c r="T409">
        <v>7.3120000000000003</v>
      </c>
      <c r="U409">
        <v>8</v>
      </c>
      <c r="V409">
        <v>8.7200000000000006</v>
      </c>
      <c r="W409">
        <v>6.6559999999999997</v>
      </c>
      <c r="X409">
        <v>7.4000000000000004</v>
      </c>
      <c r="Y409">
        <v>11.199999999999999</v>
      </c>
      <c r="Z409">
        <v>8</v>
      </c>
      <c r="AA409">
        <v>7.96</v>
      </c>
      <c r="AB409">
        <v>6.8799999999999999</v>
      </c>
      <c r="AC409">
        <v>2.04</v>
      </c>
      <c r="AD409">
        <v>8</v>
      </c>
      <c r="AE409">
        <v>7.8399999999999999</v>
      </c>
      <c r="AF409">
        <v>8</v>
      </c>
      <c r="AG409">
        <v>7.2000000000000002</v>
      </c>
      <c r="AH409">
        <v>6.9199999999999999</v>
      </c>
      <c r="AI409">
        <v>6.2160000000000002</v>
      </c>
      <c r="AJ409">
        <v>8</v>
      </c>
      <c r="AK409">
        <v>4.9199999999999999</v>
      </c>
      <c r="AL409">
        <v>8</v>
      </c>
      <c r="AM409">
        <v>7.7199999999999998</v>
      </c>
      <c r="AN409">
        <v>6.5359999999999996</v>
      </c>
      <c r="AO409">
        <v>8.8000000000000007</v>
      </c>
      <c r="AP409">
        <v>14.800000000000001</v>
      </c>
      <c r="AQ409">
        <v>8.4000000000000004</v>
      </c>
      <c r="AR409">
        <v>8</v>
      </c>
      <c r="AS409">
        <v>11.800000000000001</v>
      </c>
      <c r="AT409">
        <v>7.7919999999999998</v>
      </c>
      <c r="AU409">
        <v>11.6</v>
      </c>
      <c r="AV409">
        <v>7.2800000000000002</v>
      </c>
      <c r="AW409" t="s">
        <v>296</v>
      </c>
    </row>
    <row r="410" spans="1:49" ht="12.75">
      <c r="A410" t="s">
        <v>295</v>
      </c>
      <c r="B410" t="s">
        <v>291</v>
      </c>
      <c r="C410" t="s">
        <v>153</v>
      </c>
      <c r="D410" t="s">
        <v>101</v>
      </c>
      <c r="E410" t="s">
        <v>296</v>
      </c>
      <c r="F410" t="s">
        <v>83</v>
      </c>
      <c r="G410" t="s">
        <v>474</v>
      </c>
      <c r="H410" t="s">
        <v>296</v>
      </c>
      <c r="I410" t="s">
        <v>296</v>
      </c>
      <c r="J410" t="s">
        <v>296</v>
      </c>
      <c r="K410" t="s">
        <v>296</v>
      </c>
      <c r="L410">
        <v>1.02</v>
      </c>
      <c r="M410">
        <v>1.02</v>
      </c>
      <c r="N410">
        <v>1.02</v>
      </c>
      <c r="O410">
        <v>1.02</v>
      </c>
      <c r="P410">
        <v>1.02</v>
      </c>
      <c r="Q410">
        <v>1.02</v>
      </c>
      <c r="R410">
        <v>1.02</v>
      </c>
      <c r="S410">
        <v>1.02</v>
      </c>
      <c r="T410">
        <v>1.02</v>
      </c>
      <c r="U410">
        <v>1.02</v>
      </c>
      <c r="V410">
        <v>1.224</v>
      </c>
      <c r="W410">
        <v>1.02</v>
      </c>
      <c r="X410">
        <v>0.71399999999999997</v>
      </c>
      <c r="Y410">
        <v>1.3260000000000001</v>
      </c>
      <c r="Z410">
        <v>1.02</v>
      </c>
      <c r="AA410">
        <v>1.02</v>
      </c>
      <c r="AB410">
        <v>1.02</v>
      </c>
      <c r="AC410">
        <v>1.02</v>
      </c>
      <c r="AD410">
        <v>1.02</v>
      </c>
      <c r="AE410">
        <v>1.02</v>
      </c>
      <c r="AF410">
        <v>1.02</v>
      </c>
      <c r="AG410">
        <v>1.02</v>
      </c>
      <c r="AH410">
        <v>1.02</v>
      </c>
      <c r="AI410">
        <v>1.02</v>
      </c>
      <c r="AJ410">
        <v>1.02</v>
      </c>
      <c r="AK410">
        <v>1.02</v>
      </c>
      <c r="AL410">
        <v>1.02</v>
      </c>
      <c r="AM410">
        <v>1.02</v>
      </c>
      <c r="AN410">
        <v>1.02</v>
      </c>
      <c r="AO410">
        <v>1.02</v>
      </c>
      <c r="AP410">
        <v>1.02</v>
      </c>
      <c r="AQ410">
        <v>1.02</v>
      </c>
      <c r="AR410">
        <v>1.02</v>
      </c>
      <c r="AS410">
        <v>1.02</v>
      </c>
      <c r="AT410">
        <v>1.02</v>
      </c>
      <c r="AU410">
        <v>1.02</v>
      </c>
      <c r="AV410">
        <v>1.02</v>
      </c>
      <c r="AW410" t="s">
        <v>296</v>
      </c>
    </row>
    <row r="411" spans="1:49" ht="12.75">
      <c r="A411" t="s">
        <v>295</v>
      </c>
      <c r="B411" t="s">
        <v>291</v>
      </c>
      <c r="C411" t="s">
        <v>154</v>
      </c>
      <c r="D411" t="s">
        <v>155</v>
      </c>
      <c r="E411" t="s">
        <v>296</v>
      </c>
      <c r="F411" t="s">
        <v>83</v>
      </c>
      <c r="G411" t="s">
        <v>474</v>
      </c>
      <c r="H411" t="s">
        <v>296</v>
      </c>
      <c r="I411" t="s">
        <v>296</v>
      </c>
      <c r="J411" t="s">
        <v>296</v>
      </c>
      <c r="K411" t="s">
        <v>296</v>
      </c>
      <c r="O411">
        <v>0.14799999999999999</v>
      </c>
      <c r="P411">
        <v>0.438</v>
      </c>
      <c r="Q411">
        <v>0.438</v>
      </c>
      <c r="T411">
        <v>0.14999999999999999</v>
      </c>
      <c r="U411">
        <v>0.14999999999999999</v>
      </c>
      <c r="AW411" t="s">
        <v>296</v>
      </c>
    </row>
    <row r="412" spans="1:49" ht="12.75">
      <c r="A412" t="s">
        <v>295</v>
      </c>
      <c r="B412" t="s">
        <v>291</v>
      </c>
      <c r="C412" t="s">
        <v>154</v>
      </c>
      <c r="D412" t="s">
        <v>37</v>
      </c>
      <c r="E412" t="s">
        <v>296</v>
      </c>
      <c r="F412" t="s">
        <v>83</v>
      </c>
      <c r="G412" t="s">
        <v>474</v>
      </c>
      <c r="H412" t="s">
        <v>296</v>
      </c>
      <c r="I412" t="s">
        <v>296</v>
      </c>
      <c r="J412" t="s">
        <v>296</v>
      </c>
      <c r="K412" t="s">
        <v>296</v>
      </c>
      <c r="L412">
        <v>2.2999999999999998</v>
      </c>
      <c r="M412">
        <v>2</v>
      </c>
      <c r="N412">
        <v>2.8999999999999999</v>
      </c>
      <c r="O412">
        <v>2.1200000000000001</v>
      </c>
      <c r="P412">
        <v>2.3999999999999999</v>
      </c>
      <c r="Q412">
        <v>2.3999999999999999</v>
      </c>
      <c r="R412">
        <v>2</v>
      </c>
      <c r="S412">
        <v>2.7000000000000002</v>
      </c>
      <c r="T412">
        <v>2</v>
      </c>
      <c r="U412">
        <v>2</v>
      </c>
      <c r="V412">
        <v>2.9700000000000002</v>
      </c>
      <c r="W412">
        <v>1.8</v>
      </c>
      <c r="X412">
        <v>1.3500000000000001</v>
      </c>
      <c r="Y412">
        <v>3.3399999999999999</v>
      </c>
      <c r="Z412">
        <v>2.0800000000000001</v>
      </c>
      <c r="AA412">
        <v>1.99</v>
      </c>
      <c r="AB412">
        <v>2</v>
      </c>
      <c r="AC412">
        <v>3.8199999999999998</v>
      </c>
      <c r="AD412">
        <v>2</v>
      </c>
      <c r="AE412">
        <v>1.96</v>
      </c>
      <c r="AF412">
        <v>2</v>
      </c>
      <c r="AG412">
        <v>2.5</v>
      </c>
      <c r="AH412">
        <v>2.6800000000000002</v>
      </c>
      <c r="AI412">
        <v>1.554</v>
      </c>
      <c r="AJ412">
        <v>2</v>
      </c>
      <c r="AK412">
        <v>2.5</v>
      </c>
      <c r="AL412">
        <v>2</v>
      </c>
      <c r="AM412">
        <v>1.7</v>
      </c>
      <c r="AN412">
        <v>2.3500000000000001</v>
      </c>
      <c r="AO412">
        <v>2.2000000000000002</v>
      </c>
      <c r="AP412">
        <v>3.3999999999999999</v>
      </c>
      <c r="AQ412">
        <v>2.2000000000000002</v>
      </c>
      <c r="AR412">
        <v>2</v>
      </c>
      <c r="AS412">
        <v>3.6000000000000001</v>
      </c>
      <c r="AT412">
        <v>1.9199999999999999</v>
      </c>
      <c r="AU412">
        <v>2.3999999999999999</v>
      </c>
      <c r="AV412">
        <v>2.8199999999999998</v>
      </c>
      <c r="AW412" t="s">
        <v>296</v>
      </c>
    </row>
    <row r="413" spans="1:49" ht="12.75">
      <c r="A413" t="s">
        <v>295</v>
      </c>
      <c r="B413" t="s">
        <v>291</v>
      </c>
      <c r="C413" t="s">
        <v>154</v>
      </c>
      <c r="D413" t="s">
        <v>38</v>
      </c>
      <c r="E413" t="s">
        <v>296</v>
      </c>
      <c r="F413" t="s">
        <v>83</v>
      </c>
      <c r="G413" t="s">
        <v>474</v>
      </c>
      <c r="H413" t="s">
        <v>296</v>
      </c>
      <c r="I413" t="s">
        <v>296</v>
      </c>
      <c r="J413" t="s">
        <v>296</v>
      </c>
      <c r="K413" t="s">
        <v>296</v>
      </c>
      <c r="L413">
        <v>0</v>
      </c>
      <c r="M413">
        <v>0.28999999999999998</v>
      </c>
      <c r="N413">
        <v>0.28999999999999998</v>
      </c>
      <c r="O413">
        <v>0</v>
      </c>
      <c r="P413">
        <v>0</v>
      </c>
      <c r="Q413">
        <v>0</v>
      </c>
      <c r="R413">
        <v>0.28999999999999998</v>
      </c>
      <c r="S413">
        <v>0.28999999999999998</v>
      </c>
      <c r="T413">
        <v>0.28999999999999998</v>
      </c>
      <c r="U413">
        <v>0.25</v>
      </c>
      <c r="V413">
        <v>0.25955</v>
      </c>
      <c r="W413">
        <v>0.28999999999999998</v>
      </c>
      <c r="X413">
        <v>0</v>
      </c>
      <c r="Y413">
        <v>0</v>
      </c>
      <c r="Z413">
        <v>0</v>
      </c>
      <c r="AA413">
        <v>0.28999999999999998</v>
      </c>
      <c r="AB413">
        <v>0.28999999999999998</v>
      </c>
      <c r="AC413">
        <v>0</v>
      </c>
      <c r="AD413">
        <v>0.28999999999999998</v>
      </c>
      <c r="AE413">
        <v>0.28999999999999998</v>
      </c>
      <c r="AF413">
        <v>0.28999999999999998</v>
      </c>
      <c r="AG413">
        <v>0.28999999999999998</v>
      </c>
      <c r="AH413">
        <v>0.28999999999999998</v>
      </c>
      <c r="AI413">
        <v>0.28999999999999998</v>
      </c>
      <c r="AJ413">
        <v>0.28999999999999998</v>
      </c>
      <c r="AK413">
        <v>0.28999999999999998</v>
      </c>
      <c r="AL413">
        <v>0.28999999999999998</v>
      </c>
      <c r="AM413">
        <v>0.28999999999999998</v>
      </c>
      <c r="AN413">
        <v>0</v>
      </c>
      <c r="AO413">
        <v>0.28999999999999998</v>
      </c>
      <c r="AP413">
        <v>0</v>
      </c>
      <c r="AQ413">
        <v>0.28999999999999998</v>
      </c>
      <c r="AR413">
        <v>0.28999999999999998</v>
      </c>
      <c r="AS413">
        <v>0</v>
      </c>
      <c r="AT413">
        <v>0.28999999999999998</v>
      </c>
      <c r="AU413">
        <v>0.28999999999999998</v>
      </c>
      <c r="AV413">
        <v>0.28999999999999998</v>
      </c>
      <c r="AW413" t="s">
        <v>296</v>
      </c>
    </row>
    <row r="414" spans="1:49" ht="12.75">
      <c r="A414" t="s">
        <v>295</v>
      </c>
      <c r="B414" t="s">
        <v>291</v>
      </c>
      <c r="C414" t="s">
        <v>154</v>
      </c>
      <c r="D414" t="s">
        <v>44</v>
      </c>
      <c r="E414" t="s">
        <v>296</v>
      </c>
      <c r="F414" t="s">
        <v>83</v>
      </c>
      <c r="G414" t="s">
        <v>474</v>
      </c>
      <c r="H414" t="s">
        <v>296</v>
      </c>
      <c r="I414" t="s">
        <v>296</v>
      </c>
      <c r="J414" t="s">
        <v>296</v>
      </c>
      <c r="K414" t="s">
        <v>296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0.14799999999999999</v>
      </c>
      <c r="S414">
        <v>0</v>
      </c>
      <c r="T414">
        <v>0</v>
      </c>
      <c r="U414">
        <v>0</v>
      </c>
      <c r="V414">
        <v>0</v>
      </c>
      <c r="W414">
        <v>0.14799999999999999</v>
      </c>
      <c r="X414">
        <v>0</v>
      </c>
      <c r="Y414">
        <v>0.14799999999999999</v>
      </c>
      <c r="Z414">
        <v>0</v>
      </c>
      <c r="AA414">
        <v>0.14799999999999999</v>
      </c>
      <c r="AB414">
        <v>0</v>
      </c>
      <c r="AC414">
        <v>0.14799999999999999</v>
      </c>
      <c r="AD414">
        <v>0.14799999999999999</v>
      </c>
      <c r="AE414">
        <v>0</v>
      </c>
      <c r="AF414">
        <v>0.14799999999999999</v>
      </c>
      <c r="AG414">
        <v>0</v>
      </c>
      <c r="AH414">
        <v>0</v>
      </c>
      <c r="AI414">
        <v>0</v>
      </c>
      <c r="AJ414">
        <v>0.14799999999999999</v>
      </c>
      <c r="AK414">
        <v>0.14799999999999999</v>
      </c>
      <c r="AL414">
        <v>0.14799999999999999</v>
      </c>
      <c r="AM414">
        <v>0</v>
      </c>
      <c r="AN414">
        <v>0.14799999999999999</v>
      </c>
      <c r="AO414">
        <v>0</v>
      </c>
      <c r="AP414">
        <v>0</v>
      </c>
      <c r="AQ414">
        <v>0.14799999999999999</v>
      </c>
      <c r="AR414">
        <v>0.14799999999999999</v>
      </c>
      <c r="AS414">
        <v>0</v>
      </c>
      <c r="AT414">
        <v>0</v>
      </c>
      <c r="AU414">
        <v>0</v>
      </c>
      <c r="AV414">
        <v>0</v>
      </c>
      <c r="AW414" t="s">
        <v>296</v>
      </c>
    </row>
    <row r="415" spans="1:49" ht="12.75">
      <c r="A415" t="s">
        <v>295</v>
      </c>
      <c r="B415" t="s">
        <v>291</v>
      </c>
      <c r="C415" t="s">
        <v>154</v>
      </c>
      <c r="D415" t="s">
        <v>423</v>
      </c>
      <c r="E415" t="s">
        <v>296</v>
      </c>
      <c r="F415" t="s">
        <v>83</v>
      </c>
      <c r="G415" t="s">
        <v>474</v>
      </c>
      <c r="H415" t="s">
        <v>296</v>
      </c>
      <c r="I415" t="s">
        <v>296</v>
      </c>
      <c r="J415" t="s">
        <v>296</v>
      </c>
      <c r="K415" t="s">
        <v>296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 t="s">
        <v>296</v>
      </c>
    </row>
    <row r="416" spans="1:49" ht="12.75">
      <c r="A416" t="s">
        <v>295</v>
      </c>
      <c r="B416" t="s">
        <v>291</v>
      </c>
      <c r="C416" t="s">
        <v>154</v>
      </c>
      <c r="D416" t="s">
        <v>59</v>
      </c>
      <c r="E416" t="s">
        <v>296</v>
      </c>
      <c r="F416" t="s">
        <v>83</v>
      </c>
      <c r="G416" t="s">
        <v>474</v>
      </c>
      <c r="H416" t="s">
        <v>296</v>
      </c>
      <c r="I416" t="s">
        <v>296</v>
      </c>
      <c r="J416" t="s">
        <v>296</v>
      </c>
      <c r="K416" t="s">
        <v>296</v>
      </c>
      <c r="L416">
        <v>8.9250000000000007</v>
      </c>
      <c r="M416">
        <v>8.2880000000000003</v>
      </c>
      <c r="N416">
        <v>10.15</v>
      </c>
      <c r="O416">
        <v>7.7000000000000002</v>
      </c>
      <c r="P416">
        <v>9.5199999999999996</v>
      </c>
      <c r="Q416">
        <v>5.6980000000000004</v>
      </c>
      <c r="R416">
        <v>7</v>
      </c>
      <c r="S416">
        <v>10.779999999999999</v>
      </c>
      <c r="T416">
        <v>6.3979999999999997</v>
      </c>
      <c r="U416">
        <v>7</v>
      </c>
      <c r="V416">
        <v>7.6299999999999999</v>
      </c>
      <c r="W416">
        <v>5.8239999999999998</v>
      </c>
      <c r="X416">
        <v>6.4749999999999996</v>
      </c>
      <c r="Y416">
        <v>9.8000000000000007</v>
      </c>
      <c r="Z416">
        <v>7</v>
      </c>
      <c r="AA416">
        <v>6.9649999999999999</v>
      </c>
      <c r="AB416">
        <v>6.0199999999999996</v>
      </c>
      <c r="AC416">
        <v>1.7849999999999999</v>
      </c>
      <c r="AD416">
        <v>7</v>
      </c>
      <c r="AE416">
        <v>6.6500000000000004</v>
      </c>
      <c r="AF416">
        <v>7</v>
      </c>
      <c r="AG416">
        <v>6.2999999999999998</v>
      </c>
      <c r="AH416">
        <v>6.0549999999999997</v>
      </c>
      <c r="AI416">
        <v>5.4390000000000001</v>
      </c>
      <c r="AJ416">
        <v>7</v>
      </c>
      <c r="AK416">
        <v>4.3049999999999997</v>
      </c>
      <c r="AL416">
        <v>7</v>
      </c>
      <c r="AM416">
        <v>6.7549999999999999</v>
      </c>
      <c r="AN416">
        <v>5.7190000000000003</v>
      </c>
      <c r="AO416">
        <v>7.7000000000000002</v>
      </c>
      <c r="AP416">
        <v>12.949999999999999</v>
      </c>
      <c r="AQ416">
        <v>7.3499999999999996</v>
      </c>
      <c r="AR416">
        <v>7</v>
      </c>
      <c r="AS416">
        <v>10.324999999999999</v>
      </c>
      <c r="AT416">
        <v>6.8179999999999996</v>
      </c>
      <c r="AU416">
        <v>10.15</v>
      </c>
      <c r="AV416">
        <v>6.3700000000000001</v>
      </c>
      <c r="AW416" t="s">
        <v>296</v>
      </c>
    </row>
    <row r="417" spans="1:49" ht="12.75">
      <c r="A417" t="s">
        <v>295</v>
      </c>
      <c r="B417" t="s">
        <v>291</v>
      </c>
      <c r="C417" t="s">
        <v>154</v>
      </c>
      <c r="D417" t="s">
        <v>156</v>
      </c>
      <c r="E417" t="s">
        <v>296</v>
      </c>
      <c r="F417" t="s">
        <v>83</v>
      </c>
      <c r="G417" t="s">
        <v>474</v>
      </c>
      <c r="H417" t="s">
        <v>296</v>
      </c>
      <c r="I417" t="s">
        <v>296</v>
      </c>
      <c r="J417" t="s">
        <v>296</v>
      </c>
      <c r="K417" t="s">
        <v>296</v>
      </c>
      <c r="L417">
        <v>0.22</v>
      </c>
      <c r="M417">
        <v>0.22</v>
      </c>
      <c r="N417">
        <v>0.22</v>
      </c>
      <c r="O417">
        <v>0.22</v>
      </c>
      <c r="P417">
        <v>0.22</v>
      </c>
      <c r="Q417">
        <v>0.22</v>
      </c>
      <c r="R417">
        <v>0.22</v>
      </c>
      <c r="S417">
        <v>0.22</v>
      </c>
      <c r="T417">
        <v>0.22</v>
      </c>
      <c r="U417">
        <v>0.22</v>
      </c>
      <c r="V417">
        <v>0.22</v>
      </c>
      <c r="W417">
        <v>0.22</v>
      </c>
      <c r="X417">
        <v>0.22</v>
      </c>
      <c r="Y417">
        <v>0.22</v>
      </c>
      <c r="Z417">
        <v>0.22</v>
      </c>
      <c r="AA417">
        <v>0.22</v>
      </c>
      <c r="AB417">
        <v>0.22</v>
      </c>
      <c r="AC417">
        <v>0.22</v>
      </c>
      <c r="AD417">
        <v>0.22</v>
      </c>
      <c r="AE417">
        <v>0.22</v>
      </c>
      <c r="AF417">
        <v>0.22</v>
      </c>
      <c r="AG417">
        <v>0.22</v>
      </c>
      <c r="AH417">
        <v>0.22</v>
      </c>
      <c r="AI417">
        <v>0.22</v>
      </c>
      <c r="AJ417">
        <v>0.22</v>
      </c>
      <c r="AK417">
        <v>0.22</v>
      </c>
      <c r="AL417">
        <v>0.22</v>
      </c>
      <c r="AM417">
        <v>0.22</v>
      </c>
      <c r="AN417">
        <v>0.22</v>
      </c>
      <c r="AO417">
        <v>0.22</v>
      </c>
      <c r="AP417">
        <v>0.22</v>
      </c>
      <c r="AQ417">
        <v>0.22</v>
      </c>
      <c r="AR417">
        <v>0.22</v>
      </c>
      <c r="AS417">
        <v>0.22</v>
      </c>
      <c r="AT417">
        <v>0.22</v>
      </c>
      <c r="AU417">
        <v>0.22</v>
      </c>
      <c r="AV417">
        <v>0.22</v>
      </c>
      <c r="AW417" t="s">
        <v>296</v>
      </c>
    </row>
    <row r="418" spans="1:49" ht="12.75">
      <c r="A418" t="s">
        <v>295</v>
      </c>
      <c r="B418" t="s">
        <v>291</v>
      </c>
      <c r="C418" t="s">
        <v>154</v>
      </c>
      <c r="D418" t="s">
        <v>157</v>
      </c>
      <c r="E418" t="s">
        <v>296</v>
      </c>
      <c r="F418" t="s">
        <v>83</v>
      </c>
      <c r="G418" t="s">
        <v>474</v>
      </c>
      <c r="H418" t="s">
        <v>296</v>
      </c>
      <c r="I418" t="s">
        <v>296</v>
      </c>
      <c r="J418" t="s">
        <v>296</v>
      </c>
      <c r="K418" t="s">
        <v>296</v>
      </c>
      <c r="L418">
        <v>0.050000000000000003</v>
      </c>
      <c r="M418">
        <v>0.050000000000000003</v>
      </c>
      <c r="N418">
        <v>0.050000000000000003</v>
      </c>
      <c r="O418">
        <v>0.050000000000000003</v>
      </c>
      <c r="P418">
        <v>0.050000000000000003</v>
      </c>
      <c r="Q418">
        <v>0.050000000000000003</v>
      </c>
      <c r="R418">
        <v>0.050000000000000003</v>
      </c>
      <c r="S418">
        <v>0.050000000000000003</v>
      </c>
      <c r="T418">
        <v>0.050000000000000003</v>
      </c>
      <c r="U418">
        <v>0.050000000000000003</v>
      </c>
      <c r="V418">
        <v>0.050000000000000003</v>
      </c>
      <c r="W418">
        <v>0.050000000000000003</v>
      </c>
      <c r="X418">
        <v>0.050000000000000003</v>
      </c>
      <c r="Y418">
        <v>0.050000000000000003</v>
      </c>
      <c r="Z418">
        <v>0.050000000000000003</v>
      </c>
      <c r="AA418">
        <v>0.050000000000000003</v>
      </c>
      <c r="AB418">
        <v>0.050000000000000003</v>
      </c>
      <c r="AC418">
        <v>0.050000000000000003</v>
      </c>
      <c r="AD418">
        <v>0.050000000000000003</v>
      </c>
      <c r="AE418">
        <v>0.050000000000000003</v>
      </c>
      <c r="AF418">
        <v>0.050000000000000003</v>
      </c>
      <c r="AG418">
        <v>0.050000000000000003</v>
      </c>
      <c r="AH418">
        <v>0.050000000000000003</v>
      </c>
      <c r="AI418">
        <v>0.050000000000000003</v>
      </c>
      <c r="AJ418">
        <v>0.050000000000000003</v>
      </c>
      <c r="AK418">
        <v>0.050000000000000003</v>
      </c>
      <c r="AL418">
        <v>0.050000000000000003</v>
      </c>
      <c r="AM418">
        <v>0.050000000000000003</v>
      </c>
      <c r="AN418">
        <v>0.050000000000000003</v>
      </c>
      <c r="AO418">
        <v>0.050000000000000003</v>
      </c>
      <c r="AP418">
        <v>0.050000000000000003</v>
      </c>
      <c r="AQ418">
        <v>0.050000000000000003</v>
      </c>
      <c r="AR418">
        <v>0.050000000000000003</v>
      </c>
      <c r="AS418">
        <v>0.050000000000000003</v>
      </c>
      <c r="AT418">
        <v>0.050000000000000003</v>
      </c>
      <c r="AU418">
        <v>0.050000000000000003</v>
      </c>
      <c r="AV418">
        <v>0.050000000000000003</v>
      </c>
      <c r="AW418" t="s">
        <v>296</v>
      </c>
    </row>
    <row r="419" spans="1:49" ht="12.75">
      <c r="A419" t="s">
        <v>295</v>
      </c>
      <c r="B419" t="s">
        <v>291</v>
      </c>
      <c r="C419" t="s">
        <v>154</v>
      </c>
      <c r="D419" t="s">
        <v>101</v>
      </c>
      <c r="E419" t="s">
        <v>296</v>
      </c>
      <c r="F419" t="s">
        <v>83</v>
      </c>
      <c r="G419" t="s">
        <v>474</v>
      </c>
      <c r="H419" t="s">
        <v>296</v>
      </c>
      <c r="I419" t="s">
        <v>296</v>
      </c>
      <c r="J419" t="s">
        <v>296</v>
      </c>
      <c r="K419" t="s">
        <v>296</v>
      </c>
      <c r="L419">
        <v>0.68000000000000005</v>
      </c>
      <c r="M419">
        <v>0.68000000000000005</v>
      </c>
      <c r="N419">
        <v>0.748</v>
      </c>
      <c r="O419">
        <v>0.68000000000000005</v>
      </c>
      <c r="P419">
        <v>0.68000000000000005</v>
      </c>
      <c r="Q419">
        <v>0.68000000000000005</v>
      </c>
      <c r="R419">
        <v>0.68000000000000005</v>
      </c>
      <c r="S419">
        <v>0.68000000000000005</v>
      </c>
      <c r="T419">
        <v>0.68000000000000005</v>
      </c>
      <c r="U419">
        <v>0.68000000000000005</v>
      </c>
      <c r="V419">
        <v>1.0029999999999999</v>
      </c>
      <c r="W419">
        <v>0.68000000000000005</v>
      </c>
      <c r="X419">
        <v>0.61199999999999999</v>
      </c>
      <c r="Y419">
        <v>0.88400000000000001</v>
      </c>
      <c r="Z419">
        <v>0.68000000000000005</v>
      </c>
      <c r="AA419">
        <v>0.68000000000000005</v>
      </c>
      <c r="AB419">
        <v>0.68000000000000005</v>
      </c>
      <c r="AC419">
        <v>0.68000000000000005</v>
      </c>
      <c r="AD419">
        <v>0.68000000000000005</v>
      </c>
      <c r="AE419">
        <v>0.68000000000000005</v>
      </c>
      <c r="AF419">
        <v>0.68000000000000005</v>
      </c>
      <c r="AG419">
        <v>0.68000000000000005</v>
      </c>
      <c r="AH419">
        <v>0.68000000000000005</v>
      </c>
      <c r="AI419">
        <v>0.68000000000000005</v>
      </c>
      <c r="AJ419">
        <v>0.68000000000000005</v>
      </c>
      <c r="AK419">
        <v>0.68000000000000005</v>
      </c>
      <c r="AL419">
        <v>0.68000000000000005</v>
      </c>
      <c r="AM419">
        <v>0.68000000000000005</v>
      </c>
      <c r="AN419">
        <v>0.68000000000000005</v>
      </c>
      <c r="AO419">
        <v>0.68000000000000005</v>
      </c>
      <c r="AP419">
        <v>0.748</v>
      </c>
      <c r="AQ419">
        <v>0.68000000000000005</v>
      </c>
      <c r="AR419">
        <v>0.68000000000000005</v>
      </c>
      <c r="AS419">
        <v>1.1424000000000001</v>
      </c>
      <c r="AT419">
        <v>0.68000000000000005</v>
      </c>
      <c r="AU419">
        <v>0.91800000000000004</v>
      </c>
      <c r="AV419">
        <v>0.68000000000000005</v>
      </c>
      <c r="AW419" t="s">
        <v>296</v>
      </c>
    </row>
    <row r="420" spans="1:49" ht="12.75">
      <c r="A420" t="s">
        <v>295</v>
      </c>
      <c r="B420" t="s">
        <v>291</v>
      </c>
      <c r="C420" t="s">
        <v>154</v>
      </c>
      <c r="D420" t="s">
        <v>158</v>
      </c>
      <c r="E420" t="s">
        <v>296</v>
      </c>
      <c r="F420" t="s">
        <v>83</v>
      </c>
      <c r="G420" t="s">
        <v>474</v>
      </c>
      <c r="H420" t="s">
        <v>296</v>
      </c>
      <c r="I420" t="s">
        <v>296</v>
      </c>
      <c r="J420" t="s">
        <v>296</v>
      </c>
      <c r="K420" t="s">
        <v>296</v>
      </c>
      <c r="L420">
        <v>0.089999999999999997</v>
      </c>
      <c r="M420">
        <v>0.089999999999999997</v>
      </c>
      <c r="N420">
        <v>0.089999999999999997</v>
      </c>
      <c r="O420">
        <v>0.089999999999999997</v>
      </c>
      <c r="P420">
        <v>0.089999999999999997</v>
      </c>
      <c r="Q420">
        <v>0.089999999999999997</v>
      </c>
      <c r="R420">
        <v>0.089999999999999997</v>
      </c>
      <c r="S420">
        <v>0.089999999999999997</v>
      </c>
      <c r="T420">
        <v>0.089999999999999997</v>
      </c>
      <c r="U420">
        <v>0.089999999999999997</v>
      </c>
      <c r="V420">
        <v>0.089999999999999997</v>
      </c>
      <c r="W420">
        <v>0.089999999999999997</v>
      </c>
      <c r="X420">
        <v>0.089999999999999997</v>
      </c>
      <c r="Y420">
        <v>0.089999999999999997</v>
      </c>
      <c r="Z420">
        <v>0.089999999999999997</v>
      </c>
      <c r="AA420">
        <v>0.089999999999999997</v>
      </c>
      <c r="AB420">
        <v>0.089999999999999997</v>
      </c>
      <c r="AC420">
        <v>0.089999999999999997</v>
      </c>
      <c r="AD420">
        <v>0.089999999999999997</v>
      </c>
      <c r="AE420">
        <v>0.089999999999999997</v>
      </c>
      <c r="AF420">
        <v>0.089999999999999997</v>
      </c>
      <c r="AG420">
        <v>0.089999999999999997</v>
      </c>
      <c r="AH420">
        <v>0.089999999999999997</v>
      </c>
      <c r="AI420">
        <v>0.089999999999999997</v>
      </c>
      <c r="AJ420">
        <v>0.089999999999999997</v>
      </c>
      <c r="AK420">
        <v>0.089999999999999997</v>
      </c>
      <c r="AL420">
        <v>0.089999999999999997</v>
      </c>
      <c r="AM420">
        <v>0.089999999999999997</v>
      </c>
      <c r="AN420">
        <v>0.089999999999999997</v>
      </c>
      <c r="AO420">
        <v>0.089999999999999997</v>
      </c>
      <c r="AP420">
        <v>0.089999999999999997</v>
      </c>
      <c r="AQ420">
        <v>0.089999999999999997</v>
      </c>
      <c r="AR420">
        <v>0.089999999999999997</v>
      </c>
      <c r="AS420">
        <v>0.089999999999999997</v>
      </c>
      <c r="AT420">
        <v>0.089999999999999997</v>
      </c>
      <c r="AU420">
        <v>0.089999999999999997</v>
      </c>
      <c r="AV420">
        <v>0.089999999999999997</v>
      </c>
      <c r="AW420" t="s">
        <v>296</v>
      </c>
    </row>
    <row r="421" spans="1:49" ht="12.75">
      <c r="A421" t="s">
        <v>295</v>
      </c>
      <c r="B421" t="s">
        <v>291</v>
      </c>
      <c r="C421" t="s">
        <v>159</v>
      </c>
      <c r="D421" t="s">
        <v>155</v>
      </c>
      <c r="E421" t="s">
        <v>296</v>
      </c>
      <c r="F421" t="s">
        <v>83</v>
      </c>
      <c r="G421" t="s">
        <v>474</v>
      </c>
      <c r="H421" t="s">
        <v>296</v>
      </c>
      <c r="I421" t="s">
        <v>296</v>
      </c>
      <c r="J421" t="s">
        <v>296</v>
      </c>
      <c r="K421" t="s">
        <v>296</v>
      </c>
      <c r="L421">
        <v>4.7000000000000002</v>
      </c>
      <c r="M421">
        <v>4.7000000000000002</v>
      </c>
      <c r="N421">
        <v>4.7000000000000002</v>
      </c>
      <c r="O421">
        <v>4.7000000000000002</v>
      </c>
      <c r="P421">
        <v>2.3500000000000001</v>
      </c>
      <c r="Q421">
        <v>4.7000000000000002</v>
      </c>
      <c r="R421">
        <v>4.7000000000000002</v>
      </c>
      <c r="S421">
        <v>4.7000000000000002</v>
      </c>
      <c r="T421">
        <v>4.7000000000000002</v>
      </c>
      <c r="U421">
        <v>4.7000000000000002</v>
      </c>
      <c r="V421">
        <v>4.7000000000000002</v>
      </c>
      <c r="W421">
        <v>4.7000000000000002</v>
      </c>
      <c r="X421">
        <v>4.7000000000000002</v>
      </c>
      <c r="Y421">
        <v>4.7000000000000002</v>
      </c>
      <c r="Z421">
        <v>5.4050000000000002</v>
      </c>
      <c r="AA421">
        <v>4.7000000000000002</v>
      </c>
      <c r="AB421">
        <v>4.7000000000000002</v>
      </c>
      <c r="AC421">
        <v>4.7000000000000002</v>
      </c>
      <c r="AD421">
        <v>4.7000000000000002</v>
      </c>
      <c r="AE421">
        <v>4.7000000000000002</v>
      </c>
      <c r="AF421">
        <v>4.7000000000000002</v>
      </c>
      <c r="AG421">
        <v>4.7000000000000002</v>
      </c>
      <c r="AH421">
        <v>4.7000000000000002</v>
      </c>
      <c r="AI421">
        <v>4.7000000000000002</v>
      </c>
      <c r="AJ421">
        <v>4.7000000000000002</v>
      </c>
      <c r="AK421">
        <v>4.7000000000000002</v>
      </c>
      <c r="AL421">
        <v>4.7000000000000002</v>
      </c>
      <c r="AM421">
        <v>4.7000000000000002</v>
      </c>
      <c r="AN421">
        <v>4.7000000000000002</v>
      </c>
      <c r="AO421">
        <v>4.7000000000000002</v>
      </c>
      <c r="AP421">
        <v>4.7000000000000002</v>
      </c>
      <c r="AQ421">
        <v>4.7000000000000002</v>
      </c>
      <c r="AR421">
        <v>4.7000000000000002</v>
      </c>
      <c r="AS421">
        <v>4.7000000000000002</v>
      </c>
      <c r="AT421">
        <v>4.7000000000000002</v>
      </c>
      <c r="AU421">
        <v>4.7000000000000002</v>
      </c>
      <c r="AV421">
        <v>4.7000000000000002</v>
      </c>
      <c r="AW421" t="s">
        <v>296</v>
      </c>
    </row>
    <row r="422" spans="1:49" ht="12.75">
      <c r="A422" t="s">
        <v>295</v>
      </c>
      <c r="B422" t="s">
        <v>291</v>
      </c>
      <c r="C422" t="s">
        <v>159</v>
      </c>
      <c r="D422" t="s">
        <v>163</v>
      </c>
      <c r="E422" t="s">
        <v>296</v>
      </c>
      <c r="F422" t="s">
        <v>83</v>
      </c>
      <c r="G422" t="s">
        <v>474</v>
      </c>
      <c r="H422" t="s">
        <v>296</v>
      </c>
      <c r="I422" t="s">
        <v>296</v>
      </c>
      <c r="J422" t="s">
        <v>296</v>
      </c>
      <c r="K422" t="s">
        <v>296</v>
      </c>
      <c r="L422">
        <v>18</v>
      </c>
      <c r="M422">
        <v>18</v>
      </c>
      <c r="N422">
        <v>9</v>
      </c>
      <c r="O422">
        <v>18</v>
      </c>
      <c r="P422">
        <v>9</v>
      </c>
      <c r="Q422">
        <v>18</v>
      </c>
      <c r="R422">
        <v>18</v>
      </c>
      <c r="S422">
        <v>18</v>
      </c>
      <c r="T422">
        <v>18</v>
      </c>
      <c r="U422">
        <v>18</v>
      </c>
      <c r="V422">
        <v>18</v>
      </c>
      <c r="W422">
        <v>18</v>
      </c>
      <c r="X422">
        <v>18</v>
      </c>
      <c r="Y422">
        <v>18</v>
      </c>
      <c r="Z422">
        <v>20.699999999999999</v>
      </c>
      <c r="AA422">
        <v>18</v>
      </c>
      <c r="AB422">
        <v>18</v>
      </c>
      <c r="AC422">
        <v>18</v>
      </c>
      <c r="AD422">
        <v>18</v>
      </c>
      <c r="AE422">
        <v>18</v>
      </c>
      <c r="AF422">
        <v>18</v>
      </c>
      <c r="AG422">
        <v>18</v>
      </c>
      <c r="AH422">
        <v>18</v>
      </c>
      <c r="AI422">
        <v>18</v>
      </c>
      <c r="AJ422">
        <v>18</v>
      </c>
      <c r="AK422">
        <v>18</v>
      </c>
      <c r="AL422">
        <v>18</v>
      </c>
      <c r="AM422">
        <v>18</v>
      </c>
      <c r="AN422">
        <v>18</v>
      </c>
      <c r="AO422">
        <v>18</v>
      </c>
      <c r="AP422">
        <v>18</v>
      </c>
      <c r="AQ422">
        <v>18</v>
      </c>
      <c r="AR422">
        <v>18</v>
      </c>
      <c r="AS422">
        <v>18</v>
      </c>
      <c r="AT422">
        <v>18</v>
      </c>
      <c r="AU422">
        <v>18</v>
      </c>
      <c r="AV422">
        <v>18</v>
      </c>
      <c r="AW422" t="s">
        <v>296</v>
      </c>
    </row>
    <row r="423" spans="1:49" ht="12.75">
      <c r="A423" t="s">
        <v>295</v>
      </c>
      <c r="B423" t="s">
        <v>291</v>
      </c>
      <c r="C423" t="s">
        <v>159</v>
      </c>
      <c r="D423" t="s">
        <v>37</v>
      </c>
      <c r="E423" t="s">
        <v>296</v>
      </c>
      <c r="F423" t="s">
        <v>83</v>
      </c>
      <c r="G423" t="s">
        <v>474</v>
      </c>
      <c r="H423" t="s">
        <v>296</v>
      </c>
      <c r="I423" t="s">
        <v>296</v>
      </c>
      <c r="J423" t="s">
        <v>296</v>
      </c>
      <c r="K423" t="s">
        <v>296</v>
      </c>
      <c r="L423">
        <v>2.645</v>
      </c>
      <c r="M423">
        <v>2.2999999999999998</v>
      </c>
      <c r="N423">
        <v>3.335</v>
      </c>
      <c r="O423">
        <v>2.4380000000000002</v>
      </c>
      <c r="P423">
        <v>2.7599999999999998</v>
      </c>
      <c r="Q423">
        <v>2.7599999999999998</v>
      </c>
      <c r="R423">
        <v>2.2999999999999998</v>
      </c>
      <c r="S423">
        <v>3.105</v>
      </c>
      <c r="T423">
        <v>2.2999999999999998</v>
      </c>
      <c r="U423">
        <v>2.2999999999999998</v>
      </c>
      <c r="V423">
        <v>3.4155000000000002</v>
      </c>
      <c r="W423">
        <v>2.0699999999999998</v>
      </c>
      <c r="X423">
        <v>1.5525</v>
      </c>
      <c r="Y423">
        <v>2.52</v>
      </c>
      <c r="Z423">
        <v>2.3919999999999999</v>
      </c>
      <c r="AA423">
        <v>2.2885</v>
      </c>
      <c r="AB423">
        <v>2.2999999999999998</v>
      </c>
      <c r="AC423">
        <v>2.2999999999999998</v>
      </c>
      <c r="AD423">
        <v>2.2999999999999998</v>
      </c>
      <c r="AE423">
        <v>2.254</v>
      </c>
      <c r="AF423">
        <v>2.2999999999999998</v>
      </c>
      <c r="AG423">
        <v>2.875</v>
      </c>
      <c r="AH423">
        <v>3.0819999999999999</v>
      </c>
      <c r="AI423">
        <v>1.7870999999999999</v>
      </c>
      <c r="AJ423">
        <v>2.2999999999999998</v>
      </c>
      <c r="AK423">
        <v>2.875</v>
      </c>
      <c r="AL423">
        <v>2.2999999999999998</v>
      </c>
      <c r="AM423">
        <v>1.9550000000000001</v>
      </c>
      <c r="AN423">
        <v>2.7025000000000001</v>
      </c>
      <c r="AO423">
        <v>2.5299999999999998</v>
      </c>
      <c r="AP423">
        <v>3.9100000000000001</v>
      </c>
      <c r="AQ423">
        <v>2.5299999999999998</v>
      </c>
      <c r="AR423">
        <v>2.2999999999999998</v>
      </c>
      <c r="AS423">
        <v>4.1399999999999997</v>
      </c>
      <c r="AT423">
        <v>2.2080000000000002</v>
      </c>
      <c r="AU423">
        <v>2.7599999999999998</v>
      </c>
      <c r="AV423">
        <v>3.2429999999999999</v>
      </c>
      <c r="AW423" t="s">
        <v>296</v>
      </c>
    </row>
    <row r="424" spans="1:49" ht="12.75">
      <c r="A424" t="s">
        <v>295</v>
      </c>
      <c r="B424" t="s">
        <v>291</v>
      </c>
      <c r="C424" t="s">
        <v>159</v>
      </c>
      <c r="D424" t="s">
        <v>59</v>
      </c>
      <c r="E424" t="s">
        <v>296</v>
      </c>
      <c r="F424" t="s">
        <v>83</v>
      </c>
      <c r="G424" t="s">
        <v>474</v>
      </c>
      <c r="H424" t="s">
        <v>296</v>
      </c>
      <c r="I424" t="s">
        <v>296</v>
      </c>
      <c r="J424" t="s">
        <v>296</v>
      </c>
      <c r="K424" t="s">
        <v>296</v>
      </c>
      <c r="L424">
        <v>9.9450000000000003</v>
      </c>
      <c r="M424">
        <v>9.2352000000000007</v>
      </c>
      <c r="N424">
        <v>11.31</v>
      </c>
      <c r="O424">
        <v>8.5800000000000001</v>
      </c>
      <c r="P424">
        <v>10.608000000000001</v>
      </c>
      <c r="Q424">
        <v>6.3491999999999997</v>
      </c>
      <c r="R424">
        <v>7.7999999999999998</v>
      </c>
      <c r="S424">
        <v>12.012</v>
      </c>
      <c r="T424">
        <v>7.1292</v>
      </c>
      <c r="U424">
        <v>7.7999999999999998</v>
      </c>
      <c r="V424">
        <v>8.5020000000000007</v>
      </c>
      <c r="W424">
        <v>6.4896000000000003</v>
      </c>
      <c r="X424">
        <v>7.2149999999999999</v>
      </c>
      <c r="Y424">
        <v>7.7999999999999998</v>
      </c>
      <c r="Z424">
        <v>7.7999999999999998</v>
      </c>
      <c r="AA424">
        <v>7.7610000000000001</v>
      </c>
      <c r="AB424">
        <v>6.7080000000000002</v>
      </c>
      <c r="AC424">
        <v>7.7999999999999998</v>
      </c>
      <c r="AD424">
        <v>7.7999999999999998</v>
      </c>
      <c r="AE424">
        <v>7.4100000000000001</v>
      </c>
      <c r="AF424">
        <v>7.7999999999999998</v>
      </c>
      <c r="AG424">
        <v>7.0199999999999996</v>
      </c>
      <c r="AH424">
        <v>6.7469999999999999</v>
      </c>
      <c r="AI424">
        <v>6.0606</v>
      </c>
      <c r="AJ424">
        <v>7.7999999999999998</v>
      </c>
      <c r="AK424">
        <v>4.7969999999999997</v>
      </c>
      <c r="AL424">
        <v>7.7999999999999998</v>
      </c>
      <c r="AM424">
        <v>7.5270000000000001</v>
      </c>
      <c r="AN424">
        <v>6.3726000000000003</v>
      </c>
      <c r="AO424">
        <v>8.5800000000000001</v>
      </c>
      <c r="AP424">
        <v>14.43</v>
      </c>
      <c r="AQ424">
        <v>8.1899999999999995</v>
      </c>
      <c r="AR424">
        <v>7.7999999999999998</v>
      </c>
      <c r="AS424">
        <v>11.505000000000001</v>
      </c>
      <c r="AT424">
        <v>7.5972</v>
      </c>
      <c r="AU424">
        <v>11.31</v>
      </c>
      <c r="AV424">
        <v>7.0979999999999999</v>
      </c>
      <c r="AW424" t="s">
        <v>296</v>
      </c>
    </row>
    <row r="425" spans="1:49" ht="12.75">
      <c r="A425" t="s">
        <v>295</v>
      </c>
      <c r="B425" t="s">
        <v>291</v>
      </c>
      <c r="C425" t="s">
        <v>159</v>
      </c>
      <c r="D425" t="s">
        <v>82</v>
      </c>
      <c r="E425" t="s">
        <v>296</v>
      </c>
      <c r="F425" t="s">
        <v>83</v>
      </c>
      <c r="G425" t="s">
        <v>474</v>
      </c>
      <c r="H425" t="s">
        <v>296</v>
      </c>
      <c r="I425" t="s">
        <v>296</v>
      </c>
      <c r="J425" t="s">
        <v>296</v>
      </c>
      <c r="K425" t="s">
        <v>296</v>
      </c>
      <c r="L425">
        <v>1.8069999999999999</v>
      </c>
      <c r="M425">
        <v>1.8069999999999999</v>
      </c>
      <c r="N425">
        <v>1.8069999999999999</v>
      </c>
      <c r="O425">
        <v>1.8069999999999999</v>
      </c>
      <c r="P425">
        <v>1.8069999999999999</v>
      </c>
      <c r="Q425">
        <v>1.8069999999999999</v>
      </c>
      <c r="R425">
        <v>1.8069999999999999</v>
      </c>
      <c r="S425">
        <v>1.8069999999999999</v>
      </c>
      <c r="T425">
        <v>1.8069999999999999</v>
      </c>
      <c r="U425">
        <v>1.8069999999999999</v>
      </c>
      <c r="V425">
        <v>1.8069999999999999</v>
      </c>
      <c r="W425">
        <v>1.8069999999999999</v>
      </c>
      <c r="X425">
        <v>1.8069999999999999</v>
      </c>
      <c r="Y425">
        <v>1.8069999999999999</v>
      </c>
      <c r="Z425">
        <v>1.8069999999999999</v>
      </c>
      <c r="AA425">
        <v>1.8069999999999999</v>
      </c>
      <c r="AB425">
        <v>1.8069999999999999</v>
      </c>
      <c r="AC425">
        <v>1.8069999999999999</v>
      </c>
      <c r="AD425">
        <v>1.8069999999999999</v>
      </c>
      <c r="AE425">
        <v>1.8069999999999999</v>
      </c>
      <c r="AF425">
        <v>1.8069999999999999</v>
      </c>
      <c r="AG425">
        <v>1.8069999999999999</v>
      </c>
      <c r="AH425">
        <v>1.8069999999999999</v>
      </c>
      <c r="AI425">
        <v>1.8069999999999999</v>
      </c>
      <c r="AJ425">
        <v>1.8069999999999999</v>
      </c>
      <c r="AK425">
        <v>1.8069999999999999</v>
      </c>
      <c r="AL425">
        <v>1.8069999999999999</v>
      </c>
      <c r="AM425">
        <v>1.8069999999999999</v>
      </c>
      <c r="AN425">
        <v>1.8069999999999999</v>
      </c>
      <c r="AO425">
        <v>1.8069999999999999</v>
      </c>
      <c r="AP425">
        <v>1.8069999999999999</v>
      </c>
      <c r="AQ425">
        <v>1.8069999999999999</v>
      </c>
      <c r="AR425">
        <v>1.8069999999999999</v>
      </c>
      <c r="AS425">
        <v>1.8069999999999999</v>
      </c>
      <c r="AT425">
        <v>1.8069999999999999</v>
      </c>
      <c r="AU425">
        <v>1.8069999999999999</v>
      </c>
      <c r="AV425">
        <v>1.8069999999999999</v>
      </c>
      <c r="AW425" t="s">
        <v>296</v>
      </c>
    </row>
    <row r="426" spans="1:49" ht="12.75">
      <c r="A426" t="s">
        <v>295</v>
      </c>
      <c r="B426" t="s">
        <v>291</v>
      </c>
      <c r="C426" t="s">
        <v>159</v>
      </c>
      <c r="D426" t="s">
        <v>160</v>
      </c>
      <c r="E426" t="s">
        <v>296</v>
      </c>
      <c r="F426" t="s">
        <v>83</v>
      </c>
      <c r="G426" t="s">
        <v>474</v>
      </c>
      <c r="H426" t="s">
        <v>296</v>
      </c>
      <c r="I426" t="s">
        <v>296</v>
      </c>
      <c r="J426" t="s">
        <v>296</v>
      </c>
      <c r="K426" t="s">
        <v>296</v>
      </c>
      <c r="L426">
        <v>0.035000000000000003</v>
      </c>
      <c r="M426">
        <v>0.035000000000000003</v>
      </c>
      <c r="N426">
        <v>0.035000000000000003</v>
      </c>
      <c r="O426">
        <v>0.035000000000000003</v>
      </c>
      <c r="P426">
        <v>0.035000000000000003</v>
      </c>
      <c r="Q426">
        <v>0.035000000000000003</v>
      </c>
      <c r="R426">
        <v>0.035000000000000003</v>
      </c>
      <c r="S426">
        <v>0.035000000000000003</v>
      </c>
      <c r="T426">
        <v>0.035000000000000003</v>
      </c>
      <c r="U426">
        <v>0.035000000000000003</v>
      </c>
      <c r="V426">
        <v>0.035000000000000003</v>
      </c>
      <c r="W426">
        <v>0.035000000000000003</v>
      </c>
      <c r="X426">
        <v>0.035000000000000003</v>
      </c>
      <c r="Y426">
        <v>0.035000000000000003</v>
      </c>
      <c r="Z426">
        <v>0.035000000000000003</v>
      </c>
      <c r="AA426">
        <v>0.035000000000000003</v>
      </c>
      <c r="AB426">
        <v>0.035000000000000003</v>
      </c>
      <c r="AC426">
        <v>0.035000000000000003</v>
      </c>
      <c r="AD426">
        <v>0.035000000000000003</v>
      </c>
      <c r="AE426">
        <v>0.035000000000000003</v>
      </c>
      <c r="AF426">
        <v>0.035000000000000003</v>
      </c>
      <c r="AG426">
        <v>0.035000000000000003</v>
      </c>
      <c r="AH426">
        <v>0.035000000000000003</v>
      </c>
      <c r="AI426">
        <v>0.035000000000000003</v>
      </c>
      <c r="AJ426">
        <v>0.035000000000000003</v>
      </c>
      <c r="AK426">
        <v>0.035000000000000003</v>
      </c>
      <c r="AL426">
        <v>0.035000000000000003</v>
      </c>
      <c r="AM426">
        <v>0.035000000000000003</v>
      </c>
      <c r="AN426">
        <v>0.035000000000000003</v>
      </c>
      <c r="AO426">
        <v>0.035000000000000003</v>
      </c>
      <c r="AP426">
        <v>0.035000000000000003</v>
      </c>
      <c r="AQ426">
        <v>0.035000000000000003</v>
      </c>
      <c r="AR426">
        <v>0.035000000000000003</v>
      </c>
      <c r="AS426">
        <v>0.035000000000000003</v>
      </c>
      <c r="AT426">
        <v>0.035000000000000003</v>
      </c>
      <c r="AU426">
        <v>0.035000000000000003</v>
      </c>
      <c r="AV426">
        <v>0.035000000000000003</v>
      </c>
      <c r="AW426" t="s">
        <v>296</v>
      </c>
    </row>
    <row r="427" spans="1:49" ht="12.75">
      <c r="A427" t="s">
        <v>295</v>
      </c>
      <c r="B427" t="s">
        <v>291</v>
      </c>
      <c r="C427" t="s">
        <v>159</v>
      </c>
      <c r="D427" t="s">
        <v>161</v>
      </c>
      <c r="E427" t="s">
        <v>296</v>
      </c>
      <c r="F427" t="s">
        <v>83</v>
      </c>
      <c r="G427" t="s">
        <v>474</v>
      </c>
      <c r="H427" t="s">
        <v>296</v>
      </c>
      <c r="I427" t="s">
        <v>296</v>
      </c>
      <c r="J427" t="s">
        <v>296</v>
      </c>
      <c r="K427" t="s">
        <v>296</v>
      </c>
      <c r="L427">
        <v>0.02</v>
      </c>
      <c r="M427">
        <v>0.02</v>
      </c>
      <c r="N427">
        <v>0.02</v>
      </c>
      <c r="O427">
        <v>0.02</v>
      </c>
      <c r="P427">
        <v>0.02</v>
      </c>
      <c r="Q427">
        <v>0.02</v>
      </c>
      <c r="R427">
        <v>0.02</v>
      </c>
      <c r="S427">
        <v>0.02</v>
      </c>
      <c r="T427">
        <v>0.02</v>
      </c>
      <c r="U427">
        <v>0.02</v>
      </c>
      <c r="V427">
        <v>0.02</v>
      </c>
      <c r="W427">
        <v>0.02</v>
      </c>
      <c r="X427">
        <v>0.02</v>
      </c>
      <c r="Y427">
        <v>0.02</v>
      </c>
      <c r="Z427">
        <v>0.02</v>
      </c>
      <c r="AA427">
        <v>0.02</v>
      </c>
      <c r="AB427">
        <v>0.02</v>
      </c>
      <c r="AC427">
        <v>0.02</v>
      </c>
      <c r="AD427">
        <v>0.02</v>
      </c>
      <c r="AE427">
        <v>0.02</v>
      </c>
      <c r="AF427">
        <v>0.02</v>
      </c>
      <c r="AG427">
        <v>0.02</v>
      </c>
      <c r="AH427">
        <v>0.02</v>
      </c>
      <c r="AI427">
        <v>0.02</v>
      </c>
      <c r="AJ427">
        <v>0.02</v>
      </c>
      <c r="AK427">
        <v>0.02</v>
      </c>
      <c r="AL427">
        <v>0.02</v>
      </c>
      <c r="AM427">
        <v>0.02</v>
      </c>
      <c r="AN427">
        <v>0.02</v>
      </c>
      <c r="AO427">
        <v>0.02</v>
      </c>
      <c r="AP427">
        <v>0.02</v>
      </c>
      <c r="AQ427">
        <v>0.02</v>
      </c>
      <c r="AR427">
        <v>0.02</v>
      </c>
      <c r="AS427">
        <v>0.02</v>
      </c>
      <c r="AT427">
        <v>0.02</v>
      </c>
      <c r="AU427">
        <v>0.02</v>
      </c>
      <c r="AV427">
        <v>0.02</v>
      </c>
      <c r="AW427" t="s">
        <v>296</v>
      </c>
    </row>
    <row r="428" spans="1:49" ht="12.75">
      <c r="A428" t="s">
        <v>295</v>
      </c>
      <c r="B428" t="s">
        <v>291</v>
      </c>
      <c r="C428" t="s">
        <v>159</v>
      </c>
      <c r="D428" t="s">
        <v>101</v>
      </c>
      <c r="E428" t="s">
        <v>296</v>
      </c>
      <c r="F428" t="s">
        <v>83</v>
      </c>
      <c r="G428" t="s">
        <v>474</v>
      </c>
      <c r="H428" t="s">
        <v>296</v>
      </c>
      <c r="I428" t="s">
        <v>296</v>
      </c>
      <c r="J428" t="s">
        <v>296</v>
      </c>
      <c r="K428" t="s">
        <v>296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 t="s">
        <v>296</v>
      </c>
    </row>
    <row r="429" spans="1:49" ht="12.75">
      <c r="A429" t="s">
        <v>295</v>
      </c>
      <c r="B429" t="s">
        <v>291</v>
      </c>
      <c r="C429" t="s">
        <v>159</v>
      </c>
      <c r="D429" t="s">
        <v>162</v>
      </c>
      <c r="E429" t="s">
        <v>296</v>
      </c>
      <c r="F429" t="s">
        <v>83</v>
      </c>
      <c r="G429" t="s">
        <v>474</v>
      </c>
      <c r="H429" t="s">
        <v>296</v>
      </c>
      <c r="I429" t="s">
        <v>296</v>
      </c>
      <c r="J429" t="s">
        <v>296</v>
      </c>
      <c r="K429" t="s">
        <v>296</v>
      </c>
      <c r="L429">
        <v>2.2999999999999998</v>
      </c>
      <c r="M429">
        <v>2.2999999999999998</v>
      </c>
      <c r="N429">
        <v>2.2999999999999998</v>
      </c>
      <c r="O429">
        <v>2.2999999999999998</v>
      </c>
      <c r="P429">
        <v>2.2999999999999998</v>
      </c>
      <c r="Q429">
        <v>2.2999999999999998</v>
      </c>
      <c r="R429">
        <v>2.2999999999999998</v>
      </c>
      <c r="S429">
        <v>2.2999999999999998</v>
      </c>
      <c r="T429">
        <v>2.2999999999999998</v>
      </c>
      <c r="U429">
        <v>2.2999999999999998</v>
      </c>
      <c r="V429">
        <v>2.2999999999999998</v>
      </c>
      <c r="W429">
        <v>2.2999999999999998</v>
      </c>
      <c r="X429">
        <v>2.2999999999999998</v>
      </c>
      <c r="Y429">
        <v>4.5999999999999996</v>
      </c>
      <c r="Z429">
        <v>2.2999999999999998</v>
      </c>
      <c r="AA429">
        <v>2.2999999999999998</v>
      </c>
      <c r="AB429">
        <v>2.2999999999999998</v>
      </c>
      <c r="AC429">
        <v>2.2999999999999998</v>
      </c>
      <c r="AD429">
        <v>2.2999999999999998</v>
      </c>
      <c r="AE429">
        <v>2.2999999999999998</v>
      </c>
      <c r="AF429">
        <v>2.2999999999999998</v>
      </c>
      <c r="AG429">
        <v>2.2999999999999998</v>
      </c>
      <c r="AH429">
        <v>2.2999999999999998</v>
      </c>
      <c r="AI429">
        <v>2.2999999999999998</v>
      </c>
      <c r="AJ429">
        <v>2.2999999999999998</v>
      </c>
      <c r="AK429">
        <v>2.2999999999999998</v>
      </c>
      <c r="AL429">
        <v>2.2999999999999998</v>
      </c>
      <c r="AM429">
        <v>2.2999999999999998</v>
      </c>
      <c r="AN429">
        <v>2.2999999999999998</v>
      </c>
      <c r="AO429">
        <v>2.2999999999999998</v>
      </c>
      <c r="AP429">
        <v>2.2999999999999998</v>
      </c>
      <c r="AQ429">
        <v>2.2999999999999998</v>
      </c>
      <c r="AR429">
        <v>2.2999999999999998</v>
      </c>
      <c r="AS429">
        <v>2.2999999999999998</v>
      </c>
      <c r="AT429">
        <v>2.2999999999999998</v>
      </c>
      <c r="AU429">
        <v>2.2999999999999998</v>
      </c>
      <c r="AV429">
        <v>2.2999999999999998</v>
      </c>
      <c r="AW429" t="s">
        <v>296</v>
      </c>
    </row>
    <row r="430" spans="1:49" ht="12.75">
      <c r="A430" t="s">
        <v>295</v>
      </c>
      <c r="B430" t="s">
        <v>291</v>
      </c>
      <c r="C430" t="s">
        <v>164</v>
      </c>
      <c r="D430" t="s">
        <v>155</v>
      </c>
      <c r="E430" t="s">
        <v>296</v>
      </c>
      <c r="F430" t="s">
        <v>83</v>
      </c>
      <c r="G430" t="s">
        <v>474</v>
      </c>
      <c r="H430" t="s">
        <v>296</v>
      </c>
      <c r="I430" t="s">
        <v>296</v>
      </c>
      <c r="J430" t="s">
        <v>296</v>
      </c>
      <c r="K430" t="s">
        <v>296</v>
      </c>
      <c r="L430">
        <v>2.1000000000000001</v>
      </c>
      <c r="M430">
        <v>2.1000000000000001</v>
      </c>
      <c r="N430">
        <v>2.1000000000000001</v>
      </c>
      <c r="O430">
        <v>2.1000000000000001</v>
      </c>
      <c r="P430">
        <v>1.05</v>
      </c>
      <c r="Q430">
        <v>2.1000000000000001</v>
      </c>
      <c r="R430">
        <v>2.1000000000000001</v>
      </c>
      <c r="S430">
        <v>2.1000000000000001</v>
      </c>
      <c r="T430">
        <v>2.1000000000000001</v>
      </c>
      <c r="U430">
        <v>2.1000000000000001</v>
      </c>
      <c r="V430">
        <v>2.1000000000000001</v>
      </c>
      <c r="W430">
        <v>2.1000000000000001</v>
      </c>
      <c r="X430">
        <v>2.1000000000000001</v>
      </c>
      <c r="Y430">
        <v>2.1000000000000001</v>
      </c>
      <c r="Z430">
        <v>2.1000000000000001</v>
      </c>
      <c r="AA430">
        <v>2.1000000000000001</v>
      </c>
      <c r="AB430">
        <v>2.1000000000000001</v>
      </c>
      <c r="AC430">
        <v>2.1000000000000001</v>
      </c>
      <c r="AD430">
        <v>2.1000000000000001</v>
      </c>
      <c r="AE430">
        <v>2.1000000000000001</v>
      </c>
      <c r="AF430">
        <v>2.1000000000000001</v>
      </c>
      <c r="AG430">
        <v>2.1000000000000001</v>
      </c>
      <c r="AH430">
        <v>2.1000000000000001</v>
      </c>
      <c r="AI430">
        <v>2.1000000000000001</v>
      </c>
      <c r="AJ430">
        <v>2.1000000000000001</v>
      </c>
      <c r="AK430">
        <v>2.1000000000000001</v>
      </c>
      <c r="AL430">
        <v>2.1000000000000001</v>
      </c>
      <c r="AM430">
        <v>2.1000000000000001</v>
      </c>
      <c r="AN430">
        <v>2.1000000000000001</v>
      </c>
      <c r="AO430">
        <v>2.1000000000000001</v>
      </c>
      <c r="AP430">
        <v>2.1000000000000001</v>
      </c>
      <c r="AQ430">
        <v>2.1000000000000001</v>
      </c>
      <c r="AR430">
        <v>2.1000000000000001</v>
      </c>
      <c r="AS430">
        <v>2.1000000000000001</v>
      </c>
      <c r="AT430">
        <v>2.1000000000000001</v>
      </c>
      <c r="AU430">
        <v>2.1000000000000001</v>
      </c>
      <c r="AV430">
        <v>2.1000000000000001</v>
      </c>
      <c r="AW430" t="s">
        <v>296</v>
      </c>
    </row>
    <row r="431" spans="1:49" ht="12.75">
      <c r="A431" t="s">
        <v>295</v>
      </c>
      <c r="B431" t="s">
        <v>291</v>
      </c>
      <c r="C431" t="s">
        <v>164</v>
      </c>
      <c r="D431" t="s">
        <v>37</v>
      </c>
      <c r="E431" t="s">
        <v>296</v>
      </c>
      <c r="F431" t="s">
        <v>83</v>
      </c>
      <c r="G431" t="s">
        <v>474</v>
      </c>
      <c r="H431" t="s">
        <v>296</v>
      </c>
      <c r="I431" t="s">
        <v>296</v>
      </c>
      <c r="J431" t="s">
        <v>296</v>
      </c>
      <c r="K431" t="s">
        <v>296</v>
      </c>
      <c r="L431">
        <v>8.0500000000000007</v>
      </c>
      <c r="M431">
        <v>7</v>
      </c>
      <c r="N431">
        <v>10.15</v>
      </c>
      <c r="O431">
        <v>7.4199999999999999</v>
      </c>
      <c r="P431">
        <v>8.4000000000000004</v>
      </c>
      <c r="Q431">
        <v>8.4000000000000004</v>
      </c>
      <c r="R431">
        <v>7</v>
      </c>
      <c r="S431">
        <v>9.4499999999999993</v>
      </c>
      <c r="T431">
        <v>7</v>
      </c>
      <c r="U431">
        <v>7</v>
      </c>
      <c r="V431">
        <v>10.395</v>
      </c>
      <c r="W431">
        <v>6.2999999999999998</v>
      </c>
      <c r="X431">
        <v>4.7249999999999996</v>
      </c>
      <c r="Y431">
        <v>11.69</v>
      </c>
      <c r="Z431">
        <v>7.2800000000000002</v>
      </c>
      <c r="AA431">
        <v>6.9649999999999999</v>
      </c>
      <c r="AB431">
        <v>7</v>
      </c>
      <c r="AC431">
        <v>7</v>
      </c>
      <c r="AD431">
        <v>7</v>
      </c>
      <c r="AE431">
        <v>6.8600000000000003</v>
      </c>
      <c r="AF431">
        <v>7</v>
      </c>
      <c r="AG431">
        <v>8.75</v>
      </c>
      <c r="AH431">
        <v>9.3800000000000008</v>
      </c>
      <c r="AI431">
        <v>5.4390000000000001</v>
      </c>
      <c r="AJ431">
        <v>7</v>
      </c>
      <c r="AK431">
        <v>8.75</v>
      </c>
      <c r="AL431">
        <v>7</v>
      </c>
      <c r="AM431">
        <v>5.9500000000000002</v>
      </c>
      <c r="AN431">
        <v>8.2249999999999996</v>
      </c>
      <c r="AO431">
        <v>7.7000000000000002</v>
      </c>
      <c r="AP431">
        <v>11.9</v>
      </c>
      <c r="AQ431">
        <v>7.7000000000000002</v>
      </c>
      <c r="AR431">
        <v>7</v>
      </c>
      <c r="AS431">
        <v>12.6</v>
      </c>
      <c r="AT431">
        <v>6.7199999999999998</v>
      </c>
      <c r="AU431">
        <v>8.4000000000000004</v>
      </c>
      <c r="AV431">
        <v>9.8699999999999992</v>
      </c>
      <c r="AW431" t="s">
        <v>296</v>
      </c>
    </row>
    <row r="432" spans="1:49" ht="12.75">
      <c r="A432" t="s">
        <v>295</v>
      </c>
      <c r="B432" t="s">
        <v>291</v>
      </c>
      <c r="C432" t="s">
        <v>164</v>
      </c>
      <c r="D432" t="s">
        <v>38</v>
      </c>
      <c r="E432" t="s">
        <v>296</v>
      </c>
      <c r="F432" t="s">
        <v>83</v>
      </c>
      <c r="G432" t="s">
        <v>474</v>
      </c>
      <c r="H432" t="s">
        <v>296</v>
      </c>
      <c r="I432" t="s">
        <v>296</v>
      </c>
      <c r="J432" t="s">
        <v>296</v>
      </c>
      <c r="K432" t="s">
        <v>296</v>
      </c>
      <c r="L432">
        <v>10.800000000000001</v>
      </c>
      <c r="M432">
        <v>10.800000000000001</v>
      </c>
      <c r="N432">
        <v>10.800000000000001</v>
      </c>
      <c r="O432">
        <v>10.151999999999999</v>
      </c>
      <c r="P432">
        <v>10.800000000000001</v>
      </c>
      <c r="Q432">
        <v>10.800000000000001</v>
      </c>
      <c r="R432">
        <v>10.800000000000001</v>
      </c>
      <c r="S432">
        <v>10.800000000000001</v>
      </c>
      <c r="T432">
        <v>10.800000000000001</v>
      </c>
      <c r="U432">
        <v>10.800000000000001</v>
      </c>
      <c r="V432">
        <v>9.6660000000000004</v>
      </c>
      <c r="W432">
        <v>10.800000000000001</v>
      </c>
      <c r="X432">
        <v>8.6400000000000006</v>
      </c>
      <c r="Y432">
        <v>10.800000000000001</v>
      </c>
      <c r="Z432">
        <v>10.800000000000001</v>
      </c>
      <c r="AA432">
        <v>10.800000000000001</v>
      </c>
      <c r="AB432">
        <v>10.800000000000001</v>
      </c>
      <c r="AC432">
        <v>10.800000000000001</v>
      </c>
      <c r="AD432">
        <v>10.800000000000001</v>
      </c>
      <c r="AE432">
        <v>10.800000000000001</v>
      </c>
      <c r="AF432">
        <v>10.800000000000001</v>
      </c>
      <c r="AG432">
        <v>10.800000000000001</v>
      </c>
      <c r="AH432">
        <v>10.800000000000001</v>
      </c>
      <c r="AI432">
        <v>10.800000000000001</v>
      </c>
      <c r="AJ432">
        <v>10.800000000000001</v>
      </c>
      <c r="AK432">
        <v>10.800000000000001</v>
      </c>
      <c r="AL432">
        <v>10.800000000000001</v>
      </c>
      <c r="AM432">
        <v>10.800000000000001</v>
      </c>
      <c r="AN432">
        <v>10.800000000000001</v>
      </c>
      <c r="AO432">
        <v>10.800000000000001</v>
      </c>
      <c r="AP432">
        <v>10.800000000000001</v>
      </c>
      <c r="AQ432">
        <v>10.800000000000001</v>
      </c>
      <c r="AR432">
        <v>10.800000000000001</v>
      </c>
      <c r="AS432">
        <v>10.800000000000001</v>
      </c>
      <c r="AT432">
        <v>10.800000000000001</v>
      </c>
      <c r="AU432">
        <v>10.800000000000001</v>
      </c>
      <c r="AV432">
        <v>10.800000000000001</v>
      </c>
      <c r="AW432" t="s">
        <v>296</v>
      </c>
    </row>
    <row r="433" spans="1:49" ht="12.75">
      <c r="A433" t="s">
        <v>295</v>
      </c>
      <c r="B433" t="s">
        <v>291</v>
      </c>
      <c r="C433" t="s">
        <v>164</v>
      </c>
      <c r="D433" t="s">
        <v>59</v>
      </c>
      <c r="E433" t="s">
        <v>296</v>
      </c>
      <c r="F433" t="s">
        <v>83</v>
      </c>
      <c r="G433" t="s">
        <v>474</v>
      </c>
      <c r="H433" t="s">
        <v>296</v>
      </c>
      <c r="I433" t="s">
        <v>296</v>
      </c>
      <c r="J433" t="s">
        <v>296</v>
      </c>
      <c r="K433" t="s">
        <v>296</v>
      </c>
      <c r="L433">
        <v>2.5299999999999998</v>
      </c>
      <c r="M433">
        <v>2.5299999999999998</v>
      </c>
      <c r="N433">
        <v>2.5299999999999998</v>
      </c>
      <c r="O433">
        <v>2.5299999999999998</v>
      </c>
      <c r="P433">
        <v>1.2649999999999999</v>
      </c>
      <c r="Q433">
        <v>3.7949999999999999</v>
      </c>
      <c r="R433">
        <v>2.5299999999999998</v>
      </c>
      <c r="S433">
        <v>1.6951000000000001</v>
      </c>
      <c r="T433">
        <v>2.5299999999999998</v>
      </c>
      <c r="U433">
        <v>2.5299999999999998</v>
      </c>
      <c r="V433">
        <v>2.5299999999999998</v>
      </c>
      <c r="W433">
        <v>2.5299999999999998</v>
      </c>
      <c r="X433">
        <v>2.5299999999999998</v>
      </c>
      <c r="Y433">
        <v>2.5299999999999998</v>
      </c>
      <c r="Z433">
        <v>2.5299999999999998</v>
      </c>
      <c r="AA433">
        <v>2.5299999999999998</v>
      </c>
      <c r="AB433">
        <v>2.5299999999999998</v>
      </c>
      <c r="AC433">
        <v>2.5299999999999998</v>
      </c>
      <c r="AD433">
        <v>2.5299999999999998</v>
      </c>
      <c r="AE433">
        <v>2.5299999999999998</v>
      </c>
      <c r="AF433">
        <v>2.5299999999999998</v>
      </c>
      <c r="AG433">
        <v>2.5299999999999998</v>
      </c>
      <c r="AH433">
        <v>2.5299999999999998</v>
      </c>
      <c r="AI433">
        <v>2.5299999999999998</v>
      </c>
      <c r="AJ433">
        <v>2.5299999999999998</v>
      </c>
      <c r="AK433">
        <v>2.5299999999999998</v>
      </c>
      <c r="AL433">
        <v>2.5299999999999998</v>
      </c>
      <c r="AM433">
        <v>2.5299999999999998</v>
      </c>
      <c r="AN433">
        <v>2.5299999999999998</v>
      </c>
      <c r="AO433">
        <v>0</v>
      </c>
      <c r="AP433">
        <v>2.5299999999999998</v>
      </c>
      <c r="AQ433">
        <v>2.5299999999999998</v>
      </c>
      <c r="AR433">
        <v>2.5299999999999998</v>
      </c>
      <c r="AS433">
        <v>2.5299999999999998</v>
      </c>
      <c r="AT433">
        <v>2.5299999999999998</v>
      </c>
      <c r="AU433">
        <v>2.5299999999999998</v>
      </c>
      <c r="AV433">
        <v>2.5299999999999998</v>
      </c>
      <c r="AW433" t="s">
        <v>296</v>
      </c>
    </row>
    <row r="434" spans="1:49" ht="12.75">
      <c r="A434" t="s">
        <v>295</v>
      </c>
      <c r="B434" t="s">
        <v>291</v>
      </c>
      <c r="C434" t="s">
        <v>164</v>
      </c>
      <c r="D434" t="s">
        <v>101</v>
      </c>
      <c r="E434" t="s">
        <v>296</v>
      </c>
      <c r="F434" t="s">
        <v>83</v>
      </c>
      <c r="G434" t="s">
        <v>474</v>
      </c>
      <c r="H434" t="s">
        <v>296</v>
      </c>
      <c r="I434" t="s">
        <v>296</v>
      </c>
      <c r="J434" t="s">
        <v>296</v>
      </c>
      <c r="K434" t="s">
        <v>296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 t="s">
        <v>296</v>
      </c>
    </row>
    <row r="435" spans="1:49" ht="12.75">
      <c r="A435" t="s">
        <v>295</v>
      </c>
      <c r="B435" t="s">
        <v>291</v>
      </c>
      <c r="C435" t="s">
        <v>164</v>
      </c>
      <c r="D435" t="s">
        <v>162</v>
      </c>
      <c r="E435" t="s">
        <v>296</v>
      </c>
      <c r="F435" t="s">
        <v>83</v>
      </c>
      <c r="G435" t="s">
        <v>474</v>
      </c>
      <c r="H435" t="s">
        <v>296</v>
      </c>
      <c r="I435" t="s">
        <v>296</v>
      </c>
      <c r="J435" t="s">
        <v>296</v>
      </c>
      <c r="K435" t="s">
        <v>296</v>
      </c>
      <c r="L435">
        <v>1.1000000000000001</v>
      </c>
      <c r="M435">
        <v>1.1000000000000001</v>
      </c>
      <c r="N435">
        <v>1.1000000000000001</v>
      </c>
      <c r="O435">
        <v>1.1000000000000001</v>
      </c>
      <c r="P435">
        <v>1.1000000000000001</v>
      </c>
      <c r="Q435">
        <v>1.1000000000000001</v>
      </c>
      <c r="R435">
        <v>1.1000000000000001</v>
      </c>
      <c r="S435">
        <v>1.1000000000000001</v>
      </c>
      <c r="T435">
        <v>1.1000000000000001</v>
      </c>
      <c r="U435">
        <v>1.1000000000000001</v>
      </c>
      <c r="V435">
        <v>1.1000000000000001</v>
      </c>
      <c r="W435">
        <v>1.1000000000000001</v>
      </c>
      <c r="X435">
        <v>1.1000000000000001</v>
      </c>
      <c r="Y435">
        <v>1.1000000000000001</v>
      </c>
      <c r="Z435">
        <v>1.1000000000000001</v>
      </c>
      <c r="AA435">
        <v>1.1000000000000001</v>
      </c>
      <c r="AB435">
        <v>1.1000000000000001</v>
      </c>
      <c r="AC435">
        <v>1.1000000000000001</v>
      </c>
      <c r="AD435">
        <v>1.1000000000000001</v>
      </c>
      <c r="AE435">
        <v>1.1000000000000001</v>
      </c>
      <c r="AF435">
        <v>1.1000000000000001</v>
      </c>
      <c r="AG435">
        <v>1.1000000000000001</v>
      </c>
      <c r="AH435">
        <v>1.1000000000000001</v>
      </c>
      <c r="AI435">
        <v>1.1000000000000001</v>
      </c>
      <c r="AJ435">
        <v>1.1000000000000001</v>
      </c>
      <c r="AK435">
        <v>1.1000000000000001</v>
      </c>
      <c r="AL435">
        <v>1.1000000000000001</v>
      </c>
      <c r="AM435">
        <v>1.1000000000000001</v>
      </c>
      <c r="AN435">
        <v>1.1000000000000001</v>
      </c>
      <c r="AO435">
        <v>1.1000000000000001</v>
      </c>
      <c r="AP435">
        <v>1.1000000000000001</v>
      </c>
      <c r="AQ435">
        <v>1.1000000000000001</v>
      </c>
      <c r="AR435">
        <v>1.1000000000000001</v>
      </c>
      <c r="AS435">
        <v>1.1000000000000001</v>
      </c>
      <c r="AT435">
        <v>1.1000000000000001</v>
      </c>
      <c r="AU435">
        <v>1.1000000000000001</v>
      </c>
      <c r="AV435">
        <v>1.1000000000000001</v>
      </c>
      <c r="AW435" t="s">
        <v>296</v>
      </c>
    </row>
    <row r="436" spans="1:49" ht="12.75">
      <c r="A436" t="s">
        <v>295</v>
      </c>
      <c r="B436" t="s">
        <v>291</v>
      </c>
      <c r="C436" t="s">
        <v>165</v>
      </c>
      <c r="D436" t="s">
        <v>37</v>
      </c>
      <c r="E436" t="s">
        <v>296</v>
      </c>
      <c r="F436" t="s">
        <v>83</v>
      </c>
      <c r="G436" t="s">
        <v>474</v>
      </c>
      <c r="H436" t="s">
        <v>296</v>
      </c>
      <c r="I436" t="s">
        <v>296</v>
      </c>
      <c r="J436" t="s">
        <v>296</v>
      </c>
      <c r="K436" t="s">
        <v>296</v>
      </c>
      <c r="L436">
        <v>1.9550000000000001</v>
      </c>
      <c r="M436">
        <v>1.7</v>
      </c>
      <c r="N436">
        <v>2.4649999999999999</v>
      </c>
      <c r="O436">
        <v>1.802</v>
      </c>
      <c r="P436">
        <v>2.04</v>
      </c>
      <c r="Q436">
        <v>2.04</v>
      </c>
      <c r="R436">
        <v>2.05714285714286</v>
      </c>
      <c r="S436">
        <v>2.2949999999999999</v>
      </c>
      <c r="T436">
        <v>1.7</v>
      </c>
      <c r="U436">
        <v>1.7</v>
      </c>
      <c r="V436">
        <v>2.5245000000000002</v>
      </c>
      <c r="W436">
        <v>1.53</v>
      </c>
      <c r="X436">
        <v>1.1475</v>
      </c>
      <c r="Y436">
        <v>2.839</v>
      </c>
      <c r="Z436">
        <v>1.768</v>
      </c>
      <c r="AA436">
        <v>1.6915</v>
      </c>
      <c r="AB436">
        <v>1.7</v>
      </c>
      <c r="AC436">
        <v>3.2469999999999999</v>
      </c>
      <c r="AD436">
        <v>1.7</v>
      </c>
      <c r="AE436">
        <v>1.6659999999999999</v>
      </c>
      <c r="AF436">
        <v>1.7</v>
      </c>
      <c r="AG436">
        <v>2.125</v>
      </c>
      <c r="AH436">
        <v>2.278</v>
      </c>
      <c r="AI436">
        <v>1.3209</v>
      </c>
      <c r="AJ436">
        <v>1.7</v>
      </c>
      <c r="AK436">
        <v>2.125</v>
      </c>
      <c r="AL436">
        <v>1.7</v>
      </c>
      <c r="AM436">
        <v>1.4450000000000001</v>
      </c>
      <c r="AN436">
        <v>1.9975000000000001</v>
      </c>
      <c r="AO436">
        <v>1.8700000000000001</v>
      </c>
      <c r="AP436">
        <v>2.8900000000000001</v>
      </c>
      <c r="AQ436">
        <v>1.8700000000000001</v>
      </c>
      <c r="AR436">
        <v>1.7</v>
      </c>
      <c r="AS436">
        <v>3.0600000000000001</v>
      </c>
      <c r="AT436">
        <v>1.6319999999999999</v>
      </c>
      <c r="AU436">
        <v>2.04</v>
      </c>
      <c r="AV436">
        <v>2.3969999999999998</v>
      </c>
      <c r="AW436" t="s">
        <v>296</v>
      </c>
    </row>
    <row r="437" spans="1:49" ht="12.75">
      <c r="A437" t="s">
        <v>295</v>
      </c>
      <c r="B437" t="s">
        <v>291</v>
      </c>
      <c r="C437" t="s">
        <v>165</v>
      </c>
      <c r="D437" t="s">
        <v>59</v>
      </c>
      <c r="E437" t="s">
        <v>296</v>
      </c>
      <c r="F437" t="s">
        <v>83</v>
      </c>
      <c r="G437" t="s">
        <v>474</v>
      </c>
      <c r="H437" t="s">
        <v>296</v>
      </c>
      <c r="I437" t="s">
        <v>296</v>
      </c>
      <c r="J437" t="s">
        <v>296</v>
      </c>
      <c r="K437" t="s">
        <v>296</v>
      </c>
      <c r="L437">
        <v>1.2749999999999999</v>
      </c>
      <c r="M437">
        <v>1.1839999999999999</v>
      </c>
      <c r="N437">
        <v>1.45</v>
      </c>
      <c r="O437">
        <v>1.1000000000000001</v>
      </c>
      <c r="P437">
        <v>1.3600000000000001</v>
      </c>
      <c r="Q437">
        <v>0.81399999999999995</v>
      </c>
      <c r="R437">
        <v>0</v>
      </c>
      <c r="S437">
        <v>1.54</v>
      </c>
      <c r="T437">
        <v>0.91400000000000003</v>
      </c>
      <c r="U437">
        <v>1</v>
      </c>
      <c r="V437">
        <v>1.0900000000000001</v>
      </c>
      <c r="W437">
        <v>0.83199999999999996</v>
      </c>
      <c r="X437">
        <v>0.92500000000000004</v>
      </c>
      <c r="Y437">
        <v>1.3999999999999999</v>
      </c>
      <c r="Z437">
        <v>1</v>
      </c>
      <c r="AA437">
        <v>0.995</v>
      </c>
      <c r="AB437">
        <v>0.85999999999999999</v>
      </c>
      <c r="AC437">
        <v>0.255</v>
      </c>
      <c r="AD437">
        <v>1</v>
      </c>
      <c r="AE437">
        <v>0.94999999999999996</v>
      </c>
      <c r="AF437">
        <v>1</v>
      </c>
      <c r="AG437">
        <v>0.90000000000000002</v>
      </c>
      <c r="AH437">
        <v>0.86499999999999999</v>
      </c>
      <c r="AI437">
        <v>0.77700000000000002</v>
      </c>
      <c r="AJ437">
        <v>1</v>
      </c>
      <c r="AK437">
        <v>0.61499999999999999</v>
      </c>
      <c r="AL437">
        <v>1</v>
      </c>
      <c r="AM437">
        <v>0.96499999999999997</v>
      </c>
      <c r="AN437">
        <v>0.81699999999999995</v>
      </c>
      <c r="AO437">
        <v>1.1000000000000001</v>
      </c>
      <c r="AP437">
        <v>1.8500000000000001</v>
      </c>
      <c r="AQ437">
        <v>1.05</v>
      </c>
      <c r="AR437">
        <v>1</v>
      </c>
      <c r="AS437">
        <v>1.4750000000000001</v>
      </c>
      <c r="AT437">
        <v>0.97499999999999998</v>
      </c>
      <c r="AU437">
        <v>1.45</v>
      </c>
      <c r="AV437">
        <v>0.91000000000000003</v>
      </c>
      <c r="AW437" t="s">
        <v>296</v>
      </c>
    </row>
    <row r="438" spans="1:49" ht="12.75">
      <c r="A438" t="s">
        <v>295</v>
      </c>
      <c r="B438" t="s">
        <v>291</v>
      </c>
      <c r="C438" t="s">
        <v>165</v>
      </c>
      <c r="D438" t="s">
        <v>101</v>
      </c>
      <c r="E438" t="s">
        <v>296</v>
      </c>
      <c r="F438" t="s">
        <v>83</v>
      </c>
      <c r="G438" t="s">
        <v>474</v>
      </c>
      <c r="H438" t="s">
        <v>296</v>
      </c>
      <c r="I438" t="s">
        <v>296</v>
      </c>
      <c r="J438" t="s">
        <v>296</v>
      </c>
      <c r="K438" t="s">
        <v>296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 t="s">
        <v>296</v>
      </c>
    </row>
    <row r="439" spans="1:49" ht="12.75">
      <c r="A439" t="s">
        <v>295</v>
      </c>
      <c r="B439" t="s">
        <v>291</v>
      </c>
      <c r="C439" t="s">
        <v>165</v>
      </c>
      <c r="D439" t="s">
        <v>158</v>
      </c>
      <c r="E439" t="s">
        <v>296</v>
      </c>
      <c r="F439" t="s">
        <v>83</v>
      </c>
      <c r="G439" t="s">
        <v>474</v>
      </c>
      <c r="H439" t="s">
        <v>296</v>
      </c>
      <c r="I439" t="s">
        <v>296</v>
      </c>
      <c r="J439" t="s">
        <v>296</v>
      </c>
      <c r="K439" t="s">
        <v>296</v>
      </c>
      <c r="L439">
        <v>1.1499999999999999</v>
      </c>
      <c r="M439">
        <v>1.1499999999999999</v>
      </c>
      <c r="N439">
        <v>1.1499999999999999</v>
      </c>
      <c r="O439">
        <v>1.1499999999999999</v>
      </c>
      <c r="P439">
        <v>1.1499999999999999</v>
      </c>
      <c r="Q439">
        <v>1.1499999999999999</v>
      </c>
      <c r="R439">
        <v>1.1499999999999999</v>
      </c>
      <c r="S439">
        <v>1.1499999999999999</v>
      </c>
      <c r="T439">
        <v>1.1499999999999999</v>
      </c>
      <c r="U439">
        <v>1.1499999999999999</v>
      </c>
      <c r="V439">
        <v>1.1499999999999999</v>
      </c>
      <c r="W439">
        <v>1.1499999999999999</v>
      </c>
      <c r="X439">
        <v>1.1499999999999999</v>
      </c>
      <c r="Y439">
        <v>1.1499999999999999</v>
      </c>
      <c r="Z439">
        <v>1.1499999999999999</v>
      </c>
      <c r="AA439">
        <v>1.1499999999999999</v>
      </c>
      <c r="AB439">
        <v>1.1499999999999999</v>
      </c>
      <c r="AC439">
        <v>1.1499999999999999</v>
      </c>
      <c r="AD439">
        <v>1.1499999999999999</v>
      </c>
      <c r="AE439">
        <v>1.1499999999999999</v>
      </c>
      <c r="AF439">
        <v>1.1499999999999999</v>
      </c>
      <c r="AG439">
        <v>1.1499999999999999</v>
      </c>
      <c r="AH439">
        <v>1.1499999999999999</v>
      </c>
      <c r="AI439">
        <v>1.1499999999999999</v>
      </c>
      <c r="AJ439">
        <v>1.1499999999999999</v>
      </c>
      <c r="AK439">
        <v>1.1499999999999999</v>
      </c>
      <c r="AL439">
        <v>1.1499999999999999</v>
      </c>
      <c r="AM439">
        <v>1.1499999999999999</v>
      </c>
      <c r="AN439">
        <v>1.1499999999999999</v>
      </c>
      <c r="AO439">
        <v>1.1499999999999999</v>
      </c>
      <c r="AP439">
        <v>1.1499999999999999</v>
      </c>
      <c r="AQ439">
        <v>1.1499999999999999</v>
      </c>
      <c r="AR439">
        <v>1.1499999999999999</v>
      </c>
      <c r="AS439">
        <v>1.1499999999999999</v>
      </c>
      <c r="AT439">
        <v>1.1499999999999999</v>
      </c>
      <c r="AU439">
        <v>1.1499999999999999</v>
      </c>
      <c r="AV439">
        <v>1.1499999999999999</v>
      </c>
      <c r="AW439" t="s">
        <v>296</v>
      </c>
    </row>
    <row r="440" spans="1:49" ht="12.75">
      <c r="A440" t="s">
        <v>295</v>
      </c>
      <c r="B440" t="s">
        <v>291</v>
      </c>
      <c r="C440" t="s">
        <v>405</v>
      </c>
      <c r="D440" t="s">
        <v>37</v>
      </c>
      <c r="E440" t="s">
        <v>296</v>
      </c>
      <c r="F440" t="s">
        <v>83</v>
      </c>
      <c r="G440" t="s">
        <v>474</v>
      </c>
      <c r="H440" t="s">
        <v>296</v>
      </c>
      <c r="I440" t="s">
        <v>296</v>
      </c>
      <c r="J440" t="s">
        <v>296</v>
      </c>
      <c r="K440" t="s">
        <v>296</v>
      </c>
      <c r="L440">
        <v>0.025176750000000001</v>
      </c>
      <c r="M440">
        <v>0.0071364200000000001</v>
      </c>
      <c r="N440">
        <v>0.0062547593103448301</v>
      </c>
      <c r="O440">
        <v>0.0042930299999999998</v>
      </c>
      <c r="P440">
        <v>0.0053899000000000004</v>
      </c>
      <c r="Q440">
        <v>0.0062547593103448301</v>
      </c>
      <c r="R440">
        <v>0.0014785200000000001</v>
      </c>
      <c r="S440">
        <v>0.0043855099999999996</v>
      </c>
      <c r="T440">
        <v>0.0051412300000000001</v>
      </c>
      <c r="U440">
        <v>0.0033268899999999999</v>
      </c>
      <c r="V440">
        <v>0.0062547593103448301</v>
      </c>
      <c r="W440">
        <v>0.00357443</v>
      </c>
      <c r="X440">
        <v>0.0042509499999999999</v>
      </c>
      <c r="Y440">
        <v>0.0058954000000000003</v>
      </c>
      <c r="Z440">
        <v>0.0040030300000000003</v>
      </c>
      <c r="AA440">
        <v>0.0048086700000000001</v>
      </c>
      <c r="AB440">
        <v>0.0054405199999999999</v>
      </c>
      <c r="AC440">
        <v>0.0019226</v>
      </c>
      <c r="AD440">
        <v>0.0062547593103448301</v>
      </c>
      <c r="AE440">
        <v>0.0045125499999999997</v>
      </c>
      <c r="AF440">
        <v>0.0062547593103448301</v>
      </c>
      <c r="AG440">
        <v>0.00666382</v>
      </c>
      <c r="AH440">
        <v>0.0062547593103448301</v>
      </c>
      <c r="AI440">
        <v>0.0062547593103448301</v>
      </c>
      <c r="AJ440">
        <v>0.0062547593103448301</v>
      </c>
      <c r="AK440">
        <v>0.039379860000000003</v>
      </c>
      <c r="AL440">
        <v>0.0062547593103448301</v>
      </c>
      <c r="AM440">
        <v>0.00337448</v>
      </c>
      <c r="AN440">
        <v>0.0029623700000000002</v>
      </c>
      <c r="AO440">
        <v>0.0027666399999999999</v>
      </c>
      <c r="AP440">
        <v>0.00346262</v>
      </c>
      <c r="AQ440">
        <v>0.0082562</v>
      </c>
      <c r="AR440">
        <v>0.0041415599999999999</v>
      </c>
      <c r="AS440">
        <v>0.00330942</v>
      </c>
      <c r="AT440">
        <v>0.0052296599999999997</v>
      </c>
      <c r="AU440">
        <v>0.0062432299999999998</v>
      </c>
      <c r="AV440">
        <v>0.0048617599999999997</v>
      </c>
      <c r="AW440" t="s">
        <v>296</v>
      </c>
    </row>
  </sheetData>
  <pageMargins left="0.7" right="0.7" top="0.75" bottom="0.75" header="0.3" footer="0.3"/>
  <pageSetup orientation="portrait" paperSize="1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B3:AR222"/>
  <sheetViews>
    <sheetView workbookViewId="0" topLeftCell="A91">
      <selection pane="topLeft" activeCell="S34" sqref="S34"/>
    </sheetView>
  </sheetViews>
  <sheetFormatPr defaultRowHeight="12.75"/>
  <cols>
    <col min="2" max="2" width="3.28571428571429" bestFit="1" customWidth="1"/>
    <col min="3" max="3" width="27.1428571428571" bestFit="1" customWidth="1"/>
    <col min="4" max="4" width="12" bestFit="1" customWidth="1"/>
    <col min="5" max="5" width="4" bestFit="1" customWidth="1"/>
    <col min="6" max="6" width="14.2857142857143" customWidth="1"/>
    <col min="7" max="7" width="5.14285714285714" bestFit="1" customWidth="1"/>
    <col min="8" max="43" width="5.28571428571429" customWidth="1"/>
  </cols>
  <sheetData>
    <row r="3" spans="3:44" s="7" customFormat="1" ht="12.75">
      <c r="C3" s="8"/>
      <c r="D3" s="9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2:44" ht="13.5" thickBot="1">
      <c r="B4" s="4" t="s">
        <v>2</v>
      </c>
      <c r="C4" s="4" t="s">
        <v>89</v>
      </c>
      <c r="D4" s="4" t="s">
        <v>91</v>
      </c>
      <c r="E4" s="4" t="s">
        <v>1</v>
      </c>
      <c r="F4" s="4" t="s">
        <v>0</v>
      </c>
      <c r="G4" s="4" t="s">
        <v>3</v>
      </c>
      <c r="H4" s="76" t="s">
        <v>169</v>
      </c>
      <c r="I4" s="75" t="s">
        <v>8</v>
      </c>
      <c r="J4" s="75" t="s">
        <v>252</v>
      </c>
      <c r="K4" s="75" t="s">
        <v>9</v>
      </c>
      <c r="L4" s="75" t="s">
        <v>61</v>
      </c>
      <c r="M4" s="75" t="s">
        <v>10</v>
      </c>
      <c r="N4" s="74" t="s">
        <v>11</v>
      </c>
      <c r="O4" s="74" t="s">
        <v>12</v>
      </c>
      <c r="P4" s="74" t="s">
        <v>13</v>
      </c>
      <c r="Q4" s="74" t="s">
        <v>14</v>
      </c>
      <c r="R4" s="74" t="s">
        <v>15</v>
      </c>
      <c r="S4" s="74" t="s">
        <v>16</v>
      </c>
      <c r="T4" s="74" t="s">
        <v>17</v>
      </c>
      <c r="U4" s="74" t="s">
        <v>18</v>
      </c>
      <c r="V4" s="75" t="s">
        <v>294</v>
      </c>
      <c r="W4" s="75" t="s">
        <v>62</v>
      </c>
      <c r="X4" s="75" t="s">
        <v>20</v>
      </c>
      <c r="Y4" s="75" t="s">
        <v>21</v>
      </c>
      <c r="Z4" s="75" t="s">
        <v>22</v>
      </c>
      <c r="AA4" s="75" t="s">
        <v>36</v>
      </c>
      <c r="AB4" s="75" t="s">
        <v>253</v>
      </c>
      <c r="AC4" s="75" t="s">
        <v>23</v>
      </c>
      <c r="AD4" s="75" t="s">
        <v>24</v>
      </c>
      <c r="AE4" s="75" t="s">
        <v>25</v>
      </c>
      <c r="AF4" s="75" t="s">
        <v>170</v>
      </c>
      <c r="AG4" s="75" t="s">
        <v>63</v>
      </c>
      <c r="AH4" s="75" t="s">
        <v>26</v>
      </c>
      <c r="AI4" s="75" t="s">
        <v>27</v>
      </c>
      <c r="AJ4" s="75" t="s">
        <v>28</v>
      </c>
      <c r="AK4" s="75" t="s">
        <v>29</v>
      </c>
      <c r="AL4" s="75" t="s">
        <v>30</v>
      </c>
      <c r="AM4" s="75" t="s">
        <v>31</v>
      </c>
      <c r="AN4" s="75" t="s">
        <v>171</v>
      </c>
      <c r="AO4" s="75" t="s">
        <v>32</v>
      </c>
      <c r="AP4" s="75" t="s">
        <v>33</v>
      </c>
      <c r="AQ4" s="75" t="s">
        <v>34</v>
      </c>
      <c r="AR4" s="73" t="s">
        <v>35</v>
      </c>
    </row>
    <row r="5" spans="2:44" ht="12.75">
      <c r="B5" s="6"/>
      <c r="C5" s="14" t="s">
        <v>105</v>
      </c>
      <c r="D5" s="14" t="s">
        <v>56</v>
      </c>
      <c r="E5" s="6"/>
      <c r="F5" s="6" t="s">
        <v>103</v>
      </c>
      <c r="G5" s="12"/>
      <c r="H5" s="13">
        <v>1</v>
      </c>
      <c r="I5" s="13">
        <v>1</v>
      </c>
      <c r="J5" s="13">
        <v>1</v>
      </c>
      <c r="K5" s="13">
        <v>1</v>
      </c>
      <c r="L5" s="13">
        <v>1</v>
      </c>
      <c r="M5" s="13">
        <v>1</v>
      </c>
      <c r="N5" s="13">
        <v>1</v>
      </c>
      <c r="O5" s="13">
        <v>1</v>
      </c>
      <c r="P5" s="13">
        <v>0.85</v>
      </c>
      <c r="Q5" s="13">
        <v>1</v>
      </c>
      <c r="R5" s="13">
        <v>1</v>
      </c>
      <c r="S5" s="13">
        <v>1</v>
      </c>
      <c r="T5" s="13">
        <v>1</v>
      </c>
      <c r="U5" s="13">
        <v>1</v>
      </c>
      <c r="V5" s="13">
        <v>1</v>
      </c>
      <c r="W5" s="13">
        <v>1</v>
      </c>
      <c r="X5" s="13">
        <v>1</v>
      </c>
      <c r="Y5" s="13">
        <v>1</v>
      </c>
      <c r="Z5" s="13">
        <v>1</v>
      </c>
      <c r="AA5" s="13">
        <v>1</v>
      </c>
      <c r="AB5" s="13">
        <v>1</v>
      </c>
      <c r="AC5" s="13">
        <v>1</v>
      </c>
      <c r="AD5" s="13">
        <v>1</v>
      </c>
      <c r="AE5" s="13">
        <v>1</v>
      </c>
      <c r="AF5" s="13">
        <v>1</v>
      </c>
      <c r="AG5" s="13">
        <v>1</v>
      </c>
      <c r="AH5" s="13">
        <v>1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</row>
    <row r="6" spans="2:44" ht="12.75">
      <c r="B6" s="6"/>
      <c r="C6" s="14" t="s">
        <v>105</v>
      </c>
      <c r="D6" s="14" t="s">
        <v>37</v>
      </c>
      <c r="E6" s="6"/>
      <c r="F6" s="6" t="s">
        <v>103</v>
      </c>
      <c r="G6" s="12"/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0.85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</row>
    <row r="7" spans="2:44" ht="12.75">
      <c r="B7" s="6"/>
      <c r="C7" s="14" t="s">
        <v>105</v>
      </c>
      <c r="D7" s="14" t="s">
        <v>38</v>
      </c>
      <c r="E7" s="6"/>
      <c r="F7" s="6" t="s">
        <v>103</v>
      </c>
      <c r="G7" s="12"/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0.85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</row>
    <row r="8" spans="2:44" ht="12.75">
      <c r="B8" s="6"/>
      <c r="C8" s="14" t="s">
        <v>105</v>
      </c>
      <c r="D8" s="14" t="s">
        <v>39</v>
      </c>
      <c r="E8" s="6"/>
      <c r="F8" s="6" t="s">
        <v>103</v>
      </c>
      <c r="G8" s="12"/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0.85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</row>
    <row r="9" spans="2:44" ht="12.75">
      <c r="B9" s="6"/>
      <c r="C9" s="14" t="s">
        <v>105</v>
      </c>
      <c r="D9" s="14" t="s">
        <v>40</v>
      </c>
      <c r="E9" s="6"/>
      <c r="F9" s="6" t="s">
        <v>103</v>
      </c>
      <c r="G9" s="12"/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0.85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</row>
    <row r="10" spans="2:44" ht="12.75">
      <c r="B10" s="6"/>
      <c r="C10" s="14" t="s">
        <v>106</v>
      </c>
      <c r="D10" s="14" t="s">
        <v>37</v>
      </c>
      <c r="E10" s="6"/>
      <c r="F10" s="6" t="s">
        <v>103</v>
      </c>
      <c r="G10" s="12"/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0.85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</row>
    <row r="11" spans="2:44" ht="12.75">
      <c r="B11" s="6"/>
      <c r="C11" s="14" t="s">
        <v>106</v>
      </c>
      <c r="D11" s="14" t="s">
        <v>38</v>
      </c>
      <c r="E11" s="6"/>
      <c r="F11" s="6" t="s">
        <v>103</v>
      </c>
      <c r="G11" s="12"/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0.85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  <c r="AR11" s="13">
        <v>1</v>
      </c>
    </row>
    <row r="12" spans="2:44" ht="12.75">
      <c r="B12" s="6"/>
      <c r="C12" s="14" t="s">
        <v>106</v>
      </c>
      <c r="D12" s="14" t="s">
        <v>39</v>
      </c>
      <c r="E12" s="6"/>
      <c r="F12" s="6" t="s">
        <v>103</v>
      </c>
      <c r="G12" s="12"/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0.85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</row>
    <row r="13" spans="2:44" ht="12.75">
      <c r="B13" s="6"/>
      <c r="C13" s="14" t="s">
        <v>106</v>
      </c>
      <c r="D13" s="14" t="s">
        <v>107</v>
      </c>
      <c r="E13" s="6"/>
      <c r="F13" s="6" t="s">
        <v>103</v>
      </c>
      <c r="G13" s="12"/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0.85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3">
        <v>1</v>
      </c>
      <c r="AC13" s="13">
        <v>1</v>
      </c>
      <c r="AD13" s="13">
        <v>1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</row>
    <row r="14" spans="2:44" ht="12.75">
      <c r="B14" s="6"/>
      <c r="C14" s="14" t="s">
        <v>106</v>
      </c>
      <c r="D14" s="14" t="s">
        <v>40</v>
      </c>
      <c r="E14" s="6"/>
      <c r="F14" s="6" t="s">
        <v>104</v>
      </c>
      <c r="G14" s="12"/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</row>
    <row r="15" spans="2:44" ht="12.75">
      <c r="B15" s="6"/>
      <c r="C15" s="14" t="s">
        <v>108</v>
      </c>
      <c r="D15" s="14" t="s">
        <v>37</v>
      </c>
      <c r="E15" s="6"/>
      <c r="F15" s="6" t="s">
        <v>103</v>
      </c>
      <c r="G15" s="12"/>
      <c r="H15" s="13">
        <v>1</v>
      </c>
      <c r="I15" s="13">
        <v>1</v>
      </c>
      <c r="J15" s="13">
        <v>1</v>
      </c>
      <c r="K15" s="13">
        <v>1</v>
      </c>
      <c r="L15" s="13">
        <v>1</v>
      </c>
      <c r="M15" s="13">
        <v>1</v>
      </c>
      <c r="N15" s="13">
        <v>1</v>
      </c>
      <c r="O15" s="13">
        <v>1</v>
      </c>
      <c r="P15" s="13">
        <v>0.85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  <c r="AE15" s="13">
        <v>1</v>
      </c>
      <c r="AF15" s="13">
        <v>1</v>
      </c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3">
        <v>1</v>
      </c>
      <c r="AN15" s="13">
        <v>1</v>
      </c>
      <c r="AO15" s="13">
        <v>1</v>
      </c>
      <c r="AP15" s="13">
        <v>1</v>
      </c>
      <c r="AQ15" s="13">
        <v>1</v>
      </c>
      <c r="AR15" s="13">
        <v>1</v>
      </c>
    </row>
    <row r="16" spans="2:44" ht="12.75">
      <c r="B16" s="6"/>
      <c r="C16" s="14" t="s">
        <v>108</v>
      </c>
      <c r="D16" s="14" t="s">
        <v>38</v>
      </c>
      <c r="E16" s="6"/>
      <c r="F16" s="6" t="s">
        <v>103</v>
      </c>
      <c r="G16" s="12"/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0.85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</row>
    <row r="17" spans="2:44" ht="12.75">
      <c r="B17" s="6"/>
      <c r="C17" s="14" t="s">
        <v>108</v>
      </c>
      <c r="D17" s="14" t="s">
        <v>39</v>
      </c>
      <c r="E17" s="6"/>
      <c r="F17" s="6" t="s">
        <v>103</v>
      </c>
      <c r="G17" s="12"/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0.85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</row>
    <row r="18" spans="2:44" ht="12.75">
      <c r="B18" s="6"/>
      <c r="C18" s="14" t="s">
        <v>108</v>
      </c>
      <c r="D18" s="14" t="s">
        <v>107</v>
      </c>
      <c r="E18" s="6"/>
      <c r="F18" s="6" t="s">
        <v>103</v>
      </c>
      <c r="G18" s="12"/>
      <c r="H18" s="13">
        <v>1</v>
      </c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0.85</v>
      </c>
      <c r="Q18" s="13">
        <v>1</v>
      </c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3">
        <v>1</v>
      </c>
    </row>
    <row r="19" spans="2:44" ht="12.75">
      <c r="B19" s="6"/>
      <c r="C19" s="14" t="s">
        <v>108</v>
      </c>
      <c r="D19" s="14" t="s">
        <v>40</v>
      </c>
      <c r="E19" s="6"/>
      <c r="F19" s="6" t="s">
        <v>104</v>
      </c>
      <c r="G19" s="12"/>
      <c r="H19" s="13">
        <v>1</v>
      </c>
      <c r="I19" s="13">
        <v>1</v>
      </c>
      <c r="J19" s="13">
        <v>1</v>
      </c>
      <c r="K19" s="13">
        <v>1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13">
        <v>1</v>
      </c>
      <c r="AE19" s="13">
        <v>1</v>
      </c>
      <c r="AF19" s="13">
        <v>1</v>
      </c>
      <c r="AG19" s="13">
        <v>1</v>
      </c>
      <c r="AH19" s="13">
        <v>1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1</v>
      </c>
      <c r="AP19" s="13">
        <v>1</v>
      </c>
      <c r="AQ19" s="13">
        <v>1</v>
      </c>
      <c r="AR19" s="13">
        <v>1</v>
      </c>
    </row>
    <row r="20" spans="2:44" ht="12.75">
      <c r="B20" s="6"/>
      <c r="C20" s="14" t="s">
        <v>109</v>
      </c>
      <c r="D20" s="14" t="s">
        <v>37</v>
      </c>
      <c r="E20" s="6"/>
      <c r="F20" s="6" t="s">
        <v>103</v>
      </c>
      <c r="G20" s="12"/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1</v>
      </c>
      <c r="P20" s="13">
        <v>0.85</v>
      </c>
      <c r="Q20" s="13">
        <v>1</v>
      </c>
      <c r="R20" s="13">
        <v>1</v>
      </c>
      <c r="S20" s="13">
        <v>1</v>
      </c>
      <c r="T20" s="13">
        <v>1</v>
      </c>
      <c r="U20" s="13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  <c r="AA20" s="13">
        <v>1</v>
      </c>
      <c r="AB20" s="13">
        <v>1</v>
      </c>
      <c r="AC20" s="13">
        <v>1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>
        <v>1</v>
      </c>
      <c r="AQ20" s="13">
        <v>1</v>
      </c>
      <c r="AR20" s="13">
        <v>1</v>
      </c>
    </row>
    <row r="21" spans="2:44" ht="12.75">
      <c r="B21" s="6"/>
      <c r="C21" s="14" t="s">
        <v>109</v>
      </c>
      <c r="D21" s="14" t="s">
        <v>38</v>
      </c>
      <c r="E21" s="6"/>
      <c r="F21" s="6" t="s">
        <v>103</v>
      </c>
      <c r="G21" s="12"/>
      <c r="H21" s="13">
        <v>1</v>
      </c>
      <c r="I21" s="13">
        <v>1</v>
      </c>
      <c r="J21" s="13">
        <v>1</v>
      </c>
      <c r="K21" s="13">
        <v>1</v>
      </c>
      <c r="L21" s="13">
        <v>1</v>
      </c>
      <c r="M21" s="13">
        <v>1</v>
      </c>
      <c r="N21" s="13">
        <v>1</v>
      </c>
      <c r="O21" s="13">
        <v>1</v>
      </c>
      <c r="P21" s="13">
        <v>0.85</v>
      </c>
      <c r="Q21" s="13">
        <v>1</v>
      </c>
      <c r="R21" s="13">
        <v>1</v>
      </c>
      <c r="S21" s="13">
        <v>1</v>
      </c>
      <c r="T21" s="13">
        <v>1</v>
      </c>
      <c r="U21" s="13">
        <v>1</v>
      </c>
      <c r="V21" s="13">
        <v>1</v>
      </c>
      <c r="W21" s="13">
        <v>1</v>
      </c>
      <c r="X21" s="13">
        <v>1</v>
      </c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13">
        <v>1</v>
      </c>
      <c r="AE21" s="13">
        <v>1</v>
      </c>
      <c r="AF21" s="13">
        <v>1</v>
      </c>
      <c r="AG21" s="13">
        <v>1</v>
      </c>
      <c r="AH21" s="13">
        <v>1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1</v>
      </c>
      <c r="AP21" s="13">
        <v>1</v>
      </c>
      <c r="AQ21" s="13">
        <v>1</v>
      </c>
      <c r="AR21" s="13">
        <v>1</v>
      </c>
    </row>
    <row r="22" spans="2:44" ht="12.75">
      <c r="B22" s="6"/>
      <c r="C22" s="14" t="s">
        <v>109</v>
      </c>
      <c r="D22" s="14" t="s">
        <v>107</v>
      </c>
      <c r="E22" s="6"/>
      <c r="F22" s="6" t="s">
        <v>103</v>
      </c>
      <c r="G22" s="12"/>
      <c r="H22" s="13">
        <v>1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1</v>
      </c>
      <c r="O22" s="13">
        <v>1</v>
      </c>
      <c r="P22" s="13">
        <v>0.85</v>
      </c>
      <c r="Q22" s="13">
        <v>1</v>
      </c>
      <c r="R22" s="13">
        <v>1</v>
      </c>
      <c r="S22" s="13">
        <v>1</v>
      </c>
      <c r="T22" s="13">
        <v>1</v>
      </c>
      <c r="U22" s="13">
        <v>1</v>
      </c>
      <c r="V22" s="13">
        <v>1</v>
      </c>
      <c r="W22" s="13">
        <v>1</v>
      </c>
      <c r="X22" s="13">
        <v>1</v>
      </c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1</v>
      </c>
      <c r="AO22" s="13">
        <v>1</v>
      </c>
      <c r="AP22" s="13">
        <v>1</v>
      </c>
      <c r="AQ22" s="13">
        <v>1</v>
      </c>
      <c r="AR22" s="13">
        <v>1</v>
      </c>
    </row>
    <row r="23" spans="2:44" ht="12.75">
      <c r="B23" s="6"/>
      <c r="C23" s="14" t="s">
        <v>109</v>
      </c>
      <c r="D23" s="14" t="s">
        <v>40</v>
      </c>
      <c r="E23" s="6"/>
      <c r="F23" s="6" t="s">
        <v>104</v>
      </c>
      <c r="G23" s="12"/>
      <c r="H23" s="13">
        <v>1</v>
      </c>
      <c r="I23" s="13">
        <v>1</v>
      </c>
      <c r="J23" s="13">
        <v>1</v>
      </c>
      <c r="K23" s="13">
        <v>1</v>
      </c>
      <c r="L23" s="13">
        <v>1</v>
      </c>
      <c r="M23" s="13">
        <v>1</v>
      </c>
      <c r="N23" s="13">
        <v>1</v>
      </c>
      <c r="O23" s="13">
        <v>1</v>
      </c>
      <c r="P23" s="13">
        <v>1</v>
      </c>
      <c r="Q23" s="13">
        <v>1</v>
      </c>
      <c r="R23" s="13">
        <v>1</v>
      </c>
      <c r="S23" s="13">
        <v>1</v>
      </c>
      <c r="T23" s="13">
        <v>1</v>
      </c>
      <c r="U23" s="13">
        <v>1</v>
      </c>
      <c r="V23" s="13">
        <v>1</v>
      </c>
      <c r="W23" s="13">
        <v>1</v>
      </c>
      <c r="X23" s="13">
        <v>1</v>
      </c>
      <c r="Y23" s="13">
        <v>1</v>
      </c>
      <c r="Z23" s="13">
        <v>1</v>
      </c>
      <c r="AA23" s="13">
        <v>1</v>
      </c>
      <c r="AB23" s="13">
        <v>1</v>
      </c>
      <c r="AC23" s="13">
        <v>1</v>
      </c>
      <c r="AD23" s="13">
        <v>1</v>
      </c>
      <c r="AE23" s="13">
        <v>1</v>
      </c>
      <c r="AF23" s="13">
        <v>1</v>
      </c>
      <c r="AG23" s="13">
        <v>1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1</v>
      </c>
      <c r="AP23" s="13">
        <v>1</v>
      </c>
      <c r="AQ23" s="13">
        <v>1</v>
      </c>
      <c r="AR23" s="13">
        <v>1</v>
      </c>
    </row>
    <row r="24" spans="2:44" ht="12.75">
      <c r="B24" s="6"/>
      <c r="C24" s="14" t="s">
        <v>110</v>
      </c>
      <c r="D24" s="14" t="s">
        <v>37</v>
      </c>
      <c r="E24" s="6"/>
      <c r="F24" s="6" t="s">
        <v>103</v>
      </c>
      <c r="G24" s="12"/>
      <c r="H24" s="13">
        <v>1</v>
      </c>
      <c r="I24" s="13">
        <v>1</v>
      </c>
      <c r="J24" s="13">
        <v>1</v>
      </c>
      <c r="K24" s="13">
        <v>1</v>
      </c>
      <c r="L24" s="13">
        <v>1</v>
      </c>
      <c r="M24" s="13">
        <v>1</v>
      </c>
      <c r="N24" s="13">
        <v>1</v>
      </c>
      <c r="O24" s="13">
        <v>1</v>
      </c>
      <c r="P24" s="13">
        <v>0.85</v>
      </c>
      <c r="Q24" s="13">
        <v>1</v>
      </c>
      <c r="R24" s="13">
        <v>1</v>
      </c>
      <c r="S24" s="13">
        <v>1</v>
      </c>
      <c r="T24" s="13">
        <v>1</v>
      </c>
      <c r="U24" s="13">
        <v>1</v>
      </c>
      <c r="V24" s="13">
        <v>1</v>
      </c>
      <c r="W24" s="13">
        <v>1</v>
      </c>
      <c r="X24" s="13">
        <v>1</v>
      </c>
      <c r="Y24" s="13">
        <v>1</v>
      </c>
      <c r="Z24" s="13">
        <v>1</v>
      </c>
      <c r="AA24" s="13">
        <v>1</v>
      </c>
      <c r="AB24" s="13">
        <v>1</v>
      </c>
      <c r="AC24" s="13">
        <v>1</v>
      </c>
      <c r="AD24" s="13">
        <v>1</v>
      </c>
      <c r="AE24" s="13">
        <v>1</v>
      </c>
      <c r="AF24" s="13">
        <v>1</v>
      </c>
      <c r="AG24" s="13">
        <v>1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1</v>
      </c>
      <c r="AP24" s="13">
        <v>1</v>
      </c>
      <c r="AQ24" s="13">
        <v>1</v>
      </c>
      <c r="AR24" s="13">
        <v>1</v>
      </c>
    </row>
    <row r="25" spans="2:44" ht="12.75">
      <c r="B25" s="6"/>
      <c r="C25" s="14" t="s">
        <v>110</v>
      </c>
      <c r="D25" s="14" t="s">
        <v>38</v>
      </c>
      <c r="E25" s="6"/>
      <c r="F25" s="6" t="s">
        <v>103</v>
      </c>
      <c r="G25" s="12"/>
      <c r="H25" s="13">
        <v>1</v>
      </c>
      <c r="I25" s="13">
        <v>1</v>
      </c>
      <c r="J25" s="13">
        <v>1</v>
      </c>
      <c r="K25" s="13">
        <v>1</v>
      </c>
      <c r="L25" s="13">
        <v>1</v>
      </c>
      <c r="M25" s="13">
        <v>1</v>
      </c>
      <c r="N25" s="13">
        <v>1</v>
      </c>
      <c r="O25" s="13">
        <v>1</v>
      </c>
      <c r="P25" s="13">
        <v>0.85</v>
      </c>
      <c r="Q25" s="13">
        <v>1</v>
      </c>
      <c r="R25" s="13">
        <v>1</v>
      </c>
      <c r="S25" s="13">
        <v>1</v>
      </c>
      <c r="T25" s="13">
        <v>1</v>
      </c>
      <c r="U25" s="13">
        <v>1</v>
      </c>
      <c r="V25" s="13">
        <v>1</v>
      </c>
      <c r="W25" s="13">
        <v>1</v>
      </c>
      <c r="X25" s="13">
        <v>1</v>
      </c>
      <c r="Y25" s="13">
        <v>1</v>
      </c>
      <c r="Z25" s="13">
        <v>1</v>
      </c>
      <c r="AA25" s="13">
        <v>1</v>
      </c>
      <c r="AB25" s="13">
        <v>1</v>
      </c>
      <c r="AC25" s="13">
        <v>1</v>
      </c>
      <c r="AD25" s="13">
        <v>1</v>
      </c>
      <c r="AE25" s="13">
        <v>1</v>
      </c>
      <c r="AF25" s="13">
        <v>1</v>
      </c>
      <c r="AG25" s="13">
        <v>1</v>
      </c>
      <c r="AH25" s="13">
        <v>1</v>
      </c>
      <c r="AI25" s="13">
        <v>1</v>
      </c>
      <c r="AJ25" s="13">
        <v>1</v>
      </c>
      <c r="AK25" s="13">
        <v>1</v>
      </c>
      <c r="AL25" s="13">
        <v>1</v>
      </c>
      <c r="AM25" s="13">
        <v>1</v>
      </c>
      <c r="AN25" s="13">
        <v>1</v>
      </c>
      <c r="AO25" s="13">
        <v>1</v>
      </c>
      <c r="AP25" s="13">
        <v>1</v>
      </c>
      <c r="AQ25" s="13">
        <v>1</v>
      </c>
      <c r="AR25" s="13">
        <v>1</v>
      </c>
    </row>
    <row r="26" spans="2:44" ht="12.75">
      <c r="B26" s="6"/>
      <c r="C26" s="14" t="s">
        <v>110</v>
      </c>
      <c r="D26" s="14" t="s">
        <v>107</v>
      </c>
      <c r="E26" s="6"/>
      <c r="F26" s="6" t="s">
        <v>103</v>
      </c>
      <c r="G26" s="12"/>
      <c r="H26" s="13">
        <v>1</v>
      </c>
      <c r="I26" s="13">
        <v>1</v>
      </c>
      <c r="J26" s="13">
        <v>1</v>
      </c>
      <c r="K26" s="13">
        <v>1</v>
      </c>
      <c r="L26" s="13">
        <v>1</v>
      </c>
      <c r="M26" s="13">
        <v>1</v>
      </c>
      <c r="N26" s="13">
        <v>1</v>
      </c>
      <c r="O26" s="13">
        <v>1</v>
      </c>
      <c r="P26" s="13">
        <v>0.85</v>
      </c>
      <c r="Q26" s="13">
        <v>1</v>
      </c>
      <c r="R26" s="13">
        <v>1</v>
      </c>
      <c r="S26" s="13">
        <v>1</v>
      </c>
      <c r="T26" s="13">
        <v>1</v>
      </c>
      <c r="U26" s="13">
        <v>1</v>
      </c>
      <c r="V26" s="13">
        <v>1</v>
      </c>
      <c r="W26" s="13">
        <v>1</v>
      </c>
      <c r="X26" s="13">
        <v>1</v>
      </c>
      <c r="Y26" s="13">
        <v>1</v>
      </c>
      <c r="Z26" s="13">
        <v>1</v>
      </c>
      <c r="AA26" s="13">
        <v>1</v>
      </c>
      <c r="AB26" s="13">
        <v>1</v>
      </c>
      <c r="AC26" s="13">
        <v>1</v>
      </c>
      <c r="AD26" s="13">
        <v>1</v>
      </c>
      <c r="AE26" s="13">
        <v>1</v>
      </c>
      <c r="AF26" s="13">
        <v>1</v>
      </c>
      <c r="AG26" s="13">
        <v>1</v>
      </c>
      <c r="AH26" s="13">
        <v>1</v>
      </c>
      <c r="AI26" s="13">
        <v>1</v>
      </c>
      <c r="AJ26" s="13">
        <v>1</v>
      </c>
      <c r="AK26" s="13">
        <v>1</v>
      </c>
      <c r="AL26" s="13">
        <v>1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3">
        <v>1</v>
      </c>
    </row>
    <row r="27" spans="2:44" ht="12.75">
      <c r="B27" s="6"/>
      <c r="C27" s="14" t="s">
        <v>110</v>
      </c>
      <c r="D27" s="14" t="s">
        <v>111</v>
      </c>
      <c r="E27" s="6"/>
      <c r="F27" s="6" t="s">
        <v>103</v>
      </c>
      <c r="G27" s="12"/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3">
        <v>1</v>
      </c>
      <c r="O27" s="13">
        <v>1</v>
      </c>
      <c r="P27" s="13">
        <v>0.85</v>
      </c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</row>
    <row r="28" spans="2:44" ht="12.75">
      <c r="B28" s="6"/>
      <c r="C28" s="14" t="s">
        <v>110</v>
      </c>
      <c r="D28" s="14" t="s">
        <v>40</v>
      </c>
      <c r="E28" s="6"/>
      <c r="F28" s="6" t="s">
        <v>104</v>
      </c>
      <c r="G28" s="12"/>
      <c r="H28" s="13">
        <v>1</v>
      </c>
      <c r="I28" s="13">
        <v>1</v>
      </c>
      <c r="J28" s="13">
        <v>1</v>
      </c>
      <c r="K28" s="13">
        <v>1</v>
      </c>
      <c r="L28" s="13">
        <v>1</v>
      </c>
      <c r="M28" s="13">
        <v>1</v>
      </c>
      <c r="N28" s="13">
        <v>1</v>
      </c>
      <c r="O28" s="13">
        <v>1</v>
      </c>
      <c r="P28" s="13">
        <v>1</v>
      </c>
      <c r="Q28" s="13">
        <v>1</v>
      </c>
      <c r="R28" s="13">
        <v>1</v>
      </c>
      <c r="S28" s="13">
        <v>1</v>
      </c>
      <c r="T28" s="13">
        <v>1</v>
      </c>
      <c r="U28" s="13">
        <v>1</v>
      </c>
      <c r="V28" s="13">
        <v>1</v>
      </c>
      <c r="W28" s="13">
        <v>1</v>
      </c>
      <c r="X28" s="13">
        <v>1</v>
      </c>
      <c r="Y28" s="13">
        <v>1</v>
      </c>
      <c r="Z28" s="13">
        <v>1</v>
      </c>
      <c r="AA28" s="13">
        <v>1</v>
      </c>
      <c r="AB28" s="13">
        <v>1</v>
      </c>
      <c r="AC28" s="13">
        <v>1</v>
      </c>
      <c r="AD28" s="13">
        <v>1</v>
      </c>
      <c r="AE28" s="13">
        <v>1</v>
      </c>
      <c r="AF28" s="13">
        <v>1</v>
      </c>
      <c r="AG28" s="13">
        <v>1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1</v>
      </c>
      <c r="AN28" s="13">
        <v>1</v>
      </c>
      <c r="AO28" s="13">
        <v>1</v>
      </c>
      <c r="AP28" s="13">
        <v>1</v>
      </c>
      <c r="AQ28" s="13">
        <v>1</v>
      </c>
      <c r="AR28" s="13">
        <v>1</v>
      </c>
    </row>
    <row r="29" spans="2:44" ht="12.75">
      <c r="B29" s="6"/>
      <c r="C29" s="14" t="s">
        <v>112</v>
      </c>
      <c r="D29" s="14" t="s">
        <v>37</v>
      </c>
      <c r="E29" s="6"/>
      <c r="F29" s="6" t="s">
        <v>103</v>
      </c>
      <c r="G29" s="12"/>
      <c r="H29" s="13">
        <v>1</v>
      </c>
      <c r="I29" s="13">
        <v>1</v>
      </c>
      <c r="J29" s="13">
        <v>1</v>
      </c>
      <c r="K29" s="13">
        <v>1</v>
      </c>
      <c r="L29" s="13">
        <v>1</v>
      </c>
      <c r="M29" s="13">
        <v>1</v>
      </c>
      <c r="N29" s="13">
        <v>1</v>
      </c>
      <c r="O29" s="13">
        <v>1</v>
      </c>
      <c r="P29" s="13">
        <v>0.85</v>
      </c>
      <c r="Q29" s="13">
        <v>1</v>
      </c>
      <c r="R29" s="13">
        <v>1</v>
      </c>
      <c r="S29" s="13">
        <v>1</v>
      </c>
      <c r="T29" s="13">
        <v>1</v>
      </c>
      <c r="U29" s="13">
        <v>1</v>
      </c>
      <c r="V29" s="13">
        <v>1</v>
      </c>
      <c r="W29" s="13">
        <v>1</v>
      </c>
      <c r="X29" s="13">
        <v>1</v>
      </c>
      <c r="Y29" s="13">
        <v>1</v>
      </c>
      <c r="Z29" s="13">
        <v>1</v>
      </c>
      <c r="AA29" s="13">
        <v>1</v>
      </c>
      <c r="AB29" s="13">
        <v>1</v>
      </c>
      <c r="AC29" s="13">
        <v>1</v>
      </c>
      <c r="AD29" s="13">
        <v>1</v>
      </c>
      <c r="AE29" s="13">
        <v>1</v>
      </c>
      <c r="AF29" s="13">
        <v>1</v>
      </c>
      <c r="AG29" s="13">
        <v>1</v>
      </c>
      <c r="AH29" s="13">
        <v>1</v>
      </c>
      <c r="AI29" s="13">
        <v>1</v>
      </c>
      <c r="AJ29" s="13">
        <v>1</v>
      </c>
      <c r="AK29" s="13">
        <v>1</v>
      </c>
      <c r="AL29" s="13">
        <v>1</v>
      </c>
      <c r="AM29" s="13">
        <v>1</v>
      </c>
      <c r="AN29" s="13">
        <v>1</v>
      </c>
      <c r="AO29" s="13">
        <v>1</v>
      </c>
      <c r="AP29" s="13">
        <v>1</v>
      </c>
      <c r="AQ29" s="13">
        <v>1</v>
      </c>
      <c r="AR29" s="13">
        <v>1</v>
      </c>
    </row>
    <row r="30" spans="2:44" ht="12.75">
      <c r="B30" s="6"/>
      <c r="C30" s="14" t="s">
        <v>112</v>
      </c>
      <c r="D30" s="14" t="s">
        <v>38</v>
      </c>
      <c r="E30" s="6"/>
      <c r="F30" s="6" t="s">
        <v>103</v>
      </c>
      <c r="G30" s="12"/>
      <c r="H30" s="13">
        <v>1</v>
      </c>
      <c r="I30" s="13">
        <v>1</v>
      </c>
      <c r="J30" s="13">
        <v>1</v>
      </c>
      <c r="K30" s="13">
        <v>1</v>
      </c>
      <c r="L30" s="13">
        <v>1</v>
      </c>
      <c r="M30" s="13">
        <v>1</v>
      </c>
      <c r="N30" s="13">
        <v>1</v>
      </c>
      <c r="O30" s="13">
        <v>1</v>
      </c>
      <c r="P30" s="13">
        <v>0.85</v>
      </c>
      <c r="Q30" s="13">
        <v>1</v>
      </c>
      <c r="R30" s="13">
        <v>1</v>
      </c>
      <c r="S30" s="13">
        <v>1</v>
      </c>
      <c r="T30" s="13">
        <v>1</v>
      </c>
      <c r="U30" s="13">
        <v>1</v>
      </c>
      <c r="V30" s="13">
        <v>1</v>
      </c>
      <c r="W30" s="13">
        <v>1</v>
      </c>
      <c r="X30" s="13">
        <v>1</v>
      </c>
      <c r="Y30" s="13">
        <v>1</v>
      </c>
      <c r="Z30" s="13">
        <v>1</v>
      </c>
      <c r="AA30" s="13">
        <v>1</v>
      </c>
      <c r="AB30" s="13">
        <v>1</v>
      </c>
      <c r="AC30" s="13">
        <v>1</v>
      </c>
      <c r="AD30" s="13">
        <v>1</v>
      </c>
      <c r="AE30" s="13">
        <v>1</v>
      </c>
      <c r="AF30" s="13">
        <v>1</v>
      </c>
      <c r="AG30" s="13">
        <v>1</v>
      </c>
      <c r="AH30" s="13">
        <v>1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  <c r="AR30" s="13">
        <v>1</v>
      </c>
    </row>
    <row r="31" spans="2:44" ht="12.75">
      <c r="B31" s="6"/>
      <c r="C31" s="14" t="s">
        <v>113</v>
      </c>
      <c r="D31" s="14" t="s">
        <v>37</v>
      </c>
      <c r="E31" s="6"/>
      <c r="F31" s="6" t="s">
        <v>103</v>
      </c>
      <c r="G31" s="12"/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1</v>
      </c>
      <c r="O31" s="13">
        <v>1</v>
      </c>
      <c r="P31" s="13">
        <v>0.85</v>
      </c>
      <c r="Q31" s="13">
        <v>1</v>
      </c>
      <c r="R31" s="13">
        <v>1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3">
        <v>1</v>
      </c>
      <c r="Z31" s="13">
        <v>1</v>
      </c>
      <c r="AA31" s="13">
        <v>1</v>
      </c>
      <c r="AB31" s="13">
        <v>1</v>
      </c>
      <c r="AC31" s="13">
        <v>1</v>
      </c>
      <c r="AD31" s="13">
        <v>1</v>
      </c>
      <c r="AE31" s="13">
        <v>1</v>
      </c>
      <c r="AF31" s="13">
        <v>1</v>
      </c>
      <c r="AG31" s="13">
        <v>1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1</v>
      </c>
      <c r="AP31" s="13">
        <v>1</v>
      </c>
      <c r="AQ31" s="13">
        <v>1</v>
      </c>
      <c r="AR31" s="13">
        <v>1</v>
      </c>
    </row>
    <row r="32" spans="2:44" ht="12.75">
      <c r="B32" s="6"/>
      <c r="C32" s="14" t="s">
        <v>113</v>
      </c>
      <c r="D32" s="14" t="s">
        <v>38</v>
      </c>
      <c r="E32" s="6"/>
      <c r="F32" s="6" t="s">
        <v>103</v>
      </c>
      <c r="G32" s="12"/>
      <c r="H32" s="13">
        <v>1</v>
      </c>
      <c r="I32" s="13">
        <v>1</v>
      </c>
      <c r="J32" s="13">
        <v>1</v>
      </c>
      <c r="K32" s="13">
        <v>1</v>
      </c>
      <c r="L32" s="13">
        <v>1</v>
      </c>
      <c r="M32" s="13">
        <v>1</v>
      </c>
      <c r="N32" s="13">
        <v>1</v>
      </c>
      <c r="O32" s="13">
        <v>1</v>
      </c>
      <c r="P32" s="13">
        <v>0.85</v>
      </c>
      <c r="Q32" s="13">
        <v>1</v>
      </c>
      <c r="R32" s="13">
        <v>1</v>
      </c>
      <c r="S32" s="13">
        <v>1</v>
      </c>
      <c r="T32" s="13">
        <v>1</v>
      </c>
      <c r="U32" s="13">
        <v>1</v>
      </c>
      <c r="V32" s="13">
        <v>1</v>
      </c>
      <c r="W32" s="13">
        <v>1</v>
      </c>
      <c r="X32" s="13">
        <v>1</v>
      </c>
      <c r="Y32" s="13">
        <v>1</v>
      </c>
      <c r="Z32" s="13">
        <v>1</v>
      </c>
      <c r="AA32" s="13">
        <v>1</v>
      </c>
      <c r="AB32" s="13">
        <v>1</v>
      </c>
      <c r="AC32" s="13">
        <v>1</v>
      </c>
      <c r="AD32" s="13">
        <v>1</v>
      </c>
      <c r="AE32" s="13">
        <v>1</v>
      </c>
      <c r="AF32" s="13">
        <v>1</v>
      </c>
      <c r="AG32" s="13">
        <v>1</v>
      </c>
      <c r="AH32" s="13">
        <v>1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1</v>
      </c>
      <c r="AP32" s="13">
        <v>1</v>
      </c>
      <c r="AQ32" s="13">
        <v>1</v>
      </c>
      <c r="AR32" s="13">
        <v>1</v>
      </c>
    </row>
    <row r="33" spans="2:44" ht="12.75">
      <c r="B33" s="6"/>
      <c r="C33" s="14" t="s">
        <v>113</v>
      </c>
      <c r="D33" s="14" t="s">
        <v>114</v>
      </c>
      <c r="E33" s="6"/>
      <c r="F33" s="6" t="s">
        <v>103</v>
      </c>
      <c r="G33" s="12"/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0.85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>
        <v>1</v>
      </c>
      <c r="AQ33" s="13">
        <v>1</v>
      </c>
      <c r="AR33" s="13">
        <v>1</v>
      </c>
    </row>
    <row r="34" spans="2:44" ht="12.75">
      <c r="B34" s="6"/>
      <c r="C34" s="14" t="s">
        <v>115</v>
      </c>
      <c r="D34" s="14" t="s">
        <v>37</v>
      </c>
      <c r="E34" s="6"/>
      <c r="F34" s="6" t="s">
        <v>103</v>
      </c>
      <c r="G34" s="12"/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0.85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1</v>
      </c>
      <c r="X34" s="13">
        <v>1</v>
      </c>
      <c r="Y34" s="13">
        <v>1</v>
      </c>
      <c r="Z34" s="13">
        <v>1</v>
      </c>
      <c r="AA34" s="13">
        <v>1</v>
      </c>
      <c r="AB34" s="13">
        <v>1</v>
      </c>
      <c r="AC34" s="13">
        <v>1</v>
      </c>
      <c r="AD34" s="13">
        <v>1</v>
      </c>
      <c r="AE34" s="13">
        <v>1</v>
      </c>
      <c r="AF34" s="13">
        <v>1</v>
      </c>
      <c r="AG34" s="13">
        <v>1</v>
      </c>
      <c r="AH34" s="13">
        <v>1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>
        <v>1</v>
      </c>
      <c r="AQ34" s="13">
        <v>1</v>
      </c>
      <c r="AR34" s="13">
        <v>1</v>
      </c>
    </row>
    <row r="35" spans="2:44" ht="12.75">
      <c r="B35" s="6"/>
      <c r="C35" s="14" t="s">
        <v>115</v>
      </c>
      <c r="D35" s="14" t="s">
        <v>38</v>
      </c>
      <c r="E35" s="6"/>
      <c r="F35" s="6" t="s">
        <v>103</v>
      </c>
      <c r="G35" s="12"/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1</v>
      </c>
      <c r="O35" s="13">
        <v>1</v>
      </c>
      <c r="P35" s="13">
        <v>0.85</v>
      </c>
      <c r="Q35" s="13">
        <v>1</v>
      </c>
      <c r="R35" s="13">
        <v>1</v>
      </c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1</v>
      </c>
      <c r="Z35" s="13">
        <v>1</v>
      </c>
      <c r="AA35" s="13">
        <v>1</v>
      </c>
      <c r="AB35" s="13">
        <v>1</v>
      </c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1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>
        <v>1</v>
      </c>
      <c r="AQ35" s="13">
        <v>1</v>
      </c>
      <c r="AR35" s="13">
        <v>1</v>
      </c>
    </row>
    <row r="36" spans="2:44" ht="12.75">
      <c r="B36" s="6"/>
      <c r="C36" s="14" t="s">
        <v>116</v>
      </c>
      <c r="D36" s="14" t="s">
        <v>102</v>
      </c>
      <c r="E36" s="6"/>
      <c r="F36" s="6" t="s">
        <v>103</v>
      </c>
      <c r="G36" s="12"/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1</v>
      </c>
      <c r="O36" s="13">
        <v>1</v>
      </c>
      <c r="P36" s="13">
        <v>0.85</v>
      </c>
      <c r="Q36" s="13">
        <v>1</v>
      </c>
      <c r="R36" s="13">
        <v>1</v>
      </c>
      <c r="S36" s="13">
        <v>1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1</v>
      </c>
      <c r="Z36" s="13">
        <v>1</v>
      </c>
      <c r="AA36" s="13">
        <v>1</v>
      </c>
      <c r="AB36" s="13">
        <v>1</v>
      </c>
      <c r="AC36" s="13">
        <v>1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1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>
        <v>1</v>
      </c>
      <c r="AQ36" s="13">
        <v>1</v>
      </c>
      <c r="AR36" s="13">
        <v>1</v>
      </c>
    </row>
    <row r="37" spans="2:44" ht="12.75">
      <c r="B37" s="6"/>
      <c r="C37" s="14" t="s">
        <v>116</v>
      </c>
      <c r="D37" s="14" t="s">
        <v>37</v>
      </c>
      <c r="E37" s="6"/>
      <c r="F37" s="6" t="s">
        <v>103</v>
      </c>
      <c r="G37" s="12"/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1</v>
      </c>
      <c r="O37" s="13">
        <v>1</v>
      </c>
      <c r="P37" s="13">
        <v>0.85</v>
      </c>
      <c r="Q37" s="13">
        <v>1</v>
      </c>
      <c r="R37" s="13">
        <v>1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1</v>
      </c>
      <c r="Z37" s="13">
        <v>1</v>
      </c>
      <c r="AA37" s="13">
        <v>1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1</v>
      </c>
      <c r="AL37" s="13">
        <v>1</v>
      </c>
      <c r="AM37" s="13">
        <v>1</v>
      </c>
      <c r="AN37" s="13">
        <v>1</v>
      </c>
      <c r="AO37" s="13">
        <v>1</v>
      </c>
      <c r="AP37" s="13">
        <v>1</v>
      </c>
      <c r="AQ37" s="13">
        <v>1</v>
      </c>
      <c r="AR37" s="13">
        <v>1</v>
      </c>
    </row>
    <row r="38" spans="2:44" ht="12.75">
      <c r="B38" s="6"/>
      <c r="C38" s="14" t="s">
        <v>116</v>
      </c>
      <c r="D38" s="14" t="s">
        <v>41</v>
      </c>
      <c r="E38" s="6"/>
      <c r="F38" s="6" t="s">
        <v>104</v>
      </c>
      <c r="G38" s="12"/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1</v>
      </c>
      <c r="O38" s="13">
        <v>1</v>
      </c>
      <c r="P38" s="13">
        <v>1</v>
      </c>
      <c r="Q38" s="13">
        <v>1</v>
      </c>
      <c r="R38" s="13">
        <v>1</v>
      </c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1</v>
      </c>
      <c r="Z38" s="13">
        <v>1</v>
      </c>
      <c r="AA38" s="13">
        <v>1</v>
      </c>
      <c r="AB38" s="13">
        <v>1</v>
      </c>
      <c r="AC38" s="13">
        <v>1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1</v>
      </c>
      <c r="AM38" s="13">
        <v>1</v>
      </c>
      <c r="AN38" s="13">
        <v>1</v>
      </c>
      <c r="AO38" s="13">
        <v>1</v>
      </c>
      <c r="AP38" s="13">
        <v>1</v>
      </c>
      <c r="AQ38" s="13">
        <v>1</v>
      </c>
      <c r="AR38" s="13">
        <v>1</v>
      </c>
    </row>
    <row r="39" spans="2:44" ht="12.75">
      <c r="B39" s="6"/>
      <c r="C39" s="14" t="s">
        <v>117</v>
      </c>
      <c r="D39" s="14" t="s">
        <v>37</v>
      </c>
      <c r="E39" s="6"/>
      <c r="F39" s="6" t="s">
        <v>103</v>
      </c>
      <c r="G39" s="12"/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1</v>
      </c>
      <c r="O39" s="13">
        <v>1</v>
      </c>
      <c r="P39" s="13">
        <v>0.85</v>
      </c>
      <c r="Q39" s="13">
        <v>1</v>
      </c>
      <c r="R39" s="13">
        <v>1</v>
      </c>
      <c r="S39" s="13">
        <v>1</v>
      </c>
      <c r="T39" s="13">
        <v>1</v>
      </c>
      <c r="U39" s="13">
        <v>1</v>
      </c>
      <c r="V39" s="13">
        <v>1</v>
      </c>
      <c r="W39" s="13">
        <v>1</v>
      </c>
      <c r="X39" s="13">
        <v>1</v>
      </c>
      <c r="Y39" s="13">
        <v>1</v>
      </c>
      <c r="Z39" s="13">
        <v>1</v>
      </c>
      <c r="AA39" s="13">
        <v>1</v>
      </c>
      <c r="AB39" s="13">
        <v>1</v>
      </c>
      <c r="AC39" s="13">
        <v>1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1</v>
      </c>
      <c r="AN39" s="13">
        <v>1</v>
      </c>
      <c r="AO39" s="13">
        <v>1</v>
      </c>
      <c r="AP39" s="13">
        <v>1</v>
      </c>
      <c r="AQ39" s="13">
        <v>1</v>
      </c>
      <c r="AR39" s="13">
        <v>1</v>
      </c>
    </row>
    <row r="40" spans="2:44" ht="12.75">
      <c r="B40" s="6"/>
      <c r="C40" s="14" t="s">
        <v>117</v>
      </c>
      <c r="D40" s="14" t="s">
        <v>39</v>
      </c>
      <c r="E40" s="6"/>
      <c r="F40" s="6" t="s">
        <v>103</v>
      </c>
      <c r="G40" s="12"/>
      <c r="H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1</v>
      </c>
      <c r="O40" s="13">
        <v>1</v>
      </c>
      <c r="P40" s="13">
        <v>0.85</v>
      </c>
      <c r="Q40" s="13">
        <v>1</v>
      </c>
      <c r="R40" s="13">
        <v>1</v>
      </c>
      <c r="S40" s="13">
        <v>1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1</v>
      </c>
      <c r="Z40" s="13">
        <v>1</v>
      </c>
      <c r="AA40" s="13">
        <v>1</v>
      </c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1</v>
      </c>
      <c r="AO40" s="13">
        <v>1</v>
      </c>
      <c r="AP40" s="13">
        <v>1</v>
      </c>
      <c r="AQ40" s="13">
        <v>1</v>
      </c>
      <c r="AR40" s="13">
        <v>1</v>
      </c>
    </row>
    <row r="41" spans="2:44" ht="12.75">
      <c r="B41" s="6"/>
      <c r="C41" s="14" t="s">
        <v>117</v>
      </c>
      <c r="D41" s="14" t="s">
        <v>41</v>
      </c>
      <c r="E41" s="6"/>
      <c r="F41" s="6" t="s">
        <v>103</v>
      </c>
      <c r="G41" s="12"/>
      <c r="H41" s="13">
        <v>1</v>
      </c>
      <c r="I41" s="13">
        <v>1</v>
      </c>
      <c r="J41" s="13">
        <v>1</v>
      </c>
      <c r="K41" s="13">
        <v>1</v>
      </c>
      <c r="L41" s="13">
        <v>1</v>
      </c>
      <c r="M41" s="13">
        <v>1</v>
      </c>
      <c r="N41" s="13">
        <v>1</v>
      </c>
      <c r="O41" s="13">
        <v>1</v>
      </c>
      <c r="P41" s="13">
        <v>0.85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3">
        <v>1</v>
      </c>
      <c r="AA41" s="13">
        <v>1</v>
      </c>
      <c r="AB41" s="13">
        <v>1</v>
      </c>
      <c r="AC41" s="13">
        <v>1</v>
      </c>
      <c r="AD41" s="13">
        <v>1</v>
      </c>
      <c r="AE41" s="13">
        <v>1</v>
      </c>
      <c r="AF41" s="13">
        <v>1</v>
      </c>
      <c r="AG41" s="13">
        <v>1</v>
      </c>
      <c r="AH41" s="13">
        <v>1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1</v>
      </c>
      <c r="AP41" s="13">
        <v>1</v>
      </c>
      <c r="AQ41" s="13">
        <v>1</v>
      </c>
      <c r="AR41" s="13">
        <v>1</v>
      </c>
    </row>
    <row r="42" spans="2:44" ht="12.75">
      <c r="B42" s="6"/>
      <c r="C42" s="14" t="s">
        <v>117</v>
      </c>
      <c r="D42" s="14" t="s">
        <v>42</v>
      </c>
      <c r="E42" s="6"/>
      <c r="F42" s="6" t="s">
        <v>103</v>
      </c>
      <c r="G42" s="12"/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0.85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  <c r="W42" s="13">
        <v>1</v>
      </c>
      <c r="X42" s="13">
        <v>1</v>
      </c>
      <c r="Y42" s="13">
        <v>1</v>
      </c>
      <c r="Z42" s="13">
        <v>1</v>
      </c>
      <c r="AA42" s="13">
        <v>1</v>
      </c>
      <c r="AB42" s="13">
        <v>1</v>
      </c>
      <c r="AC42" s="13">
        <v>1</v>
      </c>
      <c r="AD42" s="13">
        <v>1</v>
      </c>
      <c r="AE42" s="13">
        <v>1</v>
      </c>
      <c r="AF42" s="13">
        <v>1</v>
      </c>
      <c r="AG42" s="13">
        <v>1</v>
      </c>
      <c r="AH42" s="13">
        <v>1</v>
      </c>
      <c r="AI42" s="13">
        <v>1</v>
      </c>
      <c r="AJ42" s="13">
        <v>1</v>
      </c>
      <c r="AK42" s="13">
        <v>1</v>
      </c>
      <c r="AL42" s="13">
        <v>1</v>
      </c>
      <c r="AM42" s="13">
        <v>1</v>
      </c>
      <c r="AN42" s="13">
        <v>1</v>
      </c>
      <c r="AO42" s="13">
        <v>1</v>
      </c>
      <c r="AP42" s="13">
        <v>1</v>
      </c>
      <c r="AQ42" s="13">
        <v>1</v>
      </c>
      <c r="AR42" s="13">
        <v>1</v>
      </c>
    </row>
    <row r="43" spans="2:44" ht="12.75">
      <c r="B43" s="6"/>
      <c r="C43" s="14" t="s">
        <v>118</v>
      </c>
      <c r="D43" s="14" t="s">
        <v>102</v>
      </c>
      <c r="E43" s="6"/>
      <c r="F43" s="6" t="s">
        <v>103</v>
      </c>
      <c r="G43" s="12"/>
      <c r="H43" s="13">
        <v>1</v>
      </c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0.85</v>
      </c>
      <c r="Q43" s="13">
        <v>1</v>
      </c>
      <c r="R43" s="13">
        <v>1</v>
      </c>
      <c r="S43" s="13">
        <v>1</v>
      </c>
      <c r="T43" s="13">
        <v>1</v>
      </c>
      <c r="U43" s="13">
        <v>1</v>
      </c>
      <c r="V43" s="13">
        <v>1</v>
      </c>
      <c r="W43" s="13">
        <v>1</v>
      </c>
      <c r="X43" s="13">
        <v>1</v>
      </c>
      <c r="Y43" s="13">
        <v>1</v>
      </c>
      <c r="Z43" s="13">
        <v>1</v>
      </c>
      <c r="AA43" s="13">
        <v>1</v>
      </c>
      <c r="AB43" s="13">
        <v>1</v>
      </c>
      <c r="AC43" s="13">
        <v>1</v>
      </c>
      <c r="AD43" s="13">
        <v>1</v>
      </c>
      <c r="AE43" s="13">
        <v>1</v>
      </c>
      <c r="AF43" s="13">
        <v>1</v>
      </c>
      <c r="AG43" s="13">
        <v>1</v>
      </c>
      <c r="AH43" s="13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</row>
    <row r="44" spans="2:44" ht="12.75">
      <c r="B44" s="6"/>
      <c r="C44" s="14" t="s">
        <v>118</v>
      </c>
      <c r="D44" s="14" t="s">
        <v>37</v>
      </c>
      <c r="E44" s="6"/>
      <c r="F44" s="6" t="s">
        <v>103</v>
      </c>
      <c r="G44" s="12"/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0.85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3">
        <v>1</v>
      </c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>
        <v>1</v>
      </c>
      <c r="AQ44" s="13">
        <v>1</v>
      </c>
      <c r="AR44" s="13">
        <v>1</v>
      </c>
    </row>
    <row r="45" spans="2:44" ht="12.75">
      <c r="B45" s="6"/>
      <c r="C45" s="14" t="s">
        <v>118</v>
      </c>
      <c r="D45" s="14" t="s">
        <v>38</v>
      </c>
      <c r="E45" s="6"/>
      <c r="F45" s="6" t="s">
        <v>103</v>
      </c>
      <c r="G45" s="12"/>
      <c r="H45" s="13">
        <v>1</v>
      </c>
      <c r="I45" s="13">
        <v>1</v>
      </c>
      <c r="J45" s="13">
        <v>1</v>
      </c>
      <c r="K45" s="13">
        <v>1</v>
      </c>
      <c r="L45" s="13">
        <v>1</v>
      </c>
      <c r="M45" s="13">
        <v>1</v>
      </c>
      <c r="N45" s="13">
        <v>1</v>
      </c>
      <c r="O45" s="13">
        <v>1</v>
      </c>
      <c r="P45" s="13">
        <v>0.85</v>
      </c>
      <c r="Q45" s="13">
        <v>1</v>
      </c>
      <c r="R45" s="13">
        <v>1</v>
      </c>
      <c r="S45" s="13">
        <v>1</v>
      </c>
      <c r="T45" s="13">
        <v>1</v>
      </c>
      <c r="U45" s="13">
        <v>1</v>
      </c>
      <c r="V45" s="13">
        <v>1</v>
      </c>
      <c r="W45" s="13">
        <v>1</v>
      </c>
      <c r="X45" s="13">
        <v>1</v>
      </c>
      <c r="Y45" s="13">
        <v>1</v>
      </c>
      <c r="Z45" s="13">
        <v>1</v>
      </c>
      <c r="AA45" s="13">
        <v>1</v>
      </c>
      <c r="AB45" s="13">
        <v>1</v>
      </c>
      <c r="AC45" s="13">
        <v>1</v>
      </c>
      <c r="AD45" s="13">
        <v>1</v>
      </c>
      <c r="AE45" s="13">
        <v>1</v>
      </c>
      <c r="AF45" s="13">
        <v>1</v>
      </c>
      <c r="AG45" s="13">
        <v>1</v>
      </c>
      <c r="AH45" s="13">
        <v>1</v>
      </c>
      <c r="AI45" s="13">
        <v>1</v>
      </c>
      <c r="AJ45" s="13">
        <v>1</v>
      </c>
      <c r="AK45" s="13">
        <v>1</v>
      </c>
      <c r="AL45" s="13">
        <v>1</v>
      </c>
      <c r="AM45" s="13">
        <v>1</v>
      </c>
      <c r="AN45" s="13">
        <v>1</v>
      </c>
      <c r="AO45" s="13">
        <v>1</v>
      </c>
      <c r="AP45" s="13">
        <v>1</v>
      </c>
      <c r="AQ45" s="13">
        <v>1</v>
      </c>
      <c r="AR45" s="13">
        <v>1</v>
      </c>
    </row>
    <row r="46" spans="2:44" ht="12.75">
      <c r="B46" s="6"/>
      <c r="C46" s="14" t="s">
        <v>118</v>
      </c>
      <c r="D46" s="14" t="s">
        <v>43</v>
      </c>
      <c r="E46" s="6"/>
      <c r="F46" s="6" t="s">
        <v>103</v>
      </c>
      <c r="G46" s="12"/>
      <c r="H46" s="13">
        <v>1</v>
      </c>
      <c r="I46" s="13">
        <v>1</v>
      </c>
      <c r="J46" s="13">
        <v>1</v>
      </c>
      <c r="K46" s="13">
        <v>1</v>
      </c>
      <c r="L46" s="13">
        <v>1</v>
      </c>
      <c r="M46" s="13">
        <v>1</v>
      </c>
      <c r="N46" s="13">
        <v>1</v>
      </c>
      <c r="O46" s="13">
        <v>1</v>
      </c>
      <c r="P46" s="13">
        <v>0.85</v>
      </c>
      <c r="Q46" s="13">
        <v>1</v>
      </c>
      <c r="R46" s="13">
        <v>1</v>
      </c>
      <c r="S46" s="13">
        <v>1</v>
      </c>
      <c r="T46" s="13">
        <v>1</v>
      </c>
      <c r="U46" s="13">
        <v>1</v>
      </c>
      <c r="V46" s="13">
        <v>1</v>
      </c>
      <c r="W46" s="13">
        <v>1</v>
      </c>
      <c r="X46" s="13">
        <v>1</v>
      </c>
      <c r="Y46" s="13">
        <v>1</v>
      </c>
      <c r="Z46" s="13">
        <v>1</v>
      </c>
      <c r="AA46" s="13">
        <v>1</v>
      </c>
      <c r="AB46" s="13">
        <v>1</v>
      </c>
      <c r="AC46" s="13">
        <v>1</v>
      </c>
      <c r="AD46" s="13">
        <v>1</v>
      </c>
      <c r="AE46" s="13">
        <v>1</v>
      </c>
      <c r="AF46" s="13">
        <v>1</v>
      </c>
      <c r="AG46" s="13">
        <v>1</v>
      </c>
      <c r="AH46" s="13">
        <v>1</v>
      </c>
      <c r="AI46" s="13">
        <v>1</v>
      </c>
      <c r="AJ46" s="13">
        <v>1</v>
      </c>
      <c r="AK46" s="13">
        <v>1</v>
      </c>
      <c r="AL46" s="13">
        <v>1</v>
      </c>
      <c r="AM46" s="13">
        <v>1</v>
      </c>
      <c r="AN46" s="13">
        <v>1</v>
      </c>
      <c r="AO46" s="13">
        <v>1</v>
      </c>
      <c r="AP46" s="13">
        <v>1</v>
      </c>
      <c r="AQ46" s="13">
        <v>1</v>
      </c>
      <c r="AR46" s="13">
        <v>1</v>
      </c>
    </row>
    <row r="47" spans="2:44" ht="12.75">
      <c r="B47" s="6"/>
      <c r="C47" s="14" t="s">
        <v>118</v>
      </c>
      <c r="D47" s="14" t="s">
        <v>41</v>
      </c>
      <c r="E47" s="6"/>
      <c r="F47" s="6" t="s">
        <v>104</v>
      </c>
      <c r="G47" s="12"/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Q47" s="13">
        <v>1</v>
      </c>
      <c r="R47" s="13">
        <v>1</v>
      </c>
      <c r="S47" s="13">
        <v>1</v>
      </c>
      <c r="T47" s="13">
        <v>1</v>
      </c>
      <c r="U47" s="13">
        <v>1</v>
      </c>
      <c r="V47" s="13">
        <v>1</v>
      </c>
      <c r="W47" s="13">
        <v>1</v>
      </c>
      <c r="X47" s="13">
        <v>1</v>
      </c>
      <c r="Y47" s="13">
        <v>1</v>
      </c>
      <c r="Z47" s="13">
        <v>1</v>
      </c>
      <c r="AA47" s="13">
        <v>1</v>
      </c>
      <c r="AB47" s="13">
        <v>1</v>
      </c>
      <c r="AC47" s="13">
        <v>1</v>
      </c>
      <c r="AD47" s="13">
        <v>1</v>
      </c>
      <c r="AE47" s="13">
        <v>1</v>
      </c>
      <c r="AF47" s="13">
        <v>1</v>
      </c>
      <c r="AG47" s="13">
        <v>1</v>
      </c>
      <c r="AH47" s="13">
        <v>1</v>
      </c>
      <c r="AI47" s="13">
        <v>1</v>
      </c>
      <c r="AJ47" s="13">
        <v>1</v>
      </c>
      <c r="AK47" s="13">
        <v>1</v>
      </c>
      <c r="AL47" s="13">
        <v>1</v>
      </c>
      <c r="AM47" s="13">
        <v>1</v>
      </c>
      <c r="AN47" s="13">
        <v>1</v>
      </c>
      <c r="AO47" s="13">
        <v>1</v>
      </c>
      <c r="AP47" s="13">
        <v>1</v>
      </c>
      <c r="AQ47" s="13">
        <v>1</v>
      </c>
      <c r="AR47" s="13">
        <v>1</v>
      </c>
    </row>
    <row r="48" spans="2:44" ht="12.75">
      <c r="B48" s="6"/>
      <c r="C48" s="14" t="s">
        <v>119</v>
      </c>
      <c r="D48" s="14" t="s">
        <v>37</v>
      </c>
      <c r="E48" s="6"/>
      <c r="F48" s="6" t="s">
        <v>103</v>
      </c>
      <c r="G48" s="12"/>
      <c r="H48" s="13">
        <v>1</v>
      </c>
      <c r="I48" s="13">
        <v>1</v>
      </c>
      <c r="J48" s="13">
        <v>1</v>
      </c>
      <c r="K48" s="13">
        <v>1</v>
      </c>
      <c r="L48" s="13">
        <v>1</v>
      </c>
      <c r="M48" s="13">
        <v>1</v>
      </c>
      <c r="N48" s="13">
        <v>1</v>
      </c>
      <c r="O48" s="13">
        <v>1</v>
      </c>
      <c r="P48" s="13">
        <v>0.85</v>
      </c>
      <c r="Q48" s="13">
        <v>1</v>
      </c>
      <c r="R48" s="13">
        <v>1</v>
      </c>
      <c r="S48" s="13">
        <v>1</v>
      </c>
      <c r="T48" s="13">
        <v>1</v>
      </c>
      <c r="U48" s="13">
        <v>1</v>
      </c>
      <c r="V48" s="13">
        <v>1</v>
      </c>
      <c r="W48" s="13">
        <v>1</v>
      </c>
      <c r="X48" s="13">
        <v>1</v>
      </c>
      <c r="Y48" s="13">
        <v>1</v>
      </c>
      <c r="Z48" s="13">
        <v>1</v>
      </c>
      <c r="AA48" s="13">
        <v>1</v>
      </c>
      <c r="AB48" s="13">
        <v>1</v>
      </c>
      <c r="AC48" s="13">
        <v>1</v>
      </c>
      <c r="AD48" s="13">
        <v>1</v>
      </c>
      <c r="AE48" s="13">
        <v>1</v>
      </c>
      <c r="AF48" s="13">
        <v>1</v>
      </c>
      <c r="AG48" s="13">
        <v>1</v>
      </c>
      <c r="AH48" s="13">
        <v>1</v>
      </c>
      <c r="AI48" s="13">
        <v>1</v>
      </c>
      <c r="AJ48" s="13">
        <v>1</v>
      </c>
      <c r="AK48" s="13">
        <v>1</v>
      </c>
      <c r="AL48" s="13">
        <v>1</v>
      </c>
      <c r="AM48" s="13">
        <v>1</v>
      </c>
      <c r="AN48" s="13">
        <v>1</v>
      </c>
      <c r="AO48" s="13">
        <v>1</v>
      </c>
      <c r="AP48" s="13">
        <v>1</v>
      </c>
      <c r="AQ48" s="13">
        <v>1</v>
      </c>
      <c r="AR48" s="13">
        <v>1</v>
      </c>
    </row>
    <row r="49" spans="2:44" ht="12.75">
      <c r="B49" s="6"/>
      <c r="C49" s="14" t="s">
        <v>119</v>
      </c>
      <c r="D49" s="14" t="s">
        <v>38</v>
      </c>
      <c r="E49" s="6"/>
      <c r="F49" s="6" t="s">
        <v>103</v>
      </c>
      <c r="G49" s="12"/>
      <c r="H49" s="13">
        <v>1</v>
      </c>
      <c r="I49" s="13">
        <v>1</v>
      </c>
      <c r="J49" s="13">
        <v>1</v>
      </c>
      <c r="K49" s="13">
        <v>1</v>
      </c>
      <c r="L49" s="13">
        <v>1</v>
      </c>
      <c r="M49" s="13">
        <v>1</v>
      </c>
      <c r="N49" s="13">
        <v>1</v>
      </c>
      <c r="O49" s="13">
        <v>1</v>
      </c>
      <c r="P49" s="13">
        <v>0.85</v>
      </c>
      <c r="Q49" s="13">
        <v>1</v>
      </c>
      <c r="R49" s="13">
        <v>1</v>
      </c>
      <c r="S49" s="13">
        <v>1</v>
      </c>
      <c r="T49" s="13">
        <v>1</v>
      </c>
      <c r="U49" s="13">
        <v>1</v>
      </c>
      <c r="V49" s="13">
        <v>1</v>
      </c>
      <c r="W49" s="13">
        <v>1</v>
      </c>
      <c r="X49" s="13">
        <v>1</v>
      </c>
      <c r="Y49" s="13">
        <v>1</v>
      </c>
      <c r="Z49" s="13">
        <v>1</v>
      </c>
      <c r="AA49" s="13">
        <v>1</v>
      </c>
      <c r="AB49" s="13">
        <v>1</v>
      </c>
      <c r="AC49" s="13">
        <v>1</v>
      </c>
      <c r="AD49" s="13">
        <v>1</v>
      </c>
      <c r="AE49" s="13">
        <v>1</v>
      </c>
      <c r="AF49" s="13">
        <v>1</v>
      </c>
      <c r="AG49" s="13">
        <v>1</v>
      </c>
      <c r="AH49" s="13">
        <v>1</v>
      </c>
      <c r="AI49" s="13">
        <v>1</v>
      </c>
      <c r="AJ49" s="13">
        <v>1</v>
      </c>
      <c r="AK49" s="13">
        <v>1</v>
      </c>
      <c r="AL49" s="13">
        <v>1</v>
      </c>
      <c r="AM49" s="13">
        <v>1</v>
      </c>
      <c r="AN49" s="13">
        <v>1</v>
      </c>
      <c r="AO49" s="13">
        <v>1</v>
      </c>
      <c r="AP49" s="13">
        <v>1</v>
      </c>
      <c r="AQ49" s="13">
        <v>1</v>
      </c>
      <c r="AR49" s="13">
        <v>1</v>
      </c>
    </row>
    <row r="50" spans="2:44" ht="12.75">
      <c r="B50" s="6"/>
      <c r="C50" s="14" t="s">
        <v>119</v>
      </c>
      <c r="D50" s="14" t="s">
        <v>43</v>
      </c>
      <c r="E50" s="6"/>
      <c r="F50" s="6" t="s">
        <v>103</v>
      </c>
      <c r="G50" s="12"/>
      <c r="H50" s="13">
        <v>1</v>
      </c>
      <c r="I50" s="13">
        <v>1</v>
      </c>
      <c r="J50" s="13">
        <v>1</v>
      </c>
      <c r="K50" s="13">
        <v>1</v>
      </c>
      <c r="L50" s="13">
        <v>1</v>
      </c>
      <c r="M50" s="13">
        <v>1</v>
      </c>
      <c r="N50" s="13">
        <v>1</v>
      </c>
      <c r="O50" s="13">
        <v>1</v>
      </c>
      <c r="P50" s="13">
        <v>0.85</v>
      </c>
      <c r="Q50" s="13">
        <v>1</v>
      </c>
      <c r="R50" s="13">
        <v>1</v>
      </c>
      <c r="S50" s="13">
        <v>1</v>
      </c>
      <c r="T50" s="13">
        <v>1</v>
      </c>
      <c r="U50" s="13">
        <v>1</v>
      </c>
      <c r="V50" s="13">
        <v>1</v>
      </c>
      <c r="W50" s="13">
        <v>1</v>
      </c>
      <c r="X50" s="13">
        <v>1</v>
      </c>
      <c r="Y50" s="13">
        <v>1</v>
      </c>
      <c r="Z50" s="13">
        <v>1</v>
      </c>
      <c r="AA50" s="13">
        <v>1</v>
      </c>
      <c r="AB50" s="13">
        <v>1</v>
      </c>
      <c r="AC50" s="13">
        <v>1</v>
      </c>
      <c r="AD50" s="13">
        <v>1</v>
      </c>
      <c r="AE50" s="13">
        <v>1</v>
      </c>
      <c r="AF50" s="13">
        <v>1</v>
      </c>
      <c r="AG50" s="13">
        <v>1</v>
      </c>
      <c r="AH50" s="13">
        <v>1</v>
      </c>
      <c r="AI50" s="13">
        <v>1</v>
      </c>
      <c r="AJ50" s="13">
        <v>1</v>
      </c>
      <c r="AK50" s="13">
        <v>1</v>
      </c>
      <c r="AL50" s="13">
        <v>1</v>
      </c>
      <c r="AM50" s="13">
        <v>1</v>
      </c>
      <c r="AN50" s="13">
        <v>1</v>
      </c>
      <c r="AO50" s="13">
        <v>1</v>
      </c>
      <c r="AP50" s="13">
        <v>1</v>
      </c>
      <c r="AQ50" s="13">
        <v>1</v>
      </c>
      <c r="AR50" s="13">
        <v>1</v>
      </c>
    </row>
    <row r="51" spans="2:44" ht="12.75">
      <c r="B51" s="6"/>
      <c r="C51" s="14" t="s">
        <v>119</v>
      </c>
      <c r="D51" s="14" t="s">
        <v>44</v>
      </c>
      <c r="E51" s="6"/>
      <c r="F51" s="6" t="s">
        <v>103</v>
      </c>
      <c r="G51" s="12"/>
      <c r="H51" s="13">
        <v>1</v>
      </c>
      <c r="I51" s="13">
        <v>1</v>
      </c>
      <c r="J51" s="13">
        <v>1</v>
      </c>
      <c r="K51" s="13">
        <v>1</v>
      </c>
      <c r="L51" s="13">
        <v>1</v>
      </c>
      <c r="M51" s="13">
        <v>1</v>
      </c>
      <c r="N51" s="13">
        <v>1</v>
      </c>
      <c r="O51" s="13">
        <v>1</v>
      </c>
      <c r="P51" s="13">
        <v>0.85</v>
      </c>
      <c r="Q51" s="13">
        <v>1</v>
      </c>
      <c r="R51" s="13">
        <v>1</v>
      </c>
      <c r="S51" s="13">
        <v>1</v>
      </c>
      <c r="T51" s="13">
        <v>1</v>
      </c>
      <c r="U51" s="13">
        <v>1</v>
      </c>
      <c r="V51" s="13">
        <v>1</v>
      </c>
      <c r="W51" s="13">
        <v>1</v>
      </c>
      <c r="X51" s="13">
        <v>1</v>
      </c>
      <c r="Y51" s="13">
        <v>1</v>
      </c>
      <c r="Z51" s="13">
        <v>1</v>
      </c>
      <c r="AA51" s="13">
        <v>1</v>
      </c>
      <c r="AB51" s="13">
        <v>1</v>
      </c>
      <c r="AC51" s="13">
        <v>1</v>
      </c>
      <c r="AD51" s="13">
        <v>1</v>
      </c>
      <c r="AE51" s="13">
        <v>1</v>
      </c>
      <c r="AF51" s="13">
        <v>1</v>
      </c>
      <c r="AG51" s="13">
        <v>1</v>
      </c>
      <c r="AH51" s="13">
        <v>1</v>
      </c>
      <c r="AI51" s="13">
        <v>1</v>
      </c>
      <c r="AJ51" s="13">
        <v>1</v>
      </c>
      <c r="AK51" s="13">
        <v>1</v>
      </c>
      <c r="AL51" s="13">
        <v>1</v>
      </c>
      <c r="AM51" s="13">
        <v>1</v>
      </c>
      <c r="AN51" s="13">
        <v>1</v>
      </c>
      <c r="AO51" s="13">
        <v>1</v>
      </c>
      <c r="AP51" s="13">
        <v>1</v>
      </c>
      <c r="AQ51" s="13">
        <v>1</v>
      </c>
      <c r="AR51" s="13">
        <v>1</v>
      </c>
    </row>
    <row r="52" spans="2:44" ht="12.75">
      <c r="B52" s="6"/>
      <c r="C52" s="14" t="s">
        <v>119</v>
      </c>
      <c r="D52" s="14" t="s">
        <v>46</v>
      </c>
      <c r="E52" s="6"/>
      <c r="F52" s="6" t="s">
        <v>103</v>
      </c>
      <c r="G52" s="12"/>
      <c r="H52" s="13">
        <v>1</v>
      </c>
      <c r="I52" s="13">
        <v>1</v>
      </c>
      <c r="J52" s="13">
        <v>1</v>
      </c>
      <c r="K52" s="13">
        <v>1</v>
      </c>
      <c r="L52" s="13">
        <v>1</v>
      </c>
      <c r="M52" s="13">
        <v>1</v>
      </c>
      <c r="N52" s="13">
        <v>1</v>
      </c>
      <c r="O52" s="13">
        <v>1</v>
      </c>
      <c r="P52" s="13">
        <v>0.85</v>
      </c>
      <c r="Q52" s="13">
        <v>1</v>
      </c>
      <c r="R52" s="13">
        <v>1</v>
      </c>
      <c r="S52" s="13">
        <v>1</v>
      </c>
      <c r="T52" s="13">
        <v>1</v>
      </c>
      <c r="U52" s="13">
        <v>1</v>
      </c>
      <c r="V52" s="13">
        <v>1</v>
      </c>
      <c r="W52" s="13">
        <v>1</v>
      </c>
      <c r="X52" s="13">
        <v>1</v>
      </c>
      <c r="Y52" s="13">
        <v>1</v>
      </c>
      <c r="Z52" s="13">
        <v>1</v>
      </c>
      <c r="AA52" s="13">
        <v>1</v>
      </c>
      <c r="AB52" s="13">
        <v>1</v>
      </c>
      <c r="AC52" s="13">
        <v>1</v>
      </c>
      <c r="AD52" s="13">
        <v>1</v>
      </c>
      <c r="AE52" s="13">
        <v>1</v>
      </c>
      <c r="AF52" s="13">
        <v>1</v>
      </c>
      <c r="AG52" s="13">
        <v>1</v>
      </c>
      <c r="AH52" s="13">
        <v>1</v>
      </c>
      <c r="AI52" s="13">
        <v>1</v>
      </c>
      <c r="AJ52" s="13">
        <v>1</v>
      </c>
      <c r="AK52" s="13">
        <v>1</v>
      </c>
      <c r="AL52" s="13">
        <v>1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  <c r="AR52" s="13">
        <v>1</v>
      </c>
    </row>
    <row r="53" spans="2:44" ht="12.75">
      <c r="B53" s="6"/>
      <c r="C53" s="14" t="s">
        <v>119</v>
      </c>
      <c r="D53" s="14" t="s">
        <v>45</v>
      </c>
      <c r="E53" s="6"/>
      <c r="F53" s="6" t="s">
        <v>104</v>
      </c>
      <c r="G53" s="12"/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</row>
    <row r="54" spans="2:44" ht="12.75">
      <c r="B54" s="6"/>
      <c r="C54" s="14" t="s">
        <v>120</v>
      </c>
      <c r="D54" s="14" t="s">
        <v>58</v>
      </c>
      <c r="E54" s="6"/>
      <c r="F54" s="6" t="s">
        <v>103</v>
      </c>
      <c r="G54" s="12"/>
      <c r="H54" s="13">
        <v>1</v>
      </c>
      <c r="I54" s="13">
        <v>1</v>
      </c>
      <c r="J54" s="13">
        <v>1</v>
      </c>
      <c r="K54" s="13">
        <v>1</v>
      </c>
      <c r="L54" s="13">
        <v>1</v>
      </c>
      <c r="M54" s="13">
        <v>1</v>
      </c>
      <c r="N54" s="13">
        <v>1</v>
      </c>
      <c r="O54" s="13">
        <v>1</v>
      </c>
      <c r="P54" s="13">
        <v>0.85</v>
      </c>
      <c r="Q54" s="13">
        <v>1</v>
      </c>
      <c r="R54" s="13">
        <v>1</v>
      </c>
      <c r="S54" s="13">
        <v>1</v>
      </c>
      <c r="T54" s="13">
        <v>1</v>
      </c>
      <c r="U54" s="13">
        <v>1</v>
      </c>
      <c r="V54" s="13">
        <v>1</v>
      </c>
      <c r="W54" s="13">
        <v>1</v>
      </c>
      <c r="X54" s="13">
        <v>1</v>
      </c>
      <c r="Y54" s="13">
        <v>1</v>
      </c>
      <c r="Z54" s="13">
        <v>1</v>
      </c>
      <c r="AA54" s="13">
        <v>1</v>
      </c>
      <c r="AB54" s="13">
        <v>1</v>
      </c>
      <c r="AC54" s="13">
        <v>1</v>
      </c>
      <c r="AD54" s="13">
        <v>1</v>
      </c>
      <c r="AE54" s="13">
        <v>1</v>
      </c>
      <c r="AF54" s="13">
        <v>1</v>
      </c>
      <c r="AG54" s="13">
        <v>1</v>
      </c>
      <c r="AH54" s="13">
        <v>1</v>
      </c>
      <c r="AI54" s="13">
        <v>1</v>
      </c>
      <c r="AJ54" s="13">
        <v>1</v>
      </c>
      <c r="AK54" s="13">
        <v>1</v>
      </c>
      <c r="AL54" s="13">
        <v>1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  <c r="AR54" s="13">
        <v>1</v>
      </c>
    </row>
    <row r="55" spans="2:44" ht="12.75">
      <c r="B55" s="6"/>
      <c r="C55" s="14" t="s">
        <v>120</v>
      </c>
      <c r="D55" s="14" t="s">
        <v>51</v>
      </c>
      <c r="E55" s="6"/>
      <c r="F55" s="6" t="s">
        <v>103</v>
      </c>
      <c r="G55" s="12"/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0.85</v>
      </c>
      <c r="Q55" s="13">
        <v>1</v>
      </c>
      <c r="R55" s="13">
        <v>1</v>
      </c>
      <c r="S55" s="13">
        <v>1</v>
      </c>
      <c r="T55" s="13">
        <v>1</v>
      </c>
      <c r="U55" s="13">
        <v>1</v>
      </c>
      <c r="V55" s="13">
        <v>1</v>
      </c>
      <c r="W55" s="13">
        <v>1</v>
      </c>
      <c r="X55" s="13">
        <v>1</v>
      </c>
      <c r="Y55" s="13">
        <v>1</v>
      </c>
      <c r="Z55" s="13">
        <v>1</v>
      </c>
      <c r="AA55" s="13">
        <v>1</v>
      </c>
      <c r="AB55" s="13">
        <v>1</v>
      </c>
      <c r="AC55" s="13">
        <v>1</v>
      </c>
      <c r="AD55" s="13">
        <v>1</v>
      </c>
      <c r="AE55" s="13">
        <v>1</v>
      </c>
      <c r="AF55" s="13">
        <v>1</v>
      </c>
      <c r="AG55" s="13">
        <v>1</v>
      </c>
      <c r="AH55" s="13">
        <v>1</v>
      </c>
      <c r="AI55" s="13">
        <v>1</v>
      </c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3">
        <v>1</v>
      </c>
      <c r="AR55" s="13">
        <v>1</v>
      </c>
    </row>
    <row r="56" spans="2:44" ht="12.75">
      <c r="B56" s="6"/>
      <c r="C56" s="14" t="s">
        <v>120</v>
      </c>
      <c r="D56" s="14" t="s">
        <v>37</v>
      </c>
      <c r="E56" s="6"/>
      <c r="F56" s="6" t="s">
        <v>103</v>
      </c>
      <c r="G56" s="12"/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0.85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3">
        <v>1</v>
      </c>
      <c r="AA56" s="13">
        <v>1</v>
      </c>
      <c r="AB56" s="13">
        <v>1</v>
      </c>
      <c r="AC56" s="13">
        <v>1</v>
      </c>
      <c r="AD56" s="13">
        <v>1</v>
      </c>
      <c r="AE56" s="13">
        <v>1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3">
        <v>1</v>
      </c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>
        <v>1</v>
      </c>
    </row>
    <row r="57" spans="2:44" ht="12.75">
      <c r="B57" s="6"/>
      <c r="C57" s="14" t="s">
        <v>120</v>
      </c>
      <c r="D57" s="14" t="s">
        <v>38</v>
      </c>
      <c r="E57" s="6"/>
      <c r="F57" s="6" t="s">
        <v>103</v>
      </c>
      <c r="G57" s="12"/>
      <c r="H57" s="13">
        <v>1</v>
      </c>
      <c r="I57" s="13">
        <v>1</v>
      </c>
      <c r="J57" s="13">
        <v>1</v>
      </c>
      <c r="K57" s="13">
        <v>1</v>
      </c>
      <c r="L57" s="13">
        <v>1</v>
      </c>
      <c r="M57" s="13">
        <v>1</v>
      </c>
      <c r="N57" s="13">
        <v>1</v>
      </c>
      <c r="O57" s="13">
        <v>1</v>
      </c>
      <c r="P57" s="13">
        <v>0.85</v>
      </c>
      <c r="Q57" s="13">
        <v>1</v>
      </c>
      <c r="R57" s="13">
        <v>1</v>
      </c>
      <c r="S57" s="13">
        <v>1</v>
      </c>
      <c r="T57" s="13">
        <v>1</v>
      </c>
      <c r="U57" s="13">
        <v>1</v>
      </c>
      <c r="V57" s="13">
        <v>1</v>
      </c>
      <c r="W57" s="13">
        <v>1</v>
      </c>
      <c r="X57" s="13">
        <v>1</v>
      </c>
      <c r="Y57" s="13">
        <v>1</v>
      </c>
      <c r="Z57" s="13">
        <v>1</v>
      </c>
      <c r="AA57" s="13">
        <v>1</v>
      </c>
      <c r="AB57" s="13">
        <v>1</v>
      </c>
      <c r="AC57" s="13">
        <v>1</v>
      </c>
      <c r="AD57" s="13">
        <v>1</v>
      </c>
      <c r="AE57" s="13">
        <v>1</v>
      </c>
      <c r="AF57" s="13">
        <v>1</v>
      </c>
      <c r="AG57" s="13">
        <v>1</v>
      </c>
      <c r="AH57" s="13">
        <v>1</v>
      </c>
      <c r="AI57" s="13">
        <v>1</v>
      </c>
      <c r="AJ57" s="13">
        <v>1</v>
      </c>
      <c r="AK57" s="13">
        <v>1</v>
      </c>
      <c r="AL57" s="13">
        <v>1</v>
      </c>
      <c r="AM57" s="13">
        <v>1</v>
      </c>
      <c r="AN57" s="13">
        <v>1</v>
      </c>
      <c r="AO57" s="13">
        <v>1</v>
      </c>
      <c r="AP57" s="13">
        <v>1</v>
      </c>
      <c r="AQ57" s="13">
        <v>1</v>
      </c>
      <c r="AR57" s="13">
        <v>1</v>
      </c>
    </row>
    <row r="58" spans="2:44" ht="12.75">
      <c r="B58" s="6"/>
      <c r="C58" s="14" t="s">
        <v>120</v>
      </c>
      <c r="D58" s="14" t="s">
        <v>43</v>
      </c>
      <c r="E58" s="6"/>
      <c r="F58" s="6" t="s">
        <v>103</v>
      </c>
      <c r="G58" s="12"/>
      <c r="H58" s="13">
        <v>1</v>
      </c>
      <c r="I58" s="13">
        <v>1</v>
      </c>
      <c r="J58" s="13">
        <v>1</v>
      </c>
      <c r="K58" s="13">
        <v>1</v>
      </c>
      <c r="L58" s="13">
        <v>1</v>
      </c>
      <c r="M58" s="13">
        <v>1</v>
      </c>
      <c r="N58" s="13">
        <v>1</v>
      </c>
      <c r="O58" s="13">
        <v>1</v>
      </c>
      <c r="P58" s="13">
        <v>0.85</v>
      </c>
      <c r="Q58" s="13">
        <v>1</v>
      </c>
      <c r="R58" s="13">
        <v>1</v>
      </c>
      <c r="S58" s="13">
        <v>1</v>
      </c>
      <c r="T58" s="13">
        <v>1</v>
      </c>
      <c r="U58" s="13">
        <v>1</v>
      </c>
      <c r="V58" s="13">
        <v>1</v>
      </c>
      <c r="W58" s="13">
        <v>1</v>
      </c>
      <c r="X58" s="13">
        <v>1</v>
      </c>
      <c r="Y58" s="13">
        <v>1</v>
      </c>
      <c r="Z58" s="13">
        <v>1</v>
      </c>
      <c r="AA58" s="13">
        <v>1</v>
      </c>
      <c r="AB58" s="13">
        <v>1</v>
      </c>
      <c r="AC58" s="13">
        <v>1</v>
      </c>
      <c r="AD58" s="13">
        <v>1</v>
      </c>
      <c r="AE58" s="13">
        <v>1</v>
      </c>
      <c r="AF58" s="13">
        <v>1</v>
      </c>
      <c r="AG58" s="13">
        <v>1</v>
      </c>
      <c r="AH58" s="13">
        <v>1</v>
      </c>
      <c r="AI58" s="13">
        <v>1</v>
      </c>
      <c r="AJ58" s="13">
        <v>1</v>
      </c>
      <c r="AK58" s="13">
        <v>1</v>
      </c>
      <c r="AL58" s="13">
        <v>1</v>
      </c>
      <c r="AM58" s="13">
        <v>1</v>
      </c>
      <c r="AN58" s="13">
        <v>1</v>
      </c>
      <c r="AO58" s="13">
        <v>1</v>
      </c>
      <c r="AP58" s="13">
        <v>1</v>
      </c>
      <c r="AQ58" s="13">
        <v>1</v>
      </c>
      <c r="AR58" s="13">
        <v>1</v>
      </c>
    </row>
    <row r="59" spans="2:44" ht="12.75">
      <c r="B59" s="6"/>
      <c r="C59" s="14" t="s">
        <v>120</v>
      </c>
      <c r="D59" s="14" t="s">
        <v>39</v>
      </c>
      <c r="E59" s="6"/>
      <c r="F59" s="6" t="s">
        <v>103</v>
      </c>
      <c r="G59" s="12"/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3">
        <v>1</v>
      </c>
      <c r="N59" s="13">
        <v>1</v>
      </c>
      <c r="O59" s="13">
        <v>1</v>
      </c>
      <c r="P59" s="13">
        <v>0.85</v>
      </c>
      <c r="Q59" s="13">
        <v>1</v>
      </c>
      <c r="R59" s="13">
        <v>1</v>
      </c>
      <c r="S59" s="13">
        <v>1</v>
      </c>
      <c r="T59" s="13">
        <v>1</v>
      </c>
      <c r="U59" s="13">
        <v>1</v>
      </c>
      <c r="V59" s="13">
        <v>1</v>
      </c>
      <c r="W59" s="13">
        <v>1</v>
      </c>
      <c r="X59" s="13">
        <v>1</v>
      </c>
      <c r="Y59" s="13">
        <v>1</v>
      </c>
      <c r="Z59" s="13">
        <v>1</v>
      </c>
      <c r="AA59" s="13">
        <v>1</v>
      </c>
      <c r="AB59" s="13">
        <v>1</v>
      </c>
      <c r="AC59" s="13">
        <v>1</v>
      </c>
      <c r="AD59" s="13">
        <v>1</v>
      </c>
      <c r="AE59" s="13">
        <v>1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>
        <v>1</v>
      </c>
      <c r="AM59" s="13">
        <v>1</v>
      </c>
      <c r="AN59" s="13">
        <v>1</v>
      </c>
      <c r="AO59" s="13">
        <v>1</v>
      </c>
      <c r="AP59" s="13">
        <v>1</v>
      </c>
      <c r="AQ59" s="13">
        <v>1</v>
      </c>
      <c r="AR59" s="13">
        <v>1</v>
      </c>
    </row>
    <row r="60" spans="2:44" ht="12.75">
      <c r="B60" s="6"/>
      <c r="C60" s="14" t="s">
        <v>120</v>
      </c>
      <c r="D60" s="14" t="s">
        <v>121</v>
      </c>
      <c r="E60" s="6"/>
      <c r="F60" s="6" t="s">
        <v>103</v>
      </c>
      <c r="G60" s="12"/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0.85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</row>
    <row r="61" spans="2:44" ht="12.75">
      <c r="B61" s="6"/>
      <c r="C61" s="14" t="s">
        <v>120</v>
      </c>
      <c r="D61" s="14" t="s">
        <v>46</v>
      </c>
      <c r="E61" s="6"/>
      <c r="F61" s="6" t="s">
        <v>104</v>
      </c>
      <c r="G61" s="12"/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  <c r="AA61" s="13">
        <v>1</v>
      </c>
      <c r="AB61" s="13">
        <v>1</v>
      </c>
      <c r="AC61" s="13">
        <v>1</v>
      </c>
      <c r="AD61" s="13">
        <v>1</v>
      </c>
      <c r="AE61" s="13">
        <v>1</v>
      </c>
      <c r="AF61" s="13">
        <v>1</v>
      </c>
      <c r="AG61" s="13">
        <v>1</v>
      </c>
      <c r="AH61" s="13">
        <v>1</v>
      </c>
      <c r="AI61" s="13">
        <v>1</v>
      </c>
      <c r="AJ61" s="13">
        <v>1</v>
      </c>
      <c r="AK61" s="13">
        <v>1</v>
      </c>
      <c r="AL61" s="13">
        <v>1</v>
      </c>
      <c r="AM61" s="13">
        <v>1</v>
      </c>
      <c r="AN61" s="13">
        <v>1</v>
      </c>
      <c r="AO61" s="13">
        <v>1</v>
      </c>
      <c r="AP61" s="13">
        <v>1</v>
      </c>
      <c r="AQ61" s="13">
        <v>1</v>
      </c>
      <c r="AR61" s="13">
        <v>1</v>
      </c>
    </row>
    <row r="62" spans="2:44" ht="12.75">
      <c r="B62" s="6"/>
      <c r="C62" s="14" t="s">
        <v>122</v>
      </c>
      <c r="D62" s="14" t="s">
        <v>58</v>
      </c>
      <c r="E62" s="6"/>
      <c r="F62" s="6" t="s">
        <v>103</v>
      </c>
      <c r="G62" s="12"/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0.85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  <c r="W62" s="13">
        <v>1</v>
      </c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>
        <v>1</v>
      </c>
      <c r="AD62" s="13">
        <v>1</v>
      </c>
      <c r="AE62" s="13">
        <v>1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1</v>
      </c>
      <c r="AL62" s="13">
        <v>1</v>
      </c>
      <c r="AM62" s="13">
        <v>1</v>
      </c>
      <c r="AN62" s="13">
        <v>1</v>
      </c>
      <c r="AO62" s="13">
        <v>1</v>
      </c>
      <c r="AP62" s="13">
        <v>1</v>
      </c>
      <c r="AQ62" s="13">
        <v>1</v>
      </c>
      <c r="AR62" s="13">
        <v>1</v>
      </c>
    </row>
    <row r="63" spans="2:44" ht="12.75">
      <c r="B63" s="6"/>
      <c r="C63" s="14" t="s">
        <v>122</v>
      </c>
      <c r="D63" s="14" t="s">
        <v>49</v>
      </c>
      <c r="E63" s="6"/>
      <c r="F63" s="6" t="s">
        <v>103</v>
      </c>
      <c r="G63" s="12"/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0.85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13">
        <v>1</v>
      </c>
      <c r="Z63" s="13">
        <v>1</v>
      </c>
      <c r="AA63" s="13">
        <v>1</v>
      </c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3">
        <v>1</v>
      </c>
      <c r="AN63" s="13">
        <v>1</v>
      </c>
      <c r="AO63" s="13">
        <v>1</v>
      </c>
      <c r="AP63" s="13">
        <v>1</v>
      </c>
      <c r="AQ63" s="13">
        <v>1</v>
      </c>
      <c r="AR63" s="13">
        <v>1</v>
      </c>
    </row>
    <row r="64" spans="2:44" ht="12.75">
      <c r="B64" s="6"/>
      <c r="C64" s="14" t="s">
        <v>122</v>
      </c>
      <c r="D64" s="14" t="s">
        <v>37</v>
      </c>
      <c r="E64" s="6"/>
      <c r="F64" s="6" t="s">
        <v>103</v>
      </c>
      <c r="G64" s="12"/>
      <c r="H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0.85</v>
      </c>
      <c r="Q64" s="13">
        <v>1</v>
      </c>
      <c r="R64" s="13">
        <v>1</v>
      </c>
      <c r="S64" s="13">
        <v>1</v>
      </c>
      <c r="T64" s="13">
        <v>1</v>
      </c>
      <c r="U64" s="13">
        <v>1</v>
      </c>
      <c r="V64" s="13">
        <v>1</v>
      </c>
      <c r="W64" s="13">
        <v>1</v>
      </c>
      <c r="X64" s="13">
        <v>1</v>
      </c>
      <c r="Y64" s="13">
        <v>1</v>
      </c>
      <c r="Z64" s="13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3">
        <v>1</v>
      </c>
      <c r="AL64" s="13">
        <v>1</v>
      </c>
      <c r="AM64" s="13">
        <v>1</v>
      </c>
      <c r="AN64" s="13">
        <v>1</v>
      </c>
      <c r="AO64" s="13">
        <v>1</v>
      </c>
      <c r="AP64" s="13">
        <v>1</v>
      </c>
      <c r="AQ64" s="13">
        <v>1</v>
      </c>
      <c r="AR64" s="13">
        <v>1</v>
      </c>
    </row>
    <row r="65" spans="2:44" ht="12.75">
      <c r="B65" s="6"/>
      <c r="C65" s="14" t="s">
        <v>122</v>
      </c>
      <c r="D65" s="14" t="s">
        <v>38</v>
      </c>
      <c r="E65" s="6"/>
      <c r="F65" s="6" t="s">
        <v>103</v>
      </c>
      <c r="G65" s="12"/>
      <c r="H65" s="13">
        <v>1</v>
      </c>
      <c r="I65" s="13">
        <v>1</v>
      </c>
      <c r="J65" s="13">
        <v>1</v>
      </c>
      <c r="K65" s="13">
        <v>1</v>
      </c>
      <c r="L65" s="13">
        <v>1</v>
      </c>
      <c r="M65" s="13">
        <v>1</v>
      </c>
      <c r="N65" s="13">
        <v>1</v>
      </c>
      <c r="O65" s="13">
        <v>1</v>
      </c>
      <c r="P65" s="13">
        <v>0.85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>
        <v>1</v>
      </c>
      <c r="W65" s="13">
        <v>1</v>
      </c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3">
        <v>1</v>
      </c>
      <c r="AM65" s="13">
        <v>1</v>
      </c>
      <c r="AN65" s="13">
        <v>1</v>
      </c>
      <c r="AO65" s="13">
        <v>1</v>
      </c>
      <c r="AP65" s="13">
        <v>1</v>
      </c>
      <c r="AQ65" s="13">
        <v>1</v>
      </c>
      <c r="AR65" s="13">
        <v>1</v>
      </c>
    </row>
    <row r="66" spans="2:44" ht="12.75">
      <c r="B66" s="6"/>
      <c r="C66" s="14" t="s">
        <v>122</v>
      </c>
      <c r="D66" s="14" t="s">
        <v>43</v>
      </c>
      <c r="E66" s="6"/>
      <c r="F66" s="6" t="s">
        <v>103</v>
      </c>
      <c r="G66" s="12"/>
      <c r="H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0.85</v>
      </c>
      <c r="Q66" s="13">
        <v>1</v>
      </c>
      <c r="R66" s="13">
        <v>1</v>
      </c>
      <c r="S66" s="13">
        <v>1</v>
      </c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</row>
    <row r="67" spans="2:44" ht="12.75">
      <c r="B67" s="6"/>
      <c r="C67" s="14" t="s">
        <v>122</v>
      </c>
      <c r="D67" s="14" t="s">
        <v>45</v>
      </c>
      <c r="E67" s="6"/>
      <c r="F67" s="6" t="s">
        <v>103</v>
      </c>
      <c r="G67" s="12"/>
      <c r="H67" s="13">
        <v>1</v>
      </c>
      <c r="I67" s="13">
        <v>1</v>
      </c>
      <c r="J67" s="13">
        <v>1</v>
      </c>
      <c r="K67" s="13">
        <v>1</v>
      </c>
      <c r="L67" s="13">
        <v>1</v>
      </c>
      <c r="M67" s="13">
        <v>1</v>
      </c>
      <c r="N67" s="13">
        <v>1</v>
      </c>
      <c r="O67" s="13">
        <v>1</v>
      </c>
      <c r="P67" s="13">
        <v>0.85</v>
      </c>
      <c r="Q67" s="13">
        <v>1</v>
      </c>
      <c r="R67" s="13">
        <v>1</v>
      </c>
      <c r="S67" s="13">
        <v>1</v>
      </c>
      <c r="T67" s="13">
        <v>1</v>
      </c>
      <c r="U67" s="13">
        <v>1</v>
      </c>
      <c r="V67" s="13">
        <v>1</v>
      </c>
      <c r="W67" s="13">
        <v>1</v>
      </c>
      <c r="X67" s="13">
        <v>1</v>
      </c>
      <c r="Y67" s="13">
        <v>1</v>
      </c>
      <c r="Z67" s="13">
        <v>1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3">
        <v>1</v>
      </c>
      <c r="AK67" s="13">
        <v>1</v>
      </c>
      <c r="AL67" s="13">
        <v>1</v>
      </c>
      <c r="AM67" s="13">
        <v>1</v>
      </c>
      <c r="AN67" s="13">
        <v>1</v>
      </c>
      <c r="AO67" s="13">
        <v>1</v>
      </c>
      <c r="AP67" s="13">
        <v>1</v>
      </c>
      <c r="AQ67" s="13">
        <v>1</v>
      </c>
      <c r="AR67" s="13">
        <v>1</v>
      </c>
    </row>
    <row r="68" spans="2:44" ht="12.75">
      <c r="B68" s="6"/>
      <c r="C68" s="14" t="s">
        <v>122</v>
      </c>
      <c r="D68" s="14" t="s">
        <v>46</v>
      </c>
      <c r="E68" s="6"/>
      <c r="F68" s="6" t="s">
        <v>104</v>
      </c>
      <c r="G68" s="12"/>
      <c r="H68" s="13">
        <v>1</v>
      </c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3">
        <v>1</v>
      </c>
      <c r="P68" s="13">
        <v>1</v>
      </c>
      <c r="Q68" s="13">
        <v>1</v>
      </c>
      <c r="R68" s="13">
        <v>1</v>
      </c>
      <c r="S68" s="13">
        <v>1</v>
      </c>
      <c r="T68" s="13">
        <v>1</v>
      </c>
      <c r="U68" s="13">
        <v>1</v>
      </c>
      <c r="V68" s="13">
        <v>1</v>
      </c>
      <c r="W68" s="13">
        <v>1</v>
      </c>
      <c r="X68" s="13">
        <v>1</v>
      </c>
      <c r="Y68" s="13">
        <v>1</v>
      </c>
      <c r="Z68" s="13">
        <v>1</v>
      </c>
      <c r="AA68" s="13">
        <v>1</v>
      </c>
      <c r="AB68" s="13">
        <v>1</v>
      </c>
      <c r="AC68" s="13">
        <v>1</v>
      </c>
      <c r="AD68" s="13">
        <v>1</v>
      </c>
      <c r="AE68" s="13">
        <v>1</v>
      </c>
      <c r="AF68" s="13">
        <v>1</v>
      </c>
      <c r="AG68" s="13">
        <v>1</v>
      </c>
      <c r="AH68" s="13">
        <v>1</v>
      </c>
      <c r="AI68" s="13">
        <v>1</v>
      </c>
      <c r="AJ68" s="13">
        <v>1</v>
      </c>
      <c r="AK68" s="13">
        <v>1</v>
      </c>
      <c r="AL68" s="13">
        <v>1</v>
      </c>
      <c r="AM68" s="13">
        <v>1</v>
      </c>
      <c r="AN68" s="13">
        <v>1</v>
      </c>
      <c r="AO68" s="13">
        <v>1</v>
      </c>
      <c r="AP68" s="13">
        <v>1</v>
      </c>
      <c r="AQ68" s="13">
        <v>1</v>
      </c>
      <c r="AR68" s="13">
        <v>1</v>
      </c>
    </row>
    <row r="69" spans="2:44" ht="12.75">
      <c r="B69" s="6"/>
      <c r="C69" s="14" t="s">
        <v>123</v>
      </c>
      <c r="D69" s="14" t="s">
        <v>37</v>
      </c>
      <c r="E69" s="6"/>
      <c r="F69" s="6" t="s">
        <v>103</v>
      </c>
      <c r="G69" s="12"/>
      <c r="H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3">
        <v>1</v>
      </c>
      <c r="P69" s="13">
        <v>0.85</v>
      </c>
      <c r="Q69" s="13">
        <v>1</v>
      </c>
      <c r="R69" s="13">
        <v>1</v>
      </c>
      <c r="S69" s="13">
        <v>1</v>
      </c>
      <c r="T69" s="13">
        <v>1</v>
      </c>
      <c r="U69" s="13">
        <v>1</v>
      </c>
      <c r="V69" s="13">
        <v>1</v>
      </c>
      <c r="W69" s="13">
        <v>1</v>
      </c>
      <c r="X69" s="13">
        <v>1</v>
      </c>
      <c r="Y69" s="13">
        <v>1</v>
      </c>
      <c r="Z69" s="13">
        <v>1</v>
      </c>
      <c r="AA69" s="13">
        <v>1</v>
      </c>
      <c r="AB69" s="13">
        <v>1</v>
      </c>
      <c r="AC69" s="13">
        <v>1</v>
      </c>
      <c r="AD69" s="13">
        <v>1</v>
      </c>
      <c r="AE69" s="13">
        <v>1</v>
      </c>
      <c r="AF69" s="13">
        <v>1</v>
      </c>
      <c r="AG69" s="13">
        <v>1</v>
      </c>
      <c r="AH69" s="13">
        <v>1</v>
      </c>
      <c r="AI69" s="13">
        <v>1</v>
      </c>
      <c r="AJ69" s="13">
        <v>1</v>
      </c>
      <c r="AK69" s="13">
        <v>1</v>
      </c>
      <c r="AL69" s="13">
        <v>1</v>
      </c>
      <c r="AM69" s="13">
        <v>1</v>
      </c>
      <c r="AN69" s="13">
        <v>1</v>
      </c>
      <c r="AO69" s="13">
        <v>1</v>
      </c>
      <c r="AP69" s="13">
        <v>1</v>
      </c>
      <c r="AQ69" s="13">
        <v>1</v>
      </c>
      <c r="AR69" s="13">
        <v>1</v>
      </c>
    </row>
    <row r="70" spans="2:44" ht="12.75">
      <c r="B70" s="6"/>
      <c r="C70" s="14" t="s">
        <v>123</v>
      </c>
      <c r="D70" s="14" t="s">
        <v>38</v>
      </c>
      <c r="E70" s="6"/>
      <c r="F70" s="6" t="s">
        <v>103</v>
      </c>
      <c r="G70" s="12"/>
      <c r="H70" s="13">
        <v>1</v>
      </c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3">
        <v>0.85</v>
      </c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3">
        <v>1</v>
      </c>
      <c r="W70" s="13">
        <v>1</v>
      </c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  <c r="AP70" s="13">
        <v>1</v>
      </c>
      <c r="AQ70" s="13">
        <v>1</v>
      </c>
      <c r="AR70" s="13">
        <v>1</v>
      </c>
    </row>
    <row r="71" spans="2:44" ht="12.75">
      <c r="B71" s="6"/>
      <c r="C71" s="14" t="s">
        <v>123</v>
      </c>
      <c r="D71" s="14" t="s">
        <v>43</v>
      </c>
      <c r="E71" s="6"/>
      <c r="F71" s="6" t="s">
        <v>103</v>
      </c>
      <c r="G71" s="12"/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0.85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3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</row>
    <row r="72" spans="2:44" ht="12.75">
      <c r="B72" s="6"/>
      <c r="C72" s="14" t="s">
        <v>123</v>
      </c>
      <c r="D72" s="14" t="s">
        <v>124</v>
      </c>
      <c r="E72" s="6"/>
      <c r="F72" s="6" t="s">
        <v>103</v>
      </c>
      <c r="G72" s="12"/>
      <c r="H72" s="13">
        <v>1</v>
      </c>
      <c r="I72" s="13">
        <v>1</v>
      </c>
      <c r="J72" s="13">
        <v>1</v>
      </c>
      <c r="K72" s="13">
        <v>1</v>
      </c>
      <c r="L72" s="13">
        <v>1</v>
      </c>
      <c r="M72" s="13">
        <v>1</v>
      </c>
      <c r="N72" s="13">
        <v>1</v>
      </c>
      <c r="O72" s="13">
        <v>1</v>
      </c>
      <c r="P72" s="13">
        <v>0.85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3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</row>
    <row r="73" spans="2:44" ht="12.75">
      <c r="B73" s="6"/>
      <c r="C73" s="14" t="s">
        <v>123</v>
      </c>
      <c r="D73" s="14" t="s">
        <v>125</v>
      </c>
      <c r="E73" s="6"/>
      <c r="F73" s="6" t="s">
        <v>104</v>
      </c>
      <c r="G73" s="12"/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3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</row>
    <row r="74" spans="2:44" ht="12.75">
      <c r="B74" s="6"/>
      <c r="C74" s="14" t="s">
        <v>126</v>
      </c>
      <c r="D74" s="14" t="s">
        <v>37</v>
      </c>
      <c r="E74" s="6"/>
      <c r="F74" s="6" t="s">
        <v>103</v>
      </c>
      <c r="G74" s="12"/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0.85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</row>
    <row r="75" spans="2:44" ht="12.75">
      <c r="B75" s="6"/>
      <c r="C75" s="14" t="s">
        <v>126</v>
      </c>
      <c r="D75" s="14" t="s">
        <v>38</v>
      </c>
      <c r="E75" s="6"/>
      <c r="F75" s="6" t="s">
        <v>103</v>
      </c>
      <c r="G75" s="12"/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0.85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</row>
    <row r="76" spans="2:44" ht="12.75">
      <c r="B76" s="6"/>
      <c r="C76" s="14" t="s">
        <v>126</v>
      </c>
      <c r="D76" s="14" t="s">
        <v>43</v>
      </c>
      <c r="E76" s="6"/>
      <c r="F76" s="6" t="s">
        <v>103</v>
      </c>
      <c r="G76" s="12"/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0.85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</row>
    <row r="77" spans="2:44" ht="12.75">
      <c r="B77" s="6"/>
      <c r="C77" s="14" t="s">
        <v>126</v>
      </c>
      <c r="D77" s="14" t="s">
        <v>124</v>
      </c>
      <c r="E77" s="6"/>
      <c r="F77" s="6" t="s">
        <v>103</v>
      </c>
      <c r="G77" s="12"/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0.85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</row>
    <row r="78" spans="2:44" ht="12.75">
      <c r="B78" s="6"/>
      <c r="C78" s="14" t="s">
        <v>127</v>
      </c>
      <c r="D78" s="14" t="s">
        <v>37</v>
      </c>
      <c r="E78" s="6"/>
      <c r="F78" s="6" t="s">
        <v>103</v>
      </c>
      <c r="G78" s="12"/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0.85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</row>
    <row r="79" spans="2:44" ht="12.75">
      <c r="B79" s="6"/>
      <c r="C79" s="14" t="s">
        <v>127</v>
      </c>
      <c r="D79" s="14" t="s">
        <v>38</v>
      </c>
      <c r="E79" s="6"/>
      <c r="F79" s="6" t="s">
        <v>103</v>
      </c>
      <c r="G79" s="12"/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0.85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</row>
    <row r="80" spans="2:44" ht="12.75">
      <c r="B80" s="6"/>
      <c r="C80" s="14" t="s">
        <v>127</v>
      </c>
      <c r="D80" s="14" t="s">
        <v>43</v>
      </c>
      <c r="E80" s="6"/>
      <c r="F80" s="6" t="s">
        <v>103</v>
      </c>
      <c r="G80" s="12"/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0.85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</row>
    <row r="81" spans="2:44" ht="12.75">
      <c r="B81" s="6"/>
      <c r="C81" s="14" t="s">
        <v>127</v>
      </c>
      <c r="D81" s="14" t="s">
        <v>100</v>
      </c>
      <c r="E81" s="6"/>
      <c r="F81" s="6" t="s">
        <v>103</v>
      </c>
      <c r="G81" s="12"/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0.85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</row>
    <row r="82" spans="2:44" ht="12.75">
      <c r="B82" s="6"/>
      <c r="C82" s="14" t="s">
        <v>128</v>
      </c>
      <c r="D82" s="14" t="s">
        <v>48</v>
      </c>
      <c r="E82" s="6"/>
      <c r="F82" s="6" t="s">
        <v>103</v>
      </c>
      <c r="G82" s="12"/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0.85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</row>
    <row r="83" spans="2:44" ht="12.75">
      <c r="B83" s="6"/>
      <c r="C83" s="14" t="s">
        <v>128</v>
      </c>
      <c r="D83" s="14" t="s">
        <v>51</v>
      </c>
      <c r="E83" s="6"/>
      <c r="F83" s="6" t="s">
        <v>103</v>
      </c>
      <c r="G83" s="12"/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0.85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</row>
    <row r="84" spans="2:44" ht="12.75">
      <c r="B84" s="6"/>
      <c r="C84" s="14" t="s">
        <v>128</v>
      </c>
      <c r="D84" s="14" t="s">
        <v>37</v>
      </c>
      <c r="E84" s="6"/>
      <c r="F84" s="6" t="s">
        <v>103</v>
      </c>
      <c r="G84" s="12"/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0.85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</row>
    <row r="85" spans="2:44" ht="12.75">
      <c r="B85" s="6"/>
      <c r="C85" s="14" t="s">
        <v>128</v>
      </c>
      <c r="D85" s="14" t="s">
        <v>44</v>
      </c>
      <c r="E85" s="6"/>
      <c r="F85" s="6" t="s">
        <v>103</v>
      </c>
      <c r="G85" s="12"/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0.85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</row>
    <row r="86" spans="2:44" ht="12.75">
      <c r="B86" s="6"/>
      <c r="C86" s="14" t="s">
        <v>128</v>
      </c>
      <c r="D86" s="14" t="s">
        <v>129</v>
      </c>
      <c r="E86" s="6"/>
      <c r="F86" s="6" t="s">
        <v>103</v>
      </c>
      <c r="G86" s="12"/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0.85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</row>
    <row r="87" spans="2:44" ht="12.75">
      <c r="B87" s="6"/>
      <c r="C87" s="14" t="s">
        <v>128</v>
      </c>
      <c r="D87" s="14" t="s">
        <v>130</v>
      </c>
      <c r="E87" s="6"/>
      <c r="F87" s="6" t="s">
        <v>103</v>
      </c>
      <c r="G87" s="12"/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0.85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</row>
    <row r="88" spans="2:44" ht="12.75">
      <c r="B88" s="6"/>
      <c r="C88" s="14" t="s">
        <v>128</v>
      </c>
      <c r="D88" s="14" t="s">
        <v>131</v>
      </c>
      <c r="E88" s="6"/>
      <c r="F88" s="6" t="s">
        <v>103</v>
      </c>
      <c r="G88" s="12"/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0.85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</row>
    <row r="89" spans="2:44" ht="12.75">
      <c r="B89" s="6"/>
      <c r="C89" s="14" t="s">
        <v>128</v>
      </c>
      <c r="D89" s="14" t="s">
        <v>132</v>
      </c>
      <c r="E89" s="6"/>
      <c r="F89" s="6" t="s">
        <v>103</v>
      </c>
      <c r="G89" s="12"/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0.85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  <c r="AP89" s="13">
        <v>1</v>
      </c>
      <c r="AQ89" s="13">
        <v>1</v>
      </c>
      <c r="AR89" s="13">
        <v>1</v>
      </c>
    </row>
    <row r="90" spans="2:44" ht="12.75">
      <c r="B90" s="6"/>
      <c r="C90" s="14" t="s">
        <v>128</v>
      </c>
      <c r="D90" s="14" t="s">
        <v>52</v>
      </c>
      <c r="E90" s="6"/>
      <c r="F90" s="6" t="s">
        <v>104</v>
      </c>
      <c r="G90" s="12"/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3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</row>
    <row r="91" spans="2:44" ht="12.75">
      <c r="B91" s="6"/>
      <c r="C91" s="14" t="s">
        <v>133</v>
      </c>
      <c r="D91" s="14" t="s">
        <v>48</v>
      </c>
      <c r="E91" s="6"/>
      <c r="F91" s="6" t="s">
        <v>103</v>
      </c>
      <c r="G91" s="12"/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0.85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</row>
    <row r="92" spans="2:44" ht="12.75">
      <c r="B92" s="6"/>
      <c r="C92" s="14" t="s">
        <v>133</v>
      </c>
      <c r="D92" s="14" t="s">
        <v>49</v>
      </c>
      <c r="E92" s="6"/>
      <c r="F92" s="6" t="s">
        <v>103</v>
      </c>
      <c r="G92" s="12"/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0.85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</row>
    <row r="93" spans="2:44" ht="12.75">
      <c r="B93" s="6"/>
      <c r="C93" s="14" t="s">
        <v>133</v>
      </c>
      <c r="D93" s="14" t="s">
        <v>51</v>
      </c>
      <c r="E93" s="6"/>
      <c r="F93" s="6" t="s">
        <v>103</v>
      </c>
      <c r="G93" s="12"/>
      <c r="H93" s="13">
        <v>0.50</v>
      </c>
      <c r="I93" s="13">
        <v>0.50</v>
      </c>
      <c r="J93" s="13">
        <v>0.50</v>
      </c>
      <c r="K93" s="13">
        <v>0.50</v>
      </c>
      <c r="L93" s="13">
        <v>0.50</v>
      </c>
      <c r="M93" s="13">
        <v>0.50</v>
      </c>
      <c r="N93" s="13">
        <v>0.50</v>
      </c>
      <c r="O93" s="13">
        <v>0.50</v>
      </c>
      <c r="P93" s="13">
        <v>0.50</v>
      </c>
      <c r="Q93" s="13">
        <v>0.50</v>
      </c>
      <c r="R93" s="13">
        <v>0.50</v>
      </c>
      <c r="S93" s="13">
        <v>0.50</v>
      </c>
      <c r="T93" s="13">
        <v>0.50</v>
      </c>
      <c r="U93" s="13">
        <v>0.50</v>
      </c>
      <c r="V93" s="13">
        <v>0.50</v>
      </c>
      <c r="W93" s="13">
        <v>0.50</v>
      </c>
      <c r="X93" s="13">
        <v>0.50</v>
      </c>
      <c r="Y93" s="13">
        <v>0.50</v>
      </c>
      <c r="Z93" s="13">
        <v>0.50</v>
      </c>
      <c r="AA93" s="13">
        <v>0.50</v>
      </c>
      <c r="AB93" s="13">
        <v>0.50</v>
      </c>
      <c r="AC93" s="13">
        <v>0.50</v>
      </c>
      <c r="AD93" s="13">
        <v>0.50</v>
      </c>
      <c r="AE93" s="13">
        <v>0.50</v>
      </c>
      <c r="AF93" s="13">
        <v>0.50</v>
      </c>
      <c r="AG93" s="13">
        <v>0.50</v>
      </c>
      <c r="AH93" s="13">
        <v>0.50</v>
      </c>
      <c r="AI93" s="13">
        <v>0.50</v>
      </c>
      <c r="AJ93" s="13">
        <v>0.50</v>
      </c>
      <c r="AK93" s="13">
        <v>0.50</v>
      </c>
      <c r="AL93" s="13">
        <v>0.50</v>
      </c>
      <c r="AM93" s="13">
        <v>0.50</v>
      </c>
      <c r="AN93" s="13">
        <v>0.50</v>
      </c>
      <c r="AO93" s="13">
        <v>0.50</v>
      </c>
      <c r="AP93" s="13">
        <v>0.50</v>
      </c>
      <c r="AQ93" s="13">
        <v>0.50</v>
      </c>
      <c r="AR93" s="13">
        <v>0.50</v>
      </c>
    </row>
    <row r="94" spans="2:44" ht="12.75">
      <c r="B94" s="6"/>
      <c r="C94" s="14" t="s">
        <v>133</v>
      </c>
      <c r="D94" s="14" t="s">
        <v>37</v>
      </c>
      <c r="E94" s="6"/>
      <c r="F94" s="6" t="s">
        <v>103</v>
      </c>
      <c r="G94" s="12"/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0.85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>
        <v>1</v>
      </c>
      <c r="W94" s="13">
        <v>1</v>
      </c>
      <c r="X94" s="13">
        <v>1</v>
      </c>
      <c r="Y94" s="13">
        <v>1</v>
      </c>
      <c r="Z94" s="13">
        <v>1</v>
      </c>
      <c r="AA94" s="13">
        <v>1</v>
      </c>
      <c r="AB94" s="13">
        <v>1</v>
      </c>
      <c r="AC94" s="13">
        <v>1</v>
      </c>
      <c r="AD94" s="13">
        <v>1</v>
      </c>
      <c r="AE94" s="13">
        <v>1</v>
      </c>
      <c r="AF94" s="13">
        <v>1</v>
      </c>
      <c r="AG94" s="13">
        <v>1</v>
      </c>
      <c r="AH94" s="13">
        <v>1</v>
      </c>
      <c r="AI94" s="13">
        <v>1</v>
      </c>
      <c r="AJ94" s="13">
        <v>1</v>
      </c>
      <c r="AK94" s="13">
        <v>1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3">
        <v>1</v>
      </c>
      <c r="AR94" s="13">
        <v>1</v>
      </c>
    </row>
    <row r="95" spans="2:44" ht="12.75">
      <c r="B95" s="6"/>
      <c r="C95" s="14" t="s">
        <v>133</v>
      </c>
      <c r="D95" s="14" t="s">
        <v>43</v>
      </c>
      <c r="E95" s="6"/>
      <c r="F95" s="6" t="s">
        <v>103</v>
      </c>
      <c r="G95" s="12"/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0.85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>
        <v>1</v>
      </c>
      <c r="W95" s="13">
        <v>1</v>
      </c>
      <c r="X95" s="13">
        <v>1</v>
      </c>
      <c r="Y95" s="13">
        <v>1</v>
      </c>
      <c r="Z95" s="13">
        <v>1</v>
      </c>
      <c r="AA95" s="13">
        <v>1</v>
      </c>
      <c r="AB95" s="13">
        <v>1</v>
      </c>
      <c r="AC95" s="13">
        <v>1</v>
      </c>
      <c r="AD95" s="13">
        <v>1</v>
      </c>
      <c r="AE95" s="13">
        <v>1</v>
      </c>
      <c r="AF95" s="13">
        <v>1</v>
      </c>
      <c r="AG95" s="13">
        <v>1</v>
      </c>
      <c r="AH95" s="13">
        <v>1</v>
      </c>
      <c r="AI95" s="13">
        <v>1</v>
      </c>
      <c r="AJ95" s="13">
        <v>1</v>
      </c>
      <c r="AK95" s="13">
        <v>1</v>
      </c>
      <c r="AL95" s="13">
        <v>1</v>
      </c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</row>
    <row r="96" spans="2:44" ht="12.75">
      <c r="B96" s="6"/>
      <c r="C96" s="14" t="s">
        <v>133</v>
      </c>
      <c r="D96" s="14" t="s">
        <v>129</v>
      </c>
      <c r="E96" s="6"/>
      <c r="F96" s="6" t="s">
        <v>103</v>
      </c>
      <c r="G96" s="12"/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0.85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</row>
    <row r="97" spans="2:44" ht="12.75">
      <c r="B97" s="6"/>
      <c r="C97" s="14" t="s">
        <v>133</v>
      </c>
      <c r="D97" s="14" t="s">
        <v>134</v>
      </c>
      <c r="E97" s="6"/>
      <c r="F97" s="6" t="s">
        <v>103</v>
      </c>
      <c r="G97" s="12"/>
      <c r="H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0.85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3">
        <v>1</v>
      </c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</row>
    <row r="98" spans="2:44" ht="12.75">
      <c r="B98" s="6"/>
      <c r="C98" s="14" t="s">
        <v>133</v>
      </c>
      <c r="D98" s="14" t="s">
        <v>135</v>
      </c>
      <c r="E98" s="6"/>
      <c r="F98" s="6" t="s">
        <v>103</v>
      </c>
      <c r="G98" s="12"/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0.85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</row>
    <row r="99" spans="2:44" ht="12.75">
      <c r="B99" s="6"/>
      <c r="C99" s="14" t="s">
        <v>133</v>
      </c>
      <c r="D99" s="14" t="s">
        <v>57</v>
      </c>
      <c r="E99" s="6"/>
      <c r="F99" s="6" t="s">
        <v>104</v>
      </c>
      <c r="G99" s="12"/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</row>
    <row r="100" spans="2:44" ht="12.75">
      <c r="B100" s="6"/>
      <c r="C100" s="14" t="s">
        <v>133</v>
      </c>
      <c r="D100" s="14" t="s">
        <v>42</v>
      </c>
      <c r="E100" s="6"/>
      <c r="F100" s="6" t="s">
        <v>104</v>
      </c>
      <c r="G100" s="12"/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</row>
    <row r="101" spans="2:44" ht="12.75">
      <c r="B101" s="6"/>
      <c r="C101" s="14" t="s">
        <v>133</v>
      </c>
      <c r="D101" s="14" t="s">
        <v>136</v>
      </c>
      <c r="E101" s="6"/>
      <c r="F101" s="6" t="s">
        <v>104</v>
      </c>
      <c r="G101" s="12"/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</row>
    <row r="102" spans="2:44" ht="12.75">
      <c r="B102" s="6"/>
      <c r="C102" s="14" t="s">
        <v>137</v>
      </c>
      <c r="D102" s="14" t="s">
        <v>38</v>
      </c>
      <c r="E102" s="6"/>
      <c r="F102" s="6" t="s">
        <v>103</v>
      </c>
      <c r="G102" s="12"/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0.85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</row>
    <row r="103" spans="2:44" ht="12.75">
      <c r="B103" s="6"/>
      <c r="C103" s="14" t="s">
        <v>137</v>
      </c>
      <c r="D103" s="14" t="s">
        <v>129</v>
      </c>
      <c r="E103" s="6"/>
      <c r="F103" s="6" t="s">
        <v>103</v>
      </c>
      <c r="G103" s="12"/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0.85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1</v>
      </c>
      <c r="AK103" s="13">
        <v>1</v>
      </c>
      <c r="AL103" s="13">
        <v>1</v>
      </c>
      <c r="AM103" s="13">
        <v>1</v>
      </c>
      <c r="AN103" s="13">
        <v>1</v>
      </c>
      <c r="AO103" s="13">
        <v>1</v>
      </c>
      <c r="AP103" s="13">
        <v>1</v>
      </c>
      <c r="AQ103" s="13">
        <v>1</v>
      </c>
      <c r="AR103" s="13">
        <v>1</v>
      </c>
    </row>
    <row r="104" spans="2:44" ht="12.75">
      <c r="B104" s="6"/>
      <c r="C104" s="14" t="s">
        <v>137</v>
      </c>
      <c r="D104" s="14" t="s">
        <v>130</v>
      </c>
      <c r="E104" s="6"/>
      <c r="F104" s="6" t="s">
        <v>103</v>
      </c>
      <c r="G104" s="12"/>
      <c r="H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0.85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>
        <v>1</v>
      </c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1</v>
      </c>
      <c r="AM104" s="13">
        <v>1</v>
      </c>
      <c r="AN104" s="13">
        <v>1</v>
      </c>
      <c r="AO104" s="13">
        <v>1</v>
      </c>
      <c r="AP104" s="13">
        <v>1</v>
      </c>
      <c r="AQ104" s="13">
        <v>1</v>
      </c>
      <c r="AR104" s="13">
        <v>1</v>
      </c>
    </row>
    <row r="105" spans="2:44" ht="12.75">
      <c r="B105" s="6"/>
      <c r="C105" s="14" t="s">
        <v>137</v>
      </c>
      <c r="D105" s="14" t="s">
        <v>136</v>
      </c>
      <c r="E105" s="6"/>
      <c r="F105" s="6" t="s">
        <v>103</v>
      </c>
      <c r="G105" s="12"/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0.85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1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</row>
    <row r="106" spans="2:44" ht="12.75">
      <c r="B106" s="6"/>
      <c r="C106" s="14" t="s">
        <v>137</v>
      </c>
      <c r="D106" s="14" t="s">
        <v>132</v>
      </c>
      <c r="E106" s="6"/>
      <c r="F106" s="6" t="s">
        <v>103</v>
      </c>
      <c r="G106" s="12"/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0.85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>
        <v>1</v>
      </c>
      <c r="W106" s="13">
        <v>1</v>
      </c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3">
        <v>1</v>
      </c>
      <c r="AE106" s="13">
        <v>1</v>
      </c>
      <c r="AF106" s="13">
        <v>1</v>
      </c>
      <c r="AG106" s="13">
        <v>1</v>
      </c>
      <c r="AH106" s="13">
        <v>1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>
        <v>1</v>
      </c>
    </row>
    <row r="107" spans="2:44" ht="12.75">
      <c r="B107" s="6"/>
      <c r="C107" s="14" t="s">
        <v>137</v>
      </c>
      <c r="D107" s="14" t="s">
        <v>57</v>
      </c>
      <c r="E107" s="6"/>
      <c r="F107" s="6" t="s">
        <v>104</v>
      </c>
      <c r="G107" s="12"/>
      <c r="H107" s="13">
        <v>1</v>
      </c>
      <c r="I107" s="13">
        <v>1</v>
      </c>
      <c r="J107" s="13">
        <v>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>
        <v>1</v>
      </c>
      <c r="W107" s="13">
        <v>1</v>
      </c>
      <c r="X107" s="13">
        <v>1</v>
      </c>
      <c r="Y107" s="13">
        <v>1</v>
      </c>
      <c r="Z107" s="13">
        <v>1</v>
      </c>
      <c r="AA107" s="13">
        <v>1</v>
      </c>
      <c r="AB107" s="13">
        <v>1</v>
      </c>
      <c r="AC107" s="13">
        <v>1</v>
      </c>
      <c r="AD107" s="13">
        <v>1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3">
        <v>1</v>
      </c>
      <c r="AO107" s="13">
        <v>1</v>
      </c>
      <c r="AP107" s="13">
        <v>1</v>
      </c>
      <c r="AQ107" s="13">
        <v>1</v>
      </c>
      <c r="AR107" s="13">
        <v>1</v>
      </c>
    </row>
    <row r="108" spans="2:44" ht="12.75">
      <c r="B108" s="6"/>
      <c r="C108" s="14" t="s">
        <v>137</v>
      </c>
      <c r="D108" s="14" t="s">
        <v>52</v>
      </c>
      <c r="E108" s="6"/>
      <c r="F108" s="6" t="s">
        <v>104</v>
      </c>
      <c r="G108" s="12"/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  <c r="AA108" s="13">
        <v>1</v>
      </c>
      <c r="AB108" s="13">
        <v>1</v>
      </c>
      <c r="AC108" s="13">
        <v>1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1</v>
      </c>
      <c r="AL108" s="13">
        <v>1</v>
      </c>
      <c r="AM108" s="13">
        <v>1</v>
      </c>
      <c r="AN108" s="13">
        <v>1</v>
      </c>
      <c r="AO108" s="13">
        <v>1</v>
      </c>
      <c r="AP108" s="13">
        <v>1</v>
      </c>
      <c r="AQ108" s="13">
        <v>1</v>
      </c>
      <c r="AR108" s="13">
        <v>1</v>
      </c>
    </row>
    <row r="109" spans="2:44" ht="12.75">
      <c r="B109" s="6"/>
      <c r="C109" s="14" t="s">
        <v>138</v>
      </c>
      <c r="D109" s="14" t="s">
        <v>38</v>
      </c>
      <c r="E109" s="6"/>
      <c r="F109" s="6" t="s">
        <v>103</v>
      </c>
      <c r="G109" s="12"/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0.85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  <c r="AA109" s="13">
        <v>1</v>
      </c>
      <c r="AB109" s="13">
        <v>1</v>
      </c>
      <c r="AC109" s="13">
        <v>1</v>
      </c>
      <c r="AD109" s="13">
        <v>1</v>
      </c>
      <c r="AE109" s="13">
        <v>1</v>
      </c>
      <c r="AF109" s="13">
        <v>1</v>
      </c>
      <c r="AG109" s="13">
        <v>1</v>
      </c>
      <c r="AH109" s="13">
        <v>1</v>
      </c>
      <c r="AI109" s="13">
        <v>1</v>
      </c>
      <c r="AJ109" s="13">
        <v>1</v>
      </c>
      <c r="AK109" s="13">
        <v>1</v>
      </c>
      <c r="AL109" s="13">
        <v>1</v>
      </c>
      <c r="AM109" s="13">
        <v>1</v>
      </c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</row>
    <row r="110" spans="2:44" ht="12.75">
      <c r="B110" s="6"/>
      <c r="C110" s="14" t="s">
        <v>138</v>
      </c>
      <c r="D110" s="14" t="s">
        <v>129</v>
      </c>
      <c r="E110" s="6"/>
      <c r="F110" s="6" t="s">
        <v>103</v>
      </c>
      <c r="G110" s="12"/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0.85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>
        <v>1</v>
      </c>
      <c r="W110" s="13">
        <v>1</v>
      </c>
      <c r="X110" s="13">
        <v>1</v>
      </c>
      <c r="Y110" s="13">
        <v>1</v>
      </c>
      <c r="Z110" s="13">
        <v>1</v>
      </c>
      <c r="AA110" s="13">
        <v>1</v>
      </c>
      <c r="AB110" s="13">
        <v>1</v>
      </c>
      <c r="AC110" s="13">
        <v>1</v>
      </c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</row>
    <row r="111" spans="2:44" ht="12.75">
      <c r="B111" s="6"/>
      <c r="C111" s="14" t="s">
        <v>138</v>
      </c>
      <c r="D111" s="14" t="s">
        <v>130</v>
      </c>
      <c r="E111" s="6"/>
      <c r="F111" s="6" t="s">
        <v>103</v>
      </c>
      <c r="G111" s="12"/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0.85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>
        <v>1</v>
      </c>
      <c r="W111" s="13">
        <v>1</v>
      </c>
      <c r="X111" s="13">
        <v>1</v>
      </c>
      <c r="Y111" s="13">
        <v>1</v>
      </c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</row>
    <row r="112" spans="2:44" ht="12.75">
      <c r="B112" s="6"/>
      <c r="C112" s="14" t="s">
        <v>138</v>
      </c>
      <c r="D112" s="14" t="s">
        <v>136</v>
      </c>
      <c r="E112" s="6"/>
      <c r="F112" s="6" t="s">
        <v>103</v>
      </c>
      <c r="G112" s="12"/>
      <c r="H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0.85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>
        <v>1</v>
      </c>
      <c r="W112" s="13">
        <v>1</v>
      </c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1</v>
      </c>
      <c r="AG112" s="13">
        <v>1</v>
      </c>
      <c r="AH112" s="13">
        <v>1</v>
      </c>
      <c r="AI112" s="13">
        <v>1</v>
      </c>
      <c r="AJ112" s="13">
        <v>1</v>
      </c>
      <c r="AK112" s="13">
        <v>1</v>
      </c>
      <c r="AL112" s="13">
        <v>1</v>
      </c>
      <c r="AM112" s="13">
        <v>1</v>
      </c>
      <c r="AN112" s="13">
        <v>1</v>
      </c>
      <c r="AO112" s="13">
        <v>1</v>
      </c>
      <c r="AP112" s="13">
        <v>1</v>
      </c>
      <c r="AQ112" s="13">
        <v>1</v>
      </c>
      <c r="AR112" s="13">
        <v>1</v>
      </c>
    </row>
    <row r="113" spans="2:44" ht="12.75">
      <c r="B113" s="6"/>
      <c r="C113" s="14" t="s">
        <v>138</v>
      </c>
      <c r="D113" s="14" t="s">
        <v>132</v>
      </c>
      <c r="E113" s="6"/>
      <c r="F113" s="6" t="s">
        <v>103</v>
      </c>
      <c r="G113" s="12"/>
      <c r="H113" s="13">
        <v>1</v>
      </c>
      <c r="I113" s="13">
        <v>1</v>
      </c>
      <c r="J113" s="13">
        <v>1</v>
      </c>
      <c r="K113" s="13">
        <v>1</v>
      </c>
      <c r="L113" s="13">
        <v>1</v>
      </c>
      <c r="M113" s="13">
        <v>1</v>
      </c>
      <c r="N113" s="13">
        <v>1</v>
      </c>
      <c r="O113" s="13">
        <v>1</v>
      </c>
      <c r="P113" s="13">
        <v>0.85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1</v>
      </c>
      <c r="X113" s="13">
        <v>1</v>
      </c>
      <c r="Y113" s="13">
        <v>1</v>
      </c>
      <c r="Z113" s="13">
        <v>1</v>
      </c>
      <c r="AA113" s="13">
        <v>1</v>
      </c>
      <c r="AB113" s="13">
        <v>1</v>
      </c>
      <c r="AC113" s="13">
        <v>1</v>
      </c>
      <c r="AD113" s="13">
        <v>1</v>
      </c>
      <c r="AE113" s="13">
        <v>1</v>
      </c>
      <c r="AF113" s="13">
        <v>1</v>
      </c>
      <c r="AG113" s="13">
        <v>1</v>
      </c>
      <c r="AH113" s="13">
        <v>1</v>
      </c>
      <c r="AI113" s="13">
        <v>1</v>
      </c>
      <c r="AJ113" s="13">
        <v>1</v>
      </c>
      <c r="AK113" s="13">
        <v>1</v>
      </c>
      <c r="AL113" s="13">
        <v>1</v>
      </c>
      <c r="AM113" s="13">
        <v>1</v>
      </c>
      <c r="AN113" s="13">
        <v>1</v>
      </c>
      <c r="AO113" s="13">
        <v>1</v>
      </c>
      <c r="AP113" s="13">
        <v>1</v>
      </c>
      <c r="AQ113" s="13">
        <v>1</v>
      </c>
      <c r="AR113" s="13">
        <v>1</v>
      </c>
    </row>
    <row r="114" spans="2:44" ht="12.75">
      <c r="B114" s="6"/>
      <c r="C114" s="14" t="s">
        <v>138</v>
      </c>
      <c r="D114" s="14" t="s">
        <v>57</v>
      </c>
      <c r="E114" s="6"/>
      <c r="F114" s="6" t="s">
        <v>104</v>
      </c>
      <c r="G114" s="12"/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3">
        <v>1</v>
      </c>
      <c r="Q114" s="13">
        <v>1</v>
      </c>
      <c r="R114" s="13">
        <v>1</v>
      </c>
      <c r="S114" s="13">
        <v>1</v>
      </c>
      <c r="T114" s="13">
        <v>1</v>
      </c>
      <c r="U114" s="13">
        <v>1</v>
      </c>
      <c r="V114" s="13">
        <v>1</v>
      </c>
      <c r="W114" s="13">
        <v>1</v>
      </c>
      <c r="X114" s="13">
        <v>1</v>
      </c>
      <c r="Y114" s="13">
        <v>1</v>
      </c>
      <c r="Z114" s="13">
        <v>1</v>
      </c>
      <c r="AA114" s="13">
        <v>1</v>
      </c>
      <c r="AB114" s="13">
        <v>1</v>
      </c>
      <c r="AC114" s="13">
        <v>1</v>
      </c>
      <c r="AD114" s="13">
        <v>1</v>
      </c>
      <c r="AE114" s="13">
        <v>1</v>
      </c>
      <c r="AF114" s="13">
        <v>1</v>
      </c>
      <c r="AG114" s="13">
        <v>1</v>
      </c>
      <c r="AH114" s="13">
        <v>1</v>
      </c>
      <c r="AI114" s="13">
        <v>1</v>
      </c>
      <c r="AJ114" s="13">
        <v>1</v>
      </c>
      <c r="AK114" s="13">
        <v>1</v>
      </c>
      <c r="AL114" s="13">
        <v>1</v>
      </c>
      <c r="AM114" s="13">
        <v>1</v>
      </c>
      <c r="AN114" s="13">
        <v>1</v>
      </c>
      <c r="AO114" s="13">
        <v>1</v>
      </c>
      <c r="AP114" s="13">
        <v>1</v>
      </c>
      <c r="AQ114" s="13">
        <v>1</v>
      </c>
      <c r="AR114" s="13">
        <v>1</v>
      </c>
    </row>
    <row r="115" spans="2:44" ht="12.75">
      <c r="B115" s="6"/>
      <c r="C115" s="14" t="s">
        <v>138</v>
      </c>
      <c r="D115" s="14" t="s">
        <v>52</v>
      </c>
      <c r="E115" s="6"/>
      <c r="F115" s="6" t="s">
        <v>104</v>
      </c>
      <c r="G115" s="12"/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>
        <v>1</v>
      </c>
      <c r="W115" s="13">
        <v>1</v>
      </c>
      <c r="X115" s="13">
        <v>1</v>
      </c>
      <c r="Y115" s="13">
        <v>1</v>
      </c>
      <c r="Z115" s="13">
        <v>1</v>
      </c>
      <c r="AA115" s="13">
        <v>1</v>
      </c>
      <c r="AB115" s="13">
        <v>1</v>
      </c>
      <c r="AC115" s="13">
        <v>1</v>
      </c>
      <c r="AD115" s="13">
        <v>1</v>
      </c>
      <c r="AE115" s="13">
        <v>1</v>
      </c>
      <c r="AF115" s="13">
        <v>1</v>
      </c>
      <c r="AG115" s="13">
        <v>1</v>
      </c>
      <c r="AH115" s="13">
        <v>1</v>
      </c>
      <c r="AI115" s="13">
        <v>1</v>
      </c>
      <c r="AJ115" s="13">
        <v>1</v>
      </c>
      <c r="AK115" s="13">
        <v>1</v>
      </c>
      <c r="AL115" s="13">
        <v>1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  <c r="AR115" s="13">
        <v>1</v>
      </c>
    </row>
    <row r="116" spans="2:44" ht="12.75">
      <c r="B116" s="6"/>
      <c r="C116" s="14" t="s">
        <v>139</v>
      </c>
      <c r="D116" s="14" t="s">
        <v>48</v>
      </c>
      <c r="E116" s="6"/>
      <c r="F116" s="6" t="s">
        <v>103</v>
      </c>
      <c r="G116" s="12"/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0.85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3">
        <v>1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3">
        <v>1</v>
      </c>
      <c r="AR116" s="13">
        <v>1</v>
      </c>
    </row>
    <row r="117" spans="2:44" ht="12.75">
      <c r="B117" s="6"/>
      <c r="C117" s="14" t="s">
        <v>139</v>
      </c>
      <c r="D117" s="14" t="s">
        <v>49</v>
      </c>
      <c r="E117" s="6"/>
      <c r="F117" s="6" t="s">
        <v>103</v>
      </c>
      <c r="G117" s="12"/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0.85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3">
        <v>1</v>
      </c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</row>
    <row r="118" spans="2:44" ht="12.75">
      <c r="B118" s="6"/>
      <c r="C118" s="14" t="s">
        <v>139</v>
      </c>
      <c r="D118" s="14" t="s">
        <v>129</v>
      </c>
      <c r="E118" s="6"/>
      <c r="F118" s="6" t="s">
        <v>103</v>
      </c>
      <c r="G118" s="12"/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0.85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>
        <v>1</v>
      </c>
      <c r="W118" s="13">
        <v>1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3">
        <v>1</v>
      </c>
      <c r="AE118" s="13">
        <v>1</v>
      </c>
      <c r="AF118" s="13">
        <v>1</v>
      </c>
      <c r="AG118" s="13">
        <v>1</v>
      </c>
      <c r="AH118" s="13">
        <v>1</v>
      </c>
      <c r="AI118" s="13">
        <v>1</v>
      </c>
      <c r="AJ118" s="13">
        <v>1</v>
      </c>
      <c r="AK118" s="13">
        <v>1</v>
      </c>
      <c r="AL118" s="13">
        <v>1</v>
      </c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>
        <v>1</v>
      </c>
    </row>
    <row r="119" spans="2:44" ht="12.75">
      <c r="B119" s="6"/>
      <c r="C119" s="14" t="s">
        <v>139</v>
      </c>
      <c r="D119" s="14" t="s">
        <v>134</v>
      </c>
      <c r="E119" s="6"/>
      <c r="F119" s="6" t="s">
        <v>103</v>
      </c>
      <c r="G119" s="12"/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0.85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</row>
    <row r="120" spans="2:44" ht="12.75">
      <c r="B120" s="6"/>
      <c r="C120" s="14" t="s">
        <v>139</v>
      </c>
      <c r="D120" s="14" t="s">
        <v>57</v>
      </c>
      <c r="E120" s="6"/>
      <c r="F120" s="6" t="s">
        <v>104</v>
      </c>
      <c r="G120" s="12"/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</row>
    <row r="121" spans="2:44" ht="12.75">
      <c r="B121" s="6"/>
      <c r="C121" s="14" t="s">
        <v>139</v>
      </c>
      <c r="D121" s="14" t="s">
        <v>47</v>
      </c>
      <c r="E121" s="6"/>
      <c r="F121" s="6" t="s">
        <v>104</v>
      </c>
      <c r="G121" s="12"/>
      <c r="H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>
        <v>1</v>
      </c>
      <c r="X121" s="13">
        <v>1</v>
      </c>
      <c r="Y121" s="13">
        <v>1</v>
      </c>
      <c r="Z121" s="13">
        <v>1</v>
      </c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>
        <v>1</v>
      </c>
      <c r="AO121" s="13">
        <v>1</v>
      </c>
      <c r="AP121" s="13">
        <v>1</v>
      </c>
      <c r="AQ121" s="13">
        <v>1</v>
      </c>
      <c r="AR121" s="13">
        <v>1</v>
      </c>
    </row>
    <row r="122" spans="2:44" ht="12.75">
      <c r="B122" s="6"/>
      <c r="C122" s="14" t="s">
        <v>139</v>
      </c>
      <c r="D122" s="14" t="s">
        <v>48</v>
      </c>
      <c r="E122" s="6"/>
      <c r="F122" s="6" t="s">
        <v>104</v>
      </c>
      <c r="G122" s="12"/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</row>
    <row r="123" spans="2:44" ht="12.75">
      <c r="B123" s="6"/>
      <c r="C123" s="14" t="s">
        <v>139</v>
      </c>
      <c r="D123" s="14" t="s">
        <v>42</v>
      </c>
      <c r="E123" s="6"/>
      <c r="F123" s="6" t="s">
        <v>104</v>
      </c>
      <c r="G123" s="12"/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</row>
    <row r="124" spans="2:44" ht="12.75">
      <c r="B124" s="6"/>
      <c r="C124" s="14" t="s">
        <v>139</v>
      </c>
      <c r="D124" s="14" t="s">
        <v>136</v>
      </c>
      <c r="E124" s="6"/>
      <c r="F124" s="6" t="s">
        <v>104</v>
      </c>
      <c r="G124" s="12"/>
      <c r="H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>
        <v>1</v>
      </c>
      <c r="W124" s="13">
        <v>1</v>
      </c>
      <c r="X124" s="13">
        <v>1</v>
      </c>
      <c r="Y124" s="13">
        <v>1</v>
      </c>
      <c r="Z124" s="13">
        <v>1</v>
      </c>
      <c r="AA124" s="13">
        <v>1</v>
      </c>
      <c r="AB124" s="13">
        <v>1</v>
      </c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</row>
    <row r="125" spans="2:44" ht="12.75">
      <c r="B125" s="6"/>
      <c r="C125" s="14" t="s">
        <v>140</v>
      </c>
      <c r="D125" s="14" t="s">
        <v>37</v>
      </c>
      <c r="E125" s="6"/>
      <c r="F125" s="6" t="s">
        <v>103</v>
      </c>
      <c r="G125" s="12"/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0.85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>
        <v>1</v>
      </c>
      <c r="W125" s="13">
        <v>1</v>
      </c>
      <c r="X125" s="13">
        <v>1</v>
      </c>
      <c r="Y125" s="13">
        <v>1</v>
      </c>
      <c r="Z125" s="13">
        <v>1</v>
      </c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1</v>
      </c>
      <c r="AN125" s="13">
        <v>1</v>
      </c>
      <c r="AO125" s="13">
        <v>1</v>
      </c>
      <c r="AP125" s="13">
        <v>1</v>
      </c>
      <c r="AQ125" s="13">
        <v>1</v>
      </c>
      <c r="AR125" s="13">
        <v>1</v>
      </c>
    </row>
    <row r="126" spans="2:44" ht="12.75">
      <c r="B126" s="6"/>
      <c r="C126" s="14" t="s">
        <v>140</v>
      </c>
      <c r="D126" s="14" t="s">
        <v>38</v>
      </c>
      <c r="E126" s="6"/>
      <c r="F126" s="6" t="s">
        <v>103</v>
      </c>
      <c r="G126" s="12"/>
      <c r="H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0.85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>
        <v>1</v>
      </c>
      <c r="W126" s="13">
        <v>1</v>
      </c>
      <c r="X126" s="13">
        <v>1</v>
      </c>
      <c r="Y126" s="13">
        <v>1</v>
      </c>
      <c r="Z126" s="13">
        <v>1</v>
      </c>
      <c r="AA126" s="13">
        <v>1</v>
      </c>
      <c r="AB126" s="13">
        <v>1</v>
      </c>
      <c r="AC126" s="13">
        <v>1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1</v>
      </c>
      <c r="AL126" s="13">
        <v>1</v>
      </c>
      <c r="AM126" s="13">
        <v>1</v>
      </c>
      <c r="AN126" s="13">
        <v>1</v>
      </c>
      <c r="AO126" s="13">
        <v>1</v>
      </c>
      <c r="AP126" s="13">
        <v>1</v>
      </c>
      <c r="AQ126" s="13">
        <v>1</v>
      </c>
      <c r="AR126" s="13">
        <v>1</v>
      </c>
    </row>
    <row r="127" spans="2:44" ht="12.75">
      <c r="B127" s="6"/>
      <c r="C127" s="14" t="s">
        <v>140</v>
      </c>
      <c r="D127" s="14" t="s">
        <v>132</v>
      </c>
      <c r="E127" s="6"/>
      <c r="F127" s="6" t="s">
        <v>103</v>
      </c>
      <c r="G127" s="12"/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0.85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</row>
    <row r="128" spans="2:44" ht="12.75">
      <c r="B128" s="6"/>
      <c r="C128" s="14" t="s">
        <v>140</v>
      </c>
      <c r="D128" s="14" t="s">
        <v>52</v>
      </c>
      <c r="E128" s="6"/>
      <c r="F128" s="6" t="s">
        <v>104</v>
      </c>
      <c r="G128" s="12"/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</row>
    <row r="129" spans="2:44" ht="12.75">
      <c r="B129" s="6"/>
      <c r="C129" s="14" t="s">
        <v>141</v>
      </c>
      <c r="D129" s="14" t="s">
        <v>48</v>
      </c>
      <c r="E129" s="6"/>
      <c r="F129" s="6" t="s">
        <v>103</v>
      </c>
      <c r="G129" s="12"/>
      <c r="H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0.85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</row>
    <row r="130" spans="2:44" ht="12.75">
      <c r="B130" s="6"/>
      <c r="C130" s="14" t="s">
        <v>141</v>
      </c>
      <c r="D130" s="14" t="s">
        <v>49</v>
      </c>
      <c r="E130" s="6"/>
      <c r="F130" s="6" t="s">
        <v>103</v>
      </c>
      <c r="G130" s="12"/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0.85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3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</row>
    <row r="131" spans="2:44" ht="12.75">
      <c r="B131" s="6"/>
      <c r="C131" s="14" t="s">
        <v>141</v>
      </c>
      <c r="D131" s="14" t="s">
        <v>37</v>
      </c>
      <c r="E131" s="6"/>
      <c r="F131" s="6" t="s">
        <v>103</v>
      </c>
      <c r="G131" s="12"/>
      <c r="H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0.85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>
        <v>1</v>
      </c>
      <c r="W131" s="13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  <c r="AC131" s="13">
        <v>1</v>
      </c>
      <c r="AD131" s="13">
        <v>1</v>
      </c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</row>
    <row r="132" spans="2:44" ht="12.75">
      <c r="B132" s="6"/>
      <c r="C132" s="14" t="s">
        <v>141</v>
      </c>
      <c r="D132" s="14" t="s">
        <v>129</v>
      </c>
      <c r="E132" s="6"/>
      <c r="F132" s="6" t="s">
        <v>103</v>
      </c>
      <c r="G132" s="12"/>
      <c r="H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0.85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</row>
    <row r="133" spans="2:44" ht="12.75">
      <c r="B133" s="6"/>
      <c r="C133" s="14" t="s">
        <v>141</v>
      </c>
      <c r="D133" s="14" t="s">
        <v>135</v>
      </c>
      <c r="E133" s="6"/>
      <c r="F133" s="6" t="s">
        <v>103</v>
      </c>
      <c r="G133" s="12"/>
      <c r="H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0.85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>
        <v>1</v>
      </c>
      <c r="W133" s="13">
        <v>1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</row>
    <row r="134" spans="2:44" ht="12.75">
      <c r="B134" s="6"/>
      <c r="C134" s="14" t="s">
        <v>141</v>
      </c>
      <c r="D134" s="14" t="s">
        <v>57</v>
      </c>
      <c r="E134" s="6"/>
      <c r="F134" s="6" t="s">
        <v>104</v>
      </c>
      <c r="G134" s="12"/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</row>
    <row r="135" spans="2:44" ht="12.75">
      <c r="B135" s="6"/>
      <c r="C135" s="14" t="s">
        <v>141</v>
      </c>
      <c r="D135" s="14" t="s">
        <v>47</v>
      </c>
      <c r="E135" s="6"/>
      <c r="F135" s="6" t="s">
        <v>104</v>
      </c>
      <c r="G135" s="12"/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</row>
    <row r="136" spans="2:44" ht="12.75">
      <c r="B136" s="6"/>
      <c r="C136" s="14" t="s">
        <v>141</v>
      </c>
      <c r="D136" s="14" t="s">
        <v>42</v>
      </c>
      <c r="E136" s="6"/>
      <c r="F136" s="6" t="s">
        <v>104</v>
      </c>
      <c r="G136" s="12"/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</row>
    <row r="137" spans="2:44" ht="12.75">
      <c r="B137" s="6"/>
      <c r="C137" s="14" t="s">
        <v>141</v>
      </c>
      <c r="D137" s="14" t="s">
        <v>136</v>
      </c>
      <c r="E137" s="6"/>
      <c r="F137" s="6" t="s">
        <v>104</v>
      </c>
      <c r="G137" s="12"/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</row>
    <row r="138" spans="2:44" ht="12.75">
      <c r="B138" s="6"/>
      <c r="C138" s="14" t="s">
        <v>142</v>
      </c>
      <c r="D138" s="14" t="s">
        <v>37</v>
      </c>
      <c r="E138" s="6"/>
      <c r="F138" s="6" t="s">
        <v>103</v>
      </c>
      <c r="G138" s="12"/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0.85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</row>
    <row r="139" spans="2:44" ht="12.75">
      <c r="B139" s="6"/>
      <c r="C139" s="14" t="s">
        <v>142</v>
      </c>
      <c r="D139" s="14" t="s">
        <v>38</v>
      </c>
      <c r="E139" s="6"/>
      <c r="F139" s="6" t="s">
        <v>103</v>
      </c>
      <c r="G139" s="12"/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0.85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</row>
    <row r="140" spans="2:44" ht="12.75">
      <c r="B140" s="6"/>
      <c r="C140" s="14" t="s">
        <v>142</v>
      </c>
      <c r="D140" s="14" t="s">
        <v>143</v>
      </c>
      <c r="E140" s="6"/>
      <c r="F140" s="6" t="s">
        <v>103</v>
      </c>
      <c r="G140" s="12"/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0.85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</row>
    <row r="141" spans="2:44" ht="12.75">
      <c r="B141" s="6"/>
      <c r="C141" s="14" t="s">
        <v>142</v>
      </c>
      <c r="D141" s="14" t="s">
        <v>129</v>
      </c>
      <c r="E141" s="6"/>
      <c r="F141" s="6" t="s">
        <v>103</v>
      </c>
      <c r="G141" s="12"/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0.85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</row>
    <row r="142" spans="2:44" ht="12.75">
      <c r="B142" s="6"/>
      <c r="C142" s="14" t="s">
        <v>142</v>
      </c>
      <c r="D142" s="14" t="s">
        <v>132</v>
      </c>
      <c r="E142" s="6"/>
      <c r="F142" s="6" t="s">
        <v>103</v>
      </c>
      <c r="G142" s="12"/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0.85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</row>
    <row r="143" spans="2:44" ht="12.75">
      <c r="B143" s="6"/>
      <c r="C143" s="14" t="s">
        <v>142</v>
      </c>
      <c r="D143" s="14" t="s">
        <v>52</v>
      </c>
      <c r="E143" s="6"/>
      <c r="F143" s="6" t="s">
        <v>104</v>
      </c>
      <c r="G143" s="12"/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</row>
    <row r="144" spans="2:44" ht="12.75">
      <c r="B144" s="6"/>
      <c r="C144" s="14" t="s">
        <v>144</v>
      </c>
      <c r="D144" s="14" t="s">
        <v>37</v>
      </c>
      <c r="E144" s="6"/>
      <c r="F144" s="6" t="s">
        <v>103</v>
      </c>
      <c r="G144" s="12"/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0.85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</row>
    <row r="145" spans="2:44" ht="12.75">
      <c r="B145" s="6"/>
      <c r="C145" s="14" t="s">
        <v>144</v>
      </c>
      <c r="D145" s="14" t="s">
        <v>38</v>
      </c>
      <c r="E145" s="6"/>
      <c r="F145" s="6" t="s">
        <v>103</v>
      </c>
      <c r="G145" s="12"/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0.85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</row>
    <row r="146" spans="2:44" ht="12.75">
      <c r="B146" s="6"/>
      <c r="C146" s="14" t="s">
        <v>144</v>
      </c>
      <c r="D146" s="14" t="s">
        <v>134</v>
      </c>
      <c r="E146" s="6"/>
      <c r="F146" s="6" t="s">
        <v>103</v>
      </c>
      <c r="G146" s="12"/>
      <c r="H146" s="13">
        <v>1</v>
      </c>
      <c r="I146" s="13">
        <v>1</v>
      </c>
      <c r="J146" s="13">
        <v>1</v>
      </c>
      <c r="K146" s="13">
        <v>1</v>
      </c>
      <c r="L146" s="13">
        <v>1</v>
      </c>
      <c r="M146" s="13">
        <v>1</v>
      </c>
      <c r="N146" s="13">
        <v>1</v>
      </c>
      <c r="O146" s="13">
        <v>1</v>
      </c>
      <c r="P146" s="13">
        <v>0.85</v>
      </c>
      <c r="Q146" s="13">
        <v>1</v>
      </c>
      <c r="R146" s="13">
        <v>1</v>
      </c>
      <c r="S146" s="13">
        <v>1</v>
      </c>
      <c r="T146" s="13">
        <v>1</v>
      </c>
      <c r="U146" s="13">
        <v>1</v>
      </c>
      <c r="V146" s="13">
        <v>1</v>
      </c>
      <c r="W146" s="13">
        <v>1</v>
      </c>
      <c r="X146" s="13">
        <v>1</v>
      </c>
      <c r="Y146" s="13">
        <v>1</v>
      </c>
      <c r="Z146" s="13">
        <v>1</v>
      </c>
      <c r="AA146" s="13">
        <v>1</v>
      </c>
      <c r="AB146" s="13">
        <v>1</v>
      </c>
      <c r="AC146" s="13">
        <v>1</v>
      </c>
      <c r="AD146" s="13">
        <v>1</v>
      </c>
      <c r="AE146" s="13">
        <v>1</v>
      </c>
      <c r="AF146" s="13">
        <v>1</v>
      </c>
      <c r="AG146" s="13">
        <v>1</v>
      </c>
      <c r="AH146" s="13">
        <v>1</v>
      </c>
      <c r="AI146" s="13">
        <v>1</v>
      </c>
      <c r="AJ146" s="13">
        <v>1</v>
      </c>
      <c r="AK146" s="13">
        <v>1</v>
      </c>
      <c r="AL146" s="13">
        <v>1</v>
      </c>
      <c r="AM146" s="13">
        <v>1</v>
      </c>
      <c r="AN146" s="13">
        <v>1</v>
      </c>
      <c r="AO146" s="13">
        <v>1</v>
      </c>
      <c r="AP146" s="13">
        <v>1</v>
      </c>
      <c r="AQ146" s="13">
        <v>1</v>
      </c>
      <c r="AR146" s="13">
        <v>1</v>
      </c>
    </row>
    <row r="147" spans="2:44" ht="12.75">
      <c r="B147" s="6"/>
      <c r="C147" s="14" t="s">
        <v>144</v>
      </c>
      <c r="D147" s="14" t="s">
        <v>143</v>
      </c>
      <c r="E147" s="6"/>
      <c r="F147" s="6" t="s">
        <v>104</v>
      </c>
      <c r="G147" s="12"/>
      <c r="H147" s="13">
        <v>1</v>
      </c>
      <c r="I147" s="13">
        <v>1</v>
      </c>
      <c r="J147" s="13">
        <v>1</v>
      </c>
      <c r="K147" s="13">
        <v>1</v>
      </c>
      <c r="L147" s="13">
        <v>1</v>
      </c>
      <c r="M147" s="13">
        <v>1</v>
      </c>
      <c r="N147" s="13">
        <v>1</v>
      </c>
      <c r="O147" s="13">
        <v>1</v>
      </c>
      <c r="P147" s="13">
        <v>1</v>
      </c>
      <c r="Q147" s="13">
        <v>1</v>
      </c>
      <c r="R147" s="13">
        <v>1</v>
      </c>
      <c r="S147" s="13">
        <v>1</v>
      </c>
      <c r="T147" s="13">
        <v>1</v>
      </c>
      <c r="U147" s="13">
        <v>1</v>
      </c>
      <c r="V147" s="13">
        <v>1</v>
      </c>
      <c r="W147" s="13">
        <v>1</v>
      </c>
      <c r="X147" s="13">
        <v>1</v>
      </c>
      <c r="Y147" s="13">
        <v>1</v>
      </c>
      <c r="Z147" s="13">
        <v>1</v>
      </c>
      <c r="AA147" s="13">
        <v>1</v>
      </c>
      <c r="AB147" s="13">
        <v>1</v>
      </c>
      <c r="AC147" s="13">
        <v>1</v>
      </c>
      <c r="AD147" s="13">
        <v>1</v>
      </c>
      <c r="AE147" s="13">
        <v>1</v>
      </c>
      <c r="AF147" s="13">
        <v>1</v>
      </c>
      <c r="AG147" s="13">
        <v>1</v>
      </c>
      <c r="AH147" s="13">
        <v>1</v>
      </c>
      <c r="AI147" s="13">
        <v>1</v>
      </c>
      <c r="AJ147" s="13">
        <v>1</v>
      </c>
      <c r="AK147" s="13">
        <v>1</v>
      </c>
      <c r="AL147" s="13">
        <v>1</v>
      </c>
      <c r="AM147" s="13">
        <v>1</v>
      </c>
      <c r="AN147" s="13">
        <v>1</v>
      </c>
      <c r="AO147" s="13">
        <v>1</v>
      </c>
      <c r="AP147" s="13">
        <v>1</v>
      </c>
      <c r="AQ147" s="13">
        <v>1</v>
      </c>
      <c r="AR147" s="13">
        <v>1</v>
      </c>
    </row>
    <row r="148" spans="2:44" ht="12.75">
      <c r="B148" s="6"/>
      <c r="C148" s="14" t="s">
        <v>145</v>
      </c>
      <c r="D148" s="14" t="s">
        <v>37</v>
      </c>
      <c r="E148" s="6"/>
      <c r="F148" s="6" t="s">
        <v>103</v>
      </c>
      <c r="G148" s="12"/>
      <c r="H148" s="13">
        <v>1</v>
      </c>
      <c r="I148" s="13">
        <v>1</v>
      </c>
      <c r="J148" s="13">
        <v>1</v>
      </c>
      <c r="K148" s="13">
        <v>1</v>
      </c>
      <c r="L148" s="13">
        <v>1</v>
      </c>
      <c r="M148" s="13">
        <v>1</v>
      </c>
      <c r="N148" s="13">
        <v>1</v>
      </c>
      <c r="O148" s="13">
        <v>1</v>
      </c>
      <c r="P148" s="13">
        <v>0.85</v>
      </c>
      <c r="Q148" s="13">
        <v>1</v>
      </c>
      <c r="R148" s="13">
        <v>1</v>
      </c>
      <c r="S148" s="13">
        <v>1</v>
      </c>
      <c r="T148" s="13">
        <v>1</v>
      </c>
      <c r="U148" s="13">
        <v>1</v>
      </c>
      <c r="V148" s="13">
        <v>1</v>
      </c>
      <c r="W148" s="13">
        <v>1</v>
      </c>
      <c r="X148" s="13">
        <v>1</v>
      </c>
      <c r="Y148" s="13">
        <v>1</v>
      </c>
      <c r="Z148" s="13">
        <v>1</v>
      </c>
      <c r="AA148" s="13">
        <v>1</v>
      </c>
      <c r="AB148" s="13">
        <v>1</v>
      </c>
      <c r="AC148" s="13">
        <v>1</v>
      </c>
      <c r="AD148" s="13">
        <v>1</v>
      </c>
      <c r="AE148" s="13">
        <v>1</v>
      </c>
      <c r="AF148" s="13">
        <v>1</v>
      </c>
      <c r="AG148" s="13">
        <v>1</v>
      </c>
      <c r="AH148" s="13">
        <v>1</v>
      </c>
      <c r="AI148" s="13">
        <v>1</v>
      </c>
      <c r="AJ148" s="13">
        <v>1</v>
      </c>
      <c r="AK148" s="13">
        <v>1</v>
      </c>
      <c r="AL148" s="13">
        <v>1</v>
      </c>
      <c r="AM148" s="13">
        <v>1</v>
      </c>
      <c r="AN148" s="13">
        <v>1</v>
      </c>
      <c r="AO148" s="13">
        <v>1</v>
      </c>
      <c r="AP148" s="13">
        <v>1</v>
      </c>
      <c r="AQ148" s="13">
        <v>1</v>
      </c>
      <c r="AR148" s="13">
        <v>1</v>
      </c>
    </row>
    <row r="149" spans="2:44" ht="12.75">
      <c r="B149" s="6"/>
      <c r="C149" s="14" t="s">
        <v>145</v>
      </c>
      <c r="D149" s="14" t="s">
        <v>38</v>
      </c>
      <c r="E149" s="6"/>
      <c r="F149" s="6" t="s">
        <v>103</v>
      </c>
      <c r="G149" s="12"/>
      <c r="H149" s="13">
        <v>1</v>
      </c>
      <c r="I149" s="13">
        <v>1</v>
      </c>
      <c r="J149" s="13">
        <v>1</v>
      </c>
      <c r="K149" s="13">
        <v>1</v>
      </c>
      <c r="L149" s="13">
        <v>1</v>
      </c>
      <c r="M149" s="13">
        <v>1</v>
      </c>
      <c r="N149" s="13">
        <v>1</v>
      </c>
      <c r="O149" s="13">
        <v>1</v>
      </c>
      <c r="P149" s="13">
        <v>0.85</v>
      </c>
      <c r="Q149" s="13">
        <v>1</v>
      </c>
      <c r="R149" s="13">
        <v>1</v>
      </c>
      <c r="S149" s="13">
        <v>1</v>
      </c>
      <c r="T149" s="13">
        <v>1</v>
      </c>
      <c r="U149" s="13">
        <v>1</v>
      </c>
      <c r="V149" s="13">
        <v>1</v>
      </c>
      <c r="W149" s="13">
        <v>1</v>
      </c>
      <c r="X149" s="13">
        <v>1</v>
      </c>
      <c r="Y149" s="13">
        <v>1</v>
      </c>
      <c r="Z149" s="13">
        <v>1</v>
      </c>
      <c r="AA149" s="13">
        <v>1</v>
      </c>
      <c r="AB149" s="13">
        <v>1</v>
      </c>
      <c r="AC149" s="13">
        <v>1</v>
      </c>
      <c r="AD149" s="13">
        <v>1</v>
      </c>
      <c r="AE149" s="13">
        <v>1</v>
      </c>
      <c r="AF149" s="13">
        <v>1</v>
      </c>
      <c r="AG149" s="13">
        <v>1</v>
      </c>
      <c r="AH149" s="13">
        <v>1</v>
      </c>
      <c r="AI149" s="13">
        <v>1</v>
      </c>
      <c r="AJ149" s="13">
        <v>1</v>
      </c>
      <c r="AK149" s="13">
        <v>1</v>
      </c>
      <c r="AL149" s="13">
        <v>1</v>
      </c>
      <c r="AM149" s="13">
        <v>1</v>
      </c>
      <c r="AN149" s="13">
        <v>1</v>
      </c>
      <c r="AO149" s="13">
        <v>1</v>
      </c>
      <c r="AP149" s="13">
        <v>1</v>
      </c>
      <c r="AQ149" s="13">
        <v>1</v>
      </c>
      <c r="AR149" s="13">
        <v>1</v>
      </c>
    </row>
    <row r="150" spans="2:44" ht="12.75">
      <c r="B150" s="6"/>
      <c r="C150" s="14" t="s">
        <v>145</v>
      </c>
      <c r="D150" s="14" t="s">
        <v>129</v>
      </c>
      <c r="E150" s="6"/>
      <c r="F150" s="6" t="s">
        <v>103</v>
      </c>
      <c r="G150" s="12"/>
      <c r="H150" s="13">
        <v>1</v>
      </c>
      <c r="I150" s="13">
        <v>1</v>
      </c>
      <c r="J150" s="13">
        <v>1</v>
      </c>
      <c r="K150" s="13">
        <v>1</v>
      </c>
      <c r="L150" s="13">
        <v>1</v>
      </c>
      <c r="M150" s="13">
        <v>1</v>
      </c>
      <c r="N150" s="13">
        <v>1</v>
      </c>
      <c r="O150" s="13">
        <v>1</v>
      </c>
      <c r="P150" s="13">
        <v>0.85</v>
      </c>
      <c r="Q150" s="13">
        <v>1</v>
      </c>
      <c r="R150" s="13">
        <v>1</v>
      </c>
      <c r="S150" s="13">
        <v>1</v>
      </c>
      <c r="T150" s="13">
        <v>1</v>
      </c>
      <c r="U150" s="13">
        <v>1</v>
      </c>
      <c r="V150" s="13">
        <v>1</v>
      </c>
      <c r="W150" s="13">
        <v>1</v>
      </c>
      <c r="X150" s="13">
        <v>1</v>
      </c>
      <c r="Y150" s="13">
        <v>1</v>
      </c>
      <c r="Z150" s="13">
        <v>1</v>
      </c>
      <c r="AA150" s="13">
        <v>1</v>
      </c>
      <c r="AB150" s="13">
        <v>1</v>
      </c>
      <c r="AC150" s="13">
        <v>1</v>
      </c>
      <c r="AD150" s="13">
        <v>1</v>
      </c>
      <c r="AE150" s="13">
        <v>1</v>
      </c>
      <c r="AF150" s="13">
        <v>1</v>
      </c>
      <c r="AG150" s="13">
        <v>1</v>
      </c>
      <c r="AH150" s="13">
        <v>1</v>
      </c>
      <c r="AI150" s="13">
        <v>1</v>
      </c>
      <c r="AJ150" s="13">
        <v>1</v>
      </c>
      <c r="AK150" s="13">
        <v>1</v>
      </c>
      <c r="AL150" s="13">
        <v>1</v>
      </c>
      <c r="AM150" s="13">
        <v>1</v>
      </c>
      <c r="AN150" s="13">
        <v>1</v>
      </c>
      <c r="AO150" s="13">
        <v>1</v>
      </c>
      <c r="AP150" s="13">
        <v>1</v>
      </c>
      <c r="AQ150" s="13">
        <v>1</v>
      </c>
      <c r="AR150" s="13">
        <v>1</v>
      </c>
    </row>
    <row r="151" spans="2:44" ht="12.75">
      <c r="B151" s="6"/>
      <c r="C151" s="14" t="s">
        <v>145</v>
      </c>
      <c r="D151" s="14" t="s">
        <v>132</v>
      </c>
      <c r="E151" s="6"/>
      <c r="F151" s="6" t="s">
        <v>103</v>
      </c>
      <c r="G151" s="12"/>
      <c r="H151" s="13">
        <v>1</v>
      </c>
      <c r="I151" s="13">
        <v>1</v>
      </c>
      <c r="J151" s="13">
        <v>1</v>
      </c>
      <c r="K151" s="13">
        <v>1</v>
      </c>
      <c r="L151" s="13">
        <v>1</v>
      </c>
      <c r="M151" s="13">
        <v>1</v>
      </c>
      <c r="N151" s="13">
        <v>1</v>
      </c>
      <c r="O151" s="13">
        <v>1</v>
      </c>
      <c r="P151" s="13">
        <v>0.85</v>
      </c>
      <c r="Q151" s="13">
        <v>1</v>
      </c>
      <c r="R151" s="13">
        <v>1</v>
      </c>
      <c r="S151" s="13">
        <v>1</v>
      </c>
      <c r="T151" s="13">
        <v>1</v>
      </c>
      <c r="U151" s="13">
        <v>1</v>
      </c>
      <c r="V151" s="13">
        <v>1</v>
      </c>
      <c r="W151" s="13">
        <v>1</v>
      </c>
      <c r="X151" s="13">
        <v>1</v>
      </c>
      <c r="Y151" s="13">
        <v>1</v>
      </c>
      <c r="Z151" s="13">
        <v>1</v>
      </c>
      <c r="AA151" s="13">
        <v>1</v>
      </c>
      <c r="AB151" s="13">
        <v>1</v>
      </c>
      <c r="AC151" s="13">
        <v>1</v>
      </c>
      <c r="AD151" s="13">
        <v>1</v>
      </c>
      <c r="AE151" s="13">
        <v>1</v>
      </c>
      <c r="AF151" s="13">
        <v>1</v>
      </c>
      <c r="AG151" s="13">
        <v>1</v>
      </c>
      <c r="AH151" s="13">
        <v>1</v>
      </c>
      <c r="AI151" s="13">
        <v>1</v>
      </c>
      <c r="AJ151" s="13">
        <v>1</v>
      </c>
      <c r="AK151" s="13">
        <v>1</v>
      </c>
      <c r="AL151" s="13">
        <v>1</v>
      </c>
      <c r="AM151" s="13">
        <v>1</v>
      </c>
      <c r="AN151" s="13">
        <v>1</v>
      </c>
      <c r="AO151" s="13">
        <v>1</v>
      </c>
      <c r="AP151" s="13">
        <v>1</v>
      </c>
      <c r="AQ151" s="13">
        <v>1</v>
      </c>
      <c r="AR151" s="13">
        <v>1</v>
      </c>
    </row>
    <row r="152" spans="2:44" ht="12.75">
      <c r="B152" s="6"/>
      <c r="C152" s="14" t="s">
        <v>145</v>
      </c>
      <c r="D152" s="14" t="s">
        <v>52</v>
      </c>
      <c r="E152" s="6"/>
      <c r="F152" s="6" t="s">
        <v>104</v>
      </c>
      <c r="G152" s="12"/>
      <c r="H152" s="13">
        <v>1</v>
      </c>
      <c r="I152" s="13">
        <v>1</v>
      </c>
      <c r="J152" s="13">
        <v>1</v>
      </c>
      <c r="K152" s="13">
        <v>1</v>
      </c>
      <c r="L152" s="13">
        <v>1</v>
      </c>
      <c r="M152" s="13">
        <v>1</v>
      </c>
      <c r="N152" s="13">
        <v>1</v>
      </c>
      <c r="O152" s="13">
        <v>1</v>
      </c>
      <c r="P152" s="13">
        <v>1</v>
      </c>
      <c r="Q152" s="13">
        <v>1</v>
      </c>
      <c r="R152" s="13">
        <v>1</v>
      </c>
      <c r="S152" s="13">
        <v>1</v>
      </c>
      <c r="T152" s="13">
        <v>1</v>
      </c>
      <c r="U152" s="13">
        <v>1</v>
      </c>
      <c r="V152" s="13">
        <v>1</v>
      </c>
      <c r="W152" s="13">
        <v>1</v>
      </c>
      <c r="X152" s="13">
        <v>1</v>
      </c>
      <c r="Y152" s="13">
        <v>1</v>
      </c>
      <c r="Z152" s="13">
        <v>1</v>
      </c>
      <c r="AA152" s="13">
        <v>1</v>
      </c>
      <c r="AB152" s="13">
        <v>1</v>
      </c>
      <c r="AC152" s="13">
        <v>1</v>
      </c>
      <c r="AD152" s="13">
        <v>1</v>
      </c>
      <c r="AE152" s="13">
        <v>1</v>
      </c>
      <c r="AF152" s="13">
        <v>1</v>
      </c>
      <c r="AG152" s="13">
        <v>1</v>
      </c>
      <c r="AH152" s="13">
        <v>1</v>
      </c>
      <c r="AI152" s="13">
        <v>1</v>
      </c>
      <c r="AJ152" s="13">
        <v>1</v>
      </c>
      <c r="AK152" s="13">
        <v>1</v>
      </c>
      <c r="AL152" s="13">
        <v>1</v>
      </c>
      <c r="AM152" s="13">
        <v>1</v>
      </c>
      <c r="AN152" s="13">
        <v>1</v>
      </c>
      <c r="AO152" s="13">
        <v>1</v>
      </c>
      <c r="AP152" s="13">
        <v>1</v>
      </c>
      <c r="AQ152" s="13">
        <v>1</v>
      </c>
      <c r="AR152" s="13">
        <v>1</v>
      </c>
    </row>
    <row r="153" spans="2:44" ht="12.75">
      <c r="B153" s="6"/>
      <c r="C153" s="14" t="s">
        <v>146</v>
      </c>
      <c r="D153" s="14" t="s">
        <v>47</v>
      </c>
      <c r="E153" s="6"/>
      <c r="F153" s="6" t="s">
        <v>103</v>
      </c>
      <c r="G153" s="12"/>
      <c r="H153" s="13">
        <v>1</v>
      </c>
      <c r="I153" s="13">
        <v>1</v>
      </c>
      <c r="J153" s="13">
        <v>1</v>
      </c>
      <c r="K153" s="13">
        <v>1</v>
      </c>
      <c r="L153" s="13">
        <v>1</v>
      </c>
      <c r="M153" s="13">
        <v>1</v>
      </c>
      <c r="N153" s="13">
        <v>1</v>
      </c>
      <c r="O153" s="13">
        <v>1</v>
      </c>
      <c r="P153" s="13">
        <v>0.85</v>
      </c>
      <c r="Q153" s="13">
        <v>1</v>
      </c>
      <c r="R153" s="13">
        <v>1</v>
      </c>
      <c r="S153" s="13">
        <v>1</v>
      </c>
      <c r="T153" s="13">
        <v>1</v>
      </c>
      <c r="U153" s="13">
        <v>1</v>
      </c>
      <c r="V153" s="13">
        <v>1</v>
      </c>
      <c r="W153" s="13">
        <v>1</v>
      </c>
      <c r="X153" s="13">
        <v>1</v>
      </c>
      <c r="Y153" s="13">
        <v>1</v>
      </c>
      <c r="Z153" s="13">
        <v>1</v>
      </c>
      <c r="AA153" s="13">
        <v>1</v>
      </c>
      <c r="AB153" s="13">
        <v>1</v>
      </c>
      <c r="AC153" s="13">
        <v>1</v>
      </c>
      <c r="AD153" s="13">
        <v>1</v>
      </c>
      <c r="AE153" s="13">
        <v>1</v>
      </c>
      <c r="AF153" s="13">
        <v>1</v>
      </c>
      <c r="AG153" s="13">
        <v>1</v>
      </c>
      <c r="AH153" s="13">
        <v>1</v>
      </c>
      <c r="AI153" s="13">
        <v>1</v>
      </c>
      <c r="AJ153" s="13">
        <v>1</v>
      </c>
      <c r="AK153" s="13">
        <v>1</v>
      </c>
      <c r="AL153" s="13">
        <v>1</v>
      </c>
      <c r="AM153" s="13">
        <v>1</v>
      </c>
      <c r="AN153" s="13">
        <v>1</v>
      </c>
      <c r="AO153" s="13">
        <v>1</v>
      </c>
      <c r="AP153" s="13">
        <v>1</v>
      </c>
      <c r="AQ153" s="13">
        <v>1</v>
      </c>
      <c r="AR153" s="13">
        <v>1</v>
      </c>
    </row>
    <row r="154" spans="2:44" ht="12.75">
      <c r="B154" s="6"/>
      <c r="C154" s="14" t="s">
        <v>146</v>
      </c>
      <c r="D154" s="14" t="s">
        <v>48</v>
      </c>
      <c r="E154" s="6"/>
      <c r="F154" s="6" t="s">
        <v>103</v>
      </c>
      <c r="G154" s="12"/>
      <c r="H154" s="13">
        <v>1</v>
      </c>
      <c r="I154" s="13">
        <v>1</v>
      </c>
      <c r="J154" s="13">
        <v>1</v>
      </c>
      <c r="K154" s="13">
        <v>1</v>
      </c>
      <c r="L154" s="13">
        <v>1</v>
      </c>
      <c r="M154" s="13">
        <v>1</v>
      </c>
      <c r="N154" s="13">
        <v>1</v>
      </c>
      <c r="O154" s="13">
        <v>1</v>
      </c>
      <c r="P154" s="13">
        <v>0.85</v>
      </c>
      <c r="Q154" s="13">
        <v>1</v>
      </c>
      <c r="R154" s="13">
        <v>1</v>
      </c>
      <c r="S154" s="13">
        <v>1</v>
      </c>
      <c r="T154" s="13">
        <v>1</v>
      </c>
      <c r="U154" s="13">
        <v>1</v>
      </c>
      <c r="V154" s="13">
        <v>1</v>
      </c>
      <c r="W154" s="13">
        <v>1</v>
      </c>
      <c r="X154" s="13">
        <v>1</v>
      </c>
      <c r="Y154" s="13">
        <v>1</v>
      </c>
      <c r="Z154" s="13">
        <v>1</v>
      </c>
      <c r="AA154" s="13">
        <v>1</v>
      </c>
      <c r="AB154" s="13">
        <v>1</v>
      </c>
      <c r="AC154" s="13">
        <v>1</v>
      </c>
      <c r="AD154" s="13">
        <v>1</v>
      </c>
      <c r="AE154" s="13">
        <v>1</v>
      </c>
      <c r="AF154" s="13">
        <v>1</v>
      </c>
      <c r="AG154" s="13">
        <v>1</v>
      </c>
      <c r="AH154" s="13">
        <v>1</v>
      </c>
      <c r="AI154" s="13">
        <v>1</v>
      </c>
      <c r="AJ154" s="13">
        <v>1</v>
      </c>
      <c r="AK154" s="13">
        <v>1</v>
      </c>
      <c r="AL154" s="13">
        <v>1</v>
      </c>
      <c r="AM154" s="13">
        <v>1</v>
      </c>
      <c r="AN154" s="13">
        <v>1</v>
      </c>
      <c r="AO154" s="13">
        <v>1</v>
      </c>
      <c r="AP154" s="13">
        <v>1</v>
      </c>
      <c r="AQ154" s="13">
        <v>1</v>
      </c>
      <c r="AR154" s="13">
        <v>1</v>
      </c>
    </row>
    <row r="155" spans="2:44" ht="12.75">
      <c r="B155" s="6"/>
      <c r="C155" s="14" t="s">
        <v>146</v>
      </c>
      <c r="D155" s="14" t="s">
        <v>51</v>
      </c>
      <c r="E155" s="6"/>
      <c r="F155" s="6" t="s">
        <v>103</v>
      </c>
      <c r="G155" s="12"/>
      <c r="H155" s="13">
        <v>1</v>
      </c>
      <c r="I155" s="13">
        <v>1</v>
      </c>
      <c r="J155" s="13">
        <v>1</v>
      </c>
      <c r="K155" s="13">
        <v>1</v>
      </c>
      <c r="L155" s="13">
        <v>1</v>
      </c>
      <c r="M155" s="13">
        <v>1</v>
      </c>
      <c r="N155" s="13">
        <v>1</v>
      </c>
      <c r="O155" s="13">
        <v>1</v>
      </c>
      <c r="P155" s="13">
        <v>0.85</v>
      </c>
      <c r="Q155" s="13">
        <v>1</v>
      </c>
      <c r="R155" s="13">
        <v>1</v>
      </c>
      <c r="S155" s="13">
        <v>1</v>
      </c>
      <c r="T155" s="13">
        <v>1</v>
      </c>
      <c r="U155" s="13">
        <v>1</v>
      </c>
      <c r="V155" s="13">
        <v>1</v>
      </c>
      <c r="W155" s="13">
        <v>1</v>
      </c>
      <c r="X155" s="13">
        <v>1</v>
      </c>
      <c r="Y155" s="13">
        <v>1</v>
      </c>
      <c r="Z155" s="13">
        <v>1</v>
      </c>
      <c r="AA155" s="13">
        <v>1</v>
      </c>
      <c r="AB155" s="13">
        <v>1</v>
      </c>
      <c r="AC155" s="13">
        <v>1</v>
      </c>
      <c r="AD155" s="13">
        <v>1</v>
      </c>
      <c r="AE155" s="13">
        <v>1</v>
      </c>
      <c r="AF155" s="13">
        <v>1</v>
      </c>
      <c r="AG155" s="13">
        <v>1</v>
      </c>
      <c r="AH155" s="13">
        <v>1</v>
      </c>
      <c r="AI155" s="13">
        <v>1</v>
      </c>
      <c r="AJ155" s="13">
        <v>1</v>
      </c>
      <c r="AK155" s="13">
        <v>1</v>
      </c>
      <c r="AL155" s="13">
        <v>1</v>
      </c>
      <c r="AM155" s="13">
        <v>1</v>
      </c>
      <c r="AN155" s="13">
        <v>1</v>
      </c>
      <c r="AO155" s="13">
        <v>1</v>
      </c>
      <c r="AP155" s="13">
        <v>1</v>
      </c>
      <c r="AQ155" s="13">
        <v>1</v>
      </c>
      <c r="AR155" s="13">
        <v>1</v>
      </c>
    </row>
    <row r="156" spans="2:44" ht="12.75">
      <c r="B156" s="6"/>
      <c r="C156" s="14" t="s">
        <v>146</v>
      </c>
      <c r="D156" s="14" t="s">
        <v>37</v>
      </c>
      <c r="E156" s="6"/>
      <c r="F156" s="6" t="s">
        <v>103</v>
      </c>
      <c r="G156" s="12"/>
      <c r="H156" s="13">
        <v>1</v>
      </c>
      <c r="I156" s="13">
        <v>1</v>
      </c>
      <c r="J156" s="13">
        <v>1</v>
      </c>
      <c r="K156" s="13">
        <v>1</v>
      </c>
      <c r="L156" s="13">
        <v>1</v>
      </c>
      <c r="M156" s="13">
        <v>1</v>
      </c>
      <c r="N156" s="13">
        <v>1</v>
      </c>
      <c r="O156" s="13">
        <v>1</v>
      </c>
      <c r="P156" s="13">
        <v>0.85</v>
      </c>
      <c r="Q156" s="13">
        <v>1</v>
      </c>
      <c r="R156" s="13">
        <v>1</v>
      </c>
      <c r="S156" s="13">
        <v>1</v>
      </c>
      <c r="T156" s="13">
        <v>1</v>
      </c>
      <c r="U156" s="13">
        <v>1</v>
      </c>
      <c r="V156" s="13">
        <v>1</v>
      </c>
      <c r="W156" s="13">
        <v>1</v>
      </c>
      <c r="X156" s="13">
        <v>1</v>
      </c>
      <c r="Y156" s="13">
        <v>1</v>
      </c>
      <c r="Z156" s="13">
        <v>1</v>
      </c>
      <c r="AA156" s="13">
        <v>1</v>
      </c>
      <c r="AB156" s="13">
        <v>1</v>
      </c>
      <c r="AC156" s="13">
        <v>1</v>
      </c>
      <c r="AD156" s="13">
        <v>1</v>
      </c>
      <c r="AE156" s="13">
        <v>1</v>
      </c>
      <c r="AF156" s="13">
        <v>1</v>
      </c>
      <c r="AG156" s="13">
        <v>1</v>
      </c>
      <c r="AH156" s="13">
        <v>1</v>
      </c>
      <c r="AI156" s="13">
        <v>1</v>
      </c>
      <c r="AJ156" s="13">
        <v>1</v>
      </c>
      <c r="AK156" s="13">
        <v>1</v>
      </c>
      <c r="AL156" s="13">
        <v>1</v>
      </c>
      <c r="AM156" s="13">
        <v>1</v>
      </c>
      <c r="AN156" s="13">
        <v>1</v>
      </c>
      <c r="AO156" s="13">
        <v>1</v>
      </c>
      <c r="AP156" s="13">
        <v>1</v>
      </c>
      <c r="AQ156" s="13">
        <v>1</v>
      </c>
      <c r="AR156" s="13">
        <v>1</v>
      </c>
    </row>
    <row r="157" spans="2:44" ht="12.75">
      <c r="B157" s="6"/>
      <c r="C157" s="14" t="s">
        <v>146</v>
      </c>
      <c r="D157" s="14" t="s">
        <v>43</v>
      </c>
      <c r="E157" s="6"/>
      <c r="F157" s="6" t="s">
        <v>103</v>
      </c>
      <c r="G157" s="12"/>
      <c r="H157" s="13">
        <v>1</v>
      </c>
      <c r="I157" s="13">
        <v>1</v>
      </c>
      <c r="J157" s="13">
        <v>1</v>
      </c>
      <c r="K157" s="13">
        <v>1</v>
      </c>
      <c r="L157" s="13">
        <v>1</v>
      </c>
      <c r="M157" s="13">
        <v>1</v>
      </c>
      <c r="N157" s="13">
        <v>1</v>
      </c>
      <c r="O157" s="13">
        <v>1</v>
      </c>
      <c r="P157" s="13">
        <v>0.85</v>
      </c>
      <c r="Q157" s="13">
        <v>1</v>
      </c>
      <c r="R157" s="13">
        <v>1</v>
      </c>
      <c r="S157" s="13">
        <v>1</v>
      </c>
      <c r="T157" s="13">
        <v>1</v>
      </c>
      <c r="U157" s="13">
        <v>1</v>
      </c>
      <c r="V157" s="13">
        <v>1</v>
      </c>
      <c r="W157" s="13">
        <v>1</v>
      </c>
      <c r="X157" s="13">
        <v>1</v>
      </c>
      <c r="Y157" s="13">
        <v>1</v>
      </c>
      <c r="Z157" s="13">
        <v>1</v>
      </c>
      <c r="AA157" s="13">
        <v>1</v>
      </c>
      <c r="AB157" s="13">
        <v>1</v>
      </c>
      <c r="AC157" s="13">
        <v>1</v>
      </c>
      <c r="AD157" s="13">
        <v>1</v>
      </c>
      <c r="AE157" s="13">
        <v>1</v>
      </c>
      <c r="AF157" s="13">
        <v>1</v>
      </c>
      <c r="AG157" s="13">
        <v>1</v>
      </c>
      <c r="AH157" s="13">
        <v>1</v>
      </c>
      <c r="AI157" s="13">
        <v>1</v>
      </c>
      <c r="AJ157" s="13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1</v>
      </c>
      <c r="AP157" s="13">
        <v>1</v>
      </c>
      <c r="AQ157" s="13">
        <v>1</v>
      </c>
      <c r="AR157" s="13">
        <v>1</v>
      </c>
    </row>
    <row r="158" spans="2:44" ht="12.75">
      <c r="B158" s="6"/>
      <c r="C158" s="14" t="s">
        <v>146</v>
      </c>
      <c r="D158" s="14" t="s">
        <v>147</v>
      </c>
      <c r="E158" s="6"/>
      <c r="F158" s="6" t="s">
        <v>103</v>
      </c>
      <c r="G158" s="12"/>
      <c r="H158" s="13">
        <v>1</v>
      </c>
      <c r="I158" s="13">
        <v>1</v>
      </c>
      <c r="J158" s="13">
        <v>1</v>
      </c>
      <c r="K158" s="13">
        <v>1</v>
      </c>
      <c r="L158" s="13">
        <v>1</v>
      </c>
      <c r="M158" s="13">
        <v>1</v>
      </c>
      <c r="N158" s="13">
        <v>1</v>
      </c>
      <c r="O158" s="13">
        <v>1</v>
      </c>
      <c r="P158" s="13">
        <v>0.85</v>
      </c>
      <c r="Q158" s="13">
        <v>1</v>
      </c>
      <c r="R158" s="13">
        <v>1</v>
      </c>
      <c r="S158" s="13">
        <v>1</v>
      </c>
      <c r="T158" s="13">
        <v>1</v>
      </c>
      <c r="U158" s="13">
        <v>1</v>
      </c>
      <c r="V158" s="13">
        <v>1</v>
      </c>
      <c r="W158" s="13">
        <v>1</v>
      </c>
      <c r="X158" s="13">
        <v>1</v>
      </c>
      <c r="Y158" s="13">
        <v>1</v>
      </c>
      <c r="Z158" s="13">
        <v>1</v>
      </c>
      <c r="AA158" s="13">
        <v>1</v>
      </c>
      <c r="AB158" s="13">
        <v>1</v>
      </c>
      <c r="AC158" s="13">
        <v>1</v>
      </c>
      <c r="AD158" s="13">
        <v>1</v>
      </c>
      <c r="AE158" s="13">
        <v>1</v>
      </c>
      <c r="AF158" s="13">
        <v>1</v>
      </c>
      <c r="AG158" s="13">
        <v>1</v>
      </c>
      <c r="AH158" s="13">
        <v>1</v>
      </c>
      <c r="AI158" s="13">
        <v>1</v>
      </c>
      <c r="AJ158" s="13">
        <v>1</v>
      </c>
      <c r="AK158" s="13">
        <v>1</v>
      </c>
      <c r="AL158" s="13">
        <v>1</v>
      </c>
      <c r="AM158" s="13">
        <v>1</v>
      </c>
      <c r="AN158" s="13">
        <v>1</v>
      </c>
      <c r="AO158" s="13">
        <v>1</v>
      </c>
      <c r="AP158" s="13">
        <v>1</v>
      </c>
      <c r="AQ158" s="13">
        <v>1</v>
      </c>
      <c r="AR158" s="13">
        <v>1</v>
      </c>
    </row>
    <row r="159" spans="2:44" ht="12.75">
      <c r="B159" s="6"/>
      <c r="C159" s="14" t="s">
        <v>146</v>
      </c>
      <c r="D159" s="14" t="s">
        <v>57</v>
      </c>
      <c r="E159" s="6"/>
      <c r="F159" s="6" t="s">
        <v>104</v>
      </c>
      <c r="G159" s="12"/>
      <c r="H159" s="13">
        <v>1</v>
      </c>
      <c r="I159" s="13">
        <v>1</v>
      </c>
      <c r="J159" s="13">
        <v>1</v>
      </c>
      <c r="K159" s="13">
        <v>1</v>
      </c>
      <c r="L159" s="13">
        <v>1</v>
      </c>
      <c r="M159" s="13">
        <v>1</v>
      </c>
      <c r="N159" s="13">
        <v>1</v>
      </c>
      <c r="O159" s="13">
        <v>1</v>
      </c>
      <c r="P159" s="13">
        <v>1</v>
      </c>
      <c r="Q159" s="13">
        <v>1</v>
      </c>
      <c r="R159" s="13">
        <v>1</v>
      </c>
      <c r="S159" s="13">
        <v>1</v>
      </c>
      <c r="T159" s="13">
        <v>1</v>
      </c>
      <c r="U159" s="13">
        <v>1</v>
      </c>
      <c r="V159" s="13">
        <v>1</v>
      </c>
      <c r="W159" s="13">
        <v>1</v>
      </c>
      <c r="X159" s="13">
        <v>1</v>
      </c>
      <c r="Y159" s="13">
        <v>1</v>
      </c>
      <c r="Z159" s="13">
        <v>1</v>
      </c>
      <c r="AA159" s="13">
        <v>1</v>
      </c>
      <c r="AB159" s="13">
        <v>1</v>
      </c>
      <c r="AC159" s="13">
        <v>1</v>
      </c>
      <c r="AD159" s="13">
        <v>1</v>
      </c>
      <c r="AE159" s="13">
        <v>1</v>
      </c>
      <c r="AF159" s="13">
        <v>1</v>
      </c>
      <c r="AG159" s="13">
        <v>1</v>
      </c>
      <c r="AH159" s="13">
        <v>1</v>
      </c>
      <c r="AI159" s="13">
        <v>1</v>
      </c>
      <c r="AJ159" s="13">
        <v>1</v>
      </c>
      <c r="AK159" s="13">
        <v>1</v>
      </c>
      <c r="AL159" s="13">
        <v>1</v>
      </c>
      <c r="AM159" s="13">
        <v>1</v>
      </c>
      <c r="AN159" s="13">
        <v>1</v>
      </c>
      <c r="AO159" s="13">
        <v>1</v>
      </c>
      <c r="AP159" s="13">
        <v>1</v>
      </c>
      <c r="AQ159" s="13">
        <v>1</v>
      </c>
      <c r="AR159" s="13">
        <v>1</v>
      </c>
    </row>
    <row r="160" spans="2:44" ht="12.75">
      <c r="B160" s="6"/>
      <c r="C160" s="14" t="s">
        <v>146</v>
      </c>
      <c r="D160" s="14" t="s">
        <v>42</v>
      </c>
      <c r="E160" s="6"/>
      <c r="F160" s="6" t="s">
        <v>104</v>
      </c>
      <c r="G160" s="12"/>
      <c r="H160" s="13">
        <v>1</v>
      </c>
      <c r="I160" s="13">
        <v>1</v>
      </c>
      <c r="J160" s="13">
        <v>1</v>
      </c>
      <c r="K160" s="13">
        <v>1</v>
      </c>
      <c r="L160" s="13">
        <v>1</v>
      </c>
      <c r="M160" s="13">
        <v>1</v>
      </c>
      <c r="N160" s="13">
        <v>1</v>
      </c>
      <c r="O160" s="13">
        <v>1</v>
      </c>
      <c r="P160" s="13">
        <v>1</v>
      </c>
      <c r="Q160" s="13">
        <v>1</v>
      </c>
      <c r="R160" s="13">
        <v>1</v>
      </c>
      <c r="S160" s="13">
        <v>1</v>
      </c>
      <c r="T160" s="13">
        <v>1</v>
      </c>
      <c r="U160" s="13">
        <v>1</v>
      </c>
      <c r="V160" s="13">
        <v>1</v>
      </c>
      <c r="W160" s="13">
        <v>1</v>
      </c>
      <c r="X160" s="13">
        <v>1</v>
      </c>
      <c r="Y160" s="13">
        <v>1</v>
      </c>
      <c r="Z160" s="13">
        <v>1</v>
      </c>
      <c r="AA160" s="13">
        <v>1</v>
      </c>
      <c r="AB160" s="13">
        <v>1</v>
      </c>
      <c r="AC160" s="13">
        <v>1</v>
      </c>
      <c r="AD160" s="13">
        <v>1</v>
      </c>
      <c r="AE160" s="13">
        <v>1</v>
      </c>
      <c r="AF160" s="13">
        <v>1</v>
      </c>
      <c r="AG160" s="13">
        <v>1</v>
      </c>
      <c r="AH160" s="13">
        <v>1</v>
      </c>
      <c r="AI160" s="13">
        <v>1</v>
      </c>
      <c r="AJ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  <c r="AR160" s="13">
        <v>1</v>
      </c>
    </row>
    <row r="161" spans="2:44" ht="12.75">
      <c r="B161" s="6"/>
      <c r="C161" s="14" t="s">
        <v>146</v>
      </c>
      <c r="D161" s="14" t="s">
        <v>131</v>
      </c>
      <c r="E161" s="6"/>
      <c r="F161" s="6" t="s">
        <v>104</v>
      </c>
      <c r="G161" s="12"/>
      <c r="H161" s="13">
        <v>1</v>
      </c>
      <c r="I161" s="13">
        <v>1</v>
      </c>
      <c r="J161" s="13">
        <v>1</v>
      </c>
      <c r="K161" s="13">
        <v>1</v>
      </c>
      <c r="L161" s="13">
        <v>1</v>
      </c>
      <c r="M161" s="13">
        <v>1</v>
      </c>
      <c r="N161" s="13">
        <v>1</v>
      </c>
      <c r="O161" s="13">
        <v>1</v>
      </c>
      <c r="P161" s="13">
        <v>1</v>
      </c>
      <c r="Q161" s="13">
        <v>1</v>
      </c>
      <c r="R161" s="13">
        <v>1</v>
      </c>
      <c r="S161" s="13">
        <v>1</v>
      </c>
      <c r="T161" s="13">
        <v>1</v>
      </c>
      <c r="U161" s="13">
        <v>1</v>
      </c>
      <c r="V161" s="13">
        <v>1</v>
      </c>
      <c r="W161" s="13">
        <v>1</v>
      </c>
      <c r="X161" s="13">
        <v>1</v>
      </c>
      <c r="Y161" s="13">
        <v>1</v>
      </c>
      <c r="Z161" s="13">
        <v>1</v>
      </c>
      <c r="AA161" s="13">
        <v>1</v>
      </c>
      <c r="AB161" s="13">
        <v>1</v>
      </c>
      <c r="AC161" s="13">
        <v>1</v>
      </c>
      <c r="AD161" s="13">
        <v>1</v>
      </c>
      <c r="AE161" s="13">
        <v>1</v>
      </c>
      <c r="AF161" s="13">
        <v>1</v>
      </c>
      <c r="AG161" s="13">
        <v>1</v>
      </c>
      <c r="AH161" s="13">
        <v>1</v>
      </c>
      <c r="AI161" s="13">
        <v>1</v>
      </c>
      <c r="AJ161" s="13">
        <v>1</v>
      </c>
      <c r="AK161" s="13">
        <v>1</v>
      </c>
      <c r="AL161" s="13">
        <v>1</v>
      </c>
      <c r="AM161" s="13">
        <v>1</v>
      </c>
      <c r="AN161" s="13">
        <v>1</v>
      </c>
      <c r="AO161" s="13">
        <v>1</v>
      </c>
      <c r="AP161" s="13">
        <v>1</v>
      </c>
      <c r="AQ161" s="13">
        <v>1</v>
      </c>
      <c r="AR161" s="13">
        <v>1</v>
      </c>
    </row>
    <row r="162" spans="2:44" ht="12.75">
      <c r="B162" s="6"/>
      <c r="C162" s="14" t="s">
        <v>148</v>
      </c>
      <c r="D162" s="14" t="s">
        <v>47</v>
      </c>
      <c r="E162" s="6"/>
      <c r="F162" s="6" t="s">
        <v>103</v>
      </c>
      <c r="G162" s="12"/>
      <c r="H162" s="13">
        <v>1</v>
      </c>
      <c r="I162" s="13">
        <v>1</v>
      </c>
      <c r="J162" s="13">
        <v>1</v>
      </c>
      <c r="K162" s="13">
        <v>1</v>
      </c>
      <c r="L162" s="13">
        <v>1</v>
      </c>
      <c r="M162" s="13">
        <v>1</v>
      </c>
      <c r="N162" s="13">
        <v>1</v>
      </c>
      <c r="O162" s="13">
        <v>1</v>
      </c>
      <c r="P162" s="13">
        <v>0.85</v>
      </c>
      <c r="Q162" s="13">
        <v>1</v>
      </c>
      <c r="R162" s="13">
        <v>1</v>
      </c>
      <c r="S162" s="13">
        <v>1</v>
      </c>
      <c r="T162" s="13">
        <v>1</v>
      </c>
      <c r="U162" s="13">
        <v>1</v>
      </c>
      <c r="V162" s="13">
        <v>1</v>
      </c>
      <c r="W162" s="13">
        <v>1</v>
      </c>
      <c r="X162" s="13">
        <v>1</v>
      </c>
      <c r="Y162" s="13">
        <v>1</v>
      </c>
      <c r="Z162" s="13">
        <v>1</v>
      </c>
      <c r="AA162" s="13">
        <v>1</v>
      </c>
      <c r="AB162" s="13">
        <v>1</v>
      </c>
      <c r="AC162" s="13">
        <v>1</v>
      </c>
      <c r="AD162" s="13">
        <v>1</v>
      </c>
      <c r="AE162" s="13">
        <v>1</v>
      </c>
      <c r="AF162" s="13">
        <v>1</v>
      </c>
      <c r="AG162" s="13">
        <v>1</v>
      </c>
      <c r="AH162" s="13">
        <v>1</v>
      </c>
      <c r="AI162" s="13">
        <v>1</v>
      </c>
      <c r="AJ162" s="13">
        <v>1</v>
      </c>
      <c r="AK162" s="13">
        <v>1</v>
      </c>
      <c r="AL162" s="13">
        <v>1</v>
      </c>
      <c r="AM162" s="13">
        <v>1</v>
      </c>
      <c r="AN162" s="13">
        <v>1</v>
      </c>
      <c r="AO162" s="13">
        <v>1</v>
      </c>
      <c r="AP162" s="13">
        <v>1</v>
      </c>
      <c r="AQ162" s="13">
        <v>1</v>
      </c>
      <c r="AR162" s="13">
        <v>1</v>
      </c>
    </row>
    <row r="163" spans="2:44" ht="12.75">
      <c r="B163" s="6"/>
      <c r="C163" s="14" t="s">
        <v>148</v>
      </c>
      <c r="D163" s="14" t="s">
        <v>48</v>
      </c>
      <c r="E163" s="6"/>
      <c r="F163" s="6" t="s">
        <v>103</v>
      </c>
      <c r="G163" s="12"/>
      <c r="H163" s="13">
        <v>1</v>
      </c>
      <c r="I163" s="13">
        <v>1</v>
      </c>
      <c r="J163" s="13">
        <v>1</v>
      </c>
      <c r="K163" s="13">
        <v>1</v>
      </c>
      <c r="L163" s="13">
        <v>1</v>
      </c>
      <c r="M163" s="13">
        <v>1</v>
      </c>
      <c r="N163" s="13">
        <v>1</v>
      </c>
      <c r="O163" s="13">
        <v>1</v>
      </c>
      <c r="P163" s="13">
        <v>0.85</v>
      </c>
      <c r="Q163" s="13">
        <v>1</v>
      </c>
      <c r="R163" s="13">
        <v>1</v>
      </c>
      <c r="S163" s="13">
        <v>1</v>
      </c>
      <c r="T163" s="13">
        <v>1</v>
      </c>
      <c r="U163" s="13">
        <v>1</v>
      </c>
      <c r="V163" s="13">
        <v>1</v>
      </c>
      <c r="W163" s="13">
        <v>1</v>
      </c>
      <c r="X163" s="13">
        <v>1</v>
      </c>
      <c r="Y163" s="13">
        <v>1</v>
      </c>
      <c r="Z163" s="13">
        <v>1</v>
      </c>
      <c r="AA163" s="13">
        <v>1</v>
      </c>
      <c r="AB163" s="13">
        <v>1</v>
      </c>
      <c r="AC163" s="13">
        <v>1</v>
      </c>
      <c r="AD163" s="13">
        <v>1</v>
      </c>
      <c r="AE163" s="13">
        <v>1</v>
      </c>
      <c r="AF163" s="13">
        <v>1</v>
      </c>
      <c r="AG163" s="13">
        <v>1</v>
      </c>
      <c r="AH163" s="13">
        <v>1</v>
      </c>
      <c r="AI163" s="13">
        <v>1</v>
      </c>
      <c r="AJ163" s="13">
        <v>1</v>
      </c>
      <c r="AK163" s="13">
        <v>1</v>
      </c>
      <c r="AL163" s="13">
        <v>1</v>
      </c>
      <c r="AM163" s="13">
        <v>1</v>
      </c>
      <c r="AN163" s="13">
        <v>1</v>
      </c>
      <c r="AO163" s="13">
        <v>1</v>
      </c>
      <c r="AP163" s="13">
        <v>1</v>
      </c>
      <c r="AQ163" s="13">
        <v>1</v>
      </c>
      <c r="AR163" s="13">
        <v>1</v>
      </c>
    </row>
    <row r="164" spans="2:44" ht="12.75">
      <c r="B164" s="6"/>
      <c r="C164" s="14" t="s">
        <v>148</v>
      </c>
      <c r="D164" s="14" t="s">
        <v>49</v>
      </c>
      <c r="E164" s="6"/>
      <c r="F164" s="6" t="s">
        <v>103</v>
      </c>
      <c r="G164" s="12"/>
      <c r="H164" s="13">
        <v>1</v>
      </c>
      <c r="I164" s="13">
        <v>1</v>
      </c>
      <c r="J164" s="13">
        <v>1</v>
      </c>
      <c r="K164" s="13">
        <v>1</v>
      </c>
      <c r="L164" s="13">
        <v>1</v>
      </c>
      <c r="M164" s="13">
        <v>1</v>
      </c>
      <c r="N164" s="13">
        <v>1</v>
      </c>
      <c r="O164" s="13">
        <v>1</v>
      </c>
      <c r="P164" s="13">
        <v>0.85</v>
      </c>
      <c r="Q164" s="13">
        <v>1</v>
      </c>
      <c r="R164" s="13">
        <v>1</v>
      </c>
      <c r="S164" s="13">
        <v>1</v>
      </c>
      <c r="T164" s="13">
        <v>1</v>
      </c>
      <c r="U164" s="13">
        <v>1</v>
      </c>
      <c r="V164" s="13">
        <v>1</v>
      </c>
      <c r="W164" s="13">
        <v>1</v>
      </c>
      <c r="X164" s="13">
        <v>1</v>
      </c>
      <c r="Y164" s="13">
        <v>1</v>
      </c>
      <c r="Z164" s="13">
        <v>1</v>
      </c>
      <c r="AA164" s="13">
        <v>1</v>
      </c>
      <c r="AB164" s="13">
        <v>1</v>
      </c>
      <c r="AC164" s="13">
        <v>1</v>
      </c>
      <c r="AD164" s="13">
        <v>1</v>
      </c>
      <c r="AE164" s="13">
        <v>1</v>
      </c>
      <c r="AF164" s="13">
        <v>1</v>
      </c>
      <c r="AG164" s="13">
        <v>1</v>
      </c>
      <c r="AH164" s="13">
        <v>1</v>
      </c>
      <c r="AI164" s="13">
        <v>1</v>
      </c>
      <c r="AJ164" s="13">
        <v>1</v>
      </c>
      <c r="AK164" s="13">
        <v>1</v>
      </c>
      <c r="AL164" s="13">
        <v>1</v>
      </c>
      <c r="AM164" s="13">
        <v>1</v>
      </c>
      <c r="AN164" s="13">
        <v>1</v>
      </c>
      <c r="AO164" s="13">
        <v>1</v>
      </c>
      <c r="AP164" s="13">
        <v>1</v>
      </c>
      <c r="AQ164" s="13">
        <v>1</v>
      </c>
      <c r="AR164" s="13">
        <v>1</v>
      </c>
    </row>
    <row r="165" spans="2:44" ht="12.75">
      <c r="B165" s="6"/>
      <c r="C165" s="14" t="s">
        <v>148</v>
      </c>
      <c r="D165" s="14" t="s">
        <v>50</v>
      </c>
      <c r="E165" s="6"/>
      <c r="F165" s="6" t="s">
        <v>103</v>
      </c>
      <c r="G165" s="12"/>
      <c r="H165" s="13">
        <v>1</v>
      </c>
      <c r="I165" s="13">
        <v>1</v>
      </c>
      <c r="J165" s="13">
        <v>1</v>
      </c>
      <c r="K165" s="13">
        <v>1</v>
      </c>
      <c r="L165" s="13">
        <v>1</v>
      </c>
      <c r="M165" s="13">
        <v>1</v>
      </c>
      <c r="N165" s="13">
        <v>1</v>
      </c>
      <c r="O165" s="13">
        <v>1</v>
      </c>
      <c r="P165" s="13">
        <v>0.85</v>
      </c>
      <c r="Q165" s="13">
        <v>1</v>
      </c>
      <c r="R165" s="13">
        <v>1</v>
      </c>
      <c r="S165" s="13">
        <v>1</v>
      </c>
      <c r="T165" s="13">
        <v>1</v>
      </c>
      <c r="U165" s="13">
        <v>1</v>
      </c>
      <c r="V165" s="13">
        <v>1</v>
      </c>
      <c r="W165" s="13">
        <v>1</v>
      </c>
      <c r="X165" s="13">
        <v>1</v>
      </c>
      <c r="Y165" s="13">
        <v>1</v>
      </c>
      <c r="Z165" s="13">
        <v>1</v>
      </c>
      <c r="AA165" s="13">
        <v>1</v>
      </c>
      <c r="AB165" s="13">
        <v>1</v>
      </c>
      <c r="AC165" s="13">
        <v>1</v>
      </c>
      <c r="AD165" s="13">
        <v>1</v>
      </c>
      <c r="AE165" s="13">
        <v>1</v>
      </c>
      <c r="AF165" s="13">
        <v>1</v>
      </c>
      <c r="AG165" s="13">
        <v>1</v>
      </c>
      <c r="AH165" s="13">
        <v>1</v>
      </c>
      <c r="AI165" s="13">
        <v>1</v>
      </c>
      <c r="AJ165" s="13">
        <v>1</v>
      </c>
      <c r="AK165" s="13">
        <v>1</v>
      </c>
      <c r="AL165" s="13">
        <v>1</v>
      </c>
      <c r="AM165" s="13">
        <v>1</v>
      </c>
      <c r="AN165" s="13">
        <v>1</v>
      </c>
      <c r="AO165" s="13">
        <v>1</v>
      </c>
      <c r="AP165" s="13">
        <v>1</v>
      </c>
      <c r="AQ165" s="13">
        <v>1</v>
      </c>
      <c r="AR165" s="13">
        <v>1</v>
      </c>
    </row>
    <row r="166" spans="2:44" ht="12.75">
      <c r="B166" s="6"/>
      <c r="C166" s="14" t="s">
        <v>148</v>
      </c>
      <c r="D166" s="14" t="s">
        <v>51</v>
      </c>
      <c r="E166" s="6"/>
      <c r="F166" s="6" t="s">
        <v>103</v>
      </c>
      <c r="G166" s="12"/>
      <c r="H166" s="13">
        <v>1</v>
      </c>
      <c r="I166" s="13">
        <v>1</v>
      </c>
      <c r="J166" s="13">
        <v>1</v>
      </c>
      <c r="K166" s="13">
        <v>1</v>
      </c>
      <c r="L166" s="13">
        <v>1</v>
      </c>
      <c r="M166" s="13">
        <v>1</v>
      </c>
      <c r="N166" s="13">
        <v>1</v>
      </c>
      <c r="O166" s="13">
        <v>1</v>
      </c>
      <c r="P166" s="13">
        <v>0.85</v>
      </c>
      <c r="Q166" s="13">
        <v>1</v>
      </c>
      <c r="R166" s="13">
        <v>1</v>
      </c>
      <c r="S166" s="13">
        <v>1</v>
      </c>
      <c r="T166" s="13">
        <v>1</v>
      </c>
      <c r="U166" s="13">
        <v>1</v>
      </c>
      <c r="V166" s="13">
        <v>1</v>
      </c>
      <c r="W166" s="13">
        <v>1</v>
      </c>
      <c r="X166" s="13">
        <v>1</v>
      </c>
      <c r="Y166" s="13">
        <v>1</v>
      </c>
      <c r="Z166" s="13">
        <v>1</v>
      </c>
      <c r="AA166" s="13">
        <v>1</v>
      </c>
      <c r="AB166" s="13">
        <v>1</v>
      </c>
      <c r="AC166" s="13">
        <v>1</v>
      </c>
      <c r="AD166" s="13">
        <v>1</v>
      </c>
      <c r="AE166" s="13">
        <v>1</v>
      </c>
      <c r="AF166" s="13">
        <v>1</v>
      </c>
      <c r="AG166" s="13">
        <v>1</v>
      </c>
      <c r="AH166" s="13">
        <v>1</v>
      </c>
      <c r="AI166" s="13">
        <v>1</v>
      </c>
      <c r="AJ166" s="13">
        <v>1</v>
      </c>
      <c r="AK166" s="13">
        <v>1</v>
      </c>
      <c r="AL166" s="13">
        <v>1</v>
      </c>
      <c r="AM166" s="13">
        <v>1</v>
      </c>
      <c r="AN166" s="13">
        <v>1</v>
      </c>
      <c r="AO166" s="13">
        <v>1</v>
      </c>
      <c r="AP166" s="13">
        <v>1</v>
      </c>
      <c r="AQ166" s="13">
        <v>1</v>
      </c>
      <c r="AR166" s="13">
        <v>1</v>
      </c>
    </row>
    <row r="167" spans="2:44" ht="12.75">
      <c r="B167" s="6"/>
      <c r="C167" s="14" t="s">
        <v>148</v>
      </c>
      <c r="D167" s="14" t="s">
        <v>37</v>
      </c>
      <c r="E167" s="6"/>
      <c r="F167" s="6" t="s">
        <v>103</v>
      </c>
      <c r="G167" s="12"/>
      <c r="H167" s="13">
        <v>1</v>
      </c>
      <c r="I167" s="13">
        <v>1</v>
      </c>
      <c r="J167" s="13">
        <v>1</v>
      </c>
      <c r="K167" s="13">
        <v>1</v>
      </c>
      <c r="L167" s="13">
        <v>1</v>
      </c>
      <c r="M167" s="13">
        <v>1</v>
      </c>
      <c r="N167" s="13">
        <v>1</v>
      </c>
      <c r="O167" s="13">
        <v>1</v>
      </c>
      <c r="P167" s="13">
        <v>0.85</v>
      </c>
      <c r="Q167" s="13">
        <v>1</v>
      </c>
      <c r="R167" s="13">
        <v>1</v>
      </c>
      <c r="S167" s="13">
        <v>1</v>
      </c>
      <c r="T167" s="13">
        <v>1</v>
      </c>
      <c r="U167" s="13">
        <v>1</v>
      </c>
      <c r="V167" s="13">
        <v>1</v>
      </c>
      <c r="W167" s="13">
        <v>1</v>
      </c>
      <c r="X167" s="13">
        <v>1</v>
      </c>
      <c r="Y167" s="13">
        <v>1</v>
      </c>
      <c r="Z167" s="13">
        <v>1</v>
      </c>
      <c r="AA167" s="13">
        <v>1</v>
      </c>
      <c r="AB167" s="13">
        <v>1</v>
      </c>
      <c r="AC167" s="13">
        <v>1</v>
      </c>
      <c r="AD167" s="13">
        <v>1</v>
      </c>
      <c r="AE167" s="13">
        <v>1</v>
      </c>
      <c r="AF167" s="13">
        <v>1</v>
      </c>
      <c r="AG167" s="13">
        <v>1</v>
      </c>
      <c r="AH167" s="13">
        <v>1</v>
      </c>
      <c r="AI167" s="13">
        <v>1</v>
      </c>
      <c r="AJ167" s="13">
        <v>1</v>
      </c>
      <c r="AK167" s="13">
        <v>1</v>
      </c>
      <c r="AL167" s="13">
        <v>1</v>
      </c>
      <c r="AM167" s="13">
        <v>1</v>
      </c>
      <c r="AN167" s="13">
        <v>1</v>
      </c>
      <c r="AO167" s="13">
        <v>1</v>
      </c>
      <c r="AP167" s="13">
        <v>1</v>
      </c>
      <c r="AQ167" s="13">
        <v>1</v>
      </c>
      <c r="AR167" s="13">
        <v>1</v>
      </c>
    </row>
    <row r="168" spans="2:44" ht="12.75">
      <c r="B168" s="6"/>
      <c r="C168" s="14" t="s">
        <v>148</v>
      </c>
      <c r="D168" s="14" t="s">
        <v>38</v>
      </c>
      <c r="E168" s="6"/>
      <c r="F168" s="6" t="s">
        <v>103</v>
      </c>
      <c r="G168" s="12"/>
      <c r="H168" s="13">
        <v>1</v>
      </c>
      <c r="I168" s="13">
        <v>1</v>
      </c>
      <c r="J168" s="13">
        <v>1</v>
      </c>
      <c r="K168" s="13">
        <v>1</v>
      </c>
      <c r="L168" s="13">
        <v>1</v>
      </c>
      <c r="M168" s="13">
        <v>1</v>
      </c>
      <c r="N168" s="13">
        <v>1</v>
      </c>
      <c r="O168" s="13">
        <v>1</v>
      </c>
      <c r="P168" s="13">
        <v>0.85</v>
      </c>
      <c r="Q168" s="13">
        <v>1</v>
      </c>
      <c r="R168" s="13">
        <v>1</v>
      </c>
      <c r="S168" s="13">
        <v>1</v>
      </c>
      <c r="T168" s="13">
        <v>1</v>
      </c>
      <c r="U168" s="13">
        <v>1</v>
      </c>
      <c r="V168" s="13">
        <v>1</v>
      </c>
      <c r="W168" s="13">
        <v>1</v>
      </c>
      <c r="X168" s="13">
        <v>1</v>
      </c>
      <c r="Y168" s="13">
        <v>1</v>
      </c>
      <c r="Z168" s="13">
        <v>1</v>
      </c>
      <c r="AA168" s="13">
        <v>1</v>
      </c>
      <c r="AB168" s="13">
        <v>1</v>
      </c>
      <c r="AC168" s="13">
        <v>1</v>
      </c>
      <c r="AD168" s="13">
        <v>1</v>
      </c>
      <c r="AE168" s="13">
        <v>1</v>
      </c>
      <c r="AF168" s="13">
        <v>1</v>
      </c>
      <c r="AG168" s="13">
        <v>1</v>
      </c>
      <c r="AH168" s="13">
        <v>1</v>
      </c>
      <c r="AI168" s="13">
        <v>1</v>
      </c>
      <c r="AJ168" s="13">
        <v>1</v>
      </c>
      <c r="AK168" s="13">
        <v>1</v>
      </c>
      <c r="AL168" s="13">
        <v>1</v>
      </c>
      <c r="AM168" s="13">
        <v>1</v>
      </c>
      <c r="AN168" s="13">
        <v>1</v>
      </c>
      <c r="AO168" s="13">
        <v>1</v>
      </c>
      <c r="AP168" s="13">
        <v>1</v>
      </c>
      <c r="AQ168" s="13">
        <v>1</v>
      </c>
      <c r="AR168" s="13">
        <v>1</v>
      </c>
    </row>
    <row r="169" spans="2:44" ht="12.75">
      <c r="B169" s="6"/>
      <c r="C169" s="14" t="s">
        <v>148</v>
      </c>
      <c r="D169" s="14" t="s">
        <v>43</v>
      </c>
      <c r="E169" s="6"/>
      <c r="F169" s="6" t="s">
        <v>103</v>
      </c>
      <c r="G169" s="12"/>
      <c r="H169" s="13">
        <v>1</v>
      </c>
      <c r="I169" s="13">
        <v>1</v>
      </c>
      <c r="J169" s="13">
        <v>1</v>
      </c>
      <c r="K169" s="13">
        <v>1</v>
      </c>
      <c r="L169" s="13">
        <v>1</v>
      </c>
      <c r="M169" s="13">
        <v>1</v>
      </c>
      <c r="N169" s="13">
        <v>1</v>
      </c>
      <c r="O169" s="13">
        <v>1</v>
      </c>
      <c r="P169" s="13">
        <v>0.85</v>
      </c>
      <c r="Q169" s="13">
        <v>1</v>
      </c>
      <c r="R169" s="13">
        <v>1</v>
      </c>
      <c r="S169" s="13">
        <v>1</v>
      </c>
      <c r="T169" s="13">
        <v>1</v>
      </c>
      <c r="U169" s="13">
        <v>1</v>
      </c>
      <c r="V169" s="13">
        <v>1</v>
      </c>
      <c r="W169" s="13">
        <v>1</v>
      </c>
      <c r="X169" s="13">
        <v>1</v>
      </c>
      <c r="Y169" s="13">
        <v>1</v>
      </c>
      <c r="Z169" s="13">
        <v>1</v>
      </c>
      <c r="AA169" s="13">
        <v>1</v>
      </c>
      <c r="AB169" s="13">
        <v>1</v>
      </c>
      <c r="AC169" s="13">
        <v>1</v>
      </c>
      <c r="AD169" s="13">
        <v>1</v>
      </c>
      <c r="AE169" s="13">
        <v>1</v>
      </c>
      <c r="AF169" s="13">
        <v>1</v>
      </c>
      <c r="AG169" s="13">
        <v>1</v>
      </c>
      <c r="AH169" s="13">
        <v>1</v>
      </c>
      <c r="AI169" s="13">
        <v>1</v>
      </c>
      <c r="AJ169" s="13">
        <v>1</v>
      </c>
      <c r="AK169" s="13">
        <v>1</v>
      </c>
      <c r="AL169" s="13">
        <v>1</v>
      </c>
      <c r="AM169" s="13">
        <v>1</v>
      </c>
      <c r="AN169" s="13">
        <v>1</v>
      </c>
      <c r="AO169" s="13">
        <v>1</v>
      </c>
      <c r="AP169" s="13">
        <v>1</v>
      </c>
      <c r="AQ169" s="13">
        <v>1</v>
      </c>
      <c r="AR169" s="13">
        <v>1</v>
      </c>
    </row>
    <row r="170" spans="2:44" ht="12.75">
      <c r="B170" s="6"/>
      <c r="C170" s="14" t="s">
        <v>148</v>
      </c>
      <c r="D170" s="14" t="s">
        <v>39</v>
      </c>
      <c r="E170" s="6"/>
      <c r="F170" s="6" t="s">
        <v>103</v>
      </c>
      <c r="G170" s="12"/>
      <c r="H170" s="13">
        <v>1</v>
      </c>
      <c r="I170" s="13">
        <v>1</v>
      </c>
      <c r="J170" s="13">
        <v>1</v>
      </c>
      <c r="K170" s="13">
        <v>1</v>
      </c>
      <c r="L170" s="13">
        <v>1</v>
      </c>
      <c r="M170" s="13">
        <v>1</v>
      </c>
      <c r="N170" s="13">
        <v>1</v>
      </c>
      <c r="O170" s="13">
        <v>1</v>
      </c>
      <c r="P170" s="13">
        <v>0.85</v>
      </c>
      <c r="Q170" s="13">
        <v>1</v>
      </c>
      <c r="R170" s="13">
        <v>1</v>
      </c>
      <c r="S170" s="13">
        <v>1</v>
      </c>
      <c r="T170" s="13">
        <v>1</v>
      </c>
      <c r="U170" s="13">
        <v>1</v>
      </c>
      <c r="V170" s="13">
        <v>1</v>
      </c>
      <c r="W170" s="13">
        <v>1</v>
      </c>
      <c r="X170" s="13">
        <v>1</v>
      </c>
      <c r="Y170" s="13">
        <v>1</v>
      </c>
      <c r="Z170" s="13">
        <v>1</v>
      </c>
      <c r="AA170" s="13">
        <v>1</v>
      </c>
      <c r="AB170" s="13">
        <v>1</v>
      </c>
      <c r="AC170" s="13">
        <v>1</v>
      </c>
      <c r="AD170" s="13">
        <v>1</v>
      </c>
      <c r="AE170" s="13">
        <v>1</v>
      </c>
      <c r="AF170" s="13">
        <v>1</v>
      </c>
      <c r="AG170" s="13">
        <v>1</v>
      </c>
      <c r="AH170" s="13">
        <v>1</v>
      </c>
      <c r="AI170" s="13">
        <v>1</v>
      </c>
      <c r="AJ170" s="13">
        <v>1</v>
      </c>
      <c r="AK170" s="13">
        <v>1</v>
      </c>
      <c r="AL170" s="13">
        <v>1</v>
      </c>
      <c r="AM170" s="13">
        <v>1</v>
      </c>
      <c r="AN170" s="13">
        <v>1</v>
      </c>
      <c r="AO170" s="13">
        <v>1</v>
      </c>
      <c r="AP170" s="13">
        <v>1</v>
      </c>
      <c r="AQ170" s="13">
        <v>1</v>
      </c>
      <c r="AR170" s="13">
        <v>1</v>
      </c>
    </row>
    <row r="171" spans="2:44" ht="12.75">
      <c r="B171" s="6"/>
      <c r="C171" s="14" t="s">
        <v>148</v>
      </c>
      <c r="D171" s="14" t="s">
        <v>44</v>
      </c>
      <c r="E171" s="6"/>
      <c r="F171" s="6" t="s">
        <v>103</v>
      </c>
      <c r="G171" s="12"/>
      <c r="H171" s="13">
        <v>1</v>
      </c>
      <c r="I171" s="13">
        <v>1</v>
      </c>
      <c r="J171" s="13">
        <v>1</v>
      </c>
      <c r="K171" s="13">
        <v>1</v>
      </c>
      <c r="L171" s="13">
        <v>1</v>
      </c>
      <c r="M171" s="13">
        <v>1</v>
      </c>
      <c r="N171" s="13">
        <v>1</v>
      </c>
      <c r="O171" s="13">
        <v>1</v>
      </c>
      <c r="P171" s="13">
        <v>0.85</v>
      </c>
      <c r="Q171" s="13">
        <v>1</v>
      </c>
      <c r="R171" s="13">
        <v>1</v>
      </c>
      <c r="S171" s="13">
        <v>1</v>
      </c>
      <c r="T171" s="13">
        <v>1</v>
      </c>
      <c r="U171" s="13">
        <v>1</v>
      </c>
      <c r="V171" s="13">
        <v>1</v>
      </c>
      <c r="W171" s="13">
        <v>1</v>
      </c>
      <c r="X171" s="13">
        <v>1</v>
      </c>
      <c r="Y171" s="13">
        <v>1</v>
      </c>
      <c r="Z171" s="13">
        <v>1</v>
      </c>
      <c r="AA171" s="13">
        <v>1</v>
      </c>
      <c r="AB171" s="13">
        <v>1</v>
      </c>
      <c r="AC171" s="13">
        <v>1</v>
      </c>
      <c r="AD171" s="13">
        <v>1</v>
      </c>
      <c r="AE171" s="13">
        <v>1</v>
      </c>
      <c r="AF171" s="13">
        <v>1</v>
      </c>
      <c r="AG171" s="13">
        <v>1</v>
      </c>
      <c r="AH171" s="13">
        <v>1</v>
      </c>
      <c r="AI171" s="13">
        <v>1</v>
      </c>
      <c r="AJ171" s="13">
        <v>1</v>
      </c>
      <c r="AK171" s="13">
        <v>1</v>
      </c>
      <c r="AL171" s="13">
        <v>1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  <c r="AR171" s="13">
        <v>1</v>
      </c>
    </row>
    <row r="172" spans="2:44" ht="12.75">
      <c r="B172" s="6"/>
      <c r="C172" s="14" t="s">
        <v>148</v>
      </c>
      <c r="D172" s="14" t="s">
        <v>52</v>
      </c>
      <c r="E172" s="6"/>
      <c r="F172" s="6" t="s">
        <v>103</v>
      </c>
      <c r="G172" s="12"/>
      <c r="H172" s="13">
        <v>1</v>
      </c>
      <c r="I172" s="13">
        <v>1</v>
      </c>
      <c r="J172" s="13">
        <v>1</v>
      </c>
      <c r="K172" s="13">
        <v>1</v>
      </c>
      <c r="L172" s="13">
        <v>1</v>
      </c>
      <c r="M172" s="13">
        <v>1</v>
      </c>
      <c r="N172" s="13">
        <v>1</v>
      </c>
      <c r="O172" s="13">
        <v>1</v>
      </c>
      <c r="P172" s="13">
        <v>0.85</v>
      </c>
      <c r="Q172" s="13">
        <v>1</v>
      </c>
      <c r="R172" s="13">
        <v>1</v>
      </c>
      <c r="S172" s="13">
        <v>1</v>
      </c>
      <c r="T172" s="13">
        <v>1</v>
      </c>
      <c r="U172" s="13">
        <v>1</v>
      </c>
      <c r="V172" s="13">
        <v>1</v>
      </c>
      <c r="W172" s="13">
        <v>1</v>
      </c>
      <c r="X172" s="13">
        <v>1</v>
      </c>
      <c r="Y172" s="13">
        <v>1</v>
      </c>
      <c r="Z172" s="13">
        <v>1</v>
      </c>
      <c r="AA172" s="13">
        <v>1</v>
      </c>
      <c r="AB172" s="13">
        <v>1</v>
      </c>
      <c r="AC172" s="13">
        <v>1</v>
      </c>
      <c r="AD172" s="13">
        <v>1</v>
      </c>
      <c r="AE172" s="13">
        <v>1</v>
      </c>
      <c r="AF172" s="13">
        <v>1</v>
      </c>
      <c r="AG172" s="13">
        <v>1</v>
      </c>
      <c r="AH172" s="13">
        <v>1</v>
      </c>
      <c r="AI172" s="13">
        <v>1</v>
      </c>
      <c r="AJ172" s="13">
        <v>1</v>
      </c>
      <c r="AK172" s="13">
        <v>1</v>
      </c>
      <c r="AL172" s="13">
        <v>1</v>
      </c>
      <c r="AM172" s="13">
        <v>1</v>
      </c>
      <c r="AN172" s="13">
        <v>1</v>
      </c>
      <c r="AO172" s="13">
        <v>1</v>
      </c>
      <c r="AP172" s="13">
        <v>1</v>
      </c>
      <c r="AQ172" s="13">
        <v>1</v>
      </c>
      <c r="AR172" s="13">
        <v>1</v>
      </c>
    </row>
    <row r="173" spans="2:44" ht="12.75">
      <c r="B173" s="6"/>
      <c r="C173" s="14" t="s">
        <v>149</v>
      </c>
      <c r="D173" s="14" t="s">
        <v>51</v>
      </c>
      <c r="E173" s="6"/>
      <c r="F173" s="6" t="s">
        <v>103</v>
      </c>
      <c r="G173" s="12"/>
      <c r="H173" s="13">
        <v>1</v>
      </c>
      <c r="I173" s="13">
        <v>1</v>
      </c>
      <c r="J173" s="13">
        <v>1</v>
      </c>
      <c r="K173" s="13">
        <v>1</v>
      </c>
      <c r="L173" s="13">
        <v>1</v>
      </c>
      <c r="M173" s="13">
        <v>1</v>
      </c>
      <c r="N173" s="13">
        <v>1</v>
      </c>
      <c r="O173" s="13">
        <v>1</v>
      </c>
      <c r="P173" s="13">
        <v>0.85</v>
      </c>
      <c r="Q173" s="13">
        <v>1</v>
      </c>
      <c r="R173" s="13">
        <v>1</v>
      </c>
      <c r="S173" s="13">
        <v>1</v>
      </c>
      <c r="T173" s="13">
        <v>1</v>
      </c>
      <c r="U173" s="13">
        <v>1</v>
      </c>
      <c r="V173" s="13">
        <v>1</v>
      </c>
      <c r="W173" s="13">
        <v>1</v>
      </c>
      <c r="X173" s="13">
        <v>1</v>
      </c>
      <c r="Y173" s="13">
        <v>1</v>
      </c>
      <c r="Z173" s="13">
        <v>1</v>
      </c>
      <c r="AA173" s="13">
        <v>1</v>
      </c>
      <c r="AB173" s="13">
        <v>1</v>
      </c>
      <c r="AC173" s="13">
        <v>1</v>
      </c>
      <c r="AD173" s="13">
        <v>1</v>
      </c>
      <c r="AE173" s="13">
        <v>1</v>
      </c>
      <c r="AF173" s="13">
        <v>1</v>
      </c>
      <c r="AG173" s="13">
        <v>1</v>
      </c>
      <c r="AH173" s="13">
        <v>1</v>
      </c>
      <c r="AI173" s="13">
        <v>1</v>
      </c>
      <c r="AJ173" s="13">
        <v>1</v>
      </c>
      <c r="AK173" s="13">
        <v>1</v>
      </c>
      <c r="AL173" s="13">
        <v>1</v>
      </c>
      <c r="AM173" s="13">
        <v>1</v>
      </c>
      <c r="AN173" s="13">
        <v>1</v>
      </c>
      <c r="AO173" s="13">
        <v>1</v>
      </c>
      <c r="AP173" s="13">
        <v>1</v>
      </c>
      <c r="AQ173" s="13">
        <v>1</v>
      </c>
      <c r="AR173" s="13">
        <v>1</v>
      </c>
    </row>
    <row r="174" spans="2:44" ht="12.75">
      <c r="B174" s="6"/>
      <c r="C174" s="14" t="s">
        <v>149</v>
      </c>
      <c r="D174" s="14" t="s">
        <v>37</v>
      </c>
      <c r="E174" s="6"/>
      <c r="F174" s="6" t="s">
        <v>103</v>
      </c>
      <c r="G174" s="12"/>
      <c r="H174" s="13">
        <v>1</v>
      </c>
      <c r="I174" s="13">
        <v>1</v>
      </c>
      <c r="J174" s="13">
        <v>1</v>
      </c>
      <c r="K174" s="13">
        <v>1</v>
      </c>
      <c r="L174" s="13">
        <v>1</v>
      </c>
      <c r="M174" s="13">
        <v>1</v>
      </c>
      <c r="N174" s="13">
        <v>1</v>
      </c>
      <c r="O174" s="13">
        <v>1</v>
      </c>
      <c r="P174" s="13">
        <v>0.85</v>
      </c>
      <c r="Q174" s="13">
        <v>1</v>
      </c>
      <c r="R174" s="13">
        <v>1</v>
      </c>
      <c r="S174" s="13">
        <v>1</v>
      </c>
      <c r="T174" s="13">
        <v>1</v>
      </c>
      <c r="U174" s="13">
        <v>1</v>
      </c>
      <c r="V174" s="13">
        <v>1</v>
      </c>
      <c r="W174" s="13">
        <v>1</v>
      </c>
      <c r="X174" s="13">
        <v>1</v>
      </c>
      <c r="Y174" s="13">
        <v>1</v>
      </c>
      <c r="Z174" s="13">
        <v>1</v>
      </c>
      <c r="AA174" s="13">
        <v>1</v>
      </c>
      <c r="AB174" s="13">
        <v>1</v>
      </c>
      <c r="AC174" s="13">
        <v>1</v>
      </c>
      <c r="AD174" s="13">
        <v>1</v>
      </c>
      <c r="AE174" s="13">
        <v>1</v>
      </c>
      <c r="AF174" s="13">
        <v>1</v>
      </c>
      <c r="AG174" s="13">
        <v>1</v>
      </c>
      <c r="AH174" s="13">
        <v>1</v>
      </c>
      <c r="AI174" s="13">
        <v>1</v>
      </c>
      <c r="AJ174" s="13">
        <v>1</v>
      </c>
      <c r="AK174" s="13">
        <v>1</v>
      </c>
      <c r="AL174" s="13">
        <v>1</v>
      </c>
      <c r="AM174" s="13">
        <v>1</v>
      </c>
      <c r="AN174" s="13">
        <v>1</v>
      </c>
      <c r="AO174" s="13">
        <v>1</v>
      </c>
      <c r="AP174" s="13">
        <v>1</v>
      </c>
      <c r="AQ174" s="13">
        <v>1</v>
      </c>
      <c r="AR174" s="13">
        <v>1</v>
      </c>
    </row>
    <row r="175" spans="2:44" ht="12.75">
      <c r="B175" s="6"/>
      <c r="C175" s="14" t="s">
        <v>149</v>
      </c>
      <c r="D175" s="14" t="s">
        <v>147</v>
      </c>
      <c r="E175" s="6"/>
      <c r="F175" s="6" t="s">
        <v>103</v>
      </c>
      <c r="G175" s="12"/>
      <c r="H175" s="13">
        <v>1</v>
      </c>
      <c r="I175" s="13">
        <v>1</v>
      </c>
      <c r="J175" s="13">
        <v>1</v>
      </c>
      <c r="K175" s="13">
        <v>1</v>
      </c>
      <c r="L175" s="13">
        <v>1</v>
      </c>
      <c r="M175" s="13">
        <v>1</v>
      </c>
      <c r="N175" s="13">
        <v>1</v>
      </c>
      <c r="O175" s="13">
        <v>1</v>
      </c>
      <c r="P175" s="13">
        <v>0.85</v>
      </c>
      <c r="Q175" s="13">
        <v>1</v>
      </c>
      <c r="R175" s="13">
        <v>1</v>
      </c>
      <c r="S175" s="13">
        <v>1</v>
      </c>
      <c r="T175" s="13">
        <v>1</v>
      </c>
      <c r="U175" s="13">
        <v>1</v>
      </c>
      <c r="V175" s="13">
        <v>1</v>
      </c>
      <c r="W175" s="13">
        <v>1</v>
      </c>
      <c r="X175" s="13">
        <v>1</v>
      </c>
      <c r="Y175" s="13">
        <v>1</v>
      </c>
      <c r="Z175" s="13">
        <v>1</v>
      </c>
      <c r="AA175" s="13">
        <v>1</v>
      </c>
      <c r="AB175" s="13">
        <v>1</v>
      </c>
      <c r="AC175" s="13">
        <v>1</v>
      </c>
      <c r="AD175" s="13">
        <v>1</v>
      </c>
      <c r="AE175" s="13">
        <v>1</v>
      </c>
      <c r="AF175" s="13">
        <v>1</v>
      </c>
      <c r="AG175" s="13">
        <v>1</v>
      </c>
      <c r="AH175" s="13">
        <v>1</v>
      </c>
      <c r="AI175" s="13">
        <v>1</v>
      </c>
      <c r="AJ175" s="13">
        <v>1</v>
      </c>
      <c r="AK175" s="13">
        <v>1</v>
      </c>
      <c r="AL175" s="13">
        <v>1</v>
      </c>
      <c r="AM175" s="13">
        <v>1</v>
      </c>
      <c r="AN175" s="13">
        <v>1</v>
      </c>
      <c r="AO175" s="13">
        <v>1</v>
      </c>
      <c r="AP175" s="13">
        <v>1</v>
      </c>
      <c r="AQ175" s="13">
        <v>1</v>
      </c>
      <c r="AR175" s="13">
        <v>1</v>
      </c>
    </row>
    <row r="176" spans="2:44" ht="12.75">
      <c r="B176" s="6"/>
      <c r="C176" s="14" t="s">
        <v>149</v>
      </c>
      <c r="D176" s="14" t="s">
        <v>134</v>
      </c>
      <c r="E176" s="6"/>
      <c r="F176" s="6" t="s">
        <v>104</v>
      </c>
      <c r="G176" s="12"/>
      <c r="H176" s="13">
        <v>1</v>
      </c>
      <c r="I176" s="13">
        <v>1</v>
      </c>
      <c r="J176" s="13">
        <v>1</v>
      </c>
      <c r="K176" s="13">
        <v>1</v>
      </c>
      <c r="L176" s="13">
        <v>1</v>
      </c>
      <c r="M176" s="13">
        <v>1</v>
      </c>
      <c r="N176" s="13">
        <v>1</v>
      </c>
      <c r="O176" s="13">
        <v>1</v>
      </c>
      <c r="P176" s="13">
        <v>1</v>
      </c>
      <c r="Q176" s="13">
        <v>1</v>
      </c>
      <c r="R176" s="13">
        <v>1</v>
      </c>
      <c r="S176" s="13">
        <v>1</v>
      </c>
      <c r="T176" s="13">
        <v>1</v>
      </c>
      <c r="U176" s="13">
        <v>1</v>
      </c>
      <c r="V176" s="13">
        <v>1</v>
      </c>
      <c r="W176" s="13">
        <v>1</v>
      </c>
      <c r="X176" s="13">
        <v>1</v>
      </c>
      <c r="Y176" s="13">
        <v>1</v>
      </c>
      <c r="Z176" s="13">
        <v>1</v>
      </c>
      <c r="AA176" s="13">
        <v>1</v>
      </c>
      <c r="AB176" s="13">
        <v>1</v>
      </c>
      <c r="AC176" s="13">
        <v>1</v>
      </c>
      <c r="AD176" s="13">
        <v>1</v>
      </c>
      <c r="AE176" s="13">
        <v>1</v>
      </c>
      <c r="AF176" s="13">
        <v>1</v>
      </c>
      <c r="AG176" s="13">
        <v>1</v>
      </c>
      <c r="AH176" s="13">
        <v>1</v>
      </c>
      <c r="AI176" s="13">
        <v>1</v>
      </c>
      <c r="AJ176" s="13">
        <v>1</v>
      </c>
      <c r="AK176" s="13">
        <v>1</v>
      </c>
      <c r="AL176" s="13">
        <v>1</v>
      </c>
      <c r="AM176" s="13">
        <v>1</v>
      </c>
      <c r="AN176" s="13">
        <v>1</v>
      </c>
      <c r="AO176" s="13">
        <v>1</v>
      </c>
      <c r="AP176" s="13">
        <v>1</v>
      </c>
      <c r="AQ176" s="13">
        <v>1</v>
      </c>
      <c r="AR176" s="13">
        <v>1</v>
      </c>
    </row>
    <row r="177" spans="2:44" ht="12.75">
      <c r="B177" s="6"/>
      <c r="C177" s="14" t="s">
        <v>150</v>
      </c>
      <c r="D177" s="14" t="s">
        <v>50</v>
      </c>
      <c r="E177" s="6"/>
      <c r="F177" s="6" t="s">
        <v>103</v>
      </c>
      <c r="G177" s="12"/>
      <c r="H177" s="13">
        <v>1</v>
      </c>
      <c r="I177" s="13">
        <v>1</v>
      </c>
      <c r="J177" s="13">
        <v>1</v>
      </c>
      <c r="K177" s="13">
        <v>1</v>
      </c>
      <c r="L177" s="13">
        <v>1</v>
      </c>
      <c r="M177" s="13">
        <v>1</v>
      </c>
      <c r="N177" s="13">
        <v>1</v>
      </c>
      <c r="O177" s="13">
        <v>1</v>
      </c>
      <c r="P177" s="13">
        <v>0.85</v>
      </c>
      <c r="Q177" s="13">
        <v>1</v>
      </c>
      <c r="R177" s="13">
        <v>1</v>
      </c>
      <c r="S177" s="13">
        <v>1</v>
      </c>
      <c r="T177" s="13">
        <v>1</v>
      </c>
      <c r="U177" s="13">
        <v>1</v>
      </c>
      <c r="V177" s="13">
        <v>1</v>
      </c>
      <c r="W177" s="13">
        <v>1</v>
      </c>
      <c r="X177" s="13">
        <v>1</v>
      </c>
      <c r="Y177" s="13">
        <v>1</v>
      </c>
      <c r="Z177" s="13">
        <v>1</v>
      </c>
      <c r="AA177" s="13">
        <v>1</v>
      </c>
      <c r="AB177" s="13">
        <v>1</v>
      </c>
      <c r="AC177" s="13">
        <v>1</v>
      </c>
      <c r="AD177" s="13">
        <v>1</v>
      </c>
      <c r="AE177" s="13">
        <v>1</v>
      </c>
      <c r="AF177" s="13">
        <v>1</v>
      </c>
      <c r="AG177" s="13">
        <v>1</v>
      </c>
      <c r="AH177" s="13">
        <v>1</v>
      </c>
      <c r="AI177" s="13">
        <v>1</v>
      </c>
      <c r="AJ177" s="13">
        <v>1</v>
      </c>
      <c r="AK177" s="13">
        <v>1</v>
      </c>
      <c r="AL177" s="13">
        <v>1</v>
      </c>
      <c r="AM177" s="13">
        <v>1</v>
      </c>
      <c r="AN177" s="13">
        <v>1</v>
      </c>
      <c r="AO177" s="13">
        <v>1</v>
      </c>
      <c r="AP177" s="13">
        <v>1</v>
      </c>
      <c r="AQ177" s="13">
        <v>1</v>
      </c>
      <c r="AR177" s="13">
        <v>1</v>
      </c>
    </row>
    <row r="178" spans="2:44" ht="12.75">
      <c r="B178" s="6"/>
      <c r="C178" s="14" t="s">
        <v>150</v>
      </c>
      <c r="D178" s="14" t="s">
        <v>51</v>
      </c>
      <c r="E178" s="6"/>
      <c r="F178" s="6" t="s">
        <v>103</v>
      </c>
      <c r="G178" s="12"/>
      <c r="H178" s="13">
        <v>1</v>
      </c>
      <c r="I178" s="13">
        <v>1</v>
      </c>
      <c r="J178" s="13">
        <v>1</v>
      </c>
      <c r="K178" s="13">
        <v>1</v>
      </c>
      <c r="L178" s="13">
        <v>1</v>
      </c>
      <c r="M178" s="13">
        <v>1</v>
      </c>
      <c r="N178" s="13">
        <v>1</v>
      </c>
      <c r="O178" s="13">
        <v>1</v>
      </c>
      <c r="P178" s="13">
        <v>0.85</v>
      </c>
      <c r="Q178" s="13">
        <v>1</v>
      </c>
      <c r="R178" s="13">
        <v>1</v>
      </c>
      <c r="S178" s="13">
        <v>1</v>
      </c>
      <c r="T178" s="13">
        <v>1</v>
      </c>
      <c r="U178" s="13">
        <v>1</v>
      </c>
      <c r="V178" s="13">
        <v>1</v>
      </c>
      <c r="W178" s="13">
        <v>1</v>
      </c>
      <c r="X178" s="13">
        <v>1</v>
      </c>
      <c r="Y178" s="13">
        <v>1</v>
      </c>
      <c r="Z178" s="13">
        <v>1</v>
      </c>
      <c r="AA178" s="13">
        <v>1</v>
      </c>
      <c r="AB178" s="13">
        <v>1</v>
      </c>
      <c r="AC178" s="13">
        <v>1</v>
      </c>
      <c r="AD178" s="13">
        <v>1</v>
      </c>
      <c r="AE178" s="13">
        <v>1</v>
      </c>
      <c r="AF178" s="13">
        <v>1</v>
      </c>
      <c r="AG178" s="13">
        <v>1</v>
      </c>
      <c r="AH178" s="13">
        <v>1</v>
      </c>
      <c r="AI178" s="13">
        <v>1</v>
      </c>
      <c r="AJ178" s="13">
        <v>1</v>
      </c>
      <c r="AK178" s="13">
        <v>1</v>
      </c>
      <c r="AL178" s="13">
        <v>1</v>
      </c>
      <c r="AM178" s="13">
        <v>1</v>
      </c>
      <c r="AN178" s="13">
        <v>1</v>
      </c>
      <c r="AO178" s="13">
        <v>1</v>
      </c>
      <c r="AP178" s="13">
        <v>1</v>
      </c>
      <c r="AQ178" s="13">
        <v>1</v>
      </c>
      <c r="AR178" s="13">
        <v>1</v>
      </c>
    </row>
    <row r="179" spans="2:44" ht="12.75">
      <c r="B179" s="6"/>
      <c r="C179" s="14" t="s">
        <v>150</v>
      </c>
      <c r="D179" s="14" t="s">
        <v>37</v>
      </c>
      <c r="E179" s="6"/>
      <c r="F179" s="6" t="s">
        <v>103</v>
      </c>
      <c r="G179" s="12"/>
      <c r="H179" s="13">
        <v>1</v>
      </c>
      <c r="I179" s="13">
        <v>1</v>
      </c>
      <c r="J179" s="13">
        <v>1</v>
      </c>
      <c r="K179" s="13">
        <v>1</v>
      </c>
      <c r="L179" s="13">
        <v>1</v>
      </c>
      <c r="M179" s="13">
        <v>1</v>
      </c>
      <c r="N179" s="13">
        <v>1</v>
      </c>
      <c r="O179" s="13">
        <v>1</v>
      </c>
      <c r="P179" s="13">
        <v>0.85</v>
      </c>
      <c r="Q179" s="13">
        <v>1</v>
      </c>
      <c r="R179" s="13">
        <v>1</v>
      </c>
      <c r="S179" s="13">
        <v>1</v>
      </c>
      <c r="T179" s="13">
        <v>1</v>
      </c>
      <c r="U179" s="13">
        <v>1</v>
      </c>
      <c r="V179" s="13">
        <v>1</v>
      </c>
      <c r="W179" s="13">
        <v>1</v>
      </c>
      <c r="X179" s="13">
        <v>1</v>
      </c>
      <c r="Y179" s="13">
        <v>1</v>
      </c>
      <c r="Z179" s="13">
        <v>1</v>
      </c>
      <c r="AA179" s="13">
        <v>1</v>
      </c>
      <c r="AB179" s="13">
        <v>1</v>
      </c>
      <c r="AC179" s="13">
        <v>1</v>
      </c>
      <c r="AD179" s="13">
        <v>1</v>
      </c>
      <c r="AE179" s="13">
        <v>1</v>
      </c>
      <c r="AF179" s="13">
        <v>1</v>
      </c>
      <c r="AG179" s="13">
        <v>1</v>
      </c>
      <c r="AH179" s="13">
        <v>1</v>
      </c>
      <c r="AI179" s="13">
        <v>1</v>
      </c>
      <c r="AJ179" s="13">
        <v>1</v>
      </c>
      <c r="AK179" s="13">
        <v>1</v>
      </c>
      <c r="AL179" s="13">
        <v>1</v>
      </c>
      <c r="AM179" s="13">
        <v>1</v>
      </c>
      <c r="AN179" s="13">
        <v>1</v>
      </c>
      <c r="AO179" s="13">
        <v>1</v>
      </c>
      <c r="AP179" s="13">
        <v>1</v>
      </c>
      <c r="AQ179" s="13">
        <v>1</v>
      </c>
      <c r="AR179" s="13">
        <v>1</v>
      </c>
    </row>
    <row r="180" spans="2:44" ht="12.75">
      <c r="B180" s="6"/>
      <c r="C180" s="14" t="s">
        <v>150</v>
      </c>
      <c r="D180" s="14" t="s">
        <v>147</v>
      </c>
      <c r="E180" s="6"/>
      <c r="F180" s="6" t="s">
        <v>103</v>
      </c>
      <c r="G180" s="12"/>
      <c r="H180" s="13">
        <v>1</v>
      </c>
      <c r="I180" s="13">
        <v>1</v>
      </c>
      <c r="J180" s="13">
        <v>1</v>
      </c>
      <c r="K180" s="13">
        <v>1</v>
      </c>
      <c r="L180" s="13">
        <v>1</v>
      </c>
      <c r="M180" s="13">
        <v>1</v>
      </c>
      <c r="N180" s="13">
        <v>1</v>
      </c>
      <c r="O180" s="13">
        <v>1</v>
      </c>
      <c r="P180" s="13">
        <v>0.85</v>
      </c>
      <c r="Q180" s="13">
        <v>1</v>
      </c>
      <c r="R180" s="13">
        <v>1</v>
      </c>
      <c r="S180" s="13">
        <v>1</v>
      </c>
      <c r="T180" s="13">
        <v>1</v>
      </c>
      <c r="U180" s="13">
        <v>1</v>
      </c>
      <c r="V180" s="13">
        <v>1</v>
      </c>
      <c r="W180" s="13">
        <v>1</v>
      </c>
      <c r="X180" s="13">
        <v>1</v>
      </c>
      <c r="Y180" s="13">
        <v>1</v>
      </c>
      <c r="Z180" s="13">
        <v>1</v>
      </c>
      <c r="AA180" s="13">
        <v>1</v>
      </c>
      <c r="AB180" s="13">
        <v>1</v>
      </c>
      <c r="AC180" s="13">
        <v>1</v>
      </c>
      <c r="AD180" s="13">
        <v>1</v>
      </c>
      <c r="AE180" s="13">
        <v>1</v>
      </c>
      <c r="AF180" s="13">
        <v>1</v>
      </c>
      <c r="AG180" s="13">
        <v>1</v>
      </c>
      <c r="AH180" s="13">
        <v>1</v>
      </c>
      <c r="AI180" s="13">
        <v>1</v>
      </c>
      <c r="AJ180" s="13">
        <v>1</v>
      </c>
      <c r="AK180" s="13">
        <v>1</v>
      </c>
      <c r="AL180" s="13">
        <v>1</v>
      </c>
      <c r="AM180" s="13">
        <v>1</v>
      </c>
      <c r="AN180" s="13">
        <v>1</v>
      </c>
      <c r="AO180" s="13">
        <v>1</v>
      </c>
      <c r="AP180" s="13">
        <v>1</v>
      </c>
      <c r="AQ180" s="13">
        <v>1</v>
      </c>
      <c r="AR180" s="13">
        <v>1</v>
      </c>
    </row>
    <row r="181" spans="2:44" ht="12.75">
      <c r="B181" s="6"/>
      <c r="C181" s="14" t="s">
        <v>150</v>
      </c>
      <c r="D181" s="14" t="s">
        <v>135</v>
      </c>
      <c r="E181" s="6"/>
      <c r="F181" s="6" t="s">
        <v>104</v>
      </c>
      <c r="G181" s="12"/>
      <c r="H181" s="13">
        <v>1</v>
      </c>
      <c r="I181" s="13">
        <v>1</v>
      </c>
      <c r="J181" s="13">
        <v>1</v>
      </c>
      <c r="K181" s="13">
        <v>1</v>
      </c>
      <c r="L181" s="13">
        <v>1</v>
      </c>
      <c r="M181" s="13">
        <v>1</v>
      </c>
      <c r="N181" s="13">
        <v>1</v>
      </c>
      <c r="O181" s="13">
        <v>1</v>
      </c>
      <c r="P181" s="13">
        <v>1</v>
      </c>
      <c r="Q181" s="13">
        <v>1</v>
      </c>
      <c r="R181" s="13">
        <v>1</v>
      </c>
      <c r="S181" s="13">
        <v>1</v>
      </c>
      <c r="T181" s="13">
        <v>1</v>
      </c>
      <c r="U181" s="13">
        <v>1</v>
      </c>
      <c r="V181" s="13">
        <v>1</v>
      </c>
      <c r="W181" s="13">
        <v>1</v>
      </c>
      <c r="X181" s="13">
        <v>1</v>
      </c>
      <c r="Y181" s="13">
        <v>1</v>
      </c>
      <c r="Z181" s="13">
        <v>1</v>
      </c>
      <c r="AA181" s="13">
        <v>1</v>
      </c>
      <c r="AB181" s="13">
        <v>1</v>
      </c>
      <c r="AC181" s="13">
        <v>1</v>
      </c>
      <c r="AD181" s="13">
        <v>1</v>
      </c>
      <c r="AE181" s="13">
        <v>1</v>
      </c>
      <c r="AF181" s="13">
        <v>1</v>
      </c>
      <c r="AG181" s="13">
        <v>1</v>
      </c>
      <c r="AH181" s="13">
        <v>1</v>
      </c>
      <c r="AI181" s="13">
        <v>1</v>
      </c>
      <c r="AJ181" s="13">
        <v>1</v>
      </c>
      <c r="AK181" s="13">
        <v>1</v>
      </c>
      <c r="AL181" s="13">
        <v>1</v>
      </c>
      <c r="AM181" s="13">
        <v>1</v>
      </c>
      <c r="AN181" s="13">
        <v>1</v>
      </c>
      <c r="AO181" s="13">
        <v>1</v>
      </c>
      <c r="AP181" s="13">
        <v>1</v>
      </c>
      <c r="AQ181" s="13">
        <v>1</v>
      </c>
      <c r="AR181" s="13">
        <v>1</v>
      </c>
    </row>
    <row r="182" spans="2:44" ht="12.75">
      <c r="B182" s="6"/>
      <c r="C182" s="14" t="s">
        <v>151</v>
      </c>
      <c r="D182" s="14" t="s">
        <v>102</v>
      </c>
      <c r="E182" s="6"/>
      <c r="F182" s="6" t="s">
        <v>103</v>
      </c>
      <c r="G182" s="12"/>
      <c r="H182" s="13">
        <v>1</v>
      </c>
      <c r="I182" s="13">
        <v>1</v>
      </c>
      <c r="J182" s="13">
        <v>1</v>
      </c>
      <c r="K182" s="13">
        <v>1</v>
      </c>
      <c r="L182" s="13">
        <v>1</v>
      </c>
      <c r="M182" s="13">
        <v>1</v>
      </c>
      <c r="N182" s="13">
        <v>1</v>
      </c>
      <c r="O182" s="13">
        <v>1</v>
      </c>
      <c r="P182" s="13">
        <v>0.85</v>
      </c>
      <c r="Q182" s="13">
        <v>1</v>
      </c>
      <c r="R182" s="13">
        <v>1</v>
      </c>
      <c r="S182" s="13">
        <v>1</v>
      </c>
      <c r="T182" s="13">
        <v>1</v>
      </c>
      <c r="U182" s="13">
        <v>1</v>
      </c>
      <c r="V182" s="13">
        <v>1</v>
      </c>
      <c r="W182" s="13">
        <v>1</v>
      </c>
      <c r="X182" s="13">
        <v>1</v>
      </c>
      <c r="Y182" s="13">
        <v>1</v>
      </c>
      <c r="Z182" s="13">
        <v>1</v>
      </c>
      <c r="AA182" s="13">
        <v>1</v>
      </c>
      <c r="AB182" s="13">
        <v>1</v>
      </c>
      <c r="AC182" s="13">
        <v>1</v>
      </c>
      <c r="AD182" s="13">
        <v>1</v>
      </c>
      <c r="AE182" s="13">
        <v>1</v>
      </c>
      <c r="AF182" s="13">
        <v>1</v>
      </c>
      <c r="AG182" s="13">
        <v>1</v>
      </c>
      <c r="AH182" s="13">
        <v>1</v>
      </c>
      <c r="AI182" s="13">
        <v>1</v>
      </c>
      <c r="AJ182" s="13">
        <v>1</v>
      </c>
      <c r="AK182" s="13">
        <v>1</v>
      </c>
      <c r="AL182" s="13">
        <v>1</v>
      </c>
      <c r="AM182" s="13">
        <v>1</v>
      </c>
      <c r="AN182" s="13">
        <v>1</v>
      </c>
      <c r="AO182" s="13">
        <v>1</v>
      </c>
      <c r="AP182" s="13">
        <v>1</v>
      </c>
      <c r="AQ182" s="13">
        <v>1</v>
      </c>
      <c r="AR182" s="13">
        <v>1</v>
      </c>
    </row>
    <row r="183" spans="2:44" ht="12.75">
      <c r="B183" s="6"/>
      <c r="C183" s="14" t="s">
        <v>151</v>
      </c>
      <c r="D183" s="14" t="s">
        <v>152</v>
      </c>
      <c r="E183" s="6"/>
      <c r="F183" s="6" t="s">
        <v>103</v>
      </c>
      <c r="G183" s="12"/>
      <c r="H183" s="13">
        <v>1</v>
      </c>
      <c r="I183" s="13">
        <v>1</v>
      </c>
      <c r="J183" s="13">
        <v>1</v>
      </c>
      <c r="K183" s="13">
        <v>1</v>
      </c>
      <c r="L183" s="13">
        <v>1</v>
      </c>
      <c r="M183" s="13">
        <v>1</v>
      </c>
      <c r="N183" s="13">
        <v>1</v>
      </c>
      <c r="O183" s="13">
        <v>1</v>
      </c>
      <c r="P183" s="13">
        <v>0.85</v>
      </c>
      <c r="Q183" s="13">
        <v>1</v>
      </c>
      <c r="R183" s="13">
        <v>1</v>
      </c>
      <c r="S183" s="13">
        <v>1</v>
      </c>
      <c r="T183" s="13">
        <v>1</v>
      </c>
      <c r="U183" s="13">
        <v>1</v>
      </c>
      <c r="V183" s="13">
        <v>1</v>
      </c>
      <c r="W183" s="13">
        <v>1</v>
      </c>
      <c r="X183" s="13">
        <v>1</v>
      </c>
      <c r="Y183" s="13">
        <v>1</v>
      </c>
      <c r="Z183" s="13">
        <v>1</v>
      </c>
      <c r="AA183" s="13">
        <v>1</v>
      </c>
      <c r="AB183" s="13">
        <v>1</v>
      </c>
      <c r="AC183" s="13">
        <v>1</v>
      </c>
      <c r="AD183" s="13">
        <v>1</v>
      </c>
      <c r="AE183" s="13">
        <v>1</v>
      </c>
      <c r="AF183" s="13">
        <v>1</v>
      </c>
      <c r="AG183" s="13">
        <v>1</v>
      </c>
      <c r="AH183" s="13">
        <v>1</v>
      </c>
      <c r="AI183" s="13">
        <v>1</v>
      </c>
      <c r="AJ183" s="13">
        <v>1</v>
      </c>
      <c r="AK183" s="13">
        <v>1</v>
      </c>
      <c r="AL183" s="13">
        <v>1</v>
      </c>
      <c r="AM183" s="13">
        <v>1</v>
      </c>
      <c r="AN183" s="13">
        <v>1</v>
      </c>
      <c r="AO183" s="13">
        <v>1</v>
      </c>
      <c r="AP183" s="13">
        <v>1</v>
      </c>
      <c r="AQ183" s="13">
        <v>1</v>
      </c>
      <c r="AR183" s="13">
        <v>1</v>
      </c>
    </row>
    <row r="184" spans="2:44" ht="12.75">
      <c r="B184" s="6"/>
      <c r="C184" s="14" t="s">
        <v>151</v>
      </c>
      <c r="D184" s="14" t="s">
        <v>37</v>
      </c>
      <c r="E184" s="6"/>
      <c r="F184" s="6" t="s">
        <v>103</v>
      </c>
      <c r="G184" s="12"/>
      <c r="H184" s="13">
        <v>1</v>
      </c>
      <c r="I184" s="13">
        <v>1</v>
      </c>
      <c r="J184" s="13">
        <v>1</v>
      </c>
      <c r="K184" s="13">
        <v>1</v>
      </c>
      <c r="L184" s="13">
        <v>1</v>
      </c>
      <c r="M184" s="13">
        <v>1</v>
      </c>
      <c r="N184" s="13">
        <v>1</v>
      </c>
      <c r="O184" s="13">
        <v>1</v>
      </c>
      <c r="P184" s="13">
        <v>0.85</v>
      </c>
      <c r="Q184" s="13">
        <v>1</v>
      </c>
      <c r="R184" s="13">
        <v>1</v>
      </c>
      <c r="S184" s="13">
        <v>1</v>
      </c>
      <c r="T184" s="13">
        <v>1</v>
      </c>
      <c r="U184" s="13">
        <v>1</v>
      </c>
      <c r="V184" s="13">
        <v>1</v>
      </c>
      <c r="W184" s="13">
        <v>1</v>
      </c>
      <c r="X184" s="13">
        <v>1</v>
      </c>
      <c r="Y184" s="13">
        <v>1</v>
      </c>
      <c r="Z184" s="13">
        <v>1</v>
      </c>
      <c r="AA184" s="13">
        <v>1</v>
      </c>
      <c r="AB184" s="13">
        <v>1</v>
      </c>
      <c r="AC184" s="13">
        <v>1</v>
      </c>
      <c r="AD184" s="13">
        <v>1</v>
      </c>
      <c r="AE184" s="13">
        <v>1</v>
      </c>
      <c r="AF184" s="13">
        <v>1</v>
      </c>
      <c r="AG184" s="13">
        <v>1</v>
      </c>
      <c r="AH184" s="13">
        <v>1</v>
      </c>
      <c r="AI184" s="13">
        <v>1</v>
      </c>
      <c r="AJ184" s="13">
        <v>1</v>
      </c>
      <c r="AK184" s="13">
        <v>1</v>
      </c>
      <c r="AL184" s="13">
        <v>1</v>
      </c>
      <c r="AM184" s="13">
        <v>1</v>
      </c>
      <c r="AN184" s="13">
        <v>1</v>
      </c>
      <c r="AO184" s="13">
        <v>1</v>
      </c>
      <c r="AP184" s="13">
        <v>1</v>
      </c>
      <c r="AQ184" s="13">
        <v>1</v>
      </c>
      <c r="AR184" s="13">
        <v>1</v>
      </c>
    </row>
    <row r="185" spans="2:44" ht="12.75">
      <c r="B185" s="6"/>
      <c r="C185" s="14" t="s">
        <v>151</v>
      </c>
      <c r="D185" s="14" t="s">
        <v>124</v>
      </c>
      <c r="E185" s="6"/>
      <c r="F185" s="6" t="s">
        <v>103</v>
      </c>
      <c r="G185" s="12"/>
      <c r="H185" s="13">
        <v>1</v>
      </c>
      <c r="I185" s="13">
        <v>1</v>
      </c>
      <c r="J185" s="13">
        <v>1</v>
      </c>
      <c r="K185" s="13">
        <v>1</v>
      </c>
      <c r="L185" s="13">
        <v>1</v>
      </c>
      <c r="M185" s="13">
        <v>1</v>
      </c>
      <c r="N185" s="13">
        <v>1</v>
      </c>
      <c r="O185" s="13">
        <v>1</v>
      </c>
      <c r="P185" s="13">
        <v>0.85</v>
      </c>
      <c r="Q185" s="13">
        <v>1</v>
      </c>
      <c r="R185" s="13">
        <v>1</v>
      </c>
      <c r="S185" s="13">
        <v>1</v>
      </c>
      <c r="T185" s="13">
        <v>1</v>
      </c>
      <c r="U185" s="13">
        <v>1</v>
      </c>
      <c r="V185" s="13">
        <v>1</v>
      </c>
      <c r="W185" s="13">
        <v>1</v>
      </c>
      <c r="X185" s="13">
        <v>1</v>
      </c>
      <c r="Y185" s="13">
        <v>1</v>
      </c>
      <c r="Z185" s="13">
        <v>1</v>
      </c>
      <c r="AA185" s="13">
        <v>1</v>
      </c>
      <c r="AB185" s="13">
        <v>1</v>
      </c>
      <c r="AC185" s="13">
        <v>1</v>
      </c>
      <c r="AD185" s="13">
        <v>1</v>
      </c>
      <c r="AE185" s="13">
        <v>1</v>
      </c>
      <c r="AF185" s="13">
        <v>1</v>
      </c>
      <c r="AG185" s="13">
        <v>1</v>
      </c>
      <c r="AH185" s="13">
        <v>1</v>
      </c>
      <c r="AI185" s="13">
        <v>1</v>
      </c>
      <c r="AJ185" s="13">
        <v>1</v>
      </c>
      <c r="AK185" s="13">
        <v>1</v>
      </c>
      <c r="AL185" s="13">
        <v>1</v>
      </c>
      <c r="AM185" s="13">
        <v>1</v>
      </c>
      <c r="AN185" s="13">
        <v>1</v>
      </c>
      <c r="AO185" s="13">
        <v>1</v>
      </c>
      <c r="AP185" s="13">
        <v>1</v>
      </c>
      <c r="AQ185" s="13">
        <v>1</v>
      </c>
      <c r="AR185" s="13">
        <v>1</v>
      </c>
    </row>
    <row r="186" spans="2:44" ht="12.75">
      <c r="B186" s="6"/>
      <c r="C186" s="14" t="s">
        <v>151</v>
      </c>
      <c r="D186" s="14" t="s">
        <v>125</v>
      </c>
      <c r="E186" s="6"/>
      <c r="F186" s="6" t="s">
        <v>104</v>
      </c>
      <c r="G186" s="12"/>
      <c r="H186" s="13">
        <v>1</v>
      </c>
      <c r="I186" s="13">
        <v>1</v>
      </c>
      <c r="J186" s="13">
        <v>1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Q186" s="13">
        <v>1</v>
      </c>
      <c r="R186" s="13">
        <v>1</v>
      </c>
      <c r="S186" s="13">
        <v>1</v>
      </c>
      <c r="T186" s="13">
        <v>1</v>
      </c>
      <c r="U186" s="13">
        <v>1</v>
      </c>
      <c r="V186" s="13">
        <v>1</v>
      </c>
      <c r="W186" s="13">
        <v>1</v>
      </c>
      <c r="X186" s="13">
        <v>1</v>
      </c>
      <c r="Y186" s="13">
        <v>1</v>
      </c>
      <c r="Z186" s="13">
        <v>1</v>
      </c>
      <c r="AA186" s="13">
        <v>1</v>
      </c>
      <c r="AB186" s="13">
        <v>1</v>
      </c>
      <c r="AC186" s="13">
        <v>1</v>
      </c>
      <c r="AD186" s="13">
        <v>1</v>
      </c>
      <c r="AE186" s="13">
        <v>1</v>
      </c>
      <c r="AF186" s="13">
        <v>1</v>
      </c>
      <c r="AG186" s="13">
        <v>1</v>
      </c>
      <c r="AH186" s="13">
        <v>1</v>
      </c>
      <c r="AI186" s="13">
        <v>1</v>
      </c>
      <c r="AJ186" s="13">
        <v>1</v>
      </c>
      <c r="AK186" s="13">
        <v>1</v>
      </c>
      <c r="AL186" s="13">
        <v>1</v>
      </c>
      <c r="AM186" s="13">
        <v>1</v>
      </c>
      <c r="AN186" s="13">
        <v>1</v>
      </c>
      <c r="AO186" s="13">
        <v>1</v>
      </c>
      <c r="AP186" s="13">
        <v>1</v>
      </c>
      <c r="AQ186" s="13">
        <v>1</v>
      </c>
      <c r="AR186" s="13">
        <v>1</v>
      </c>
    </row>
    <row r="187" spans="2:44" ht="12.75">
      <c r="B187" s="6"/>
      <c r="C187" s="14" t="s">
        <v>153</v>
      </c>
      <c r="D187" s="14" t="s">
        <v>37</v>
      </c>
      <c r="E187" s="6"/>
      <c r="F187" s="6" t="s">
        <v>103</v>
      </c>
      <c r="G187" s="12"/>
      <c r="H187" s="13">
        <v>1</v>
      </c>
      <c r="I187" s="13">
        <v>1</v>
      </c>
      <c r="J187" s="13">
        <v>1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0.85</v>
      </c>
      <c r="Q187" s="13">
        <v>1</v>
      </c>
      <c r="R187" s="13">
        <v>1</v>
      </c>
      <c r="S187" s="13">
        <v>1</v>
      </c>
      <c r="T187" s="13">
        <v>1</v>
      </c>
      <c r="U187" s="13">
        <v>1</v>
      </c>
      <c r="V187" s="13">
        <v>1</v>
      </c>
      <c r="W187" s="13">
        <v>1</v>
      </c>
      <c r="X187" s="13">
        <v>1</v>
      </c>
      <c r="Y187" s="13">
        <v>1</v>
      </c>
      <c r="Z187" s="13">
        <v>1</v>
      </c>
      <c r="AA187" s="13">
        <v>1</v>
      </c>
      <c r="AB187" s="13">
        <v>1</v>
      </c>
      <c r="AC187" s="13">
        <v>1</v>
      </c>
      <c r="AD187" s="13">
        <v>1</v>
      </c>
      <c r="AE187" s="13">
        <v>1</v>
      </c>
      <c r="AF187" s="13">
        <v>1</v>
      </c>
      <c r="AG187" s="13">
        <v>1</v>
      </c>
      <c r="AH187" s="13">
        <v>1</v>
      </c>
      <c r="AI187" s="13">
        <v>1</v>
      </c>
      <c r="AJ187" s="13">
        <v>1</v>
      </c>
      <c r="AK187" s="13">
        <v>1</v>
      </c>
      <c r="AL187" s="13">
        <v>1</v>
      </c>
      <c r="AM187" s="13">
        <v>1</v>
      </c>
      <c r="AN187" s="13">
        <v>1</v>
      </c>
      <c r="AO187" s="13">
        <v>1</v>
      </c>
      <c r="AP187" s="13">
        <v>1</v>
      </c>
      <c r="AQ187" s="13">
        <v>1</v>
      </c>
      <c r="AR187" s="13">
        <v>1</v>
      </c>
    </row>
    <row r="188" spans="2:44" ht="12.75">
      <c r="B188" s="6"/>
      <c r="C188" s="14" t="s">
        <v>153</v>
      </c>
      <c r="D188" s="14" t="s">
        <v>59</v>
      </c>
      <c r="E188" s="6"/>
      <c r="F188" s="6" t="s">
        <v>103</v>
      </c>
      <c r="G188" s="12"/>
      <c r="H188" s="13">
        <v>1</v>
      </c>
      <c r="I188" s="13">
        <v>1</v>
      </c>
      <c r="J188" s="13">
        <v>1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0.85</v>
      </c>
      <c r="Q188" s="13">
        <v>1</v>
      </c>
      <c r="R188" s="13">
        <v>1</v>
      </c>
      <c r="S188" s="13">
        <v>1</v>
      </c>
      <c r="T188" s="13">
        <v>1</v>
      </c>
      <c r="U188" s="13">
        <v>1</v>
      </c>
      <c r="V188" s="13">
        <v>1</v>
      </c>
      <c r="W188" s="13">
        <v>1</v>
      </c>
      <c r="X188" s="13">
        <v>1</v>
      </c>
      <c r="Y188" s="13">
        <v>1</v>
      </c>
      <c r="Z188" s="13">
        <v>1</v>
      </c>
      <c r="AA188" s="13">
        <v>1</v>
      </c>
      <c r="AB188" s="13">
        <v>1</v>
      </c>
      <c r="AC188" s="13">
        <v>1</v>
      </c>
      <c r="AD188" s="13">
        <v>1</v>
      </c>
      <c r="AE188" s="13">
        <v>1</v>
      </c>
      <c r="AF188" s="13">
        <v>1</v>
      </c>
      <c r="AG188" s="13">
        <v>1</v>
      </c>
      <c r="AH188" s="13">
        <v>1</v>
      </c>
      <c r="AI188" s="13">
        <v>1</v>
      </c>
      <c r="AJ188" s="13">
        <v>1</v>
      </c>
      <c r="AK188" s="13">
        <v>1</v>
      </c>
      <c r="AL188" s="13">
        <v>1</v>
      </c>
      <c r="AM188" s="13">
        <v>1</v>
      </c>
      <c r="AN188" s="13">
        <v>1</v>
      </c>
      <c r="AO188" s="13">
        <v>1</v>
      </c>
      <c r="AP188" s="13">
        <v>1</v>
      </c>
      <c r="AQ188" s="13">
        <v>1</v>
      </c>
      <c r="AR188" s="13">
        <v>1</v>
      </c>
    </row>
    <row r="189" spans="2:44" ht="12.75">
      <c r="B189" s="6"/>
      <c r="C189" s="14" t="s">
        <v>153</v>
      </c>
      <c r="D189" s="14" t="s">
        <v>101</v>
      </c>
      <c r="E189" s="6"/>
      <c r="F189" s="6" t="s">
        <v>103</v>
      </c>
      <c r="G189" s="12"/>
      <c r="H189" s="13">
        <v>1</v>
      </c>
      <c r="I189" s="13">
        <v>1</v>
      </c>
      <c r="J189" s="13">
        <v>1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0.85</v>
      </c>
      <c r="Q189" s="13">
        <v>1</v>
      </c>
      <c r="R189" s="13">
        <v>1</v>
      </c>
      <c r="S189" s="13">
        <v>1</v>
      </c>
      <c r="T189" s="13">
        <v>1</v>
      </c>
      <c r="U189" s="13">
        <v>1</v>
      </c>
      <c r="V189" s="13">
        <v>1</v>
      </c>
      <c r="W189" s="13">
        <v>1</v>
      </c>
      <c r="X189" s="13">
        <v>1</v>
      </c>
      <c r="Y189" s="13">
        <v>1</v>
      </c>
      <c r="Z189" s="13">
        <v>1</v>
      </c>
      <c r="AA189" s="13">
        <v>1</v>
      </c>
      <c r="AB189" s="13">
        <v>1</v>
      </c>
      <c r="AC189" s="13">
        <v>1</v>
      </c>
      <c r="AD189" s="13">
        <v>1</v>
      </c>
      <c r="AE189" s="13">
        <v>1</v>
      </c>
      <c r="AF189" s="13">
        <v>1</v>
      </c>
      <c r="AG189" s="13">
        <v>1</v>
      </c>
      <c r="AH189" s="13">
        <v>1</v>
      </c>
      <c r="AI189" s="13">
        <v>1</v>
      </c>
      <c r="AJ189" s="13">
        <v>1</v>
      </c>
      <c r="AK189" s="13">
        <v>1</v>
      </c>
      <c r="AL189" s="13">
        <v>1</v>
      </c>
      <c r="AM189" s="13">
        <v>1</v>
      </c>
      <c r="AN189" s="13">
        <v>1</v>
      </c>
      <c r="AO189" s="13">
        <v>1</v>
      </c>
      <c r="AP189" s="13">
        <v>1</v>
      </c>
      <c r="AQ189" s="13">
        <v>1</v>
      </c>
      <c r="AR189" s="13">
        <v>1</v>
      </c>
    </row>
    <row r="190" spans="2:44" ht="12.75">
      <c r="B190" s="6"/>
      <c r="C190" s="14" t="s">
        <v>154</v>
      </c>
      <c r="D190" s="14" t="s">
        <v>155</v>
      </c>
      <c r="E190" s="6"/>
      <c r="F190" s="6" t="s">
        <v>103</v>
      </c>
      <c r="G190" s="12"/>
      <c r="H190" s="13">
        <v>1</v>
      </c>
      <c r="I190" s="13">
        <v>1</v>
      </c>
      <c r="J190" s="13">
        <v>1</v>
      </c>
      <c r="K190" s="13">
        <v>1</v>
      </c>
      <c r="L190" s="13">
        <v>1</v>
      </c>
      <c r="M190" s="13">
        <v>1</v>
      </c>
      <c r="N190" s="13">
        <v>1</v>
      </c>
      <c r="O190" s="13">
        <v>1</v>
      </c>
      <c r="P190" s="13">
        <v>0.85</v>
      </c>
      <c r="Q190" s="13">
        <v>1</v>
      </c>
      <c r="R190" s="13">
        <v>1</v>
      </c>
      <c r="S190" s="13">
        <v>1</v>
      </c>
      <c r="T190" s="13">
        <v>1</v>
      </c>
      <c r="U190" s="13">
        <v>1</v>
      </c>
      <c r="V190" s="13">
        <v>1</v>
      </c>
      <c r="W190" s="13">
        <v>1</v>
      </c>
      <c r="X190" s="13">
        <v>1</v>
      </c>
      <c r="Y190" s="13">
        <v>1</v>
      </c>
      <c r="Z190" s="13">
        <v>1</v>
      </c>
      <c r="AA190" s="13">
        <v>1</v>
      </c>
      <c r="AB190" s="13">
        <v>1</v>
      </c>
      <c r="AC190" s="13">
        <v>1</v>
      </c>
      <c r="AD190" s="13">
        <v>1</v>
      </c>
      <c r="AE190" s="13">
        <v>1</v>
      </c>
      <c r="AF190" s="13">
        <v>1</v>
      </c>
      <c r="AG190" s="13">
        <v>1</v>
      </c>
      <c r="AH190" s="13">
        <v>1</v>
      </c>
      <c r="AI190" s="13">
        <v>1</v>
      </c>
      <c r="AJ190" s="13">
        <v>1</v>
      </c>
      <c r="AK190" s="13">
        <v>1</v>
      </c>
      <c r="AL190" s="13">
        <v>1</v>
      </c>
      <c r="AM190" s="13">
        <v>1</v>
      </c>
      <c r="AN190" s="13">
        <v>1</v>
      </c>
      <c r="AO190" s="13">
        <v>1</v>
      </c>
      <c r="AP190" s="13">
        <v>1</v>
      </c>
      <c r="AQ190" s="13">
        <v>1</v>
      </c>
      <c r="AR190" s="13">
        <v>1</v>
      </c>
    </row>
    <row r="191" spans="2:44" ht="12.75">
      <c r="B191" s="6"/>
      <c r="C191" s="14" t="s">
        <v>154</v>
      </c>
      <c r="D191" s="14" t="s">
        <v>37</v>
      </c>
      <c r="E191" s="6"/>
      <c r="F191" s="6" t="s">
        <v>103</v>
      </c>
      <c r="G191" s="12"/>
      <c r="H191" s="13">
        <v>1</v>
      </c>
      <c r="I191" s="13">
        <v>1</v>
      </c>
      <c r="J191" s="13">
        <v>1</v>
      </c>
      <c r="K191" s="13">
        <v>1</v>
      </c>
      <c r="L191" s="13">
        <v>1</v>
      </c>
      <c r="M191" s="13">
        <v>1</v>
      </c>
      <c r="N191" s="13">
        <v>1</v>
      </c>
      <c r="O191" s="13">
        <v>1</v>
      </c>
      <c r="P191" s="13">
        <v>0.85</v>
      </c>
      <c r="Q191" s="13">
        <v>1</v>
      </c>
      <c r="R191" s="13">
        <v>1</v>
      </c>
      <c r="S191" s="13">
        <v>1</v>
      </c>
      <c r="T191" s="13">
        <v>1</v>
      </c>
      <c r="U191" s="13">
        <v>1</v>
      </c>
      <c r="V191" s="13">
        <v>1</v>
      </c>
      <c r="W191" s="13">
        <v>1</v>
      </c>
      <c r="X191" s="13">
        <v>1</v>
      </c>
      <c r="Y191" s="13">
        <v>1</v>
      </c>
      <c r="Z191" s="13">
        <v>1</v>
      </c>
      <c r="AA191" s="13">
        <v>1</v>
      </c>
      <c r="AB191" s="13">
        <v>1</v>
      </c>
      <c r="AC191" s="13">
        <v>1</v>
      </c>
      <c r="AD191" s="13">
        <v>1</v>
      </c>
      <c r="AE191" s="13">
        <v>1</v>
      </c>
      <c r="AF191" s="13">
        <v>1</v>
      </c>
      <c r="AG191" s="13">
        <v>1</v>
      </c>
      <c r="AH191" s="13">
        <v>1</v>
      </c>
      <c r="AI191" s="13">
        <v>1</v>
      </c>
      <c r="AJ191" s="13">
        <v>1</v>
      </c>
      <c r="AK191" s="13">
        <v>1</v>
      </c>
      <c r="AL191" s="13">
        <v>1</v>
      </c>
      <c r="AM191" s="13">
        <v>1</v>
      </c>
      <c r="AN191" s="13">
        <v>1</v>
      </c>
      <c r="AO191" s="13">
        <v>1</v>
      </c>
      <c r="AP191" s="13">
        <v>1</v>
      </c>
      <c r="AQ191" s="13">
        <v>1</v>
      </c>
      <c r="AR191" s="13">
        <v>1</v>
      </c>
    </row>
    <row r="192" spans="2:44" ht="12.75">
      <c r="B192" s="6"/>
      <c r="C192" s="14" t="s">
        <v>154</v>
      </c>
      <c r="D192" s="14" t="s">
        <v>38</v>
      </c>
      <c r="E192" s="6"/>
      <c r="F192" s="6" t="s">
        <v>103</v>
      </c>
      <c r="G192" s="12"/>
      <c r="H192" s="13">
        <v>1</v>
      </c>
      <c r="I192" s="13">
        <v>1</v>
      </c>
      <c r="J192" s="13">
        <v>1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0.85</v>
      </c>
      <c r="Q192" s="13">
        <v>1</v>
      </c>
      <c r="R192" s="13">
        <v>1</v>
      </c>
      <c r="S192" s="13">
        <v>1</v>
      </c>
      <c r="T192" s="13">
        <v>1</v>
      </c>
      <c r="U192" s="13">
        <v>1</v>
      </c>
      <c r="V192" s="13">
        <v>1</v>
      </c>
      <c r="W192" s="13">
        <v>1</v>
      </c>
      <c r="X192" s="13">
        <v>1</v>
      </c>
      <c r="Y192" s="13">
        <v>1</v>
      </c>
      <c r="Z192" s="13">
        <v>1</v>
      </c>
      <c r="AA192" s="13">
        <v>1</v>
      </c>
      <c r="AB192" s="13">
        <v>1</v>
      </c>
      <c r="AC192" s="13">
        <v>1</v>
      </c>
      <c r="AD192" s="13">
        <v>1</v>
      </c>
      <c r="AE192" s="13">
        <v>1</v>
      </c>
      <c r="AF192" s="13">
        <v>1</v>
      </c>
      <c r="AG192" s="13">
        <v>1</v>
      </c>
      <c r="AH192" s="13">
        <v>1</v>
      </c>
      <c r="AI192" s="13">
        <v>1</v>
      </c>
      <c r="AJ192" s="13">
        <v>1</v>
      </c>
      <c r="AK192" s="13">
        <v>1</v>
      </c>
      <c r="AL192" s="13">
        <v>1</v>
      </c>
      <c r="AM192" s="13">
        <v>1</v>
      </c>
      <c r="AN192" s="13">
        <v>1</v>
      </c>
      <c r="AO192" s="13">
        <v>1</v>
      </c>
      <c r="AP192" s="13">
        <v>1</v>
      </c>
      <c r="AQ192" s="13">
        <v>1</v>
      </c>
      <c r="AR192" s="13">
        <v>1</v>
      </c>
    </row>
    <row r="193" spans="2:44" ht="12.75">
      <c r="B193" s="6"/>
      <c r="C193" s="14" t="s">
        <v>154</v>
      </c>
      <c r="D193" s="14" t="s">
        <v>39</v>
      </c>
      <c r="E193" s="6"/>
      <c r="F193" s="6" t="s">
        <v>103</v>
      </c>
      <c r="G193" s="12"/>
      <c r="H193" s="13">
        <v>1</v>
      </c>
      <c r="I193" s="13">
        <v>1</v>
      </c>
      <c r="J193" s="13">
        <v>1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0.85</v>
      </c>
      <c r="Q193" s="13">
        <v>1</v>
      </c>
      <c r="R193" s="13">
        <v>1</v>
      </c>
      <c r="S193" s="13">
        <v>1</v>
      </c>
      <c r="T193" s="13">
        <v>1</v>
      </c>
      <c r="U193" s="13">
        <v>1</v>
      </c>
      <c r="V193" s="13">
        <v>1</v>
      </c>
      <c r="W193" s="13">
        <v>1</v>
      </c>
      <c r="X193" s="13">
        <v>1</v>
      </c>
      <c r="Y193" s="13">
        <v>1</v>
      </c>
      <c r="Z193" s="13">
        <v>1</v>
      </c>
      <c r="AA193" s="13">
        <v>1</v>
      </c>
      <c r="AB193" s="13">
        <v>1</v>
      </c>
      <c r="AC193" s="13">
        <v>1</v>
      </c>
      <c r="AD193" s="13">
        <v>1</v>
      </c>
      <c r="AE193" s="13">
        <v>1</v>
      </c>
      <c r="AF193" s="13">
        <v>1</v>
      </c>
      <c r="AG193" s="13">
        <v>1</v>
      </c>
      <c r="AH193" s="13">
        <v>1</v>
      </c>
      <c r="AI193" s="13">
        <v>1</v>
      </c>
      <c r="AJ193" s="13">
        <v>1</v>
      </c>
      <c r="AK193" s="13">
        <v>1</v>
      </c>
      <c r="AL193" s="13">
        <v>1</v>
      </c>
      <c r="AM193" s="13">
        <v>1</v>
      </c>
      <c r="AN193" s="13">
        <v>1</v>
      </c>
      <c r="AO193" s="13">
        <v>1</v>
      </c>
      <c r="AP193" s="13">
        <v>1</v>
      </c>
      <c r="AQ193" s="13">
        <v>1</v>
      </c>
      <c r="AR193" s="13">
        <v>1</v>
      </c>
    </row>
    <row r="194" spans="2:44" ht="12.75">
      <c r="B194" s="6"/>
      <c r="C194" s="14" t="s">
        <v>154</v>
      </c>
      <c r="D194" s="14" t="s">
        <v>44</v>
      </c>
      <c r="E194" s="6"/>
      <c r="F194" s="6" t="s">
        <v>103</v>
      </c>
      <c r="G194" s="12"/>
      <c r="H194" s="13">
        <v>1</v>
      </c>
      <c r="I194" s="13">
        <v>1</v>
      </c>
      <c r="J194" s="13">
        <v>1</v>
      </c>
      <c r="K194" s="13">
        <v>1</v>
      </c>
      <c r="L194" s="13">
        <v>1</v>
      </c>
      <c r="M194" s="13">
        <v>1</v>
      </c>
      <c r="N194" s="13">
        <v>1</v>
      </c>
      <c r="O194" s="13">
        <v>1</v>
      </c>
      <c r="P194" s="13">
        <v>0.85</v>
      </c>
      <c r="Q194" s="13">
        <v>1</v>
      </c>
      <c r="R194" s="13">
        <v>1</v>
      </c>
      <c r="S194" s="13">
        <v>1</v>
      </c>
      <c r="T194" s="13">
        <v>1</v>
      </c>
      <c r="U194" s="13">
        <v>1</v>
      </c>
      <c r="V194" s="13">
        <v>1</v>
      </c>
      <c r="W194" s="13">
        <v>1</v>
      </c>
      <c r="X194" s="13">
        <v>1</v>
      </c>
      <c r="Y194" s="13">
        <v>1</v>
      </c>
      <c r="Z194" s="13">
        <v>1</v>
      </c>
      <c r="AA194" s="13">
        <v>1</v>
      </c>
      <c r="AB194" s="13">
        <v>1</v>
      </c>
      <c r="AC194" s="13">
        <v>1</v>
      </c>
      <c r="AD194" s="13">
        <v>1</v>
      </c>
      <c r="AE194" s="13">
        <v>1</v>
      </c>
      <c r="AF194" s="13">
        <v>1</v>
      </c>
      <c r="AG194" s="13">
        <v>1</v>
      </c>
      <c r="AH194" s="13">
        <v>1</v>
      </c>
      <c r="AI194" s="13">
        <v>1</v>
      </c>
      <c r="AJ194" s="13">
        <v>1</v>
      </c>
      <c r="AK194" s="13">
        <v>1</v>
      </c>
      <c r="AL194" s="13">
        <v>1</v>
      </c>
      <c r="AM194" s="13">
        <v>1</v>
      </c>
      <c r="AN194" s="13">
        <v>1</v>
      </c>
      <c r="AO194" s="13">
        <v>1</v>
      </c>
      <c r="AP194" s="13">
        <v>1</v>
      </c>
      <c r="AQ194" s="13">
        <v>1</v>
      </c>
      <c r="AR194" s="13">
        <v>1</v>
      </c>
    </row>
    <row r="195" spans="2:44" ht="12.75">
      <c r="B195" s="6"/>
      <c r="C195" s="14" t="s">
        <v>154</v>
      </c>
      <c r="D195" s="14" t="s">
        <v>59</v>
      </c>
      <c r="E195" s="6"/>
      <c r="F195" s="6" t="s">
        <v>103</v>
      </c>
      <c r="G195" s="12"/>
      <c r="H195" s="13">
        <v>1</v>
      </c>
      <c r="I195" s="13">
        <v>1</v>
      </c>
      <c r="J195" s="13">
        <v>1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0.85</v>
      </c>
      <c r="Q195" s="13">
        <v>1</v>
      </c>
      <c r="R195" s="13">
        <v>1</v>
      </c>
      <c r="S195" s="13">
        <v>1</v>
      </c>
      <c r="T195" s="13">
        <v>1</v>
      </c>
      <c r="U195" s="13">
        <v>1</v>
      </c>
      <c r="V195" s="13">
        <v>1</v>
      </c>
      <c r="W195" s="13">
        <v>1</v>
      </c>
      <c r="X195" s="13">
        <v>1</v>
      </c>
      <c r="Y195" s="13">
        <v>1</v>
      </c>
      <c r="Z195" s="13">
        <v>1</v>
      </c>
      <c r="AA195" s="13">
        <v>1</v>
      </c>
      <c r="AB195" s="13">
        <v>1</v>
      </c>
      <c r="AC195" s="13">
        <v>1</v>
      </c>
      <c r="AD195" s="13">
        <v>1</v>
      </c>
      <c r="AE195" s="13">
        <v>1</v>
      </c>
      <c r="AF195" s="13">
        <v>1</v>
      </c>
      <c r="AG195" s="13">
        <v>1</v>
      </c>
      <c r="AH195" s="13">
        <v>1</v>
      </c>
      <c r="AI195" s="13">
        <v>1</v>
      </c>
      <c r="AJ195" s="13">
        <v>1</v>
      </c>
      <c r="AK195" s="13">
        <v>1</v>
      </c>
      <c r="AL195" s="13">
        <v>1</v>
      </c>
      <c r="AM195" s="13">
        <v>1</v>
      </c>
      <c r="AN195" s="13">
        <v>1</v>
      </c>
      <c r="AO195" s="13">
        <v>1</v>
      </c>
      <c r="AP195" s="13">
        <v>1</v>
      </c>
      <c r="AQ195" s="13">
        <v>1</v>
      </c>
      <c r="AR195" s="13">
        <v>1</v>
      </c>
    </row>
    <row r="196" spans="2:44" ht="12.75">
      <c r="B196" s="6"/>
      <c r="C196" s="14" t="s">
        <v>154</v>
      </c>
      <c r="D196" s="14" t="s">
        <v>156</v>
      </c>
      <c r="E196" s="6"/>
      <c r="F196" s="6" t="s">
        <v>103</v>
      </c>
      <c r="G196" s="12"/>
      <c r="H196" s="13">
        <v>1</v>
      </c>
      <c r="I196" s="13">
        <v>1</v>
      </c>
      <c r="J196" s="13">
        <v>1</v>
      </c>
      <c r="K196" s="13">
        <v>1</v>
      </c>
      <c r="L196" s="13">
        <v>1</v>
      </c>
      <c r="M196" s="13">
        <v>1</v>
      </c>
      <c r="N196" s="13">
        <v>1</v>
      </c>
      <c r="O196" s="13">
        <v>1</v>
      </c>
      <c r="P196" s="13">
        <v>0.85</v>
      </c>
      <c r="Q196" s="13">
        <v>1</v>
      </c>
      <c r="R196" s="13">
        <v>1</v>
      </c>
      <c r="S196" s="13">
        <v>1</v>
      </c>
      <c r="T196" s="13">
        <v>1</v>
      </c>
      <c r="U196" s="13">
        <v>1</v>
      </c>
      <c r="V196" s="13">
        <v>1</v>
      </c>
      <c r="W196" s="13">
        <v>1</v>
      </c>
      <c r="X196" s="13">
        <v>1</v>
      </c>
      <c r="Y196" s="13">
        <v>1</v>
      </c>
      <c r="Z196" s="13">
        <v>1</v>
      </c>
      <c r="AA196" s="13">
        <v>1</v>
      </c>
      <c r="AB196" s="13">
        <v>1</v>
      </c>
      <c r="AC196" s="13">
        <v>1</v>
      </c>
      <c r="AD196" s="13">
        <v>1</v>
      </c>
      <c r="AE196" s="13">
        <v>1</v>
      </c>
      <c r="AF196" s="13">
        <v>1</v>
      </c>
      <c r="AG196" s="13">
        <v>1</v>
      </c>
      <c r="AH196" s="13">
        <v>1</v>
      </c>
      <c r="AI196" s="13">
        <v>1</v>
      </c>
      <c r="AJ196" s="13">
        <v>1</v>
      </c>
      <c r="AK196" s="13">
        <v>1</v>
      </c>
      <c r="AL196" s="13">
        <v>1</v>
      </c>
      <c r="AM196" s="13">
        <v>1</v>
      </c>
      <c r="AN196" s="13">
        <v>1</v>
      </c>
      <c r="AO196" s="13">
        <v>1</v>
      </c>
      <c r="AP196" s="13">
        <v>1</v>
      </c>
      <c r="AQ196" s="13">
        <v>1</v>
      </c>
      <c r="AR196" s="13">
        <v>1</v>
      </c>
    </row>
    <row r="197" spans="2:44" ht="12.75">
      <c r="B197" s="6"/>
      <c r="C197" s="14" t="s">
        <v>154</v>
      </c>
      <c r="D197" s="14" t="s">
        <v>157</v>
      </c>
      <c r="E197" s="6"/>
      <c r="F197" s="6" t="s">
        <v>103</v>
      </c>
      <c r="G197" s="12"/>
      <c r="H197" s="13">
        <v>1</v>
      </c>
      <c r="I197" s="13">
        <v>1</v>
      </c>
      <c r="J197" s="13">
        <v>1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0.85</v>
      </c>
      <c r="Q197" s="13">
        <v>1</v>
      </c>
      <c r="R197" s="13">
        <v>1</v>
      </c>
      <c r="S197" s="13">
        <v>1</v>
      </c>
      <c r="T197" s="13">
        <v>1</v>
      </c>
      <c r="U197" s="13">
        <v>1</v>
      </c>
      <c r="V197" s="13">
        <v>1</v>
      </c>
      <c r="W197" s="13">
        <v>1</v>
      </c>
      <c r="X197" s="13">
        <v>1</v>
      </c>
      <c r="Y197" s="13">
        <v>1</v>
      </c>
      <c r="Z197" s="13">
        <v>1</v>
      </c>
      <c r="AA197" s="13">
        <v>1</v>
      </c>
      <c r="AB197" s="13">
        <v>1</v>
      </c>
      <c r="AC197" s="13">
        <v>1</v>
      </c>
      <c r="AD197" s="13">
        <v>1</v>
      </c>
      <c r="AE197" s="13">
        <v>1</v>
      </c>
      <c r="AF197" s="13">
        <v>1</v>
      </c>
      <c r="AG197" s="13">
        <v>1</v>
      </c>
      <c r="AH197" s="13">
        <v>1</v>
      </c>
      <c r="AI197" s="13">
        <v>1</v>
      </c>
      <c r="AJ197" s="13">
        <v>1</v>
      </c>
      <c r="AK197" s="13">
        <v>1</v>
      </c>
      <c r="AL197" s="13">
        <v>1</v>
      </c>
      <c r="AM197" s="13">
        <v>1</v>
      </c>
      <c r="AN197" s="13">
        <v>1</v>
      </c>
      <c r="AO197" s="13">
        <v>1</v>
      </c>
      <c r="AP197" s="13">
        <v>1</v>
      </c>
      <c r="AQ197" s="13">
        <v>1</v>
      </c>
      <c r="AR197" s="13">
        <v>1</v>
      </c>
    </row>
    <row r="198" spans="2:44" ht="12.75">
      <c r="B198" s="6"/>
      <c r="C198" s="14" t="s">
        <v>154</v>
      </c>
      <c r="D198" s="14" t="s">
        <v>101</v>
      </c>
      <c r="E198" s="6"/>
      <c r="F198" s="6" t="s">
        <v>103</v>
      </c>
      <c r="G198" s="12"/>
      <c r="H198" s="13">
        <v>1</v>
      </c>
      <c r="I198" s="13">
        <v>1</v>
      </c>
      <c r="J198" s="13">
        <v>1</v>
      </c>
      <c r="K198" s="13">
        <v>1</v>
      </c>
      <c r="L198" s="13">
        <v>1</v>
      </c>
      <c r="M198" s="13">
        <v>1</v>
      </c>
      <c r="N198" s="13">
        <v>1</v>
      </c>
      <c r="O198" s="13">
        <v>1</v>
      </c>
      <c r="P198" s="13">
        <v>0.85</v>
      </c>
      <c r="Q198" s="13">
        <v>1</v>
      </c>
      <c r="R198" s="13">
        <v>1</v>
      </c>
      <c r="S198" s="13">
        <v>1</v>
      </c>
      <c r="T198" s="13">
        <v>1</v>
      </c>
      <c r="U198" s="13">
        <v>1</v>
      </c>
      <c r="V198" s="13">
        <v>1</v>
      </c>
      <c r="W198" s="13">
        <v>1</v>
      </c>
      <c r="X198" s="13">
        <v>1</v>
      </c>
      <c r="Y198" s="13">
        <v>1</v>
      </c>
      <c r="Z198" s="13">
        <v>1</v>
      </c>
      <c r="AA198" s="13">
        <v>1</v>
      </c>
      <c r="AB198" s="13">
        <v>1</v>
      </c>
      <c r="AC198" s="13">
        <v>1</v>
      </c>
      <c r="AD198" s="13">
        <v>1</v>
      </c>
      <c r="AE198" s="13">
        <v>1</v>
      </c>
      <c r="AF198" s="13">
        <v>1</v>
      </c>
      <c r="AG198" s="13">
        <v>1</v>
      </c>
      <c r="AH198" s="13">
        <v>1</v>
      </c>
      <c r="AI198" s="13">
        <v>1</v>
      </c>
      <c r="AJ198" s="13">
        <v>1</v>
      </c>
      <c r="AK198" s="13">
        <v>1</v>
      </c>
      <c r="AL198" s="13">
        <v>1</v>
      </c>
      <c r="AM198" s="13">
        <v>1</v>
      </c>
      <c r="AN198" s="13">
        <v>1</v>
      </c>
      <c r="AO198" s="13">
        <v>1</v>
      </c>
      <c r="AP198" s="13">
        <v>1</v>
      </c>
      <c r="AQ198" s="13">
        <v>1</v>
      </c>
      <c r="AR198" s="13">
        <v>1</v>
      </c>
    </row>
    <row r="199" spans="2:44" ht="12.75">
      <c r="B199" s="6"/>
      <c r="C199" s="14" t="s">
        <v>154</v>
      </c>
      <c r="D199" s="14" t="s">
        <v>158</v>
      </c>
      <c r="E199" s="6"/>
      <c r="F199" s="6" t="s">
        <v>103</v>
      </c>
      <c r="G199" s="12"/>
      <c r="H199" s="13">
        <v>1</v>
      </c>
      <c r="I199" s="13">
        <v>1</v>
      </c>
      <c r="J199" s="13">
        <v>1</v>
      </c>
      <c r="K199" s="13">
        <v>1</v>
      </c>
      <c r="L199" s="13">
        <v>1</v>
      </c>
      <c r="M199" s="13">
        <v>1</v>
      </c>
      <c r="N199" s="13">
        <v>1</v>
      </c>
      <c r="O199" s="13">
        <v>1</v>
      </c>
      <c r="P199" s="13">
        <v>0.85</v>
      </c>
      <c r="Q199" s="13">
        <v>1</v>
      </c>
      <c r="R199" s="13">
        <v>1</v>
      </c>
      <c r="S199" s="13">
        <v>1</v>
      </c>
      <c r="T199" s="13">
        <v>1</v>
      </c>
      <c r="U199" s="13">
        <v>1</v>
      </c>
      <c r="V199" s="13">
        <v>1</v>
      </c>
      <c r="W199" s="13">
        <v>1</v>
      </c>
      <c r="X199" s="13">
        <v>1</v>
      </c>
      <c r="Y199" s="13">
        <v>1</v>
      </c>
      <c r="Z199" s="13">
        <v>1</v>
      </c>
      <c r="AA199" s="13">
        <v>1</v>
      </c>
      <c r="AB199" s="13">
        <v>1</v>
      </c>
      <c r="AC199" s="13">
        <v>1</v>
      </c>
      <c r="AD199" s="13">
        <v>1</v>
      </c>
      <c r="AE199" s="13">
        <v>1</v>
      </c>
      <c r="AF199" s="13">
        <v>1</v>
      </c>
      <c r="AG199" s="13">
        <v>1</v>
      </c>
      <c r="AH199" s="13">
        <v>1</v>
      </c>
      <c r="AI199" s="13">
        <v>1</v>
      </c>
      <c r="AJ199" s="13">
        <v>1</v>
      </c>
      <c r="AK199" s="13">
        <v>1</v>
      </c>
      <c r="AL199" s="13">
        <v>1</v>
      </c>
      <c r="AM199" s="13">
        <v>1</v>
      </c>
      <c r="AN199" s="13">
        <v>1</v>
      </c>
      <c r="AO199" s="13">
        <v>1</v>
      </c>
      <c r="AP199" s="13">
        <v>1</v>
      </c>
      <c r="AQ199" s="13">
        <v>1</v>
      </c>
      <c r="AR199" s="13">
        <v>1</v>
      </c>
    </row>
    <row r="200" spans="2:44" ht="12.75">
      <c r="B200" s="6"/>
      <c r="C200" s="14" t="s">
        <v>159</v>
      </c>
      <c r="D200" s="14" t="s">
        <v>37</v>
      </c>
      <c r="E200" s="6"/>
      <c r="F200" s="6" t="s">
        <v>103</v>
      </c>
      <c r="G200" s="12"/>
      <c r="H200" s="13">
        <v>1</v>
      </c>
      <c r="I200" s="13">
        <v>1</v>
      </c>
      <c r="J200" s="13">
        <v>1</v>
      </c>
      <c r="K200" s="13">
        <v>1</v>
      </c>
      <c r="L200" s="13">
        <v>1</v>
      </c>
      <c r="M200" s="13">
        <v>1</v>
      </c>
      <c r="N200" s="13">
        <v>1</v>
      </c>
      <c r="O200" s="13">
        <v>1</v>
      </c>
      <c r="P200" s="13">
        <v>0.85</v>
      </c>
      <c r="Q200" s="13">
        <v>1</v>
      </c>
      <c r="R200" s="13">
        <v>1</v>
      </c>
      <c r="S200" s="13">
        <v>1</v>
      </c>
      <c r="T200" s="13">
        <v>1</v>
      </c>
      <c r="U200" s="13">
        <v>1</v>
      </c>
      <c r="V200" s="13">
        <v>1</v>
      </c>
      <c r="W200" s="13">
        <v>1</v>
      </c>
      <c r="X200" s="13">
        <v>1</v>
      </c>
      <c r="Y200" s="13">
        <v>1</v>
      </c>
      <c r="Z200" s="13">
        <v>1</v>
      </c>
      <c r="AA200" s="13">
        <v>1</v>
      </c>
      <c r="AB200" s="13">
        <v>1</v>
      </c>
      <c r="AC200" s="13">
        <v>1</v>
      </c>
      <c r="AD200" s="13">
        <v>1</v>
      </c>
      <c r="AE200" s="13">
        <v>1</v>
      </c>
      <c r="AF200" s="13">
        <v>1</v>
      </c>
      <c r="AG200" s="13">
        <v>1</v>
      </c>
      <c r="AH200" s="13">
        <v>1</v>
      </c>
      <c r="AI200" s="13">
        <v>1</v>
      </c>
      <c r="AJ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1</v>
      </c>
      <c r="AP200" s="13">
        <v>1</v>
      </c>
      <c r="AQ200" s="13">
        <v>1</v>
      </c>
      <c r="AR200" s="13">
        <v>1</v>
      </c>
    </row>
    <row r="201" spans="2:44" ht="12.75">
      <c r="B201" s="6"/>
      <c r="C201" s="14" t="s">
        <v>159</v>
      </c>
      <c r="D201" s="14" t="s">
        <v>59</v>
      </c>
      <c r="E201" s="6"/>
      <c r="F201" s="6" t="s">
        <v>103</v>
      </c>
      <c r="G201" s="12"/>
      <c r="H201" s="13">
        <v>1</v>
      </c>
      <c r="I201" s="13">
        <v>1</v>
      </c>
      <c r="J201" s="13">
        <v>1</v>
      </c>
      <c r="K201" s="13">
        <v>1</v>
      </c>
      <c r="L201" s="13">
        <v>1</v>
      </c>
      <c r="M201" s="13">
        <v>1</v>
      </c>
      <c r="N201" s="13">
        <v>1</v>
      </c>
      <c r="O201" s="13">
        <v>1</v>
      </c>
      <c r="P201" s="13">
        <v>0.85</v>
      </c>
      <c r="Q201" s="13">
        <v>1</v>
      </c>
      <c r="R201" s="13">
        <v>1</v>
      </c>
      <c r="S201" s="13">
        <v>1</v>
      </c>
      <c r="T201" s="13">
        <v>1</v>
      </c>
      <c r="U201" s="13">
        <v>1</v>
      </c>
      <c r="V201" s="13">
        <v>1</v>
      </c>
      <c r="W201" s="13">
        <v>1</v>
      </c>
      <c r="X201" s="13">
        <v>1</v>
      </c>
      <c r="Y201" s="13">
        <v>1</v>
      </c>
      <c r="Z201" s="13">
        <v>1</v>
      </c>
      <c r="AA201" s="13">
        <v>1</v>
      </c>
      <c r="AB201" s="13">
        <v>1</v>
      </c>
      <c r="AC201" s="13">
        <v>1</v>
      </c>
      <c r="AD201" s="13">
        <v>1</v>
      </c>
      <c r="AE201" s="13">
        <v>1</v>
      </c>
      <c r="AF201" s="13">
        <v>1</v>
      </c>
      <c r="AG201" s="13">
        <v>1</v>
      </c>
      <c r="AH201" s="13">
        <v>1</v>
      </c>
      <c r="AI201" s="13">
        <v>1</v>
      </c>
      <c r="AJ201" s="13">
        <v>1</v>
      </c>
      <c r="AK201" s="13">
        <v>1</v>
      </c>
      <c r="AL201" s="13">
        <v>1</v>
      </c>
      <c r="AM201" s="13">
        <v>1</v>
      </c>
      <c r="AN201" s="13">
        <v>1</v>
      </c>
      <c r="AO201" s="13">
        <v>1</v>
      </c>
      <c r="AP201" s="13">
        <v>1</v>
      </c>
      <c r="AQ201" s="13">
        <v>1</v>
      </c>
      <c r="AR201" s="13">
        <v>1</v>
      </c>
    </row>
    <row r="202" spans="2:44" ht="12.75">
      <c r="B202" s="6"/>
      <c r="C202" s="14" t="s">
        <v>159</v>
      </c>
      <c r="D202" s="14" t="s">
        <v>82</v>
      </c>
      <c r="E202" s="6"/>
      <c r="F202" s="6" t="s">
        <v>103</v>
      </c>
      <c r="G202" s="12"/>
      <c r="H202" s="13">
        <v>1</v>
      </c>
      <c r="I202" s="13">
        <v>1</v>
      </c>
      <c r="J202" s="13">
        <v>1</v>
      </c>
      <c r="K202" s="13">
        <v>1</v>
      </c>
      <c r="L202" s="13">
        <v>1</v>
      </c>
      <c r="M202" s="13">
        <v>1</v>
      </c>
      <c r="N202" s="13">
        <v>1</v>
      </c>
      <c r="O202" s="13">
        <v>1</v>
      </c>
      <c r="P202" s="13">
        <v>0.85</v>
      </c>
      <c r="Q202" s="13">
        <v>1</v>
      </c>
      <c r="R202" s="13">
        <v>1</v>
      </c>
      <c r="S202" s="13">
        <v>1</v>
      </c>
      <c r="T202" s="13">
        <v>1</v>
      </c>
      <c r="U202" s="13">
        <v>1</v>
      </c>
      <c r="V202" s="13">
        <v>1</v>
      </c>
      <c r="W202" s="13">
        <v>1</v>
      </c>
      <c r="X202" s="13">
        <v>1</v>
      </c>
      <c r="Y202" s="13">
        <v>1</v>
      </c>
      <c r="Z202" s="13">
        <v>1</v>
      </c>
      <c r="AA202" s="13">
        <v>1</v>
      </c>
      <c r="AB202" s="13">
        <v>1</v>
      </c>
      <c r="AC202" s="13">
        <v>1</v>
      </c>
      <c r="AD202" s="13">
        <v>1</v>
      </c>
      <c r="AE202" s="13">
        <v>1</v>
      </c>
      <c r="AF202" s="13">
        <v>1</v>
      </c>
      <c r="AG202" s="13">
        <v>1</v>
      </c>
      <c r="AH202" s="13">
        <v>1</v>
      </c>
      <c r="AI202" s="13">
        <v>1</v>
      </c>
      <c r="AJ202" s="13">
        <v>1</v>
      </c>
      <c r="AK202" s="13">
        <v>1</v>
      </c>
      <c r="AL202" s="13">
        <v>1</v>
      </c>
      <c r="AM202" s="13">
        <v>1</v>
      </c>
      <c r="AN202" s="13">
        <v>1</v>
      </c>
      <c r="AO202" s="13">
        <v>1</v>
      </c>
      <c r="AP202" s="13">
        <v>1</v>
      </c>
      <c r="AQ202" s="13">
        <v>1</v>
      </c>
      <c r="AR202" s="13">
        <v>1</v>
      </c>
    </row>
    <row r="203" spans="2:44" ht="12.75">
      <c r="B203" s="6"/>
      <c r="C203" s="14" t="s">
        <v>159</v>
      </c>
      <c r="D203" s="14" t="s">
        <v>160</v>
      </c>
      <c r="E203" s="6"/>
      <c r="F203" s="6" t="s">
        <v>103</v>
      </c>
      <c r="G203" s="12"/>
      <c r="H203" s="13">
        <v>1</v>
      </c>
      <c r="I203" s="13">
        <v>1</v>
      </c>
      <c r="J203" s="13">
        <v>1</v>
      </c>
      <c r="K203" s="13">
        <v>1</v>
      </c>
      <c r="L203" s="13">
        <v>1</v>
      </c>
      <c r="M203" s="13">
        <v>1</v>
      </c>
      <c r="N203" s="13">
        <v>1</v>
      </c>
      <c r="O203" s="13">
        <v>1</v>
      </c>
      <c r="P203" s="13">
        <v>0.85</v>
      </c>
      <c r="Q203" s="13">
        <v>1</v>
      </c>
      <c r="R203" s="13">
        <v>1</v>
      </c>
      <c r="S203" s="13">
        <v>1</v>
      </c>
      <c r="T203" s="13">
        <v>1</v>
      </c>
      <c r="U203" s="13">
        <v>1</v>
      </c>
      <c r="V203" s="13">
        <v>1</v>
      </c>
      <c r="W203" s="13">
        <v>1</v>
      </c>
      <c r="X203" s="13">
        <v>1</v>
      </c>
      <c r="Y203" s="13">
        <v>1</v>
      </c>
      <c r="Z203" s="13">
        <v>1</v>
      </c>
      <c r="AA203" s="13">
        <v>1</v>
      </c>
      <c r="AB203" s="13">
        <v>1</v>
      </c>
      <c r="AC203" s="13">
        <v>1</v>
      </c>
      <c r="AD203" s="13">
        <v>1</v>
      </c>
      <c r="AE203" s="13">
        <v>1</v>
      </c>
      <c r="AF203" s="13">
        <v>1</v>
      </c>
      <c r="AG203" s="13">
        <v>1</v>
      </c>
      <c r="AH203" s="13">
        <v>1</v>
      </c>
      <c r="AI203" s="13">
        <v>1</v>
      </c>
      <c r="AJ203" s="13">
        <v>1</v>
      </c>
      <c r="AK203" s="13">
        <v>1</v>
      </c>
      <c r="AL203" s="13">
        <v>1</v>
      </c>
      <c r="AM203" s="13">
        <v>1</v>
      </c>
      <c r="AN203" s="13">
        <v>1</v>
      </c>
      <c r="AO203" s="13">
        <v>1</v>
      </c>
      <c r="AP203" s="13">
        <v>1</v>
      </c>
      <c r="AQ203" s="13">
        <v>1</v>
      </c>
      <c r="AR203" s="13">
        <v>1</v>
      </c>
    </row>
    <row r="204" spans="2:44" ht="12.75">
      <c r="B204" s="6"/>
      <c r="C204" s="14" t="s">
        <v>159</v>
      </c>
      <c r="D204" s="14" t="s">
        <v>161</v>
      </c>
      <c r="E204" s="6"/>
      <c r="F204" s="6" t="s">
        <v>103</v>
      </c>
      <c r="G204" s="12"/>
      <c r="H204" s="13">
        <v>1</v>
      </c>
      <c r="I204" s="13">
        <v>1</v>
      </c>
      <c r="J204" s="13">
        <v>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0.85</v>
      </c>
      <c r="Q204" s="13">
        <v>1</v>
      </c>
      <c r="R204" s="13">
        <v>1</v>
      </c>
      <c r="S204" s="13">
        <v>1</v>
      </c>
      <c r="T204" s="13">
        <v>1</v>
      </c>
      <c r="U204" s="13">
        <v>1</v>
      </c>
      <c r="V204" s="13">
        <v>1</v>
      </c>
      <c r="W204" s="13">
        <v>1</v>
      </c>
      <c r="X204" s="13">
        <v>1</v>
      </c>
      <c r="Y204" s="13">
        <v>1</v>
      </c>
      <c r="Z204" s="13">
        <v>1</v>
      </c>
      <c r="AA204" s="13">
        <v>1</v>
      </c>
      <c r="AB204" s="13">
        <v>1</v>
      </c>
      <c r="AC204" s="13">
        <v>1</v>
      </c>
      <c r="AD204" s="13">
        <v>1</v>
      </c>
      <c r="AE204" s="13">
        <v>1</v>
      </c>
      <c r="AF204" s="13">
        <v>1</v>
      </c>
      <c r="AG204" s="13">
        <v>1</v>
      </c>
      <c r="AH204" s="13">
        <v>1</v>
      </c>
      <c r="AI204" s="13">
        <v>1</v>
      </c>
      <c r="AJ204" s="13">
        <v>1</v>
      </c>
      <c r="AK204" s="13">
        <v>1</v>
      </c>
      <c r="AL204" s="13">
        <v>1</v>
      </c>
      <c r="AM204" s="13">
        <v>1</v>
      </c>
      <c r="AN204" s="13">
        <v>1</v>
      </c>
      <c r="AO204" s="13">
        <v>1</v>
      </c>
      <c r="AP204" s="13">
        <v>1</v>
      </c>
      <c r="AQ204" s="13">
        <v>1</v>
      </c>
      <c r="AR204" s="13">
        <v>1</v>
      </c>
    </row>
    <row r="205" spans="2:44" ht="12.75">
      <c r="B205" s="6"/>
      <c r="C205" s="14" t="s">
        <v>159</v>
      </c>
      <c r="D205" s="14" t="s">
        <v>162</v>
      </c>
      <c r="E205" s="6"/>
      <c r="F205" s="6" t="s">
        <v>103</v>
      </c>
      <c r="G205" s="12"/>
      <c r="H205" s="13">
        <v>1</v>
      </c>
      <c r="I205" s="13">
        <v>1</v>
      </c>
      <c r="J205" s="13">
        <v>1</v>
      </c>
      <c r="K205" s="13">
        <v>1</v>
      </c>
      <c r="L205" s="13">
        <v>1</v>
      </c>
      <c r="M205" s="13">
        <v>1</v>
      </c>
      <c r="N205" s="13">
        <v>1</v>
      </c>
      <c r="O205" s="13">
        <v>1</v>
      </c>
      <c r="P205" s="13">
        <v>0.85</v>
      </c>
      <c r="Q205" s="13">
        <v>1</v>
      </c>
      <c r="R205" s="13">
        <v>1</v>
      </c>
      <c r="S205" s="13">
        <v>1</v>
      </c>
      <c r="T205" s="13">
        <v>1</v>
      </c>
      <c r="U205" s="13">
        <v>1</v>
      </c>
      <c r="V205" s="13">
        <v>1</v>
      </c>
      <c r="W205" s="13">
        <v>1</v>
      </c>
      <c r="X205" s="13">
        <v>1</v>
      </c>
      <c r="Y205" s="13">
        <v>1</v>
      </c>
      <c r="Z205" s="13">
        <v>1</v>
      </c>
      <c r="AA205" s="13">
        <v>1</v>
      </c>
      <c r="AB205" s="13">
        <v>1</v>
      </c>
      <c r="AC205" s="13">
        <v>1</v>
      </c>
      <c r="AD205" s="13">
        <v>1</v>
      </c>
      <c r="AE205" s="13">
        <v>1</v>
      </c>
      <c r="AF205" s="13">
        <v>1</v>
      </c>
      <c r="AG205" s="13">
        <v>1</v>
      </c>
      <c r="AH205" s="13">
        <v>1</v>
      </c>
      <c r="AI205" s="13">
        <v>1</v>
      </c>
      <c r="AJ205" s="13">
        <v>1</v>
      </c>
      <c r="AK205" s="13">
        <v>1</v>
      </c>
      <c r="AL205" s="13">
        <v>1</v>
      </c>
      <c r="AM205" s="13">
        <v>1</v>
      </c>
      <c r="AN205" s="13">
        <v>1</v>
      </c>
      <c r="AO205" s="13">
        <v>1</v>
      </c>
      <c r="AP205" s="13">
        <v>1</v>
      </c>
      <c r="AQ205" s="13">
        <v>1</v>
      </c>
      <c r="AR205" s="13">
        <v>1</v>
      </c>
    </row>
    <row r="206" spans="2:44" ht="12.75">
      <c r="B206" s="6"/>
      <c r="C206" s="14" t="s">
        <v>159</v>
      </c>
      <c r="D206" s="14" t="s">
        <v>155</v>
      </c>
      <c r="E206" s="6"/>
      <c r="F206" s="6" t="s">
        <v>104</v>
      </c>
      <c r="G206" s="12"/>
      <c r="H206" s="13">
        <v>1</v>
      </c>
      <c r="I206" s="13">
        <v>1</v>
      </c>
      <c r="J206" s="13">
        <v>1</v>
      </c>
      <c r="K206" s="13">
        <v>1</v>
      </c>
      <c r="L206" s="13">
        <v>1</v>
      </c>
      <c r="M206" s="13">
        <v>1</v>
      </c>
      <c r="N206" s="13">
        <v>1</v>
      </c>
      <c r="O206" s="13">
        <v>1</v>
      </c>
      <c r="P206" s="13">
        <v>1</v>
      </c>
      <c r="Q206" s="13">
        <v>1</v>
      </c>
      <c r="R206" s="13">
        <v>1</v>
      </c>
      <c r="S206" s="13">
        <v>1</v>
      </c>
      <c r="T206" s="13">
        <v>1</v>
      </c>
      <c r="U206" s="13">
        <v>1</v>
      </c>
      <c r="V206" s="13">
        <v>1</v>
      </c>
      <c r="W206" s="13">
        <v>1</v>
      </c>
      <c r="X206" s="13">
        <v>1</v>
      </c>
      <c r="Y206" s="13">
        <v>1</v>
      </c>
      <c r="Z206" s="13">
        <v>1</v>
      </c>
      <c r="AA206" s="13">
        <v>1</v>
      </c>
      <c r="AB206" s="13">
        <v>1</v>
      </c>
      <c r="AC206" s="13">
        <v>1</v>
      </c>
      <c r="AD206" s="13">
        <v>1</v>
      </c>
      <c r="AE206" s="13">
        <v>1</v>
      </c>
      <c r="AF206" s="13">
        <v>1</v>
      </c>
      <c r="AG206" s="13">
        <v>1</v>
      </c>
      <c r="AH206" s="13">
        <v>1</v>
      </c>
      <c r="AI206" s="13">
        <v>1</v>
      </c>
      <c r="AJ206" s="13">
        <v>1</v>
      </c>
      <c r="AK206" s="13">
        <v>1</v>
      </c>
      <c r="AL206" s="13">
        <v>1</v>
      </c>
      <c r="AM206" s="13">
        <v>1</v>
      </c>
      <c r="AN206" s="13">
        <v>1</v>
      </c>
      <c r="AO206" s="13">
        <v>1</v>
      </c>
      <c r="AP206" s="13">
        <v>1</v>
      </c>
      <c r="AQ206" s="13">
        <v>1</v>
      </c>
      <c r="AR206" s="13">
        <v>1</v>
      </c>
    </row>
    <row r="207" spans="2:44" ht="12.75">
      <c r="B207" s="6"/>
      <c r="C207" s="14" t="s">
        <v>159</v>
      </c>
      <c r="D207" s="14" t="s">
        <v>163</v>
      </c>
      <c r="E207" s="6"/>
      <c r="F207" s="6" t="s">
        <v>104</v>
      </c>
      <c r="G207" s="12"/>
      <c r="H207" s="13">
        <v>1</v>
      </c>
      <c r="I207" s="13">
        <v>1</v>
      </c>
      <c r="J207" s="13">
        <v>1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1</v>
      </c>
      <c r="R207" s="13">
        <v>1</v>
      </c>
      <c r="S207" s="13">
        <v>1</v>
      </c>
      <c r="T207" s="13">
        <v>1</v>
      </c>
      <c r="U207" s="13">
        <v>1</v>
      </c>
      <c r="V207" s="13">
        <v>1</v>
      </c>
      <c r="W207" s="13">
        <v>1</v>
      </c>
      <c r="X207" s="13">
        <v>1</v>
      </c>
      <c r="Y207" s="13">
        <v>1</v>
      </c>
      <c r="Z207" s="13">
        <v>1</v>
      </c>
      <c r="AA207" s="13">
        <v>1</v>
      </c>
      <c r="AB207" s="13">
        <v>1</v>
      </c>
      <c r="AC207" s="13">
        <v>1</v>
      </c>
      <c r="AD207" s="13">
        <v>1</v>
      </c>
      <c r="AE207" s="13">
        <v>1</v>
      </c>
      <c r="AF207" s="13">
        <v>1</v>
      </c>
      <c r="AG207" s="13">
        <v>1</v>
      </c>
      <c r="AH207" s="13">
        <v>1</v>
      </c>
      <c r="AI207" s="13">
        <v>1</v>
      </c>
      <c r="AJ207" s="13">
        <v>1</v>
      </c>
      <c r="AK207" s="13">
        <v>1</v>
      </c>
      <c r="AL207" s="13">
        <v>1</v>
      </c>
      <c r="AM207" s="13">
        <v>1</v>
      </c>
      <c r="AN207" s="13">
        <v>1</v>
      </c>
      <c r="AO207" s="13">
        <v>1</v>
      </c>
      <c r="AP207" s="13">
        <v>1</v>
      </c>
      <c r="AQ207" s="13">
        <v>1</v>
      </c>
      <c r="AR207" s="13">
        <v>1</v>
      </c>
    </row>
    <row r="208" spans="2:44" ht="12.75">
      <c r="B208" s="6"/>
      <c r="C208" s="14" t="s">
        <v>159</v>
      </c>
      <c r="D208" s="14" t="s">
        <v>101</v>
      </c>
      <c r="E208" s="6"/>
      <c r="F208" s="6" t="s">
        <v>104</v>
      </c>
      <c r="G208" s="12"/>
      <c r="H208" s="13">
        <v>1</v>
      </c>
      <c r="I208" s="13">
        <v>1</v>
      </c>
      <c r="J208" s="13">
        <v>1</v>
      </c>
      <c r="K208" s="13">
        <v>1</v>
      </c>
      <c r="L208" s="13">
        <v>1</v>
      </c>
      <c r="M208" s="13">
        <v>1</v>
      </c>
      <c r="N208" s="13">
        <v>1</v>
      </c>
      <c r="O208" s="13">
        <v>1</v>
      </c>
      <c r="P208" s="13">
        <v>1</v>
      </c>
      <c r="Q208" s="13">
        <v>1</v>
      </c>
      <c r="R208" s="13">
        <v>1</v>
      </c>
      <c r="S208" s="13">
        <v>1</v>
      </c>
      <c r="T208" s="13">
        <v>1</v>
      </c>
      <c r="U208" s="13">
        <v>1</v>
      </c>
      <c r="V208" s="13">
        <v>1</v>
      </c>
      <c r="W208" s="13">
        <v>1</v>
      </c>
      <c r="X208" s="13">
        <v>1</v>
      </c>
      <c r="Y208" s="13">
        <v>1</v>
      </c>
      <c r="Z208" s="13">
        <v>1</v>
      </c>
      <c r="AA208" s="13">
        <v>1</v>
      </c>
      <c r="AB208" s="13">
        <v>1</v>
      </c>
      <c r="AC208" s="13">
        <v>1</v>
      </c>
      <c r="AD208" s="13">
        <v>1</v>
      </c>
      <c r="AE208" s="13">
        <v>1</v>
      </c>
      <c r="AF208" s="13">
        <v>1</v>
      </c>
      <c r="AG208" s="13">
        <v>1</v>
      </c>
      <c r="AH208" s="13">
        <v>1</v>
      </c>
      <c r="AI208" s="13">
        <v>1</v>
      </c>
      <c r="AJ208" s="13">
        <v>1</v>
      </c>
      <c r="AK208" s="13">
        <v>1</v>
      </c>
      <c r="AL208" s="13">
        <v>1</v>
      </c>
      <c r="AM208" s="13">
        <v>1</v>
      </c>
      <c r="AN208" s="13">
        <v>1</v>
      </c>
      <c r="AO208" s="13">
        <v>1</v>
      </c>
      <c r="AP208" s="13">
        <v>1</v>
      </c>
      <c r="AQ208" s="13">
        <v>1</v>
      </c>
      <c r="AR208" s="13">
        <v>1</v>
      </c>
    </row>
    <row r="209" spans="2:44" ht="12.75">
      <c r="B209" s="6"/>
      <c r="C209" s="14" t="s">
        <v>164</v>
      </c>
      <c r="D209" s="14" t="s">
        <v>49</v>
      </c>
      <c r="E209" s="6"/>
      <c r="F209" s="6" t="s">
        <v>103</v>
      </c>
      <c r="G209" s="12"/>
      <c r="H209" s="13">
        <v>1</v>
      </c>
      <c r="I209" s="13">
        <v>1</v>
      </c>
      <c r="J209" s="13">
        <v>1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0.85</v>
      </c>
      <c r="Q209" s="13">
        <v>1</v>
      </c>
      <c r="R209" s="13">
        <v>1</v>
      </c>
      <c r="S209" s="13">
        <v>1</v>
      </c>
      <c r="T209" s="13">
        <v>1</v>
      </c>
      <c r="U209" s="13">
        <v>1</v>
      </c>
      <c r="V209" s="13">
        <v>1</v>
      </c>
      <c r="W209" s="13">
        <v>1</v>
      </c>
      <c r="X209" s="13">
        <v>1</v>
      </c>
      <c r="Y209" s="13">
        <v>1</v>
      </c>
      <c r="Z209" s="13">
        <v>1</v>
      </c>
      <c r="AA209" s="13">
        <v>1</v>
      </c>
      <c r="AB209" s="13">
        <v>1</v>
      </c>
      <c r="AC209" s="13">
        <v>1</v>
      </c>
      <c r="AD209" s="13">
        <v>1</v>
      </c>
      <c r="AE209" s="13">
        <v>1</v>
      </c>
      <c r="AF209" s="13">
        <v>1</v>
      </c>
      <c r="AG209" s="13">
        <v>1</v>
      </c>
      <c r="AH209" s="13">
        <v>1</v>
      </c>
      <c r="AI209" s="13">
        <v>1</v>
      </c>
      <c r="AJ209" s="13">
        <v>1</v>
      </c>
      <c r="AK209" s="13">
        <v>1</v>
      </c>
      <c r="AL209" s="13">
        <v>1</v>
      </c>
      <c r="AM209" s="13">
        <v>1</v>
      </c>
      <c r="AN209" s="13">
        <v>1</v>
      </c>
      <c r="AO209" s="13">
        <v>1</v>
      </c>
      <c r="AP209" s="13">
        <v>1</v>
      </c>
      <c r="AQ209" s="13">
        <v>1</v>
      </c>
      <c r="AR209" s="13">
        <v>1</v>
      </c>
    </row>
    <row r="210" spans="2:44" ht="12.75">
      <c r="B210" s="6"/>
      <c r="C210" s="14" t="s">
        <v>164</v>
      </c>
      <c r="D210" s="14" t="s">
        <v>37</v>
      </c>
      <c r="E210" s="6"/>
      <c r="F210" s="6" t="s">
        <v>103</v>
      </c>
      <c r="G210" s="12"/>
      <c r="H210" s="13">
        <v>1</v>
      </c>
      <c r="I210" s="13">
        <v>1</v>
      </c>
      <c r="J210" s="13">
        <v>1</v>
      </c>
      <c r="K210" s="13">
        <v>1</v>
      </c>
      <c r="L210" s="13">
        <v>1</v>
      </c>
      <c r="M210" s="13">
        <v>1</v>
      </c>
      <c r="N210" s="13">
        <v>1</v>
      </c>
      <c r="O210" s="13">
        <v>1</v>
      </c>
      <c r="P210" s="13">
        <v>0.85</v>
      </c>
      <c r="Q210" s="13">
        <v>1</v>
      </c>
      <c r="R210" s="13">
        <v>1</v>
      </c>
      <c r="S210" s="13">
        <v>1</v>
      </c>
      <c r="T210" s="13">
        <v>1</v>
      </c>
      <c r="U210" s="13">
        <v>1</v>
      </c>
      <c r="V210" s="13">
        <v>1</v>
      </c>
      <c r="W210" s="13">
        <v>1</v>
      </c>
      <c r="X210" s="13">
        <v>1</v>
      </c>
      <c r="Y210" s="13">
        <v>1</v>
      </c>
      <c r="Z210" s="13">
        <v>1</v>
      </c>
      <c r="AA210" s="13">
        <v>1</v>
      </c>
      <c r="AB210" s="13">
        <v>1</v>
      </c>
      <c r="AC210" s="13">
        <v>1</v>
      </c>
      <c r="AD210" s="13">
        <v>1</v>
      </c>
      <c r="AE210" s="13">
        <v>1</v>
      </c>
      <c r="AF210" s="13">
        <v>1</v>
      </c>
      <c r="AG210" s="13">
        <v>1</v>
      </c>
      <c r="AH210" s="13">
        <v>1</v>
      </c>
      <c r="AI210" s="13">
        <v>1</v>
      </c>
      <c r="AJ210" s="13">
        <v>1</v>
      </c>
      <c r="AK210" s="13">
        <v>1</v>
      </c>
      <c r="AL210" s="13">
        <v>1</v>
      </c>
      <c r="AM210" s="13">
        <v>1</v>
      </c>
      <c r="AN210" s="13">
        <v>1</v>
      </c>
      <c r="AO210" s="13">
        <v>1</v>
      </c>
      <c r="AP210" s="13">
        <v>1</v>
      </c>
      <c r="AQ210" s="13">
        <v>1</v>
      </c>
      <c r="AR210" s="13">
        <v>1</v>
      </c>
    </row>
    <row r="211" spans="2:44" ht="12.75">
      <c r="B211" s="6"/>
      <c r="C211" s="14" t="s">
        <v>164</v>
      </c>
      <c r="D211" s="14" t="s">
        <v>38</v>
      </c>
      <c r="E211" s="6"/>
      <c r="F211" s="6" t="s">
        <v>103</v>
      </c>
      <c r="G211" s="12"/>
      <c r="H211" s="13">
        <v>1</v>
      </c>
      <c r="I211" s="13">
        <v>1</v>
      </c>
      <c r="J211" s="13">
        <v>1</v>
      </c>
      <c r="K211" s="13">
        <v>1</v>
      </c>
      <c r="L211" s="13">
        <v>1</v>
      </c>
      <c r="M211" s="13">
        <v>1</v>
      </c>
      <c r="N211" s="13">
        <v>1</v>
      </c>
      <c r="O211" s="13">
        <v>1</v>
      </c>
      <c r="P211" s="13">
        <v>0.85</v>
      </c>
      <c r="Q211" s="13">
        <v>1</v>
      </c>
      <c r="R211" s="13">
        <v>1</v>
      </c>
      <c r="S211" s="13">
        <v>1</v>
      </c>
      <c r="T211" s="13">
        <v>1</v>
      </c>
      <c r="U211" s="13">
        <v>1</v>
      </c>
      <c r="V211" s="13">
        <v>1</v>
      </c>
      <c r="W211" s="13">
        <v>1</v>
      </c>
      <c r="X211" s="13">
        <v>1</v>
      </c>
      <c r="Y211" s="13">
        <v>1</v>
      </c>
      <c r="Z211" s="13">
        <v>1</v>
      </c>
      <c r="AA211" s="13">
        <v>1</v>
      </c>
      <c r="AB211" s="13">
        <v>1</v>
      </c>
      <c r="AC211" s="13">
        <v>1</v>
      </c>
      <c r="AD211" s="13">
        <v>1</v>
      </c>
      <c r="AE211" s="13">
        <v>1</v>
      </c>
      <c r="AF211" s="13">
        <v>1</v>
      </c>
      <c r="AG211" s="13">
        <v>1</v>
      </c>
      <c r="AH211" s="13">
        <v>1</v>
      </c>
      <c r="AI211" s="13">
        <v>1</v>
      </c>
      <c r="AJ211" s="13">
        <v>1</v>
      </c>
      <c r="AK211" s="13">
        <v>1</v>
      </c>
      <c r="AL211" s="13">
        <v>1</v>
      </c>
      <c r="AM211" s="13">
        <v>1</v>
      </c>
      <c r="AN211" s="13">
        <v>1</v>
      </c>
      <c r="AO211" s="13">
        <v>1</v>
      </c>
      <c r="AP211" s="13">
        <v>1</v>
      </c>
      <c r="AQ211" s="13">
        <v>1</v>
      </c>
      <c r="AR211" s="13">
        <v>1</v>
      </c>
    </row>
    <row r="212" spans="2:44" ht="12.75">
      <c r="B212" s="6"/>
      <c r="C212" s="14" t="s">
        <v>164</v>
      </c>
      <c r="D212" s="14" t="s">
        <v>43</v>
      </c>
      <c r="E212" s="6"/>
      <c r="F212" s="6" t="s">
        <v>103</v>
      </c>
      <c r="G212" s="12"/>
      <c r="H212" s="13">
        <v>1</v>
      </c>
      <c r="I212" s="13">
        <v>1</v>
      </c>
      <c r="J212" s="13">
        <v>1</v>
      </c>
      <c r="K212" s="13">
        <v>1</v>
      </c>
      <c r="L212" s="13">
        <v>1</v>
      </c>
      <c r="M212" s="13">
        <v>1</v>
      </c>
      <c r="N212" s="13">
        <v>1</v>
      </c>
      <c r="O212" s="13">
        <v>1</v>
      </c>
      <c r="P212" s="13">
        <v>0.85</v>
      </c>
      <c r="Q212" s="13">
        <v>1</v>
      </c>
      <c r="R212" s="13">
        <v>1</v>
      </c>
      <c r="S212" s="13">
        <v>1</v>
      </c>
      <c r="T212" s="13">
        <v>1</v>
      </c>
      <c r="U212" s="13">
        <v>1</v>
      </c>
      <c r="V212" s="13">
        <v>1</v>
      </c>
      <c r="W212" s="13">
        <v>1</v>
      </c>
      <c r="X212" s="13">
        <v>1</v>
      </c>
      <c r="Y212" s="13">
        <v>1</v>
      </c>
      <c r="Z212" s="13">
        <v>1</v>
      </c>
      <c r="AA212" s="13">
        <v>1</v>
      </c>
      <c r="AB212" s="13">
        <v>1</v>
      </c>
      <c r="AC212" s="13">
        <v>1</v>
      </c>
      <c r="AD212" s="13">
        <v>1</v>
      </c>
      <c r="AE212" s="13">
        <v>1</v>
      </c>
      <c r="AF212" s="13">
        <v>1</v>
      </c>
      <c r="AG212" s="13">
        <v>1</v>
      </c>
      <c r="AH212" s="13">
        <v>1</v>
      </c>
      <c r="AI212" s="13">
        <v>1</v>
      </c>
      <c r="AJ212" s="13">
        <v>1</v>
      </c>
      <c r="AK212" s="13">
        <v>1</v>
      </c>
      <c r="AL212" s="13">
        <v>1</v>
      </c>
      <c r="AM212" s="13">
        <v>1</v>
      </c>
      <c r="AN212" s="13">
        <v>1</v>
      </c>
      <c r="AO212" s="13">
        <v>1</v>
      </c>
      <c r="AP212" s="13">
        <v>1</v>
      </c>
      <c r="AQ212" s="13">
        <v>1</v>
      </c>
      <c r="AR212" s="13">
        <v>1</v>
      </c>
    </row>
    <row r="213" spans="2:44" ht="12.75">
      <c r="B213" s="6"/>
      <c r="C213" s="14" t="s">
        <v>164</v>
      </c>
      <c r="D213" s="14" t="s">
        <v>59</v>
      </c>
      <c r="E213" s="6"/>
      <c r="F213" s="6" t="s">
        <v>103</v>
      </c>
      <c r="G213" s="12"/>
      <c r="H213" s="13">
        <v>1</v>
      </c>
      <c r="I213" s="13">
        <v>1</v>
      </c>
      <c r="J213" s="13">
        <v>1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0.85</v>
      </c>
      <c r="Q213" s="13">
        <v>1</v>
      </c>
      <c r="R213" s="13">
        <v>1</v>
      </c>
      <c r="S213" s="13">
        <v>1</v>
      </c>
      <c r="T213" s="13">
        <v>1</v>
      </c>
      <c r="U213" s="13">
        <v>1</v>
      </c>
      <c r="V213" s="13">
        <v>1</v>
      </c>
      <c r="W213" s="13">
        <v>1</v>
      </c>
      <c r="X213" s="13">
        <v>1</v>
      </c>
      <c r="Y213" s="13">
        <v>1</v>
      </c>
      <c r="Z213" s="13">
        <v>1</v>
      </c>
      <c r="AA213" s="13">
        <v>1</v>
      </c>
      <c r="AB213" s="13">
        <v>1</v>
      </c>
      <c r="AC213" s="13">
        <v>1</v>
      </c>
      <c r="AD213" s="13">
        <v>1</v>
      </c>
      <c r="AE213" s="13">
        <v>1</v>
      </c>
      <c r="AF213" s="13">
        <v>1</v>
      </c>
      <c r="AG213" s="13">
        <v>1</v>
      </c>
      <c r="AH213" s="13">
        <v>1</v>
      </c>
      <c r="AI213" s="13">
        <v>1</v>
      </c>
      <c r="AJ213" s="13">
        <v>1</v>
      </c>
      <c r="AK213" s="13">
        <v>1</v>
      </c>
      <c r="AL213" s="13">
        <v>1</v>
      </c>
      <c r="AM213" s="13">
        <v>1</v>
      </c>
      <c r="AN213" s="13">
        <v>1</v>
      </c>
      <c r="AO213" s="13">
        <v>1</v>
      </c>
      <c r="AP213" s="13">
        <v>1</v>
      </c>
      <c r="AQ213" s="13">
        <v>1</v>
      </c>
      <c r="AR213" s="13">
        <v>1</v>
      </c>
    </row>
    <row r="214" spans="2:44" ht="12.75">
      <c r="B214" s="6"/>
      <c r="C214" s="14" t="s">
        <v>164</v>
      </c>
      <c r="D214" s="14" t="s">
        <v>162</v>
      </c>
      <c r="E214" s="6"/>
      <c r="F214" s="6" t="s">
        <v>103</v>
      </c>
      <c r="G214" s="12"/>
      <c r="H214" s="13">
        <v>1</v>
      </c>
      <c r="I214" s="13">
        <v>1</v>
      </c>
      <c r="J214" s="13">
        <v>1</v>
      </c>
      <c r="K214" s="13">
        <v>1</v>
      </c>
      <c r="L214" s="13">
        <v>1</v>
      </c>
      <c r="M214" s="13">
        <v>1</v>
      </c>
      <c r="N214" s="13">
        <v>1</v>
      </c>
      <c r="O214" s="13">
        <v>1</v>
      </c>
      <c r="P214" s="13">
        <v>0.85</v>
      </c>
      <c r="Q214" s="13">
        <v>1</v>
      </c>
      <c r="R214" s="13">
        <v>1</v>
      </c>
      <c r="S214" s="13">
        <v>1</v>
      </c>
      <c r="T214" s="13">
        <v>1</v>
      </c>
      <c r="U214" s="13">
        <v>1</v>
      </c>
      <c r="V214" s="13">
        <v>1</v>
      </c>
      <c r="W214" s="13">
        <v>1</v>
      </c>
      <c r="X214" s="13">
        <v>1</v>
      </c>
      <c r="Y214" s="13">
        <v>1</v>
      </c>
      <c r="Z214" s="13">
        <v>1</v>
      </c>
      <c r="AA214" s="13">
        <v>1</v>
      </c>
      <c r="AB214" s="13">
        <v>1</v>
      </c>
      <c r="AC214" s="13">
        <v>1</v>
      </c>
      <c r="AD214" s="13">
        <v>1</v>
      </c>
      <c r="AE214" s="13">
        <v>1</v>
      </c>
      <c r="AF214" s="13">
        <v>1</v>
      </c>
      <c r="AG214" s="13">
        <v>1</v>
      </c>
      <c r="AH214" s="13">
        <v>1</v>
      </c>
      <c r="AI214" s="13">
        <v>1</v>
      </c>
      <c r="AJ214" s="13">
        <v>1</v>
      </c>
      <c r="AK214" s="13">
        <v>1</v>
      </c>
      <c r="AL214" s="13">
        <v>1</v>
      </c>
      <c r="AM214" s="13">
        <v>1</v>
      </c>
      <c r="AN214" s="13">
        <v>1</v>
      </c>
      <c r="AO214" s="13">
        <v>1</v>
      </c>
      <c r="AP214" s="13">
        <v>1</v>
      </c>
      <c r="AQ214" s="13">
        <v>1</v>
      </c>
      <c r="AR214" s="13">
        <v>1</v>
      </c>
    </row>
    <row r="215" spans="2:44" ht="12.75">
      <c r="B215" s="6"/>
      <c r="C215" s="14" t="s">
        <v>164</v>
      </c>
      <c r="D215" s="14" t="s">
        <v>155</v>
      </c>
      <c r="E215" s="6"/>
      <c r="F215" s="6" t="s">
        <v>104</v>
      </c>
      <c r="G215" s="12"/>
      <c r="H215" s="13">
        <v>1</v>
      </c>
      <c r="I215" s="13">
        <v>1</v>
      </c>
      <c r="J215" s="13">
        <v>1</v>
      </c>
      <c r="K215" s="13">
        <v>1</v>
      </c>
      <c r="L215" s="13">
        <v>1</v>
      </c>
      <c r="M215" s="13">
        <v>1</v>
      </c>
      <c r="N215" s="13">
        <v>1</v>
      </c>
      <c r="O215" s="13">
        <v>1</v>
      </c>
      <c r="P215" s="13">
        <v>1</v>
      </c>
      <c r="Q215" s="13">
        <v>1</v>
      </c>
      <c r="R215" s="13">
        <v>1</v>
      </c>
      <c r="S215" s="13">
        <v>1</v>
      </c>
      <c r="T215" s="13">
        <v>1</v>
      </c>
      <c r="U215" s="13">
        <v>1</v>
      </c>
      <c r="V215" s="13">
        <v>1</v>
      </c>
      <c r="W215" s="13">
        <v>1</v>
      </c>
      <c r="X215" s="13">
        <v>1</v>
      </c>
      <c r="Y215" s="13">
        <v>1</v>
      </c>
      <c r="Z215" s="13">
        <v>1</v>
      </c>
      <c r="AA215" s="13">
        <v>1</v>
      </c>
      <c r="AB215" s="13">
        <v>1</v>
      </c>
      <c r="AC215" s="13">
        <v>1</v>
      </c>
      <c r="AD215" s="13">
        <v>1</v>
      </c>
      <c r="AE215" s="13">
        <v>1</v>
      </c>
      <c r="AF215" s="13">
        <v>1</v>
      </c>
      <c r="AG215" s="13">
        <v>1</v>
      </c>
      <c r="AH215" s="13">
        <v>1</v>
      </c>
      <c r="AI215" s="13">
        <v>1</v>
      </c>
      <c r="AJ215" s="13">
        <v>1</v>
      </c>
      <c r="AK215" s="13">
        <v>1</v>
      </c>
      <c r="AL215" s="13">
        <v>1</v>
      </c>
      <c r="AM215" s="13">
        <v>1</v>
      </c>
      <c r="AN215" s="13">
        <v>1</v>
      </c>
      <c r="AO215" s="13">
        <v>1</v>
      </c>
      <c r="AP215" s="13">
        <v>1</v>
      </c>
      <c r="AQ215" s="13">
        <v>1</v>
      </c>
      <c r="AR215" s="13">
        <v>1</v>
      </c>
    </row>
    <row r="216" spans="2:44" ht="12.75">
      <c r="B216" s="6"/>
      <c r="C216" s="14" t="s">
        <v>164</v>
      </c>
      <c r="D216" s="14" t="s">
        <v>59</v>
      </c>
      <c r="E216" s="6"/>
      <c r="F216" s="6" t="s">
        <v>104</v>
      </c>
      <c r="G216" s="12"/>
      <c r="H216" s="13">
        <v>1</v>
      </c>
      <c r="I216" s="13">
        <v>1</v>
      </c>
      <c r="J216" s="13">
        <v>1</v>
      </c>
      <c r="K216" s="13">
        <v>1</v>
      </c>
      <c r="L216" s="13">
        <v>1</v>
      </c>
      <c r="M216" s="13">
        <v>1</v>
      </c>
      <c r="N216" s="13">
        <v>1</v>
      </c>
      <c r="O216" s="13">
        <v>1</v>
      </c>
      <c r="P216" s="13">
        <v>1</v>
      </c>
      <c r="Q216" s="13">
        <v>1</v>
      </c>
      <c r="R216" s="13">
        <v>1</v>
      </c>
      <c r="S216" s="13">
        <v>1</v>
      </c>
      <c r="T216" s="13">
        <v>1</v>
      </c>
      <c r="U216" s="13">
        <v>1</v>
      </c>
      <c r="V216" s="13">
        <v>1</v>
      </c>
      <c r="W216" s="13">
        <v>1</v>
      </c>
      <c r="X216" s="13">
        <v>1</v>
      </c>
      <c r="Y216" s="13">
        <v>1</v>
      </c>
      <c r="Z216" s="13">
        <v>1</v>
      </c>
      <c r="AA216" s="13">
        <v>1</v>
      </c>
      <c r="AB216" s="13">
        <v>1</v>
      </c>
      <c r="AC216" s="13">
        <v>1</v>
      </c>
      <c r="AD216" s="13">
        <v>1</v>
      </c>
      <c r="AE216" s="13">
        <v>1</v>
      </c>
      <c r="AF216" s="13">
        <v>1</v>
      </c>
      <c r="AG216" s="13">
        <v>1</v>
      </c>
      <c r="AH216" s="13">
        <v>1</v>
      </c>
      <c r="AI216" s="13">
        <v>1</v>
      </c>
      <c r="AJ216" s="13">
        <v>1</v>
      </c>
      <c r="AK216" s="13">
        <v>1</v>
      </c>
      <c r="AL216" s="13">
        <v>1</v>
      </c>
      <c r="AM216" s="13">
        <v>1</v>
      </c>
      <c r="AN216" s="13">
        <v>1</v>
      </c>
      <c r="AO216" s="13">
        <v>1</v>
      </c>
      <c r="AP216" s="13">
        <v>1</v>
      </c>
      <c r="AQ216" s="13">
        <v>1</v>
      </c>
      <c r="AR216" s="13">
        <v>1</v>
      </c>
    </row>
    <row r="217" spans="2:44" ht="12.75">
      <c r="B217" s="6"/>
      <c r="C217" s="14" t="s">
        <v>164</v>
      </c>
      <c r="D217" s="14" t="s">
        <v>101</v>
      </c>
      <c r="E217" s="6"/>
      <c r="F217" s="6" t="s">
        <v>104</v>
      </c>
      <c r="G217" s="12"/>
      <c r="H217" s="13">
        <v>1</v>
      </c>
      <c r="I217" s="13">
        <v>1</v>
      </c>
      <c r="J217" s="13">
        <v>1</v>
      </c>
      <c r="K217" s="13">
        <v>1</v>
      </c>
      <c r="L217" s="13">
        <v>1</v>
      </c>
      <c r="M217" s="13">
        <v>1</v>
      </c>
      <c r="N217" s="13">
        <v>1</v>
      </c>
      <c r="O217" s="13">
        <v>1</v>
      </c>
      <c r="P217" s="13">
        <v>1</v>
      </c>
      <c r="Q217" s="13">
        <v>1</v>
      </c>
      <c r="R217" s="13">
        <v>1</v>
      </c>
      <c r="S217" s="13">
        <v>1</v>
      </c>
      <c r="T217" s="13">
        <v>1</v>
      </c>
      <c r="U217" s="13">
        <v>1</v>
      </c>
      <c r="V217" s="13">
        <v>1</v>
      </c>
      <c r="W217" s="13">
        <v>1</v>
      </c>
      <c r="X217" s="13">
        <v>1</v>
      </c>
      <c r="Y217" s="13">
        <v>1</v>
      </c>
      <c r="Z217" s="13">
        <v>1</v>
      </c>
      <c r="AA217" s="13">
        <v>1</v>
      </c>
      <c r="AB217" s="13">
        <v>1</v>
      </c>
      <c r="AC217" s="13">
        <v>1</v>
      </c>
      <c r="AD217" s="13">
        <v>1</v>
      </c>
      <c r="AE217" s="13">
        <v>1</v>
      </c>
      <c r="AF217" s="13">
        <v>1</v>
      </c>
      <c r="AG217" s="13">
        <v>1</v>
      </c>
      <c r="AH217" s="13">
        <v>1</v>
      </c>
      <c r="AI217" s="13">
        <v>1</v>
      </c>
      <c r="AJ217" s="13">
        <v>1</v>
      </c>
      <c r="AK217" s="13">
        <v>1</v>
      </c>
      <c r="AL217" s="13">
        <v>1</v>
      </c>
      <c r="AM217" s="13">
        <v>1</v>
      </c>
      <c r="AN217" s="13">
        <v>1</v>
      </c>
      <c r="AO217" s="13">
        <v>1</v>
      </c>
      <c r="AP217" s="13">
        <v>1</v>
      </c>
      <c r="AQ217" s="13">
        <v>1</v>
      </c>
      <c r="AR217" s="13">
        <v>1</v>
      </c>
    </row>
    <row r="218" spans="2:44" ht="12.75">
      <c r="B218" s="6"/>
      <c r="C218" s="14" t="s">
        <v>165</v>
      </c>
      <c r="D218" s="14" t="s">
        <v>37</v>
      </c>
      <c r="E218" s="6"/>
      <c r="F218" s="6" t="s">
        <v>103</v>
      </c>
      <c r="G218" s="12"/>
      <c r="H218" s="13">
        <v>1</v>
      </c>
      <c r="I218" s="13">
        <v>1</v>
      </c>
      <c r="J218" s="13">
        <v>1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0.85</v>
      </c>
      <c r="Q218" s="13">
        <v>1</v>
      </c>
      <c r="R218" s="13">
        <v>1</v>
      </c>
      <c r="S218" s="13">
        <v>1</v>
      </c>
      <c r="T218" s="13">
        <v>1</v>
      </c>
      <c r="U218" s="13">
        <v>1</v>
      </c>
      <c r="V218" s="13">
        <v>1</v>
      </c>
      <c r="W218" s="13">
        <v>1</v>
      </c>
      <c r="X218" s="13">
        <v>1</v>
      </c>
      <c r="Y218" s="13">
        <v>1</v>
      </c>
      <c r="Z218" s="13">
        <v>1</v>
      </c>
      <c r="AA218" s="13">
        <v>1</v>
      </c>
      <c r="AB218" s="13">
        <v>1</v>
      </c>
      <c r="AC218" s="13">
        <v>1</v>
      </c>
      <c r="AD218" s="13">
        <v>1</v>
      </c>
      <c r="AE218" s="13">
        <v>1</v>
      </c>
      <c r="AF218" s="13">
        <v>1</v>
      </c>
      <c r="AG218" s="13">
        <v>1</v>
      </c>
      <c r="AH218" s="13">
        <v>1</v>
      </c>
      <c r="AI218" s="13">
        <v>1</v>
      </c>
      <c r="AJ218" s="13">
        <v>1</v>
      </c>
      <c r="AK218" s="13">
        <v>1</v>
      </c>
      <c r="AL218" s="13">
        <v>1</v>
      </c>
      <c r="AM218" s="13">
        <v>1</v>
      </c>
      <c r="AN218" s="13">
        <v>1</v>
      </c>
      <c r="AO218" s="13">
        <v>1</v>
      </c>
      <c r="AP218" s="13">
        <v>1</v>
      </c>
      <c r="AQ218" s="13">
        <v>1</v>
      </c>
      <c r="AR218" s="13">
        <v>1</v>
      </c>
    </row>
    <row r="219" spans="2:44" ht="12.75">
      <c r="B219" s="6"/>
      <c r="C219" s="14" t="s">
        <v>165</v>
      </c>
      <c r="D219" s="14" t="s">
        <v>59</v>
      </c>
      <c r="E219" s="6"/>
      <c r="F219" s="6" t="s">
        <v>103</v>
      </c>
      <c r="G219" s="12"/>
      <c r="H219" s="13">
        <v>1</v>
      </c>
      <c r="I219" s="13">
        <v>1</v>
      </c>
      <c r="J219" s="13">
        <v>1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0.85</v>
      </c>
      <c r="Q219" s="13">
        <v>1</v>
      </c>
      <c r="R219" s="13">
        <v>1</v>
      </c>
      <c r="S219" s="13">
        <v>1</v>
      </c>
      <c r="T219" s="13">
        <v>1</v>
      </c>
      <c r="U219" s="13">
        <v>1</v>
      </c>
      <c r="V219" s="13">
        <v>1</v>
      </c>
      <c r="W219" s="13">
        <v>1</v>
      </c>
      <c r="X219" s="13">
        <v>1</v>
      </c>
      <c r="Y219" s="13">
        <v>1</v>
      </c>
      <c r="Z219" s="13">
        <v>1</v>
      </c>
      <c r="AA219" s="13">
        <v>1</v>
      </c>
      <c r="AB219" s="13">
        <v>1</v>
      </c>
      <c r="AC219" s="13">
        <v>1</v>
      </c>
      <c r="AD219" s="13">
        <v>1</v>
      </c>
      <c r="AE219" s="13">
        <v>1</v>
      </c>
      <c r="AF219" s="13">
        <v>1</v>
      </c>
      <c r="AG219" s="13">
        <v>1</v>
      </c>
      <c r="AH219" s="13">
        <v>1</v>
      </c>
      <c r="AI219" s="13">
        <v>1</v>
      </c>
      <c r="AJ219" s="13">
        <v>1</v>
      </c>
      <c r="AK219" s="13">
        <v>1</v>
      </c>
      <c r="AL219" s="13">
        <v>1</v>
      </c>
      <c r="AM219" s="13">
        <v>1</v>
      </c>
      <c r="AN219" s="13">
        <v>1</v>
      </c>
      <c r="AO219" s="13">
        <v>1</v>
      </c>
      <c r="AP219" s="13">
        <v>1</v>
      </c>
      <c r="AQ219" s="13">
        <v>1</v>
      </c>
      <c r="AR219" s="13">
        <v>1</v>
      </c>
    </row>
    <row r="220" spans="2:44" ht="12.75">
      <c r="B220" s="6"/>
      <c r="C220" s="14" t="s">
        <v>165</v>
      </c>
      <c r="D220" s="14" t="s">
        <v>82</v>
      </c>
      <c r="E220" s="6"/>
      <c r="F220" s="6" t="s">
        <v>103</v>
      </c>
      <c r="G220" s="12"/>
      <c r="H220" s="13">
        <v>1</v>
      </c>
      <c r="I220" s="13">
        <v>1</v>
      </c>
      <c r="J220" s="13">
        <v>1</v>
      </c>
      <c r="K220" s="13">
        <v>1</v>
      </c>
      <c r="L220" s="13">
        <v>1</v>
      </c>
      <c r="M220" s="13">
        <v>1</v>
      </c>
      <c r="N220" s="13">
        <v>1</v>
      </c>
      <c r="O220" s="13">
        <v>1</v>
      </c>
      <c r="P220" s="13">
        <v>0.85</v>
      </c>
      <c r="Q220" s="13">
        <v>1</v>
      </c>
      <c r="R220" s="13">
        <v>1</v>
      </c>
      <c r="S220" s="13">
        <v>1</v>
      </c>
      <c r="T220" s="13">
        <v>1</v>
      </c>
      <c r="U220" s="13">
        <v>1</v>
      </c>
      <c r="V220" s="13">
        <v>1</v>
      </c>
      <c r="W220" s="13">
        <v>1</v>
      </c>
      <c r="X220" s="13">
        <v>1</v>
      </c>
      <c r="Y220" s="13">
        <v>1</v>
      </c>
      <c r="Z220" s="13">
        <v>1</v>
      </c>
      <c r="AA220" s="13">
        <v>1</v>
      </c>
      <c r="AB220" s="13">
        <v>1</v>
      </c>
      <c r="AC220" s="13">
        <v>1</v>
      </c>
      <c r="AD220" s="13">
        <v>1</v>
      </c>
      <c r="AE220" s="13">
        <v>1</v>
      </c>
      <c r="AF220" s="13">
        <v>1</v>
      </c>
      <c r="AG220" s="13">
        <v>1</v>
      </c>
      <c r="AH220" s="13">
        <v>1</v>
      </c>
      <c r="AI220" s="13">
        <v>1</v>
      </c>
      <c r="AJ220" s="13">
        <v>1</v>
      </c>
      <c r="AK220" s="13">
        <v>1</v>
      </c>
      <c r="AL220" s="13">
        <v>1</v>
      </c>
      <c r="AM220" s="13">
        <v>1</v>
      </c>
      <c r="AN220" s="13">
        <v>1</v>
      </c>
      <c r="AO220" s="13">
        <v>1</v>
      </c>
      <c r="AP220" s="13">
        <v>1</v>
      </c>
      <c r="AQ220" s="13">
        <v>1</v>
      </c>
      <c r="AR220" s="13">
        <v>1</v>
      </c>
    </row>
    <row r="221" spans="2:44" ht="12.75">
      <c r="B221" s="6"/>
      <c r="C221" s="14" t="s">
        <v>165</v>
      </c>
      <c r="D221" s="14" t="s">
        <v>158</v>
      </c>
      <c r="E221" s="6"/>
      <c r="F221" s="6" t="s">
        <v>103</v>
      </c>
      <c r="G221" s="12"/>
      <c r="H221" s="13">
        <v>1</v>
      </c>
      <c r="I221" s="13">
        <v>1</v>
      </c>
      <c r="J221" s="13">
        <v>1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0.85</v>
      </c>
      <c r="Q221" s="13">
        <v>1</v>
      </c>
      <c r="R221" s="13">
        <v>1</v>
      </c>
      <c r="S221" s="13">
        <v>1</v>
      </c>
      <c r="T221" s="13">
        <v>1</v>
      </c>
      <c r="U221" s="13">
        <v>1</v>
      </c>
      <c r="V221" s="13">
        <v>1</v>
      </c>
      <c r="W221" s="13">
        <v>1</v>
      </c>
      <c r="X221" s="13">
        <v>1</v>
      </c>
      <c r="Y221" s="13">
        <v>1</v>
      </c>
      <c r="Z221" s="13">
        <v>1</v>
      </c>
      <c r="AA221" s="13">
        <v>1</v>
      </c>
      <c r="AB221" s="13">
        <v>1</v>
      </c>
      <c r="AC221" s="13">
        <v>1</v>
      </c>
      <c r="AD221" s="13">
        <v>1</v>
      </c>
      <c r="AE221" s="13">
        <v>1</v>
      </c>
      <c r="AF221" s="13">
        <v>1</v>
      </c>
      <c r="AG221" s="13">
        <v>1</v>
      </c>
      <c r="AH221" s="13">
        <v>1</v>
      </c>
      <c r="AI221" s="13">
        <v>1</v>
      </c>
      <c r="AJ221" s="13">
        <v>1</v>
      </c>
      <c r="AK221" s="13">
        <v>1</v>
      </c>
      <c r="AL221" s="13">
        <v>1</v>
      </c>
      <c r="AM221" s="13">
        <v>1</v>
      </c>
      <c r="AN221" s="13">
        <v>1</v>
      </c>
      <c r="AO221" s="13">
        <v>1</v>
      </c>
      <c r="AP221" s="13">
        <v>1</v>
      </c>
      <c r="AQ221" s="13">
        <v>1</v>
      </c>
      <c r="AR221" s="13">
        <v>1</v>
      </c>
    </row>
    <row r="222" spans="2:44" ht="12.75">
      <c r="B222" s="6"/>
      <c r="C222" s="14" t="s">
        <v>165</v>
      </c>
      <c r="D222" s="14" t="s">
        <v>101</v>
      </c>
      <c r="E222" s="6"/>
      <c r="F222" s="6" t="s">
        <v>104</v>
      </c>
      <c r="G222" s="12"/>
      <c r="H222" s="13">
        <v>1</v>
      </c>
      <c r="I222" s="13">
        <v>1</v>
      </c>
      <c r="J222" s="13">
        <v>1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13">
        <v>1</v>
      </c>
      <c r="S222" s="13">
        <v>1</v>
      </c>
      <c r="T222" s="13">
        <v>1</v>
      </c>
      <c r="U222" s="13">
        <v>1</v>
      </c>
      <c r="V222" s="13">
        <v>1</v>
      </c>
      <c r="W222" s="13">
        <v>1</v>
      </c>
      <c r="X222" s="13">
        <v>1</v>
      </c>
      <c r="Y222" s="13">
        <v>1</v>
      </c>
      <c r="Z222" s="13">
        <v>1</v>
      </c>
      <c r="AA222" s="13">
        <v>1</v>
      </c>
      <c r="AB222" s="13">
        <v>1</v>
      </c>
      <c r="AC222" s="13">
        <v>1</v>
      </c>
      <c r="AD222" s="13">
        <v>1</v>
      </c>
      <c r="AE222" s="13">
        <v>1</v>
      </c>
      <c r="AF222" s="13">
        <v>1</v>
      </c>
      <c r="AG222" s="13">
        <v>1</v>
      </c>
      <c r="AH222" s="13">
        <v>1</v>
      </c>
      <c r="AI222" s="13">
        <v>1</v>
      </c>
      <c r="AJ222" s="13">
        <v>1</v>
      </c>
      <c r="AK222" s="13">
        <v>1</v>
      </c>
      <c r="AL222" s="13">
        <v>1</v>
      </c>
      <c r="AM222" s="13">
        <v>1</v>
      </c>
      <c r="AN222" s="13">
        <v>1</v>
      </c>
      <c r="AO222" s="13">
        <v>1</v>
      </c>
      <c r="AP222" s="13">
        <v>1</v>
      </c>
      <c r="AQ222" s="13">
        <v>1</v>
      </c>
      <c r="AR222" s="13">
        <v>1</v>
      </c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tabColor rgb="FFFFFF00"/>
  </sheetPr>
  <dimension ref="A1:AV139"/>
  <sheetViews>
    <sheetView workbookViewId="0" topLeftCell="A1">
      <selection pane="topLeft" activeCell="E80" sqref="E80"/>
    </sheetView>
  </sheetViews>
  <sheetFormatPr defaultRowHeight="12.75"/>
  <cols>
    <col min="1" max="1" width="3.28571428571429" bestFit="1" customWidth="1"/>
    <col min="2" max="2" width="16.7142857142857" bestFit="1" customWidth="1"/>
    <col min="3" max="3" width="11.4285714285714" customWidth="1"/>
    <col min="4" max="4" width="8.85714285714286" bestFit="1" customWidth="1"/>
    <col min="5" max="5" width="14.2857142857143" customWidth="1"/>
    <col min="6" max="6" width="9.14285714285714" bestFit="1" customWidth="1"/>
    <col min="7" max="7" width="13.8571428571429" bestFit="1" customWidth="1"/>
    <col min="8" max="8" width="11.2857142857143" customWidth="1"/>
    <col min="9" max="12" width="5.28571428571429" customWidth="1"/>
    <col min="13" max="20" width="6.42857142857143" style="54" bestFit="1" customWidth="1"/>
    <col min="21" max="42" width="5.28571428571429" customWidth="1"/>
    <col min="43" max="43" width="9.42857142857143" bestFit="1" customWidth="1"/>
    <col min="44" max="44" width="13.1428571428571" bestFit="1" customWidth="1"/>
    <col min="45" max="45" width="16.7142857142857" customWidth="1"/>
    <col min="46" max="46" width="12.5714285714286" bestFit="1" customWidth="1"/>
    <col min="47" max="47" width="4.14285714285714" customWidth="1"/>
    <col min="48" max="48" width="3.85714285714286" customWidth="1"/>
    <col min="49" max="49" width="3.71428571428571" customWidth="1"/>
    <col min="50" max="50" width="2.42857142857143" customWidth="1"/>
    <col min="51" max="51" width="2.85714285714286" customWidth="1"/>
    <col min="52" max="52" width="2.28571428571429" customWidth="1"/>
    <col min="53" max="53" width="12" bestFit="1" customWidth="1"/>
    <col min="54" max="54" width="17.7142857142857" bestFit="1" customWidth="1"/>
    <col min="55" max="55" width="12.5714285714286" bestFit="1" customWidth="1"/>
    <col min="56" max="56" width="12" bestFit="1" customWidth="1"/>
  </cols>
  <sheetData>
    <row r="1" spans="7:7" ht="12.75">
      <c r="G1" t="s">
        <v>293</v>
      </c>
    </row>
    <row r="3" spans="1:48" s="7" customFormat="1" ht="12.75">
      <c r="A3" s="3" t="s">
        <v>166</v>
      </c>
      <c r="B3" s="8"/>
      <c r="C3" s="9"/>
      <c r="M3" s="59"/>
      <c r="N3" s="59"/>
      <c r="O3" s="59"/>
      <c r="P3" s="59"/>
      <c r="Q3" s="59"/>
      <c r="R3" s="59"/>
      <c r="S3" s="59"/>
      <c r="T3" s="59"/>
      <c r="AQ3"/>
      <c r="AR3"/>
      <c r="AS3"/>
      <c r="AT3"/>
      <c r="AU3"/>
      <c r="AV3"/>
    </row>
    <row r="4" spans="1:43" ht="15.75" thickBot="1">
      <c r="A4" s="27" t="s">
        <v>85</v>
      </c>
      <c r="B4" s="4" t="s">
        <v>89</v>
      </c>
      <c r="C4" s="4" t="s">
        <v>91</v>
      </c>
      <c r="D4" s="27" t="s">
        <v>86</v>
      </c>
      <c r="E4" s="27" t="s">
        <v>87</v>
      </c>
      <c r="F4" s="27" t="s">
        <v>88</v>
      </c>
      <c r="G4" s="78" t="str">
        <f>Input!L1</f>
        <v>AL</v>
      </c>
      <c r="H4" s="78" t="str">
        <f>Input!M1</f>
        <v>AT</v>
      </c>
      <c r="I4" s="78" t="str">
        <f>Input!N1</f>
        <v>BA</v>
      </c>
      <c r="J4" s="78" t="str">
        <f>Input!O1</f>
        <v>BE</v>
      </c>
      <c r="K4" s="78" t="str">
        <f>Input!P1</f>
        <v>BG</v>
      </c>
      <c r="L4" s="78" t="str">
        <f>Input!Q1</f>
        <v>CH</v>
      </c>
      <c r="M4" s="78" t="str">
        <f>Input!R1</f>
        <v>CY</v>
      </c>
      <c r="N4" s="78" t="str">
        <f>Input!S1</f>
        <v>CZ</v>
      </c>
      <c r="O4" s="78" t="str">
        <f>Input!T1</f>
        <v>DE</v>
      </c>
      <c r="P4" s="78" t="str">
        <f>Input!U1</f>
        <v>DK</v>
      </c>
      <c r="Q4" s="78" t="str">
        <f>Input!V1</f>
        <v>EE</v>
      </c>
      <c r="R4" s="78" t="str">
        <f>Input!W1</f>
        <v>EL</v>
      </c>
      <c r="S4" s="78" t="str">
        <f>Input!X1</f>
        <v>ES</v>
      </c>
      <c r="T4" s="78" t="str">
        <f>Input!Y1</f>
        <v>FI</v>
      </c>
      <c r="U4" s="78" t="str">
        <f>Input!Z1</f>
        <v>FR</v>
      </c>
      <c r="V4" s="78" t="str">
        <f>Input!AA1</f>
        <v>HR</v>
      </c>
      <c r="W4" s="78" t="str">
        <f>Input!AB1</f>
        <v>HU</v>
      </c>
      <c r="X4" s="78" t="str">
        <f>Input!AC1</f>
        <v>IE</v>
      </c>
      <c r="Y4" s="78" t="str">
        <f>Input!AD1</f>
        <v>IS</v>
      </c>
      <c r="Z4" s="78" t="str">
        <f>Input!AE1</f>
        <v>IT</v>
      </c>
      <c r="AA4" s="78" t="str">
        <f>Input!AF1</f>
        <v>KS</v>
      </c>
      <c r="AB4" s="78" t="str">
        <f>Input!AG1</f>
        <v>LT</v>
      </c>
      <c r="AC4" s="78" t="str">
        <f>Input!AH1</f>
        <v>LU</v>
      </c>
      <c r="AD4" s="78" t="str">
        <f>Input!AI1</f>
        <v>LV</v>
      </c>
      <c r="AE4" s="78" t="str">
        <f>Input!AJ1</f>
        <v>ME</v>
      </c>
      <c r="AF4" s="78" t="str">
        <f>Input!AK1</f>
        <v>MK</v>
      </c>
      <c r="AG4" s="78" t="str">
        <f>Input!AL1</f>
        <v>MT</v>
      </c>
      <c r="AH4" s="78" t="str">
        <f>Input!AM1</f>
        <v>NL</v>
      </c>
      <c r="AI4" s="78" t="str">
        <f>Input!AN1</f>
        <v>NO</v>
      </c>
      <c r="AJ4" s="78" t="str">
        <f>Input!AO1</f>
        <v>PL</v>
      </c>
      <c r="AK4" s="78" t="str">
        <f>Input!AP1</f>
        <v>PT</v>
      </c>
      <c r="AL4" s="78" t="str">
        <f>Input!AQ1</f>
        <v>RO</v>
      </c>
      <c r="AM4" s="78" t="str">
        <f>Input!AR1</f>
        <v>RS</v>
      </c>
      <c r="AN4" s="78" t="str">
        <f>Input!AS1</f>
        <v>SE</v>
      </c>
      <c r="AO4" s="78" t="str">
        <f>Input!AT1</f>
        <v>SI</v>
      </c>
      <c r="AP4" s="78" t="str">
        <f>Input!AU1</f>
        <v>SK</v>
      </c>
      <c r="AQ4" s="78" t="str">
        <f>Input!AV1</f>
        <v>UK</v>
      </c>
    </row>
    <row r="5" spans="1:43" ht="12.75">
      <c r="A5" s="26" t="s">
        <v>60</v>
      </c>
      <c r="B5" s="17" t="s">
        <v>256</v>
      </c>
      <c r="C5" s="18" t="s">
        <v>56</v>
      </c>
      <c r="D5" s="26" t="s">
        <v>60</v>
      </c>
      <c r="E5" s="16" t="s">
        <v>103</v>
      </c>
      <c r="F5" s="31" t="s">
        <v>60</v>
      </c>
      <c r="G5" s="69">
        <f>SUMIFS(Input!L$2:L$999,Input!$C$2:$C$999,CONCATENATE(LEFT($B$5,10),"*"),Input!$D$2:$D$999,$C$5)*IND_Mult!H5</f>
        <v>0</v>
      </c>
      <c r="H5" s="69">
        <f>SUMIFS(Input!M$2:M$999,Input!$C$2:$C$999,CONCATENATE(LEFT($B$5,10),"*"),Input!$D$2:$D$999,$C$5)*IND_Mult!I5</f>
        <v>0</v>
      </c>
      <c r="I5" s="69">
        <f>SUMIFS(Input!N$2:N$999,Input!$C$2:$C$999,CONCATENATE(LEFT($B$5,10),"*"),Input!$D$2:$D$999,$C$5)*IND_Mult!J5</f>
        <v>0</v>
      </c>
      <c r="J5" s="69">
        <f>SUMIFS(Input!O$2:O$999,Input!$C$2:$C$999,CONCATENATE(LEFT($B$5,10),"*"),Input!$D$2:$D$999,$C$5)*IND_Mult!K5</f>
        <v>0</v>
      </c>
      <c r="K5" s="69">
        <f>SUMIFS(Input!P$2:P$999,Input!$C$2:$C$999,CONCATENATE(LEFT($B$5,10),"*"),Input!$D$2:$D$999,$C$5)*IND_Mult!L5</f>
        <v>0</v>
      </c>
      <c r="L5" s="69">
        <f>SUMIFS(Input!Q$2:Q$999,Input!$C$2:$C$999,CONCATENATE(LEFT($B$5,10),"*"),Input!$D$2:$D$999,$C$5)*IND_Mult!M5</f>
        <v>0</v>
      </c>
      <c r="M5" s="69">
        <f>SUMIFS(Input!R$2:R$999,Input!$C$2:$C$999,CONCATENATE(LEFT($B$5,10),"*"),Input!$D$2:$D$999,$C$5)*IND_Mult!N5</f>
        <v>0</v>
      </c>
      <c r="N5" s="69">
        <f>SUMIFS(Input!S$2:S$999,Input!$C$2:$C$999,CONCATENATE(LEFT($B$5,10),"*"),Input!$D$2:$D$999,$C$5)*IND_Mult!O5</f>
        <v>0</v>
      </c>
      <c r="O5" s="69">
        <f>SUMIFS(Input!T$2:T$999,Input!$C$2:$C$999,CONCATENATE(LEFT($B$5,10),"*"),Input!$D$2:$D$999,$C$5)*IND_Mult!P5</f>
        <v>0</v>
      </c>
      <c r="P5" s="69">
        <f>SUMIFS(Input!U$2:U$999,Input!$C$2:$C$999,CONCATENATE(LEFT($B$5,10),"*"),Input!$D$2:$D$999,$C$5)*IND_Mult!Q5</f>
        <v>0</v>
      </c>
      <c r="Q5" s="69">
        <f>SUMIFS(Input!V$2:V$999,Input!$C$2:$C$999,CONCATENATE(LEFT($B$5,10),"*"),Input!$D$2:$D$999,$C$5)*IND_Mult!R5</f>
        <v>0</v>
      </c>
      <c r="R5" s="69">
        <f>SUMIFS(Input!W$2:W$999,Input!$C$2:$C$999,CONCATENATE(LEFT($B$5,10),"*"),Input!$D$2:$D$999,$C$5)*IND_Mult!S5</f>
        <v>0</v>
      </c>
      <c r="S5" s="69">
        <f>SUMIFS(Input!X$2:X$999,Input!$C$2:$C$999,CONCATENATE(LEFT($B$5,10),"*"),Input!$D$2:$D$999,$C$5)*IND_Mult!T5</f>
        <v>0</v>
      </c>
      <c r="T5" s="69">
        <f>SUMIFS(Input!Y$2:Y$999,Input!$C$2:$C$999,CONCATENATE(LEFT($B$5,10),"*"),Input!$D$2:$D$999,$C$5)*IND_Mult!U5</f>
        <v>5</v>
      </c>
      <c r="U5" s="69">
        <f>SUMIFS(Input!Z$2:Z$999,Input!$C$2:$C$999,CONCATENATE(LEFT($B$5,10),"*"),Input!$D$2:$D$999,$C$5)*IND_Mult!V5</f>
        <v>0</v>
      </c>
      <c r="V5" s="69">
        <f>SUMIFS(Input!AA$2:AA$999,Input!$C$2:$C$999,CONCATENATE(LEFT($B$5,10),"*"),Input!$D$2:$D$999,$C$5)*IND_Mult!W5</f>
        <v>0</v>
      </c>
      <c r="W5" s="69">
        <f>SUMIFS(Input!AB$2:AB$999,Input!$C$2:$C$999,CONCATENATE(LEFT($B$5,10),"*"),Input!$D$2:$D$999,$C$5)*IND_Mult!X5</f>
        <v>0</v>
      </c>
      <c r="X5" s="69">
        <f>SUMIFS(Input!AC$2:AC$999,Input!$C$2:$C$999,CONCATENATE(LEFT($B$5,10),"*"),Input!$D$2:$D$999,$C$5)*IND_Mult!Y5</f>
        <v>0</v>
      </c>
      <c r="Y5" s="69">
        <f>SUMIFS(Input!AD$2:AD$999,Input!$C$2:$C$999,CONCATENATE(LEFT($B$5,10),"*"),Input!$D$2:$D$999,$C$5)*IND_Mult!Z5</f>
        <v>0</v>
      </c>
      <c r="Z5" s="69">
        <f>SUMIFS(Input!AE$2:AE$999,Input!$C$2:$C$999,CONCATENATE(LEFT($B$5,10),"*"),Input!$D$2:$D$999,$C$5)*IND_Mult!AA5</f>
        <v>0</v>
      </c>
      <c r="AA5" s="69">
        <f>SUMIFS(Input!AF$2:AF$999,Input!$C$2:$C$999,CONCATENATE(LEFT($B$5,10),"*"),Input!$D$2:$D$999,$C$5)*IND_Mult!AB5</f>
        <v>0</v>
      </c>
      <c r="AB5" s="69">
        <f>SUMIFS(Input!AG$2:AG$999,Input!$C$2:$C$999,CONCATENATE(LEFT($B$5,10),"*"),Input!$D$2:$D$999,$C$5)*IND_Mult!AC5</f>
        <v>0</v>
      </c>
      <c r="AC5" s="69">
        <f>SUMIFS(Input!AH$2:AH$999,Input!$C$2:$C$999,CONCATENATE(LEFT($B$5,10),"*"),Input!$D$2:$D$999,$C$5)*IND_Mult!AD5</f>
        <v>0</v>
      </c>
      <c r="AD5" s="69">
        <f>SUMIFS(Input!AI$2:AI$999,Input!$C$2:$C$999,CONCATENATE(LEFT($B$5,10),"*"),Input!$D$2:$D$999,$C$5)*IND_Mult!AE5</f>
        <v>0</v>
      </c>
      <c r="AE5" s="69">
        <f>SUMIFS(Input!AJ$2:AJ$999,Input!$C$2:$C$999,CONCATENATE(LEFT($B$5,10),"*"),Input!$D$2:$D$999,$C$5)*IND_Mult!AF5</f>
        <v>0</v>
      </c>
      <c r="AF5" s="69">
        <f>SUMIFS(Input!AK$2:AK$999,Input!$C$2:$C$999,CONCATENATE(LEFT($B$5,10),"*"),Input!$D$2:$D$999,$C$5)*IND_Mult!AG5</f>
        <v>0</v>
      </c>
      <c r="AG5" s="69">
        <f>SUMIFS(Input!AL$2:AL$999,Input!$C$2:$C$999,CONCATENATE(LEFT($B$5,10),"*"),Input!$D$2:$D$999,$C$5)*IND_Mult!AH5</f>
        <v>0</v>
      </c>
      <c r="AH5" s="69">
        <f>SUMIFS(Input!AM$2:AM$999,Input!$C$2:$C$999,CONCATENATE(LEFT($B$5,10),"*"),Input!$D$2:$D$999,$C$5)*IND_Mult!AI5</f>
        <v>0</v>
      </c>
      <c r="AI5" s="69">
        <f>SUMIFS(Input!AN$2:AN$999,Input!$C$2:$C$999,CONCATENATE(LEFT($B$5,10),"*"),Input!$D$2:$D$999,$C$5)*IND_Mult!AJ5</f>
        <v>0</v>
      </c>
      <c r="AJ5" s="69">
        <f>SUMIFS(Input!AO$2:AO$999,Input!$C$2:$C$999,CONCATENATE(LEFT($B$5,10),"*"),Input!$D$2:$D$999,$C$5)*IND_Mult!AK5</f>
        <v>0</v>
      </c>
      <c r="AK5" s="69">
        <f>SUMIFS(Input!AP$2:AP$999,Input!$C$2:$C$999,CONCATENATE(LEFT($B$5,10),"*"),Input!$D$2:$D$999,$C$5)*IND_Mult!AL5</f>
        <v>0</v>
      </c>
      <c r="AL5" s="69">
        <f>SUMIFS(Input!AQ$2:AQ$999,Input!$C$2:$C$999,CONCATENATE(LEFT($B$5,10),"*"),Input!$D$2:$D$999,$C$5)*IND_Mult!AM5</f>
        <v>0</v>
      </c>
      <c r="AM5" s="69">
        <f>SUMIFS(Input!AR$2:AR$999,Input!$C$2:$C$999,CONCATENATE(LEFT($B$5,10),"*"),Input!$D$2:$D$999,$C$5)*IND_Mult!AN5</f>
        <v>0</v>
      </c>
      <c r="AN5" s="69">
        <f>SUMIFS(Input!AS$2:AS$999,Input!$C$2:$C$999,CONCATENATE(LEFT($B$5,10),"*"),Input!$D$2:$D$999,$C$5)*IND_Mult!AO5</f>
        <v>0</v>
      </c>
      <c r="AO5" s="69">
        <f>SUMIFS(Input!AT$2:AT$999,Input!$C$2:$C$999,CONCATENATE(LEFT($B$5,10),"*"),Input!$D$2:$D$999,$C$5)*IND_Mult!AP5</f>
        <v>0</v>
      </c>
      <c r="AP5" s="69">
        <f>SUMIFS(Input!AU$2:AU$999,Input!$C$2:$C$999,CONCATENATE(LEFT($B$5,10),"*"),Input!$D$2:$D$999,$C$5)*IND_Mult!AQ5</f>
        <v>0</v>
      </c>
      <c r="AQ5" s="69">
        <f>SUMIFS(Input!AV$2:AV$999,Input!$C$2:$C$999,CONCATENATE(LEFT($B$5,10),"*"),Input!$D$2:$D$999,$C$5)*IND_Mult!AR5</f>
        <v>0</v>
      </c>
    </row>
    <row r="6" spans="1:43" ht="12.75">
      <c r="A6" s="6"/>
      <c r="B6" s="17" t="s">
        <v>256</v>
      </c>
      <c r="C6" s="18" t="s">
        <v>37</v>
      </c>
      <c r="D6" s="26"/>
      <c r="E6" s="16" t="s">
        <v>103</v>
      </c>
      <c r="F6" s="31"/>
      <c r="G6" s="71">
        <f>SUMIFS(Input!L$2:L$999,Input!$C$2:$C$999,CONCATENATE(LEFT($B$6,10),"*"),Input!$D$2:$D$999,$C$6)*IND_Mult!H6</f>
        <v>10</v>
      </c>
      <c r="H6" s="71">
        <f>SUMIFS(Input!M$2:M$999,Input!$C$2:$C$999,CONCATENATE(LEFT($B$6,10),"*"),Input!$D$2:$D$999,$C$6)*IND_Mult!I6</f>
        <v>1.14963933241062</v>
      </c>
      <c r="I6" s="71">
        <f>SUMIFS(Input!N$2:N$999,Input!$C$2:$C$999,CONCATENATE(LEFT($B$6,10),"*"),Input!$D$2:$D$999,$C$6)*IND_Mult!J6</f>
        <v>10</v>
      </c>
      <c r="J6" s="71">
        <f>SUMIFS(Input!O$2:O$999,Input!$C$2:$C$999,CONCATENATE(LEFT($B$6,10),"*"),Input!$D$2:$D$999,$C$6)*IND_Mult!K6</f>
        <v>10</v>
      </c>
      <c r="K6" s="71">
        <f>SUMIFS(Input!P$2:P$999,Input!$C$2:$C$999,CONCATENATE(LEFT($B$6,10),"*"),Input!$D$2:$D$999,$C$6)*IND_Mult!L6</f>
        <v>10</v>
      </c>
      <c r="L6" s="71">
        <f>SUMIFS(Input!Q$2:Q$999,Input!$C$2:$C$999,CONCATENATE(LEFT($B$6,10),"*"),Input!$D$2:$D$999,$C$6)*IND_Mult!M6</f>
        <v>8.5623391942133402</v>
      </c>
      <c r="M6" s="71">
        <f>SUMIFS(Input!R$2:R$999,Input!$C$2:$C$999,CONCATENATE(LEFT($B$6,10),"*"),Input!$D$2:$D$999,$C$6)*IND_Mult!N6</f>
        <v>10</v>
      </c>
      <c r="N6" s="71">
        <f>SUMIFS(Input!S$2:S$999,Input!$C$2:$C$999,CONCATENATE(LEFT($B$6,10),"*"),Input!$D$2:$D$999,$C$6)*IND_Mult!O6</f>
        <v>10</v>
      </c>
      <c r="O6" s="71">
        <f>SUMIFS(Input!T$2:T$999,Input!$C$2:$C$999,CONCATENATE(LEFT($B$6,10),"*"),Input!$D$2:$D$999,$C$6)*IND_Mult!P6</f>
        <v>1.1628000000000001</v>
      </c>
      <c r="P6" s="71">
        <f>SUMIFS(Input!U$2:U$999,Input!$C$2:$C$999,CONCATENATE(LEFT($B$6,10),"*"),Input!$D$2:$D$999,$C$6)*IND_Mult!Q6</f>
        <v>10</v>
      </c>
      <c r="Q6" s="71">
        <f>SUMIFS(Input!V$2:V$999,Input!$C$2:$C$999,CONCATENATE(LEFT($B$6,10),"*"),Input!$D$2:$D$999,$C$6)*IND_Mult!R6</f>
        <v>10</v>
      </c>
      <c r="R6" s="71">
        <f>SUMIFS(Input!W$2:W$999,Input!$C$2:$C$999,CONCATENATE(LEFT($B$6,10),"*"),Input!$D$2:$D$999,$C$6)*IND_Mult!S6</f>
        <v>15</v>
      </c>
      <c r="S6" s="71">
        <f>SUMIFS(Input!X$2:X$999,Input!$C$2:$C$999,CONCATENATE(LEFT($B$6,10),"*"),Input!$D$2:$D$999,$C$6)*IND_Mult!T6</f>
        <v>10</v>
      </c>
      <c r="T6" s="71">
        <f>SUMIFS(Input!Y$2:Y$999,Input!$C$2:$C$999,CONCATENATE(LEFT($B$6,10),"*"),Input!$D$2:$D$999,$C$6)*IND_Mult!U6</f>
        <v>10</v>
      </c>
      <c r="U6" s="71">
        <f>SUMIFS(Input!Z$2:Z$999,Input!$C$2:$C$999,CONCATENATE(LEFT($B$6,10),"*"),Input!$D$2:$D$999,$C$6)*IND_Mult!V6</f>
        <v>0.021171843237011701</v>
      </c>
      <c r="V6" s="71">
        <f>SUMIFS(Input!AA$2:AA$999,Input!$C$2:$C$999,CONCATENATE(LEFT($B$6,10),"*"),Input!$D$2:$D$999,$C$6)*IND_Mult!W6</f>
        <v>2.1800000000000002</v>
      </c>
      <c r="W6" s="71">
        <f>SUMIFS(Input!AB$2:AB$999,Input!$C$2:$C$999,CONCATENATE(LEFT($B$6,10),"*"),Input!$D$2:$D$999,$C$6)*IND_Mult!X6</f>
        <v>10</v>
      </c>
      <c r="X6" s="71">
        <f>SUMIFS(Input!AC$2:AC$999,Input!$C$2:$C$999,CONCATENATE(LEFT($B$6,10),"*"),Input!$D$2:$D$999,$C$6)*IND_Mult!Y6</f>
        <v>10</v>
      </c>
      <c r="Y6" s="71">
        <f>SUMIFS(Input!AD$2:AD$999,Input!$C$2:$C$999,CONCATENATE(LEFT($B$6,10),"*"),Input!$D$2:$D$999,$C$6)*IND_Mult!Z6</f>
        <v>10</v>
      </c>
      <c r="Z6" s="71">
        <f>SUMIFS(Input!AE$2:AE$999,Input!$C$2:$C$999,CONCATENATE(LEFT($B$6,10),"*"),Input!$D$2:$D$999,$C$6)*IND_Mult!AA6</f>
        <v>4</v>
      </c>
      <c r="AA6" s="71">
        <f>SUMIFS(Input!AF$2:AF$999,Input!$C$2:$C$999,CONCATENATE(LEFT($B$6,10),"*"),Input!$D$2:$D$999,$C$6)*IND_Mult!AB6</f>
        <v>10</v>
      </c>
      <c r="AB6" s="71">
        <f>SUMIFS(Input!AG$2:AG$999,Input!$C$2:$C$999,CONCATENATE(LEFT($B$6,10),"*"),Input!$D$2:$D$999,$C$6)*IND_Mult!AC6</f>
        <v>10</v>
      </c>
      <c r="AC6" s="71">
        <f>SUMIFS(Input!AH$2:AH$999,Input!$C$2:$C$999,CONCATENATE(LEFT($B$6,10),"*"),Input!$D$2:$D$999,$C$6)*IND_Mult!AD6</f>
        <v>10</v>
      </c>
      <c r="AD6" s="71">
        <f>SUMIFS(Input!AI$2:AI$999,Input!$C$2:$C$999,CONCATENATE(LEFT($B$6,10),"*"),Input!$D$2:$D$999,$C$6)*IND_Mult!AE6</f>
        <v>10</v>
      </c>
      <c r="AE6" s="71">
        <f>SUMIFS(Input!AJ$2:AJ$999,Input!$C$2:$C$999,CONCATENATE(LEFT($B$6,10),"*"),Input!$D$2:$D$999,$C$6)*IND_Mult!AF6</f>
        <v>10</v>
      </c>
      <c r="AF6" s="71">
        <f>SUMIFS(Input!AK$2:AK$999,Input!$C$2:$C$999,CONCATENATE(LEFT($B$6,10),"*"),Input!$D$2:$D$999,$C$6)*IND_Mult!AG6</f>
        <v>10</v>
      </c>
      <c r="AG6" s="71">
        <f>SUMIFS(Input!AL$2:AL$999,Input!$C$2:$C$999,CONCATENATE(LEFT($B$6,10),"*"),Input!$D$2:$D$999,$C$6)*IND_Mult!AH6</f>
        <v>10</v>
      </c>
      <c r="AH6" s="71">
        <f>SUMIFS(Input!AM$2:AM$999,Input!$C$2:$C$999,CONCATENATE(LEFT($B$6,10),"*"),Input!$D$2:$D$999,$C$6)*IND_Mult!AI6</f>
        <v>10</v>
      </c>
      <c r="AI6" s="71">
        <f>SUMIFS(Input!AN$2:AN$999,Input!$C$2:$C$999,CONCATENATE(LEFT($B$6,10),"*"),Input!$D$2:$D$999,$C$6)*IND_Mult!AJ6</f>
        <v>10</v>
      </c>
      <c r="AJ6" s="71">
        <f>SUMIFS(Input!AO$2:AO$999,Input!$C$2:$C$999,CONCATENATE(LEFT($B$6,10),"*"),Input!$D$2:$D$999,$C$6)*IND_Mult!AK6</f>
        <v>10</v>
      </c>
      <c r="AK6" s="71">
        <f>SUMIFS(Input!AP$2:AP$999,Input!$C$2:$C$999,CONCATENATE(LEFT($B$6,10),"*"),Input!$D$2:$D$999,$C$6)*IND_Mult!AL6</f>
        <v>10</v>
      </c>
      <c r="AL6" s="71">
        <f>SUMIFS(Input!AQ$2:AQ$999,Input!$C$2:$C$999,CONCATENATE(LEFT($B$6,10),"*"),Input!$D$2:$D$999,$C$6)*IND_Mult!AM6</f>
        <v>10</v>
      </c>
      <c r="AM6" s="71">
        <f>SUMIFS(Input!AR$2:AR$999,Input!$C$2:$C$999,CONCATENATE(LEFT($B$6,10),"*"),Input!$D$2:$D$999,$C$6)*IND_Mult!AN6</f>
        <v>10</v>
      </c>
      <c r="AN6" s="71">
        <f>SUMIFS(Input!AS$2:AS$999,Input!$C$2:$C$999,CONCATENATE(LEFT($B$6,10),"*"),Input!$D$2:$D$999,$C$6)*IND_Mult!AO6</f>
        <v>14.9834969925596</v>
      </c>
      <c r="AO6" s="71">
        <f>SUMIFS(Input!AT$2:AT$999,Input!$C$2:$C$999,CONCATENATE(LEFT($B$6,10),"*"),Input!$D$2:$D$999,$C$6)*IND_Mult!AP6</f>
        <v>10</v>
      </c>
      <c r="AP6" s="71">
        <f>SUMIFS(Input!AU$2:AU$999,Input!$C$2:$C$999,CONCATENATE(LEFT($B$6,10),"*"),Input!$D$2:$D$999,$C$6)*IND_Mult!AQ6</f>
        <v>10</v>
      </c>
      <c r="AQ6" s="71">
        <f>SUMIFS(Input!AV$2:AV$999,Input!$C$2:$C$999,CONCATENATE(LEFT($B$6,10),"*"),Input!$D$2:$D$999,$C$6)*IND_Mult!AR6</f>
        <v>10</v>
      </c>
    </row>
    <row r="7" spans="1:43" ht="12.75">
      <c r="A7" s="6"/>
      <c r="B7" s="17" t="s">
        <v>256</v>
      </c>
      <c r="C7" s="18" t="s">
        <v>38</v>
      </c>
      <c r="D7" s="26"/>
      <c r="E7" s="16" t="s">
        <v>103</v>
      </c>
      <c r="F7" s="31"/>
      <c r="G7" s="69">
        <f>SUMIFS(Input!L$2:L$999,Input!$C$2:$C$999,CONCATENATE(LEFT($B$7,10),"*"),Input!$D$2:$D$999,$C$7)*IND_Mult!H7</f>
        <v>4.9834969925596297</v>
      </c>
      <c r="H7" s="69">
        <f>SUMIFS(Input!M$2:M$999,Input!$C$2:$C$999,CONCATENATE(LEFT($B$7,10),"*"),Input!$D$2:$D$999,$C$7)*IND_Mult!I7</f>
        <v>4.2645620193199498</v>
      </c>
      <c r="I7" s="69">
        <f>SUMIFS(Input!N$2:N$999,Input!$C$2:$C$999,CONCATENATE(LEFT($B$7,10),"*"),Input!$D$2:$D$999,$C$7)*IND_Mult!J7</f>
        <v>0</v>
      </c>
      <c r="J7" s="69">
        <f>SUMIFS(Input!O$2:O$999,Input!$C$2:$C$999,CONCATENATE(LEFT($B$7,10),"*"),Input!$D$2:$D$999,$C$7)*IND_Mult!K7</f>
        <v>4.9834969925596297</v>
      </c>
      <c r="K7" s="69">
        <f>SUMIFS(Input!P$2:P$999,Input!$C$2:$C$999,CONCATENATE(LEFT($B$7,10),"*"),Input!$D$2:$D$999,$C$7)*IND_Mult!L7</f>
        <v>4.9834969925596297</v>
      </c>
      <c r="L7" s="69">
        <f>SUMIFS(Input!Q$2:Q$999,Input!$C$2:$C$999,CONCATENATE(LEFT($B$7,10),"*"),Input!$D$2:$D$999,$C$7)*IND_Mult!M7</f>
        <v>5.4402263705140097</v>
      </c>
      <c r="M7" s="69">
        <f>SUMIFS(Input!R$2:R$999,Input!$C$2:$C$999,CONCATENATE(LEFT($B$7,10),"*"),Input!$D$2:$D$999,$C$7)*IND_Mult!N7</f>
        <v>4.9834969925596297</v>
      </c>
      <c r="N7" s="69">
        <f>SUMIFS(Input!S$2:S$999,Input!$C$2:$C$999,CONCATENATE(LEFT($B$7,10),"*"),Input!$D$2:$D$999,$C$7)*IND_Mult!O7</f>
        <v>8.1611957920487601</v>
      </c>
      <c r="O7" s="69">
        <f>SUMIFS(Input!T$2:T$999,Input!$C$2:$C$999,CONCATENATE(LEFT($B$7,10),"*"),Input!$D$2:$D$999,$C$7)*IND_Mult!P7</f>
        <v>5.1849999999999996</v>
      </c>
      <c r="P7" s="69">
        <f>SUMIFS(Input!U$2:U$999,Input!$C$2:$C$999,CONCATENATE(LEFT($B$7,10),"*"),Input!$D$2:$D$999,$C$7)*IND_Mult!Q7</f>
        <v>4.9834969925596297</v>
      </c>
      <c r="Q7" s="69">
        <f>SUMIFS(Input!V$2:V$999,Input!$C$2:$C$999,CONCATENATE(LEFT($B$7,10),"*"),Input!$D$2:$D$999,$C$7)*IND_Mult!R7</f>
        <v>4.9834969925596297</v>
      </c>
      <c r="R7" s="69">
        <f>SUMIFS(Input!W$2:W$999,Input!$C$2:$C$999,CONCATENATE(LEFT($B$7,10),"*"),Input!$D$2:$D$999,$C$7)*IND_Mult!S7</f>
        <v>10</v>
      </c>
      <c r="S7" s="69">
        <f>SUMIFS(Input!X$2:X$999,Input!$C$2:$C$999,CONCATENATE(LEFT($B$7,10),"*"),Input!$D$2:$D$999,$C$7)*IND_Mult!T7</f>
        <v>4.9834969925596297</v>
      </c>
      <c r="T7" s="69">
        <f>SUMIFS(Input!Y$2:Y$999,Input!$C$2:$C$999,CONCATENATE(LEFT($B$7,10),"*"),Input!$D$2:$D$999,$C$7)*IND_Mult!U7</f>
        <v>0</v>
      </c>
      <c r="U7" s="69">
        <f>SUMIFS(Input!Z$2:Z$999,Input!$C$2:$C$999,CONCATENATE(LEFT($B$7,10),"*"),Input!$D$2:$D$999,$C$7)*IND_Mult!V7</f>
        <v>0.101969732973252</v>
      </c>
      <c r="V7" s="69">
        <f>SUMIFS(Input!AA$2:AA$999,Input!$C$2:$C$999,CONCATENATE(LEFT($B$7,10),"*"),Input!$D$2:$D$999,$C$7)*IND_Mult!W7</f>
        <v>0</v>
      </c>
      <c r="W7" s="69">
        <f>SUMIFS(Input!AB$2:AB$999,Input!$C$2:$C$999,CONCATENATE(LEFT($B$7,10),"*"),Input!$D$2:$D$999,$C$7)*IND_Mult!X7</f>
        <v>4.9834969925596297</v>
      </c>
      <c r="X7" s="69">
        <f>SUMIFS(Input!AC$2:AC$999,Input!$C$2:$C$999,CONCATENATE(LEFT($B$7,10),"*"),Input!$D$2:$D$999,$C$7)*IND_Mult!Y7</f>
        <v>4.9834969925596297</v>
      </c>
      <c r="Y7" s="69">
        <f>SUMIFS(Input!AD$2:AD$999,Input!$C$2:$C$999,CONCATENATE(LEFT($B$7,10),"*"),Input!$D$2:$D$999,$C$7)*IND_Mult!Z7</f>
        <v>0</v>
      </c>
      <c r="Z7" s="69">
        <f>SUMIFS(Input!AE$2:AE$999,Input!$C$2:$C$999,CONCATENATE(LEFT($B$7,10),"*"),Input!$D$2:$D$999,$C$7)*IND_Mult!AA7</f>
        <v>4.4422104714547697</v>
      </c>
      <c r="AA7" s="69">
        <f>SUMIFS(Input!AF$2:AF$999,Input!$C$2:$C$999,CONCATENATE(LEFT($B$7,10),"*"),Input!$D$2:$D$999,$C$7)*IND_Mult!AB7</f>
        <v>4.9834969925596297</v>
      </c>
      <c r="AB7" s="69">
        <f>SUMIFS(Input!AG$2:AG$999,Input!$C$2:$C$999,CONCATENATE(LEFT($B$7,10),"*"),Input!$D$2:$D$999,$C$7)*IND_Mult!AC7</f>
        <v>4.9834969925596297</v>
      </c>
      <c r="AC7" s="69">
        <f>SUMIFS(Input!AH$2:AH$999,Input!$C$2:$C$999,CONCATENATE(LEFT($B$7,10),"*"),Input!$D$2:$D$999,$C$7)*IND_Mult!AD7</f>
        <v>4.9834969925596297</v>
      </c>
      <c r="AD7" s="69">
        <f>SUMIFS(Input!AI$2:AI$999,Input!$C$2:$C$999,CONCATENATE(LEFT($B$7,10),"*"),Input!$D$2:$D$999,$C$7)*IND_Mult!AE7</f>
        <v>4.9834969925596297</v>
      </c>
      <c r="AE7" s="69">
        <f>SUMIFS(Input!AJ$2:AJ$999,Input!$C$2:$C$999,CONCATENATE(LEFT($B$7,10),"*"),Input!$D$2:$D$999,$C$7)*IND_Mult!AF7</f>
        <v>0</v>
      </c>
      <c r="AF7" s="69">
        <f>SUMIFS(Input!AK$2:AK$999,Input!$C$2:$C$999,CONCATENATE(LEFT($B$7,10),"*"),Input!$D$2:$D$999,$C$7)*IND_Mult!AG7</f>
        <v>4.9834969925596297</v>
      </c>
      <c r="AG7" s="69">
        <f>SUMIFS(Input!AL$2:AL$999,Input!$C$2:$C$999,CONCATENATE(LEFT($B$7,10),"*"),Input!$D$2:$D$999,$C$7)*IND_Mult!AH7</f>
        <v>4.9834969925596297</v>
      </c>
      <c r="AH7" s="69">
        <f>SUMIFS(Input!AM$2:AM$999,Input!$C$2:$C$999,CONCATENATE(LEFT($B$7,10),"*"),Input!$D$2:$D$999,$C$7)*IND_Mult!AI7</f>
        <v>4.9834969925596297</v>
      </c>
      <c r="AI7" s="69">
        <f>SUMIFS(Input!AN$2:AN$999,Input!$C$2:$C$999,CONCATENATE(LEFT($B$7,10),"*"),Input!$D$2:$D$999,$C$7)*IND_Mult!AJ7</f>
        <v>0</v>
      </c>
      <c r="AJ7" s="69">
        <f>SUMIFS(Input!AO$2:AO$999,Input!$C$2:$C$999,CONCATENATE(LEFT($B$7,10),"*"),Input!$D$2:$D$999,$C$7)*IND_Mult!AK7</f>
        <v>4.9834969925596297</v>
      </c>
      <c r="AK7" s="69">
        <f>SUMIFS(Input!AP$2:AP$999,Input!$C$2:$C$999,CONCATENATE(LEFT($B$7,10),"*"),Input!$D$2:$D$999,$C$7)*IND_Mult!AL7</f>
        <v>4.9834969925596297</v>
      </c>
      <c r="AL7" s="69">
        <f>SUMIFS(Input!AQ$2:AQ$999,Input!$C$2:$C$999,CONCATENATE(LEFT($B$7,10),"*"),Input!$D$2:$D$999,$C$7)*IND_Mult!AM7</f>
        <v>4.9834969925596297</v>
      </c>
      <c r="AM7" s="69">
        <f>SUMIFS(Input!AR$2:AR$999,Input!$C$2:$C$999,CONCATENATE(LEFT($B$7,10),"*"),Input!$D$2:$D$999,$C$7)*IND_Mult!AN7</f>
        <v>4.9834969925596297</v>
      </c>
      <c r="AN7" s="69">
        <f>SUMIFS(Input!AS$2:AS$999,Input!$C$2:$C$999,CONCATENATE(LEFT($B$7,10),"*"),Input!$D$2:$D$999,$C$7)*IND_Mult!AO7</f>
        <v>0</v>
      </c>
      <c r="AO7" s="69">
        <f>SUMIFS(Input!AT$2:AT$999,Input!$C$2:$C$999,CONCATENATE(LEFT($B$7,10),"*"),Input!$D$2:$D$999,$C$7)*IND_Mult!AP7</f>
        <v>4.9834969925596297</v>
      </c>
      <c r="AP7" s="69">
        <f>SUMIFS(Input!AU$2:AU$999,Input!$C$2:$C$999,CONCATENATE(LEFT($B$7,10),"*"),Input!$D$2:$D$999,$C$7)*IND_Mult!AQ7</f>
        <v>3</v>
      </c>
      <c r="AQ7" s="69">
        <f>SUMIFS(Input!AV$2:AV$999,Input!$C$2:$C$999,CONCATENATE(LEFT($B$7,10),"*"),Input!$D$2:$D$999,$C$7)*IND_Mult!AR7</f>
        <v>4.9834969925596297</v>
      </c>
    </row>
    <row r="8" spans="1:43" ht="12.75">
      <c r="A8" s="6"/>
      <c r="B8" s="17" t="s">
        <v>256</v>
      </c>
      <c r="C8" s="18" t="s">
        <v>39</v>
      </c>
      <c r="D8" s="26"/>
      <c r="E8" s="16" t="s">
        <v>103</v>
      </c>
      <c r="F8" s="31"/>
      <c r="G8" s="69">
        <f>SUMIFS(Input!L$2:L$999,Input!$C$2:$C$999,CONCATENATE(LEFT($B$8,10),"*"),Input!$D$2:$D$999,$C$8)*IND_Mult!H8</f>
        <v>0.034000000000000002</v>
      </c>
      <c r="H8" s="69">
        <f>SUMIFS(Input!M$2:M$999,Input!$C$2:$C$999,CONCATENATE(LEFT($B$8,10),"*"),Input!$D$2:$D$999,$C$8)*IND_Mult!I8</f>
        <v>0</v>
      </c>
      <c r="I8" s="69">
        <f>SUMIFS(Input!N$2:N$999,Input!$C$2:$C$999,CONCATENATE(LEFT($B$8,10),"*"),Input!$D$2:$D$999,$C$8)*IND_Mult!J8</f>
        <v>0.034000000000000002</v>
      </c>
      <c r="J8" s="69">
        <f>SUMIFS(Input!O$2:O$999,Input!$C$2:$C$999,CONCATENATE(LEFT($B$8,10),"*"),Input!$D$2:$D$999,$C$8)*IND_Mult!K8</f>
        <v>0.034000000000000002</v>
      </c>
      <c r="K8" s="69">
        <f>SUMIFS(Input!P$2:P$999,Input!$C$2:$C$999,CONCATENATE(LEFT($B$8,10),"*"),Input!$D$2:$D$999,$C$8)*IND_Mult!L8</f>
        <v>0.034000000000000002</v>
      </c>
      <c r="L8" s="69">
        <f>SUMIFS(Input!Q$2:Q$999,Input!$C$2:$C$999,CONCATENATE(LEFT($B$8,10),"*"),Input!$D$2:$D$999,$C$8)*IND_Mult!M8</f>
        <v>0.034000000000000002</v>
      </c>
      <c r="M8" s="69">
        <f>SUMIFS(Input!R$2:R$999,Input!$C$2:$C$999,CONCATENATE(LEFT($B$8,10),"*"),Input!$D$2:$D$999,$C$8)*IND_Mult!N8</f>
        <v>0.034000000000000002</v>
      </c>
      <c r="N8" s="69">
        <f>SUMIFS(Input!S$2:S$999,Input!$C$2:$C$999,CONCATENATE(LEFT($B$8,10),"*"),Input!$D$2:$D$999,$C$8)*IND_Mult!O8</f>
        <v>0.034000000000000002</v>
      </c>
      <c r="O8" s="69">
        <f>SUMIFS(Input!T$2:T$999,Input!$C$2:$C$999,CONCATENATE(LEFT($B$8,10),"*"),Input!$D$2:$D$999,$C$8)*IND_Mult!P8</f>
        <v>0.028900000000000002</v>
      </c>
      <c r="P8" s="69">
        <f>SUMIFS(Input!U$2:U$999,Input!$C$2:$C$999,CONCATENATE(LEFT($B$8,10),"*"),Input!$D$2:$D$999,$C$8)*IND_Mult!Q8</f>
        <v>0.034000000000000002</v>
      </c>
      <c r="Q8" s="69">
        <f>SUMIFS(Input!V$2:V$999,Input!$C$2:$C$999,CONCATENATE(LEFT($B$8,10),"*"),Input!$D$2:$D$999,$C$8)*IND_Mult!R8</f>
        <v>0.034000000000000002</v>
      </c>
      <c r="R8" s="69">
        <f>SUMIFS(Input!W$2:W$999,Input!$C$2:$C$999,CONCATENATE(LEFT($B$8,10),"*"),Input!$D$2:$D$999,$C$8)*IND_Mult!S8</f>
        <v>0.034000000000000002</v>
      </c>
      <c r="S8" s="69">
        <f>SUMIFS(Input!X$2:X$999,Input!$C$2:$C$999,CONCATENATE(LEFT($B$8,10),"*"),Input!$D$2:$D$999,$C$8)*IND_Mult!T8</f>
        <v>0.034000000000000002</v>
      </c>
      <c r="T8" s="69">
        <f>SUMIFS(Input!Y$2:Y$999,Input!$C$2:$C$999,CONCATENATE(LEFT($B$8,10),"*"),Input!$D$2:$D$999,$C$8)*IND_Mult!U8</f>
        <v>0.034000000000000002</v>
      </c>
      <c r="U8" s="69">
        <f>SUMIFS(Input!Z$2:Z$999,Input!$C$2:$C$999,CONCATENATE(LEFT($B$8,10),"*"),Input!$D$2:$D$999,$C$8)*IND_Mult!V8</f>
        <v>0.0342713796905188</v>
      </c>
      <c r="V8" s="69">
        <f>SUMIFS(Input!AA$2:AA$999,Input!$C$2:$C$999,CONCATENATE(LEFT($B$8,10),"*"),Input!$D$2:$D$999,$C$8)*IND_Mult!W8</f>
        <v>0.034000000000000002</v>
      </c>
      <c r="W8" s="69">
        <f>SUMIFS(Input!AB$2:AB$999,Input!$C$2:$C$999,CONCATENATE(LEFT($B$8,10),"*"),Input!$D$2:$D$999,$C$8)*IND_Mult!X8</f>
        <v>0.034000000000000002</v>
      </c>
      <c r="X8" s="69">
        <f>SUMIFS(Input!AC$2:AC$999,Input!$C$2:$C$999,CONCATENATE(LEFT($B$8,10),"*"),Input!$D$2:$D$999,$C$8)*IND_Mult!Y8</f>
        <v>0.034000000000000002</v>
      </c>
      <c r="Y8" s="69">
        <f>SUMIFS(Input!AD$2:AD$999,Input!$C$2:$C$999,CONCATENATE(LEFT($B$8,10),"*"),Input!$D$2:$D$999,$C$8)*IND_Mult!Z8</f>
        <v>0.034000000000000002</v>
      </c>
      <c r="Z8" s="69">
        <f>SUMIFS(Input!AE$2:AE$999,Input!$C$2:$C$999,CONCATENATE(LEFT($B$8,10),"*"),Input!$D$2:$D$999,$C$8)*IND_Mult!AA8</f>
        <v>0.034000000000000002</v>
      </c>
      <c r="AA8" s="69">
        <f>SUMIFS(Input!AF$2:AF$999,Input!$C$2:$C$999,CONCATENATE(LEFT($B$8,10),"*"),Input!$D$2:$D$999,$C$8)*IND_Mult!AB8</f>
        <v>0.034000000000000002</v>
      </c>
      <c r="AB8" s="69">
        <f>SUMIFS(Input!AG$2:AG$999,Input!$C$2:$C$999,CONCATENATE(LEFT($B$8,10),"*"),Input!$D$2:$D$999,$C$8)*IND_Mult!AC8</f>
        <v>0.034000000000000002</v>
      </c>
      <c r="AC8" s="69">
        <f>SUMIFS(Input!AH$2:AH$999,Input!$C$2:$C$999,CONCATENATE(LEFT($B$8,10),"*"),Input!$D$2:$D$999,$C$8)*IND_Mult!AD8</f>
        <v>0.034000000000000002</v>
      </c>
      <c r="AD8" s="69">
        <f>SUMIFS(Input!AI$2:AI$999,Input!$C$2:$C$999,CONCATENATE(LEFT($B$8,10),"*"),Input!$D$2:$D$999,$C$8)*IND_Mult!AE8</f>
        <v>0.034000000000000002</v>
      </c>
      <c r="AE8" s="69">
        <f>SUMIFS(Input!AJ$2:AJ$999,Input!$C$2:$C$999,CONCATENATE(LEFT($B$8,10),"*"),Input!$D$2:$D$999,$C$8)*IND_Mult!AF8</f>
        <v>0.034000000000000002</v>
      </c>
      <c r="AF8" s="69">
        <f>SUMIFS(Input!AK$2:AK$999,Input!$C$2:$C$999,CONCATENATE(LEFT($B$8,10),"*"),Input!$D$2:$D$999,$C$8)*IND_Mult!AG8</f>
        <v>0.034000000000000002</v>
      </c>
      <c r="AG8" s="69">
        <f>SUMIFS(Input!AL$2:AL$999,Input!$C$2:$C$999,CONCATENATE(LEFT($B$8,10),"*"),Input!$D$2:$D$999,$C$8)*IND_Mult!AH8</f>
        <v>0.034000000000000002</v>
      </c>
      <c r="AH8" s="69">
        <f>SUMIFS(Input!AM$2:AM$999,Input!$C$2:$C$999,CONCATENATE(LEFT($B$8,10),"*"),Input!$D$2:$D$999,$C$8)*IND_Mult!AI8</f>
        <v>0</v>
      </c>
      <c r="AI8" s="69">
        <f>SUMIFS(Input!AN$2:AN$999,Input!$C$2:$C$999,CONCATENATE(LEFT($B$8,10),"*"),Input!$D$2:$D$999,$C$8)*IND_Mult!AJ8</f>
        <v>0.034000000000000002</v>
      </c>
      <c r="AJ8" s="69">
        <f>SUMIFS(Input!AO$2:AO$999,Input!$C$2:$C$999,CONCATENATE(LEFT($B$8,10),"*"),Input!$D$2:$D$999,$C$8)*IND_Mult!AK8</f>
        <v>0.034000000000000002</v>
      </c>
      <c r="AK8" s="69">
        <f>SUMIFS(Input!AP$2:AP$999,Input!$C$2:$C$999,CONCATENATE(LEFT($B$8,10),"*"),Input!$D$2:$D$999,$C$8)*IND_Mult!AL8</f>
        <v>0.034000000000000002</v>
      </c>
      <c r="AL8" s="69">
        <f>SUMIFS(Input!AQ$2:AQ$999,Input!$C$2:$C$999,CONCATENATE(LEFT($B$8,10),"*"),Input!$D$2:$D$999,$C$8)*IND_Mult!AM8</f>
        <v>0.034000000000000002</v>
      </c>
      <c r="AM8" s="69">
        <f>SUMIFS(Input!AR$2:AR$999,Input!$C$2:$C$999,CONCATENATE(LEFT($B$8,10),"*"),Input!$D$2:$D$999,$C$8)*IND_Mult!AN8</f>
        <v>0.034000000000000002</v>
      </c>
      <c r="AN8" s="69">
        <f>SUMIFS(Input!AS$2:AS$999,Input!$C$2:$C$999,CONCATENATE(LEFT($B$8,10),"*"),Input!$D$2:$D$999,$C$8)*IND_Mult!AO8</f>
        <v>0.034000000000000002</v>
      </c>
      <c r="AO8" s="69">
        <f>SUMIFS(Input!AT$2:AT$999,Input!$C$2:$C$999,CONCATENATE(LEFT($B$8,10),"*"),Input!$D$2:$D$999,$C$8)*IND_Mult!AP8</f>
        <v>0.034000000000000002</v>
      </c>
      <c r="AP8" s="69">
        <f>SUMIFS(Input!AU$2:AU$999,Input!$C$2:$C$999,CONCATENATE(LEFT($B$8,10),"*"),Input!$D$2:$D$999,$C$8)*IND_Mult!AQ8</f>
        <v>0</v>
      </c>
      <c r="AQ8" s="69">
        <f>SUMIFS(Input!AV$2:AV$999,Input!$C$2:$C$999,CONCATENATE(LEFT($B$8,10),"*"),Input!$D$2:$D$999,$C$8)*IND_Mult!AR8</f>
        <v>0.034000000000000002</v>
      </c>
    </row>
    <row r="9" spans="1:43" ht="12.75">
      <c r="A9" s="6"/>
      <c r="B9" s="17" t="s">
        <v>256</v>
      </c>
      <c r="C9" s="18" t="s">
        <v>40</v>
      </c>
      <c r="D9" s="26"/>
      <c r="E9" s="16" t="s">
        <v>103</v>
      </c>
      <c r="F9" s="31"/>
      <c r="G9" s="69">
        <f>SUMIFS(Input!L$2:L$999,Input!$C$2:$C$999,CONCATENATE(LEFT($B$9,10),"*"),Input!$D$2:$D$999,$C$9)*IND_Mult!H9</f>
        <v>1</v>
      </c>
      <c r="H9" s="69">
        <f>SUMIFS(Input!M$2:M$999,Input!$C$2:$C$999,CONCATENATE(LEFT($B$9,10),"*"),Input!$D$2:$D$999,$C$9)*IND_Mult!I9</f>
        <v>1</v>
      </c>
      <c r="I9" s="69">
        <f>SUMIFS(Input!N$2:N$999,Input!$C$2:$C$999,CONCATENATE(LEFT($B$9,10),"*"),Input!$D$2:$D$999,$C$9)*IND_Mult!J9</f>
        <v>1</v>
      </c>
      <c r="J9" s="69">
        <f>SUMIFS(Input!O$2:O$999,Input!$C$2:$C$999,CONCATENATE(LEFT($B$9,10),"*"),Input!$D$2:$D$999,$C$9)*IND_Mult!K9</f>
        <v>1</v>
      </c>
      <c r="K9" s="69">
        <f>SUMIFS(Input!P$2:P$999,Input!$C$2:$C$999,CONCATENATE(LEFT($B$9,10),"*"),Input!$D$2:$D$999,$C$9)*IND_Mult!L9</f>
        <v>1</v>
      </c>
      <c r="L9" s="69">
        <f>SUMIFS(Input!Q$2:Q$999,Input!$C$2:$C$999,CONCATENATE(LEFT($B$9,10),"*"),Input!$D$2:$D$999,$C$9)*IND_Mult!M9</f>
        <v>1</v>
      </c>
      <c r="M9" s="69">
        <f>SUMIFS(Input!R$2:R$999,Input!$C$2:$C$999,CONCATENATE(LEFT($B$9,10),"*"),Input!$D$2:$D$999,$C$9)*IND_Mult!N9</f>
        <v>1</v>
      </c>
      <c r="N9" s="69">
        <f>SUMIFS(Input!S$2:S$999,Input!$C$2:$C$999,CONCATENATE(LEFT($B$9,10),"*"),Input!$D$2:$D$999,$C$9)*IND_Mult!O9</f>
        <v>1</v>
      </c>
      <c r="O9" s="69">
        <f>SUMIFS(Input!T$2:T$999,Input!$C$2:$C$999,CONCATENATE(LEFT($B$9,10),"*"),Input!$D$2:$D$999,$C$9)*IND_Mult!P9</f>
        <v>0.84999999999999998</v>
      </c>
      <c r="P9" s="69">
        <f>SUMIFS(Input!U$2:U$999,Input!$C$2:$C$999,CONCATENATE(LEFT($B$9,10),"*"),Input!$D$2:$D$999,$C$9)*IND_Mult!Q9</f>
        <v>1</v>
      </c>
      <c r="Q9" s="69">
        <f>SUMIFS(Input!V$2:V$999,Input!$C$2:$C$999,CONCATENATE(LEFT($B$9,10),"*"),Input!$D$2:$D$999,$C$9)*IND_Mult!R9</f>
        <v>1</v>
      </c>
      <c r="R9" s="69">
        <f>SUMIFS(Input!W$2:W$999,Input!$C$2:$C$999,CONCATENATE(LEFT($B$9,10),"*"),Input!$D$2:$D$999,$C$9)*IND_Mult!S9</f>
        <v>1</v>
      </c>
      <c r="S9" s="69">
        <f>SUMIFS(Input!X$2:X$999,Input!$C$2:$C$999,CONCATENATE(LEFT($B$9,10),"*"),Input!$D$2:$D$999,$C$9)*IND_Mult!T9</f>
        <v>1</v>
      </c>
      <c r="T9" s="69">
        <f>SUMIFS(Input!Y$2:Y$999,Input!$C$2:$C$999,CONCATENATE(LEFT($B$9,10),"*"),Input!$D$2:$D$999,$C$9)*IND_Mult!U9</f>
        <v>1</v>
      </c>
      <c r="U9" s="69">
        <f>SUMIFS(Input!Z$2:Z$999,Input!$C$2:$C$999,CONCATENATE(LEFT($B$9,10),"*"),Input!$D$2:$D$999,$C$9)*IND_Mult!V9</f>
        <v>1</v>
      </c>
      <c r="V9" s="69">
        <f>SUMIFS(Input!AA$2:AA$999,Input!$C$2:$C$999,CONCATENATE(LEFT($B$9,10),"*"),Input!$D$2:$D$999,$C$9)*IND_Mult!W9</f>
        <v>1</v>
      </c>
      <c r="W9" s="69">
        <f>SUMIFS(Input!AB$2:AB$999,Input!$C$2:$C$999,CONCATENATE(LEFT($B$9,10),"*"),Input!$D$2:$D$999,$C$9)*IND_Mult!X9</f>
        <v>1</v>
      </c>
      <c r="X9" s="69">
        <f>SUMIFS(Input!AC$2:AC$999,Input!$C$2:$C$999,CONCATENATE(LEFT($B$9,10),"*"),Input!$D$2:$D$999,$C$9)*IND_Mult!Y9</f>
        <v>1</v>
      </c>
      <c r="Y9" s="69">
        <f>SUMIFS(Input!AD$2:AD$999,Input!$C$2:$C$999,CONCATENATE(LEFT($B$9,10),"*"),Input!$D$2:$D$999,$C$9)*IND_Mult!Z9</f>
        <v>1</v>
      </c>
      <c r="Z9" s="69">
        <f>SUMIFS(Input!AE$2:AE$999,Input!$C$2:$C$999,CONCATENATE(LEFT($B$9,10),"*"),Input!$D$2:$D$999,$C$9)*IND_Mult!AA9</f>
        <v>1</v>
      </c>
      <c r="AA9" s="69">
        <f>SUMIFS(Input!AF$2:AF$999,Input!$C$2:$C$999,CONCATENATE(LEFT($B$9,10),"*"),Input!$D$2:$D$999,$C$9)*IND_Mult!AB9</f>
        <v>1</v>
      </c>
      <c r="AB9" s="69">
        <f>SUMIFS(Input!AG$2:AG$999,Input!$C$2:$C$999,CONCATENATE(LEFT($B$9,10),"*"),Input!$D$2:$D$999,$C$9)*IND_Mult!AC9</f>
        <v>1</v>
      </c>
      <c r="AC9" s="69">
        <f>SUMIFS(Input!AH$2:AH$999,Input!$C$2:$C$999,CONCATENATE(LEFT($B$9,10),"*"),Input!$D$2:$D$999,$C$9)*IND_Mult!AD9</f>
        <v>1</v>
      </c>
      <c r="AD9" s="69">
        <f>SUMIFS(Input!AI$2:AI$999,Input!$C$2:$C$999,CONCATENATE(LEFT($B$9,10),"*"),Input!$D$2:$D$999,$C$9)*IND_Mult!AE9</f>
        <v>1</v>
      </c>
      <c r="AE9" s="69">
        <f>SUMIFS(Input!AJ$2:AJ$999,Input!$C$2:$C$999,CONCATENATE(LEFT($B$9,10),"*"),Input!$D$2:$D$999,$C$9)*IND_Mult!AF9</f>
        <v>1</v>
      </c>
      <c r="AF9" s="69">
        <f>SUMIFS(Input!AK$2:AK$999,Input!$C$2:$C$999,CONCATENATE(LEFT($B$9,10),"*"),Input!$D$2:$D$999,$C$9)*IND_Mult!AG9</f>
        <v>1</v>
      </c>
      <c r="AG9" s="69">
        <f>SUMIFS(Input!AL$2:AL$999,Input!$C$2:$C$999,CONCATENATE(LEFT($B$9,10),"*"),Input!$D$2:$D$999,$C$9)*IND_Mult!AH9</f>
        <v>1</v>
      </c>
      <c r="AH9" s="69">
        <f>SUMIFS(Input!AM$2:AM$999,Input!$C$2:$C$999,CONCATENATE(LEFT($B$9,10),"*"),Input!$D$2:$D$999,$C$9)*IND_Mult!AI9</f>
        <v>1</v>
      </c>
      <c r="AI9" s="69">
        <f>SUMIFS(Input!AN$2:AN$999,Input!$C$2:$C$999,CONCATENATE(LEFT($B$9,10),"*"),Input!$D$2:$D$999,$C$9)*IND_Mult!AJ9</f>
        <v>1</v>
      </c>
      <c r="AJ9" s="69">
        <f>SUMIFS(Input!AO$2:AO$999,Input!$C$2:$C$999,CONCATENATE(LEFT($B$9,10),"*"),Input!$D$2:$D$999,$C$9)*IND_Mult!AK9</f>
        <v>1</v>
      </c>
      <c r="AK9" s="69">
        <f>SUMIFS(Input!AP$2:AP$999,Input!$C$2:$C$999,CONCATENATE(LEFT($B$9,10),"*"),Input!$D$2:$D$999,$C$9)*IND_Mult!AL9</f>
        <v>1</v>
      </c>
      <c r="AL9" s="69">
        <f>SUMIFS(Input!AQ$2:AQ$999,Input!$C$2:$C$999,CONCATENATE(LEFT($B$9,10),"*"),Input!$D$2:$D$999,$C$9)*IND_Mult!AM9</f>
        <v>1</v>
      </c>
      <c r="AM9" s="69">
        <f>SUMIFS(Input!AR$2:AR$999,Input!$C$2:$C$999,CONCATENATE(LEFT($B$9,10),"*"),Input!$D$2:$D$999,$C$9)*IND_Mult!AN9</f>
        <v>1</v>
      </c>
      <c r="AN9" s="69">
        <f>SUMIFS(Input!AS$2:AS$999,Input!$C$2:$C$999,CONCATENATE(LEFT($B$9,10),"*"),Input!$D$2:$D$999,$C$9)*IND_Mult!AO9</f>
        <v>1</v>
      </c>
      <c r="AO9" s="69">
        <f>SUMIFS(Input!AT$2:AT$999,Input!$C$2:$C$999,CONCATENATE(LEFT($B$9,10),"*"),Input!$D$2:$D$999,$C$9)*IND_Mult!AP9</f>
        <v>1</v>
      </c>
      <c r="AP9" s="69">
        <f>SUMIFS(Input!AU$2:AU$999,Input!$C$2:$C$999,CONCATENATE(LEFT($B$9,10),"*"),Input!$D$2:$D$999,$C$9)*IND_Mult!AQ9</f>
        <v>1</v>
      </c>
      <c r="AQ9" s="69">
        <f>SUMIFS(Input!AV$2:AV$999,Input!$C$2:$C$999,CONCATENATE(LEFT($B$9,10),"*"),Input!$D$2:$D$999,$C$9)*IND_Mult!AR9</f>
        <v>1</v>
      </c>
    </row>
    <row r="10" spans="1:43" ht="12.75">
      <c r="A10" s="6"/>
      <c r="B10" s="17" t="s">
        <v>257</v>
      </c>
      <c r="C10" s="18" t="s">
        <v>37</v>
      </c>
      <c r="D10" s="26"/>
      <c r="E10" s="16" t="s">
        <v>103</v>
      </c>
      <c r="F10" s="31"/>
      <c r="G10" s="69">
        <f>SUMIFS(Input!L$2:L$999,Input!$C$2:$C$999,CONCATENATE(LEFT($B$10,10),"*"),Input!$D$2:$D$999,$C$10)*IND_Mult!H10</f>
        <v>35.200000000000003</v>
      </c>
      <c r="H10" s="69">
        <f>SUMIFS(Input!M$2:M$999,Input!$C$2:$C$999,CONCATENATE(LEFT($B$10,10),"*"),Input!$D$2:$D$999,$C$10)*IND_Mult!I10</f>
        <v>35.200000000000003</v>
      </c>
      <c r="I10" s="69">
        <f>SUMIFS(Input!N$2:N$999,Input!$C$2:$C$999,CONCATENATE(LEFT($B$10,10),"*"),Input!$D$2:$D$999,$C$10)*IND_Mult!J10</f>
        <v>35.200000000000003</v>
      </c>
      <c r="J10" s="69">
        <f>SUMIFS(Input!O$2:O$999,Input!$C$2:$C$999,CONCATENATE(LEFT($B$10,10),"*"),Input!$D$2:$D$999,$C$10)*IND_Mult!K10</f>
        <v>35.200000000000003</v>
      </c>
      <c r="K10" s="69">
        <f>SUMIFS(Input!P$2:P$999,Input!$C$2:$C$999,CONCATENATE(LEFT($B$10,10),"*"),Input!$D$2:$D$999,$C$10)*IND_Mult!L10</f>
        <v>35.200000000000003</v>
      </c>
      <c r="L10" s="69">
        <f>SUMIFS(Input!Q$2:Q$999,Input!$C$2:$C$999,CONCATENATE(LEFT($B$10,10),"*"),Input!$D$2:$D$999,$C$10)*IND_Mult!M10</f>
        <v>35.200000000000003</v>
      </c>
      <c r="M10" s="69">
        <f>SUMIFS(Input!R$2:R$999,Input!$C$2:$C$999,CONCATENATE(LEFT($B$10,10),"*"),Input!$D$2:$D$999,$C$10)*IND_Mult!N10</f>
        <v>35.200000000000003</v>
      </c>
      <c r="N10" s="69">
        <f>SUMIFS(Input!S$2:S$999,Input!$C$2:$C$999,CONCATENATE(LEFT($B$10,10),"*"),Input!$D$2:$D$999,$C$10)*IND_Mult!O10</f>
        <v>35.200000000000003</v>
      </c>
      <c r="O10" s="69">
        <f>SUMIFS(Input!T$2:T$999,Input!$C$2:$C$999,CONCATENATE(LEFT($B$10,10),"*"),Input!$D$2:$D$999,$C$10)*IND_Mult!P10</f>
        <v>29.920000000000002</v>
      </c>
      <c r="P10" s="69">
        <f>SUMIFS(Input!U$2:U$999,Input!$C$2:$C$999,CONCATENATE(LEFT($B$10,10),"*"),Input!$D$2:$D$999,$C$10)*IND_Mult!Q10</f>
        <v>35.200000000000003</v>
      </c>
      <c r="Q10" s="69">
        <f>SUMIFS(Input!V$2:V$999,Input!$C$2:$C$999,CONCATENATE(LEFT($B$10,10),"*"),Input!$D$2:$D$999,$C$10)*IND_Mult!R10</f>
        <v>35.200000000000003</v>
      </c>
      <c r="R10" s="69">
        <f>SUMIFS(Input!W$2:W$999,Input!$C$2:$C$999,CONCATENATE(LEFT($B$10,10),"*"),Input!$D$2:$D$999,$C$10)*IND_Mult!S10</f>
        <v>35.200000000000003</v>
      </c>
      <c r="S10" s="69">
        <f>SUMIFS(Input!X$2:X$999,Input!$C$2:$C$999,CONCATENATE(LEFT($B$10,10),"*"),Input!$D$2:$D$999,$C$10)*IND_Mult!T10</f>
        <v>35.200000000000003</v>
      </c>
      <c r="T10" s="69">
        <f>SUMIFS(Input!Y$2:Y$999,Input!$C$2:$C$999,CONCATENATE(LEFT($B$10,10),"*"),Input!$D$2:$D$999,$C$10)*IND_Mult!U10</f>
        <v>35.200000000000003</v>
      </c>
      <c r="U10" s="69">
        <f>SUMIFS(Input!Z$2:Z$999,Input!$C$2:$C$999,CONCATENATE(LEFT($B$10,10),"*"),Input!$D$2:$D$999,$C$10)*IND_Mult!V10</f>
        <v>35.200000000000003</v>
      </c>
      <c r="V10" s="69">
        <f>SUMIFS(Input!AA$2:AA$999,Input!$C$2:$C$999,CONCATENATE(LEFT($B$10,10),"*"),Input!$D$2:$D$999,$C$10)*IND_Mult!W10</f>
        <v>35.200000000000003</v>
      </c>
      <c r="W10" s="69">
        <f>SUMIFS(Input!AB$2:AB$999,Input!$C$2:$C$999,CONCATENATE(LEFT($B$10,10),"*"),Input!$D$2:$D$999,$C$10)*IND_Mult!X10</f>
        <v>35.200000000000003</v>
      </c>
      <c r="X10" s="69">
        <f>SUMIFS(Input!AC$2:AC$999,Input!$C$2:$C$999,CONCATENATE(LEFT($B$10,10),"*"),Input!$D$2:$D$999,$C$10)*IND_Mult!Y10</f>
        <v>35.200000000000003</v>
      </c>
      <c r="Y10" s="69">
        <f>SUMIFS(Input!AD$2:AD$999,Input!$C$2:$C$999,CONCATENATE(LEFT($B$10,10),"*"),Input!$D$2:$D$999,$C$10)*IND_Mult!Z10</f>
        <v>35.200000000000003</v>
      </c>
      <c r="Z10" s="69">
        <f>SUMIFS(Input!AE$2:AE$999,Input!$C$2:$C$999,CONCATENATE(LEFT($B$10,10),"*"),Input!$D$2:$D$999,$C$10)*IND_Mult!AA10</f>
        <v>35.200000000000003</v>
      </c>
      <c r="AA10" s="69">
        <f>SUMIFS(Input!AF$2:AF$999,Input!$C$2:$C$999,CONCATENATE(LEFT($B$10,10),"*"),Input!$D$2:$D$999,$C$10)*IND_Mult!AB10</f>
        <v>35.200000000000003</v>
      </c>
      <c r="AB10" s="69">
        <f>SUMIFS(Input!AG$2:AG$999,Input!$C$2:$C$999,CONCATENATE(LEFT($B$10,10),"*"),Input!$D$2:$D$999,$C$10)*IND_Mult!AC10</f>
        <v>35.200000000000003</v>
      </c>
      <c r="AC10" s="69">
        <f>SUMIFS(Input!AH$2:AH$999,Input!$C$2:$C$999,CONCATENATE(LEFT($B$10,10),"*"),Input!$D$2:$D$999,$C$10)*IND_Mult!AD10</f>
        <v>35.200000000000003</v>
      </c>
      <c r="AD10" s="69">
        <f>SUMIFS(Input!AI$2:AI$999,Input!$C$2:$C$999,CONCATENATE(LEFT($B$10,10),"*"),Input!$D$2:$D$999,$C$10)*IND_Mult!AE10</f>
        <v>35.200000000000003</v>
      </c>
      <c r="AE10" s="69">
        <f>SUMIFS(Input!AJ$2:AJ$999,Input!$C$2:$C$999,CONCATENATE(LEFT($B$10,10),"*"),Input!$D$2:$D$999,$C$10)*IND_Mult!AF10</f>
        <v>35.200000000000003</v>
      </c>
      <c r="AF10" s="69">
        <f>SUMIFS(Input!AK$2:AK$999,Input!$C$2:$C$999,CONCATENATE(LEFT($B$10,10),"*"),Input!$D$2:$D$999,$C$10)*IND_Mult!AG10</f>
        <v>35.200000000000003</v>
      </c>
      <c r="AG10" s="69">
        <f>SUMIFS(Input!AL$2:AL$999,Input!$C$2:$C$999,CONCATENATE(LEFT($B$10,10),"*"),Input!$D$2:$D$999,$C$10)*IND_Mult!AH10</f>
        <v>35.200000000000003</v>
      </c>
      <c r="AH10" s="69">
        <f>SUMIFS(Input!AM$2:AM$999,Input!$C$2:$C$999,CONCATENATE(LEFT($B$10,10),"*"),Input!$D$2:$D$999,$C$10)*IND_Mult!AI10</f>
        <v>35.200000000000003</v>
      </c>
      <c r="AI10" s="69">
        <f>SUMIFS(Input!AN$2:AN$999,Input!$C$2:$C$999,CONCATENATE(LEFT($B$10,10),"*"),Input!$D$2:$D$999,$C$10)*IND_Mult!AJ10</f>
        <v>35.200000000000003</v>
      </c>
      <c r="AJ10" s="69">
        <f>SUMIFS(Input!AO$2:AO$999,Input!$C$2:$C$999,CONCATENATE(LEFT($B$10,10),"*"),Input!$D$2:$D$999,$C$10)*IND_Mult!AK10</f>
        <v>35.200000000000003</v>
      </c>
      <c r="AK10" s="69">
        <f>SUMIFS(Input!AP$2:AP$999,Input!$C$2:$C$999,CONCATENATE(LEFT($B$10,10),"*"),Input!$D$2:$D$999,$C$10)*IND_Mult!AL10</f>
        <v>35.200000000000003</v>
      </c>
      <c r="AL10" s="69">
        <f>SUMIFS(Input!AQ$2:AQ$999,Input!$C$2:$C$999,CONCATENATE(LEFT($B$10,10),"*"),Input!$D$2:$D$999,$C$10)*IND_Mult!AM10</f>
        <v>35.200000000000003</v>
      </c>
      <c r="AM10" s="69">
        <f>SUMIFS(Input!AR$2:AR$999,Input!$C$2:$C$999,CONCATENATE(LEFT($B$10,10),"*"),Input!$D$2:$D$999,$C$10)*IND_Mult!AN10</f>
        <v>35.200000000000003</v>
      </c>
      <c r="AN10" s="69">
        <f>SUMIFS(Input!AS$2:AS$999,Input!$C$2:$C$999,CONCATENATE(LEFT($B$10,10),"*"),Input!$D$2:$D$999,$C$10)*IND_Mult!AO10</f>
        <v>35.536000000000001</v>
      </c>
      <c r="AO10" s="69">
        <f>SUMIFS(Input!AT$2:AT$999,Input!$C$2:$C$999,CONCATENATE(LEFT($B$10,10),"*"),Input!$D$2:$D$999,$C$10)*IND_Mult!AP10</f>
        <v>35.200000000000003</v>
      </c>
      <c r="AP10" s="69">
        <f>SUMIFS(Input!AU$2:AU$999,Input!$C$2:$C$999,CONCATENATE(LEFT($B$10,10),"*"),Input!$D$2:$D$999,$C$10)*IND_Mult!AQ10</f>
        <v>35.200000000000003</v>
      </c>
      <c r="AQ10" s="69">
        <f>SUMIFS(Input!AV$2:AV$999,Input!$C$2:$C$999,CONCATENATE(LEFT($B$10,10),"*"),Input!$D$2:$D$999,$C$10)*IND_Mult!AR10</f>
        <v>35.200000000000003</v>
      </c>
    </row>
    <row r="11" spans="1:43" ht="12.75">
      <c r="A11" s="6"/>
      <c r="B11" s="17" t="s">
        <v>257</v>
      </c>
      <c r="C11" s="18" t="s">
        <v>38</v>
      </c>
      <c r="D11" s="26"/>
      <c r="E11" s="16" t="s">
        <v>103</v>
      </c>
      <c r="F11" s="31"/>
      <c r="G11" s="69">
        <f>SUMIFS(Input!L$2:L$999,Input!$C$2:$C$999,CONCATENATE(LEFT($B$11,10),"*"),Input!$D$2:$D$999,$C$11)*IND_Mult!H11</f>
        <v>3.3599999999999999</v>
      </c>
      <c r="H11" s="69">
        <f>SUMIFS(Input!M$2:M$999,Input!$C$2:$C$999,CONCATENATE(LEFT($B$11,10),"*"),Input!$D$2:$D$999,$C$11)*IND_Mult!I11</f>
        <v>3.3599999999999999</v>
      </c>
      <c r="I11" s="69">
        <f>SUMIFS(Input!N$2:N$999,Input!$C$2:$C$999,CONCATENATE(LEFT($B$11,10),"*"),Input!$D$2:$D$999,$C$11)*IND_Mult!J11</f>
        <v>3.3599999999999999</v>
      </c>
      <c r="J11" s="69">
        <f>SUMIFS(Input!O$2:O$999,Input!$C$2:$C$999,CONCATENATE(LEFT($B$11,10),"*"),Input!$D$2:$D$999,$C$11)*IND_Mult!K11</f>
        <v>3.3599999999999999</v>
      </c>
      <c r="K11" s="69">
        <f>SUMIFS(Input!P$2:P$999,Input!$C$2:$C$999,CONCATENATE(LEFT($B$11,10),"*"),Input!$D$2:$D$999,$C$11)*IND_Mult!L11</f>
        <v>3.3599999999999999</v>
      </c>
      <c r="L11" s="69">
        <f>SUMIFS(Input!Q$2:Q$999,Input!$C$2:$C$999,CONCATENATE(LEFT($B$11,10),"*"),Input!$D$2:$D$999,$C$11)*IND_Mult!M11</f>
        <v>3.3599999999999999</v>
      </c>
      <c r="M11" s="69">
        <f>SUMIFS(Input!R$2:R$999,Input!$C$2:$C$999,CONCATENATE(LEFT($B$11,10),"*"),Input!$D$2:$D$999,$C$11)*IND_Mult!N11</f>
        <v>3.3599999999999999</v>
      </c>
      <c r="N11" s="69">
        <f>SUMIFS(Input!S$2:S$999,Input!$C$2:$C$999,CONCATENATE(LEFT($B$11,10),"*"),Input!$D$2:$D$999,$C$11)*IND_Mult!O11</f>
        <v>3.3599999999999999</v>
      </c>
      <c r="O11" s="69">
        <f>SUMIFS(Input!T$2:T$999,Input!$C$2:$C$999,CONCATENATE(LEFT($B$11,10),"*"),Input!$D$2:$D$999,$C$11)*IND_Mult!P11</f>
        <v>2.8559999999999999</v>
      </c>
      <c r="P11" s="69">
        <f>SUMIFS(Input!U$2:U$999,Input!$C$2:$C$999,CONCATENATE(LEFT($B$11,10),"*"),Input!$D$2:$D$999,$C$11)*IND_Mult!Q11</f>
        <v>3.3599999999999999</v>
      </c>
      <c r="Q11" s="69">
        <f>SUMIFS(Input!V$2:V$999,Input!$C$2:$C$999,CONCATENATE(LEFT($B$11,10),"*"),Input!$D$2:$D$999,$C$11)*IND_Mult!R11</f>
        <v>3.3599999999999999</v>
      </c>
      <c r="R11" s="69">
        <f>SUMIFS(Input!W$2:W$999,Input!$C$2:$C$999,CONCATENATE(LEFT($B$11,10),"*"),Input!$D$2:$D$999,$C$11)*IND_Mult!S11</f>
        <v>3.3599999999999999</v>
      </c>
      <c r="S11" s="69">
        <f>SUMIFS(Input!X$2:X$999,Input!$C$2:$C$999,CONCATENATE(LEFT($B$11,10),"*"),Input!$D$2:$D$999,$C$11)*IND_Mult!T11</f>
        <v>3.3599999999999999</v>
      </c>
      <c r="T11" s="69">
        <f>SUMIFS(Input!Y$2:Y$999,Input!$C$2:$C$999,CONCATENATE(LEFT($B$11,10),"*"),Input!$D$2:$D$999,$C$11)*IND_Mult!U11</f>
        <v>3.3599999999999999</v>
      </c>
      <c r="U11" s="69">
        <f>SUMIFS(Input!Z$2:Z$999,Input!$C$2:$C$999,CONCATENATE(LEFT($B$11,10),"*"),Input!$D$2:$D$999,$C$11)*IND_Mult!V11</f>
        <v>3.3599999999999999</v>
      </c>
      <c r="V11" s="69">
        <f>SUMIFS(Input!AA$2:AA$999,Input!$C$2:$C$999,CONCATENATE(LEFT($B$11,10),"*"),Input!$D$2:$D$999,$C$11)*IND_Mult!W11</f>
        <v>3.3599999999999999</v>
      </c>
      <c r="W11" s="69">
        <f>SUMIFS(Input!AB$2:AB$999,Input!$C$2:$C$999,CONCATENATE(LEFT($B$11,10),"*"),Input!$D$2:$D$999,$C$11)*IND_Mult!X11</f>
        <v>3.3599999999999999</v>
      </c>
      <c r="X11" s="69">
        <f>SUMIFS(Input!AC$2:AC$999,Input!$C$2:$C$999,CONCATENATE(LEFT($B$11,10),"*"),Input!$D$2:$D$999,$C$11)*IND_Mult!Y11</f>
        <v>3.3599999999999999</v>
      </c>
      <c r="Y11" s="69">
        <f>SUMIFS(Input!AD$2:AD$999,Input!$C$2:$C$999,CONCATENATE(LEFT($B$11,10),"*"),Input!$D$2:$D$999,$C$11)*IND_Mult!Z11</f>
        <v>3.3599999999999999</v>
      </c>
      <c r="Z11" s="69">
        <f>SUMIFS(Input!AE$2:AE$999,Input!$C$2:$C$999,CONCATENATE(LEFT($B$11,10),"*"),Input!$D$2:$D$999,$C$11)*IND_Mult!AA11</f>
        <v>3.3599999999999999</v>
      </c>
      <c r="AA11" s="69">
        <f>SUMIFS(Input!AF$2:AF$999,Input!$C$2:$C$999,CONCATENATE(LEFT($B$11,10),"*"),Input!$D$2:$D$999,$C$11)*IND_Mult!AB11</f>
        <v>3.3599999999999999</v>
      </c>
      <c r="AB11" s="69">
        <f>SUMIFS(Input!AG$2:AG$999,Input!$C$2:$C$999,CONCATENATE(LEFT($B$11,10),"*"),Input!$D$2:$D$999,$C$11)*IND_Mult!AC11</f>
        <v>3.3599999999999999</v>
      </c>
      <c r="AC11" s="69">
        <f>SUMIFS(Input!AH$2:AH$999,Input!$C$2:$C$999,CONCATENATE(LEFT($B$11,10),"*"),Input!$D$2:$D$999,$C$11)*IND_Mult!AD11</f>
        <v>3.3599999999999999</v>
      </c>
      <c r="AD11" s="69">
        <f>SUMIFS(Input!AI$2:AI$999,Input!$C$2:$C$999,CONCATENATE(LEFT($B$11,10),"*"),Input!$D$2:$D$999,$C$11)*IND_Mult!AE11</f>
        <v>3.3599999999999999</v>
      </c>
      <c r="AE11" s="69">
        <f>SUMIFS(Input!AJ$2:AJ$999,Input!$C$2:$C$999,CONCATENATE(LEFT($B$11,10),"*"),Input!$D$2:$D$999,$C$11)*IND_Mult!AF11</f>
        <v>3.3599999999999999</v>
      </c>
      <c r="AF11" s="69">
        <f>SUMIFS(Input!AK$2:AK$999,Input!$C$2:$C$999,CONCATENATE(LEFT($B$11,10),"*"),Input!$D$2:$D$999,$C$11)*IND_Mult!AG11</f>
        <v>3.3599999999999999</v>
      </c>
      <c r="AG11" s="69">
        <f>SUMIFS(Input!AL$2:AL$999,Input!$C$2:$C$999,CONCATENATE(LEFT($B$11,10),"*"),Input!$D$2:$D$999,$C$11)*IND_Mult!AH11</f>
        <v>3.3599999999999999</v>
      </c>
      <c r="AH11" s="69">
        <f>SUMIFS(Input!AM$2:AM$999,Input!$C$2:$C$999,CONCATENATE(LEFT($B$11,10),"*"),Input!$D$2:$D$999,$C$11)*IND_Mult!AI11</f>
        <v>3.3599999999999999</v>
      </c>
      <c r="AI11" s="69">
        <f>SUMIFS(Input!AN$2:AN$999,Input!$C$2:$C$999,CONCATENATE(LEFT($B$11,10),"*"),Input!$D$2:$D$999,$C$11)*IND_Mult!AJ11</f>
        <v>3.3599999999999999</v>
      </c>
      <c r="AJ11" s="69">
        <f>SUMIFS(Input!AO$2:AO$999,Input!$C$2:$C$999,CONCATENATE(LEFT($B$11,10),"*"),Input!$D$2:$D$999,$C$11)*IND_Mult!AK11</f>
        <v>3.3599999999999999</v>
      </c>
      <c r="AK11" s="69">
        <f>SUMIFS(Input!AP$2:AP$999,Input!$C$2:$C$999,CONCATENATE(LEFT($B$11,10),"*"),Input!$D$2:$D$999,$C$11)*IND_Mult!AL11</f>
        <v>3.3599999999999999</v>
      </c>
      <c r="AL11" s="69">
        <f>SUMIFS(Input!AQ$2:AQ$999,Input!$C$2:$C$999,CONCATENATE(LEFT($B$11,10),"*"),Input!$D$2:$D$999,$C$11)*IND_Mult!AM11</f>
        <v>3.3599999999999999</v>
      </c>
      <c r="AM11" s="69">
        <f>SUMIFS(Input!AR$2:AR$999,Input!$C$2:$C$999,CONCATENATE(LEFT($B$11,10),"*"),Input!$D$2:$D$999,$C$11)*IND_Mult!AN11</f>
        <v>3.3599999999999999</v>
      </c>
      <c r="AN11" s="69">
        <f>SUMIFS(Input!AS$2:AS$999,Input!$C$2:$C$999,CONCATENATE(LEFT($B$11,10),"*"),Input!$D$2:$D$999,$C$11)*IND_Mult!AO11</f>
        <v>3.024</v>
      </c>
      <c r="AO11" s="69">
        <f>SUMIFS(Input!AT$2:AT$999,Input!$C$2:$C$999,CONCATENATE(LEFT($B$11,10),"*"),Input!$D$2:$D$999,$C$11)*IND_Mult!AP11</f>
        <v>3.3599999999999999</v>
      </c>
      <c r="AP11" s="69">
        <f>SUMIFS(Input!AU$2:AU$999,Input!$C$2:$C$999,CONCATENATE(LEFT($B$11,10),"*"),Input!$D$2:$D$999,$C$11)*IND_Mult!AQ11</f>
        <v>3.3599999999999999</v>
      </c>
      <c r="AQ11" s="69">
        <f>SUMIFS(Input!AV$2:AV$999,Input!$C$2:$C$999,CONCATENATE(LEFT($B$11,10),"*"),Input!$D$2:$D$999,$C$11)*IND_Mult!AR11</f>
        <v>3.3599999999999999</v>
      </c>
    </row>
    <row r="12" spans="1:43" ht="12.75">
      <c r="A12" s="6"/>
      <c r="B12" s="17" t="s">
        <v>257</v>
      </c>
      <c r="C12" s="18" t="s">
        <v>39</v>
      </c>
      <c r="D12" s="26"/>
      <c r="E12" s="16" t="s">
        <v>103</v>
      </c>
      <c r="F12" s="31"/>
      <c r="G12" s="69">
        <f>SUMIFS(Input!L$2:L$999,Input!$C$2:$C$999,CONCATENATE(LEFT($B$12,10),"*"),Input!$D$2:$D$999,$C$12)*IND_Mult!H12</f>
        <v>8</v>
      </c>
      <c r="H12" s="69">
        <f>SUMIFS(Input!M$2:M$999,Input!$C$2:$C$999,CONCATENATE(LEFT($B$12,10),"*"),Input!$D$2:$D$999,$C$12)*IND_Mult!I12</f>
        <v>8</v>
      </c>
      <c r="I12" s="69">
        <f>SUMIFS(Input!N$2:N$999,Input!$C$2:$C$999,CONCATENATE(LEFT($B$12,10),"*"),Input!$D$2:$D$999,$C$12)*IND_Mult!J12</f>
        <v>8</v>
      </c>
      <c r="J12" s="69">
        <f>SUMIFS(Input!O$2:O$999,Input!$C$2:$C$999,CONCATENATE(LEFT($B$12,10),"*"),Input!$D$2:$D$999,$C$12)*IND_Mult!K12</f>
        <v>8</v>
      </c>
      <c r="K12" s="69">
        <f>SUMIFS(Input!P$2:P$999,Input!$C$2:$C$999,CONCATENATE(LEFT($B$12,10),"*"),Input!$D$2:$D$999,$C$12)*IND_Mult!L12</f>
        <v>8</v>
      </c>
      <c r="L12" s="69">
        <f>SUMIFS(Input!Q$2:Q$999,Input!$C$2:$C$999,CONCATENATE(LEFT($B$12,10),"*"),Input!$D$2:$D$999,$C$12)*IND_Mult!M12</f>
        <v>8</v>
      </c>
      <c r="M12" s="69">
        <f>SUMIFS(Input!R$2:R$999,Input!$C$2:$C$999,CONCATENATE(LEFT($B$12,10),"*"),Input!$D$2:$D$999,$C$12)*IND_Mult!N12</f>
        <v>8</v>
      </c>
      <c r="N12" s="69">
        <f>SUMIFS(Input!S$2:S$999,Input!$C$2:$C$999,CONCATENATE(LEFT($B$12,10),"*"),Input!$D$2:$D$999,$C$12)*IND_Mult!O12</f>
        <v>8</v>
      </c>
      <c r="O12" s="69">
        <f>SUMIFS(Input!T$2:T$999,Input!$C$2:$C$999,CONCATENATE(LEFT($B$12,10),"*"),Input!$D$2:$D$999,$C$12)*IND_Mult!P12</f>
        <v>6.7999999999999998</v>
      </c>
      <c r="P12" s="69">
        <f>SUMIFS(Input!U$2:U$999,Input!$C$2:$C$999,CONCATENATE(LEFT($B$12,10),"*"),Input!$D$2:$D$999,$C$12)*IND_Mult!Q12</f>
        <v>8</v>
      </c>
      <c r="Q12" s="69">
        <f>SUMIFS(Input!V$2:V$999,Input!$C$2:$C$999,CONCATENATE(LEFT($B$12,10),"*"),Input!$D$2:$D$999,$C$12)*IND_Mult!R12</f>
        <v>8</v>
      </c>
      <c r="R12" s="69">
        <f>SUMIFS(Input!W$2:W$999,Input!$C$2:$C$999,CONCATENATE(LEFT($B$12,10),"*"),Input!$D$2:$D$999,$C$12)*IND_Mult!S12</f>
        <v>8</v>
      </c>
      <c r="S12" s="69">
        <f>SUMIFS(Input!X$2:X$999,Input!$C$2:$C$999,CONCATENATE(LEFT($B$12,10),"*"),Input!$D$2:$D$999,$C$12)*IND_Mult!T12</f>
        <v>8</v>
      </c>
      <c r="T12" s="69">
        <f>SUMIFS(Input!Y$2:Y$999,Input!$C$2:$C$999,CONCATENATE(LEFT($B$12,10),"*"),Input!$D$2:$D$999,$C$12)*IND_Mult!U12</f>
        <v>8</v>
      </c>
      <c r="U12" s="69">
        <f>SUMIFS(Input!Z$2:Z$999,Input!$C$2:$C$999,CONCATENATE(LEFT($B$12,10),"*"),Input!$D$2:$D$999,$C$12)*IND_Mult!V12</f>
        <v>8</v>
      </c>
      <c r="V12" s="69">
        <f>SUMIFS(Input!AA$2:AA$999,Input!$C$2:$C$999,CONCATENATE(LEFT($B$12,10),"*"),Input!$D$2:$D$999,$C$12)*IND_Mult!W12</f>
        <v>8</v>
      </c>
      <c r="W12" s="69">
        <f>SUMIFS(Input!AB$2:AB$999,Input!$C$2:$C$999,CONCATENATE(LEFT($B$12,10),"*"),Input!$D$2:$D$999,$C$12)*IND_Mult!X12</f>
        <v>8</v>
      </c>
      <c r="X12" s="69">
        <f>SUMIFS(Input!AC$2:AC$999,Input!$C$2:$C$999,CONCATENATE(LEFT($B$12,10),"*"),Input!$D$2:$D$999,$C$12)*IND_Mult!Y12</f>
        <v>8</v>
      </c>
      <c r="Y12" s="69">
        <f>SUMIFS(Input!AD$2:AD$999,Input!$C$2:$C$999,CONCATENATE(LEFT($B$12,10),"*"),Input!$D$2:$D$999,$C$12)*IND_Mult!Z12</f>
        <v>8</v>
      </c>
      <c r="Z12" s="69">
        <f>SUMIFS(Input!AE$2:AE$999,Input!$C$2:$C$999,CONCATENATE(LEFT($B$12,10),"*"),Input!$D$2:$D$999,$C$12)*IND_Mult!AA12</f>
        <v>8</v>
      </c>
      <c r="AA12" s="69">
        <f>SUMIFS(Input!AF$2:AF$999,Input!$C$2:$C$999,CONCATENATE(LEFT($B$12,10),"*"),Input!$D$2:$D$999,$C$12)*IND_Mult!AB12</f>
        <v>8</v>
      </c>
      <c r="AB12" s="69">
        <f>SUMIFS(Input!AG$2:AG$999,Input!$C$2:$C$999,CONCATENATE(LEFT($B$12,10),"*"),Input!$D$2:$D$999,$C$12)*IND_Mult!AC12</f>
        <v>8</v>
      </c>
      <c r="AC12" s="69">
        <f>SUMIFS(Input!AH$2:AH$999,Input!$C$2:$C$999,CONCATENATE(LEFT($B$12,10),"*"),Input!$D$2:$D$999,$C$12)*IND_Mult!AD12</f>
        <v>8</v>
      </c>
      <c r="AD12" s="69">
        <f>SUMIFS(Input!AI$2:AI$999,Input!$C$2:$C$999,CONCATENATE(LEFT($B$12,10),"*"),Input!$D$2:$D$999,$C$12)*IND_Mult!AE12</f>
        <v>8</v>
      </c>
      <c r="AE12" s="69">
        <f>SUMIFS(Input!AJ$2:AJ$999,Input!$C$2:$C$999,CONCATENATE(LEFT($B$12,10),"*"),Input!$D$2:$D$999,$C$12)*IND_Mult!AF12</f>
        <v>8</v>
      </c>
      <c r="AF12" s="69">
        <f>SUMIFS(Input!AK$2:AK$999,Input!$C$2:$C$999,CONCATENATE(LEFT($B$12,10),"*"),Input!$D$2:$D$999,$C$12)*IND_Mult!AG12</f>
        <v>8</v>
      </c>
      <c r="AG12" s="69">
        <f>SUMIFS(Input!AL$2:AL$999,Input!$C$2:$C$999,CONCATENATE(LEFT($B$12,10),"*"),Input!$D$2:$D$999,$C$12)*IND_Mult!AH12</f>
        <v>8</v>
      </c>
      <c r="AH12" s="69">
        <f>SUMIFS(Input!AM$2:AM$999,Input!$C$2:$C$999,CONCATENATE(LEFT($B$12,10),"*"),Input!$D$2:$D$999,$C$12)*IND_Mult!AI12</f>
        <v>8</v>
      </c>
      <c r="AI12" s="69">
        <f>SUMIFS(Input!AN$2:AN$999,Input!$C$2:$C$999,CONCATENATE(LEFT($B$12,10),"*"),Input!$D$2:$D$999,$C$12)*IND_Mult!AJ12</f>
        <v>8</v>
      </c>
      <c r="AJ12" s="69">
        <f>SUMIFS(Input!AO$2:AO$999,Input!$C$2:$C$999,CONCATENATE(LEFT($B$12,10),"*"),Input!$D$2:$D$999,$C$12)*IND_Mult!AK12</f>
        <v>8</v>
      </c>
      <c r="AK12" s="69">
        <f>SUMIFS(Input!AP$2:AP$999,Input!$C$2:$C$999,CONCATENATE(LEFT($B$12,10),"*"),Input!$D$2:$D$999,$C$12)*IND_Mult!AL12</f>
        <v>8</v>
      </c>
      <c r="AL12" s="69">
        <f>SUMIFS(Input!AQ$2:AQ$999,Input!$C$2:$C$999,CONCATENATE(LEFT($B$12,10),"*"),Input!$D$2:$D$999,$C$12)*IND_Mult!AM12</f>
        <v>8</v>
      </c>
      <c r="AM12" s="69">
        <f>SUMIFS(Input!AR$2:AR$999,Input!$C$2:$C$999,CONCATENATE(LEFT($B$12,10),"*"),Input!$D$2:$D$999,$C$12)*IND_Mult!AN12</f>
        <v>8</v>
      </c>
      <c r="AN12" s="69">
        <f>SUMIFS(Input!AS$2:AS$999,Input!$C$2:$C$999,CONCATENATE(LEFT($B$12,10),"*"),Input!$D$2:$D$999,$C$12)*IND_Mult!AO12</f>
        <v>8</v>
      </c>
      <c r="AO12" s="69">
        <f>SUMIFS(Input!AT$2:AT$999,Input!$C$2:$C$999,CONCATENATE(LEFT($B$12,10),"*"),Input!$D$2:$D$999,$C$12)*IND_Mult!AP12</f>
        <v>8</v>
      </c>
      <c r="AP12" s="69">
        <f>SUMIFS(Input!AU$2:AU$999,Input!$C$2:$C$999,CONCATENATE(LEFT($B$12,10),"*"),Input!$D$2:$D$999,$C$12)*IND_Mult!AQ12</f>
        <v>8</v>
      </c>
      <c r="AQ12" s="69">
        <f>SUMIFS(Input!AV$2:AV$999,Input!$C$2:$C$999,CONCATENATE(LEFT($B$12,10),"*"),Input!$D$2:$D$999,$C$12)*IND_Mult!AR12</f>
        <v>8</v>
      </c>
    </row>
    <row r="13" spans="1:43" ht="12.75">
      <c r="A13" s="6"/>
      <c r="B13" s="17" t="s">
        <v>257</v>
      </c>
      <c r="C13" s="18" t="s">
        <v>107</v>
      </c>
      <c r="D13" s="26"/>
      <c r="E13" s="16" t="s">
        <v>103</v>
      </c>
      <c r="F13" s="31"/>
      <c r="G13" s="69">
        <f>SUMIFS(Input!L$2:L$999,Input!$C$2:$C$999,CONCATENATE(LEFT($B$13,10),"*"),Input!$D$2:$D$999,$C$13)*IND_Mult!H13</f>
        <v>1.6000000000000001</v>
      </c>
      <c r="H13" s="69">
        <f>SUMIFS(Input!M$2:M$999,Input!$C$2:$C$999,CONCATENATE(LEFT($B$13,10),"*"),Input!$D$2:$D$999,$C$13)*IND_Mult!I13</f>
        <v>1.6000000000000001</v>
      </c>
      <c r="I13" s="69">
        <f>SUMIFS(Input!N$2:N$999,Input!$C$2:$C$999,CONCATENATE(LEFT($B$13,10),"*"),Input!$D$2:$D$999,$C$13)*IND_Mult!J13</f>
        <v>1.6000000000000001</v>
      </c>
      <c r="J13" s="69">
        <f>SUMIFS(Input!O$2:O$999,Input!$C$2:$C$999,CONCATENATE(LEFT($B$13,10),"*"),Input!$D$2:$D$999,$C$13)*IND_Mult!K13</f>
        <v>1.6000000000000001</v>
      </c>
      <c r="K13" s="69">
        <f>SUMIFS(Input!P$2:P$999,Input!$C$2:$C$999,CONCATENATE(LEFT($B$13,10),"*"),Input!$D$2:$D$999,$C$13)*IND_Mult!L13</f>
        <v>1.6000000000000001</v>
      </c>
      <c r="L13" s="69">
        <f>SUMIFS(Input!Q$2:Q$999,Input!$C$2:$C$999,CONCATENATE(LEFT($B$13,10),"*"),Input!$D$2:$D$999,$C$13)*IND_Mult!M13</f>
        <v>1.6000000000000001</v>
      </c>
      <c r="M13" s="69">
        <f>SUMIFS(Input!R$2:R$999,Input!$C$2:$C$999,CONCATENATE(LEFT($B$13,10),"*"),Input!$D$2:$D$999,$C$13)*IND_Mult!N13</f>
        <v>1.6000000000000001</v>
      </c>
      <c r="N13" s="69">
        <f>SUMIFS(Input!S$2:S$999,Input!$C$2:$C$999,CONCATENATE(LEFT($B$13,10),"*"),Input!$D$2:$D$999,$C$13)*IND_Mult!O13</f>
        <v>1.6000000000000001</v>
      </c>
      <c r="O13" s="69">
        <f>SUMIFS(Input!T$2:T$999,Input!$C$2:$C$999,CONCATENATE(LEFT($B$13,10),"*"),Input!$D$2:$D$999,$C$13)*IND_Mult!P13</f>
        <v>1.3600000000000001</v>
      </c>
      <c r="P13" s="69">
        <f>SUMIFS(Input!U$2:U$999,Input!$C$2:$C$999,CONCATENATE(LEFT($B$13,10),"*"),Input!$D$2:$D$999,$C$13)*IND_Mult!Q13</f>
        <v>1.6000000000000001</v>
      </c>
      <c r="Q13" s="69">
        <f>SUMIFS(Input!V$2:V$999,Input!$C$2:$C$999,CONCATENATE(LEFT($B$13,10),"*"),Input!$D$2:$D$999,$C$13)*IND_Mult!R13</f>
        <v>1.6000000000000001</v>
      </c>
      <c r="R13" s="69">
        <f>SUMIFS(Input!W$2:W$999,Input!$C$2:$C$999,CONCATENATE(LEFT($B$13,10),"*"),Input!$D$2:$D$999,$C$13)*IND_Mult!S13</f>
        <v>1.6000000000000001</v>
      </c>
      <c r="S13" s="69">
        <f>SUMIFS(Input!X$2:X$999,Input!$C$2:$C$999,CONCATENATE(LEFT($B$13,10),"*"),Input!$D$2:$D$999,$C$13)*IND_Mult!T13</f>
        <v>1.6000000000000001</v>
      </c>
      <c r="T13" s="69">
        <f>SUMIFS(Input!Y$2:Y$999,Input!$C$2:$C$999,CONCATENATE(LEFT($B$13,10),"*"),Input!$D$2:$D$999,$C$13)*IND_Mult!U13</f>
        <v>1.6000000000000001</v>
      </c>
      <c r="U13" s="69">
        <f>SUMIFS(Input!Z$2:Z$999,Input!$C$2:$C$999,CONCATENATE(LEFT($B$13,10),"*"),Input!$D$2:$D$999,$C$13)*IND_Mult!V13</f>
        <v>1.6000000000000001</v>
      </c>
      <c r="V13" s="69">
        <f>SUMIFS(Input!AA$2:AA$999,Input!$C$2:$C$999,CONCATENATE(LEFT($B$13,10),"*"),Input!$D$2:$D$999,$C$13)*IND_Mult!W13</f>
        <v>1.6000000000000001</v>
      </c>
      <c r="W13" s="69">
        <f>SUMIFS(Input!AB$2:AB$999,Input!$C$2:$C$999,CONCATENATE(LEFT($B$13,10),"*"),Input!$D$2:$D$999,$C$13)*IND_Mult!X13</f>
        <v>1.6000000000000001</v>
      </c>
      <c r="X13" s="69">
        <f>SUMIFS(Input!AC$2:AC$999,Input!$C$2:$C$999,CONCATENATE(LEFT($B$13,10),"*"),Input!$D$2:$D$999,$C$13)*IND_Mult!Y13</f>
        <v>1.6000000000000001</v>
      </c>
      <c r="Y13" s="69">
        <f>SUMIFS(Input!AD$2:AD$999,Input!$C$2:$C$999,CONCATENATE(LEFT($B$13,10),"*"),Input!$D$2:$D$999,$C$13)*IND_Mult!Z13</f>
        <v>1.6000000000000001</v>
      </c>
      <c r="Z13" s="69">
        <f>SUMIFS(Input!AE$2:AE$999,Input!$C$2:$C$999,CONCATENATE(LEFT($B$13,10),"*"),Input!$D$2:$D$999,$C$13)*IND_Mult!AA13</f>
        <v>1.6000000000000001</v>
      </c>
      <c r="AA13" s="69">
        <f>SUMIFS(Input!AF$2:AF$999,Input!$C$2:$C$999,CONCATENATE(LEFT($B$13,10),"*"),Input!$D$2:$D$999,$C$13)*IND_Mult!AB13</f>
        <v>1.6000000000000001</v>
      </c>
      <c r="AB13" s="69">
        <f>SUMIFS(Input!AG$2:AG$999,Input!$C$2:$C$999,CONCATENATE(LEFT($B$13,10),"*"),Input!$D$2:$D$999,$C$13)*IND_Mult!AC13</f>
        <v>1.6000000000000001</v>
      </c>
      <c r="AC13" s="69">
        <f>SUMIFS(Input!AH$2:AH$999,Input!$C$2:$C$999,CONCATENATE(LEFT($B$13,10),"*"),Input!$D$2:$D$999,$C$13)*IND_Mult!AD13</f>
        <v>1.6000000000000001</v>
      </c>
      <c r="AD13" s="69">
        <f>SUMIFS(Input!AI$2:AI$999,Input!$C$2:$C$999,CONCATENATE(LEFT($B$13,10),"*"),Input!$D$2:$D$999,$C$13)*IND_Mult!AE13</f>
        <v>1.6000000000000001</v>
      </c>
      <c r="AE13" s="69">
        <f>SUMIFS(Input!AJ$2:AJ$999,Input!$C$2:$C$999,CONCATENATE(LEFT($B$13,10),"*"),Input!$D$2:$D$999,$C$13)*IND_Mult!AF13</f>
        <v>1.6000000000000001</v>
      </c>
      <c r="AF13" s="69">
        <f>SUMIFS(Input!AK$2:AK$999,Input!$C$2:$C$999,CONCATENATE(LEFT($B$13,10),"*"),Input!$D$2:$D$999,$C$13)*IND_Mult!AG13</f>
        <v>1.6000000000000001</v>
      </c>
      <c r="AG13" s="69">
        <f>SUMIFS(Input!AL$2:AL$999,Input!$C$2:$C$999,CONCATENATE(LEFT($B$13,10),"*"),Input!$D$2:$D$999,$C$13)*IND_Mult!AH13</f>
        <v>1.6000000000000001</v>
      </c>
      <c r="AH13" s="69">
        <f>SUMIFS(Input!AM$2:AM$999,Input!$C$2:$C$999,CONCATENATE(LEFT($B$13,10),"*"),Input!$D$2:$D$999,$C$13)*IND_Mult!AI13</f>
        <v>1.6000000000000001</v>
      </c>
      <c r="AI13" s="69">
        <f>SUMIFS(Input!AN$2:AN$999,Input!$C$2:$C$999,CONCATENATE(LEFT($B$13,10),"*"),Input!$D$2:$D$999,$C$13)*IND_Mult!AJ13</f>
        <v>1.6000000000000001</v>
      </c>
      <c r="AJ13" s="69">
        <f>SUMIFS(Input!AO$2:AO$999,Input!$C$2:$C$999,CONCATENATE(LEFT($B$13,10),"*"),Input!$D$2:$D$999,$C$13)*IND_Mult!AK13</f>
        <v>1.6000000000000001</v>
      </c>
      <c r="AK13" s="69">
        <f>SUMIFS(Input!AP$2:AP$999,Input!$C$2:$C$999,CONCATENATE(LEFT($B$13,10),"*"),Input!$D$2:$D$999,$C$13)*IND_Mult!AL13</f>
        <v>1.6000000000000001</v>
      </c>
      <c r="AL13" s="69">
        <f>SUMIFS(Input!AQ$2:AQ$999,Input!$C$2:$C$999,CONCATENATE(LEFT($B$13,10),"*"),Input!$D$2:$D$999,$C$13)*IND_Mult!AM13</f>
        <v>1.6000000000000001</v>
      </c>
      <c r="AM13" s="69">
        <f>SUMIFS(Input!AR$2:AR$999,Input!$C$2:$C$999,CONCATENATE(LEFT($B$13,10),"*"),Input!$D$2:$D$999,$C$13)*IND_Mult!AN13</f>
        <v>1.6000000000000001</v>
      </c>
      <c r="AN13" s="69">
        <f>SUMIFS(Input!AS$2:AS$999,Input!$C$2:$C$999,CONCATENATE(LEFT($B$13,10),"*"),Input!$D$2:$D$999,$C$13)*IND_Mult!AO13</f>
        <v>1.6000000000000001</v>
      </c>
      <c r="AO13" s="69">
        <f>SUMIFS(Input!AT$2:AT$999,Input!$C$2:$C$999,CONCATENATE(LEFT($B$13,10),"*"),Input!$D$2:$D$999,$C$13)*IND_Mult!AP13</f>
        <v>1.6000000000000001</v>
      </c>
      <c r="AP13" s="69">
        <f>SUMIFS(Input!AU$2:AU$999,Input!$C$2:$C$999,CONCATENATE(LEFT($B$13,10),"*"),Input!$D$2:$D$999,$C$13)*IND_Mult!AQ13</f>
        <v>1.6000000000000001</v>
      </c>
      <c r="AQ13" s="69">
        <f>SUMIFS(Input!AV$2:AV$999,Input!$C$2:$C$999,CONCATENATE(LEFT($B$13,10),"*"),Input!$D$2:$D$999,$C$13)*IND_Mult!AR13</f>
        <v>1.6000000000000001</v>
      </c>
    </row>
    <row r="14" spans="1:43" ht="12.75">
      <c r="A14" s="6"/>
      <c r="B14" s="17" t="s">
        <v>257</v>
      </c>
      <c r="C14" s="18" t="s">
        <v>40</v>
      </c>
      <c r="D14" s="26"/>
      <c r="E14" s="16" t="s">
        <v>104</v>
      </c>
      <c r="F14" s="31"/>
      <c r="G14" s="72">
        <f>SUMIFS(Output!L$2:L$999,Output!$C2:$C999,CONCATENATE(LEFT($B$14,10),"*"),Output!$D2:$D999,$C$14)*IND_Mult!H14</f>
        <v>1</v>
      </c>
      <c r="H14" s="72">
        <f>SUMIFS(Output!M$2:M$999,Output!$C2:$C999,CONCATENATE(LEFT($B$14,10),"*"),Output!$D2:$D999,$C$14)*IND_Mult!I14</f>
        <v>1</v>
      </c>
      <c r="I14" s="72">
        <f>SUMIFS(Output!N$2:N$999,Output!$C2:$C999,CONCATENATE(LEFT($B$14,10),"*"),Output!$D2:$D999,$C$14)*IND_Mult!J14</f>
        <v>1</v>
      </c>
      <c r="J14" s="72">
        <f>SUMIFS(Output!O$2:O$999,Output!$C2:$C999,CONCATENATE(LEFT($B$14,10),"*"),Output!$D2:$D999,$C$14)*IND_Mult!K14</f>
        <v>1</v>
      </c>
      <c r="K14" s="72">
        <f>SUMIFS(Output!P$2:P$999,Output!$C2:$C999,CONCATENATE(LEFT($B$14,10),"*"),Output!$D2:$D999,$C$14)*IND_Mult!L14</f>
        <v>1</v>
      </c>
      <c r="L14" s="72">
        <f>SUMIFS(Output!Q$2:Q$999,Output!$C2:$C999,CONCATENATE(LEFT($B$14,10),"*"),Output!$D2:$D999,$C$14)*IND_Mult!M14</f>
        <v>1</v>
      </c>
      <c r="M14" s="72">
        <f>SUMIFS(Output!R$2:R$999,Output!$C2:$C999,CONCATENATE(LEFT($B$14,10),"*"),Output!$D2:$D999,$C$14)*IND_Mult!N14</f>
        <v>1</v>
      </c>
      <c r="N14" s="72">
        <f>SUMIFS(Output!S$2:S$999,Output!$C2:$C999,CONCATENATE(LEFT($B$14,10),"*"),Output!$D2:$D999,$C$14)*IND_Mult!O14</f>
        <v>1</v>
      </c>
      <c r="O14" s="72">
        <f>SUMIFS(Output!T$2:T$999,Output!$C2:$C999,CONCATENATE(LEFT($B$14,10),"*"),Output!$D2:$D999,$C$14)*IND_Mult!P14</f>
        <v>1</v>
      </c>
      <c r="P14" s="72">
        <f>SUMIFS(Output!U$2:U$999,Output!$C2:$C999,CONCATENATE(LEFT($B$14,10),"*"),Output!$D2:$D999,$C$14)*IND_Mult!Q14</f>
        <v>1</v>
      </c>
      <c r="Q14" s="72">
        <f>SUMIFS(Output!V$2:V$999,Output!$C2:$C999,CONCATENATE(LEFT($B$14,10),"*"),Output!$D2:$D999,$C$14)*IND_Mult!R14</f>
        <v>1</v>
      </c>
      <c r="R14" s="72">
        <f>SUMIFS(Output!W$2:W$999,Output!$C2:$C999,CONCATENATE(LEFT($B$14,10),"*"),Output!$D2:$D999,$C$14)*IND_Mult!S14</f>
        <v>1</v>
      </c>
      <c r="S14" s="72">
        <f>SUMIFS(Output!X$2:X$999,Output!$C2:$C999,CONCATENATE(LEFT($B$14,10),"*"),Output!$D2:$D999,$C$14)*IND_Mult!T14</f>
        <v>1</v>
      </c>
      <c r="T14" s="72">
        <f>SUMIFS(Output!Y$2:Y$999,Output!$C2:$C999,CONCATENATE(LEFT($B$14,10),"*"),Output!$D2:$D999,$C$14)*IND_Mult!U14</f>
        <v>1</v>
      </c>
      <c r="U14" s="72">
        <f>SUMIFS(Output!Z$2:Z$999,Output!$C2:$C999,CONCATENATE(LEFT($B$14,10),"*"),Output!$D2:$D999,$C$14)*IND_Mult!V14</f>
        <v>1</v>
      </c>
      <c r="V14" s="72">
        <f>SUMIFS(Output!AA$2:AA$999,Output!$C2:$C999,CONCATENATE(LEFT($B$14,10),"*"),Output!$D2:$D999,$C$14)*IND_Mult!W14</f>
        <v>1</v>
      </c>
      <c r="W14" s="72">
        <f>SUMIFS(Output!AB$2:AB$999,Output!$C2:$C999,CONCATENATE(LEFT($B$14,10),"*"),Output!$D2:$D999,$C$14)*IND_Mult!X14</f>
        <v>1</v>
      </c>
      <c r="X14" s="72">
        <f>SUMIFS(Output!AC$2:AC$999,Output!$C2:$C999,CONCATENATE(LEFT($B$14,10),"*"),Output!$D2:$D999,$C$14)*IND_Mult!Y14</f>
        <v>1</v>
      </c>
      <c r="Y14" s="72">
        <f>SUMIFS(Output!AD$2:AD$999,Output!$C2:$C999,CONCATENATE(LEFT($B$14,10),"*"),Output!$D2:$D999,$C$14)*IND_Mult!Z14</f>
        <v>1</v>
      </c>
      <c r="Z14" s="72">
        <f>SUMIFS(Output!AE$2:AE$999,Output!$C2:$C999,CONCATENATE(LEFT($B$14,10),"*"),Output!$D2:$D999,$C$14)*IND_Mult!AA14</f>
        <v>1</v>
      </c>
      <c r="AA14" s="72">
        <f>SUMIFS(Output!AF$2:AF$999,Output!$C2:$C999,CONCATENATE(LEFT($B$14,10),"*"),Output!$D2:$D999,$C$14)*IND_Mult!AB14</f>
        <v>1</v>
      </c>
      <c r="AB14" s="72">
        <f>SUMIFS(Output!AG$2:AG$999,Output!$C2:$C999,CONCATENATE(LEFT($B$14,10),"*"),Output!$D2:$D999,$C$14)*IND_Mult!AC14</f>
        <v>1</v>
      </c>
      <c r="AC14" s="72">
        <f>SUMIFS(Output!AH$2:AH$999,Output!$C2:$C999,CONCATENATE(LEFT($B$14,10),"*"),Output!$D2:$D999,$C$14)*IND_Mult!AD14</f>
        <v>1</v>
      </c>
      <c r="AD14" s="72">
        <f>SUMIFS(Output!AI$2:AI$999,Output!$C2:$C999,CONCATENATE(LEFT($B$14,10),"*"),Output!$D2:$D999,$C$14)*IND_Mult!AE14</f>
        <v>1</v>
      </c>
      <c r="AE14" s="72">
        <f>SUMIFS(Output!AJ$2:AJ$999,Output!$C2:$C999,CONCATENATE(LEFT($B$14,10),"*"),Output!$D2:$D999,$C$14)*IND_Mult!AF14</f>
        <v>1</v>
      </c>
      <c r="AF14" s="72">
        <f>SUMIFS(Output!AK$2:AK$999,Output!$C2:$C999,CONCATENATE(LEFT($B$14,10),"*"),Output!$D2:$D999,$C$14)*IND_Mult!AG14</f>
        <v>1</v>
      </c>
      <c r="AG14" s="72">
        <f>SUMIFS(Output!AL$2:AL$999,Output!$C2:$C999,CONCATENATE(LEFT($B$14,10),"*"),Output!$D2:$D999,$C$14)*IND_Mult!AH14</f>
        <v>1</v>
      </c>
      <c r="AH14" s="72">
        <f>SUMIFS(Output!AM$2:AM$999,Output!$C2:$C999,CONCATENATE(LEFT($B$14,10),"*"),Output!$D2:$D999,$C$14)*IND_Mult!AI14</f>
        <v>1</v>
      </c>
      <c r="AI14" s="72">
        <f>SUMIFS(Output!AN$2:AN$999,Output!$C2:$C999,CONCATENATE(LEFT($B$14,10),"*"),Output!$D2:$D999,$C$14)*IND_Mult!AJ14</f>
        <v>1</v>
      </c>
      <c r="AJ14" s="72">
        <f>SUMIFS(Output!AO$2:AO$999,Output!$C2:$C999,CONCATENATE(LEFT($B$14,10),"*"),Output!$D2:$D999,$C$14)*IND_Mult!AK14</f>
        <v>1</v>
      </c>
      <c r="AK14" s="72">
        <f>SUMIFS(Output!AP$2:AP$999,Output!$C2:$C999,CONCATENATE(LEFT($B$14,10),"*"),Output!$D2:$D999,$C$14)*IND_Mult!AL14</f>
        <v>1</v>
      </c>
      <c r="AL14" s="72">
        <f>SUMIFS(Output!AQ$2:AQ$999,Output!$C2:$C999,CONCATENATE(LEFT($B$14,10),"*"),Output!$D2:$D999,$C$14)*IND_Mult!AM14</f>
        <v>1</v>
      </c>
      <c r="AM14" s="72">
        <f>SUMIFS(Output!AR$2:AR$999,Output!$C2:$C999,CONCATENATE(LEFT($B$14,10),"*"),Output!$D2:$D999,$C$14)*IND_Mult!AN14</f>
        <v>1</v>
      </c>
      <c r="AN14" s="72">
        <f>SUMIFS(Output!AS$2:AS$999,Output!$C2:$C999,CONCATENATE(LEFT($B$14,10),"*"),Output!$D2:$D999,$C$14)*IND_Mult!AO14</f>
        <v>1</v>
      </c>
      <c r="AO14" s="72">
        <f>SUMIFS(Output!AT$2:AT$999,Output!$C2:$C999,CONCATENATE(LEFT($B$14,10),"*"),Output!$D2:$D999,$C$14)*IND_Mult!AP14</f>
        <v>1</v>
      </c>
      <c r="AP14" s="72">
        <f>SUMIFS(Output!AU$2:AU$999,Output!$C2:$C999,CONCATENATE(LEFT($B$14,10),"*"),Output!$D2:$D999,$C$14)*IND_Mult!AQ14</f>
        <v>1</v>
      </c>
      <c r="AQ14" s="72">
        <f>SUMIFS(Output!AV$2:AV$999,Output!$C2:$C999,CONCATENATE(LEFT($B$14,10),"*"),Output!$D2:$D999,$C$14)*IND_Mult!AR14</f>
        <v>1</v>
      </c>
    </row>
    <row r="15" spans="1:43" ht="12.75">
      <c r="A15" s="6"/>
      <c r="B15" s="17" t="s">
        <v>258</v>
      </c>
      <c r="C15" s="18" t="s">
        <v>37</v>
      </c>
      <c r="D15" s="26"/>
      <c r="E15" s="16" t="s">
        <v>103</v>
      </c>
      <c r="F15" s="31"/>
      <c r="G15" s="69">
        <f>SUMIFS(Input!L$2:L$999,Input!$C$2:$C$999,CONCATENATE(LEFT($B$15,10),"*"),Input!$D$2:$D$999,$C$15)*IND_Mult!H15</f>
        <v>39.840000000000003</v>
      </c>
      <c r="H15" s="69">
        <f>SUMIFS(Input!M$2:M$999,Input!$C$2:$C$999,CONCATENATE(LEFT($B$15,10),"*"),Input!$D$2:$D$999,$C$15)*IND_Mult!I15</f>
        <v>39.840000000000003</v>
      </c>
      <c r="I15" s="69">
        <f>SUMIFS(Input!N$2:N$999,Input!$C$2:$C$999,CONCATENATE(LEFT($B$15,10),"*"),Input!$D$2:$D$999,$C$15)*IND_Mult!J15</f>
        <v>39.840000000000003</v>
      </c>
      <c r="J15" s="69">
        <f>SUMIFS(Input!O$2:O$999,Input!$C$2:$C$999,CONCATENATE(LEFT($B$15,10),"*"),Input!$D$2:$D$999,$C$15)*IND_Mult!K15</f>
        <v>39.840000000000003</v>
      </c>
      <c r="K15" s="69">
        <f>SUMIFS(Input!P$2:P$999,Input!$C$2:$C$999,CONCATENATE(LEFT($B$15,10),"*"),Input!$D$2:$D$999,$C$15)*IND_Mult!L15</f>
        <v>39.840000000000003</v>
      </c>
      <c r="L15" s="69">
        <f>SUMIFS(Input!Q$2:Q$999,Input!$C$2:$C$999,CONCATENATE(LEFT($B$15,10),"*"),Input!$D$2:$D$999,$C$15)*IND_Mult!M15</f>
        <v>39.840000000000003</v>
      </c>
      <c r="M15" s="69">
        <f>SUMIFS(Input!R$2:R$999,Input!$C$2:$C$999,CONCATENATE(LEFT($B$15,10),"*"),Input!$D$2:$D$999,$C$15)*IND_Mult!N15</f>
        <v>39.840000000000003</v>
      </c>
      <c r="N15" s="69">
        <f>SUMIFS(Input!S$2:S$999,Input!$C$2:$C$999,CONCATENATE(LEFT($B$15,10),"*"),Input!$D$2:$D$999,$C$15)*IND_Mult!O15</f>
        <v>39.840000000000003</v>
      </c>
      <c r="O15" s="69">
        <f>SUMIFS(Input!T$2:T$999,Input!$C$2:$C$999,CONCATENATE(LEFT($B$15,10),"*"),Input!$D$2:$D$999,$C$15)*IND_Mult!P15</f>
        <v>33.864000000000004</v>
      </c>
      <c r="P15" s="69">
        <f>SUMIFS(Input!U$2:U$999,Input!$C$2:$C$999,CONCATENATE(LEFT($B$15,10),"*"),Input!$D$2:$D$999,$C$15)*IND_Mult!Q15</f>
        <v>39.840000000000003</v>
      </c>
      <c r="Q15" s="69">
        <f>SUMIFS(Input!V$2:V$999,Input!$C$2:$C$999,CONCATENATE(LEFT($B$15,10),"*"),Input!$D$2:$D$999,$C$15)*IND_Mult!R15</f>
        <v>39.840000000000003</v>
      </c>
      <c r="R15" s="69">
        <f>SUMIFS(Input!W$2:W$999,Input!$C$2:$C$999,CONCATENATE(LEFT($B$15,10),"*"),Input!$D$2:$D$999,$C$15)*IND_Mult!S15</f>
        <v>39.840000000000003</v>
      </c>
      <c r="S15" s="69">
        <f>SUMIFS(Input!X$2:X$999,Input!$C$2:$C$999,CONCATENATE(LEFT($B$15,10),"*"),Input!$D$2:$D$999,$C$15)*IND_Mult!T15</f>
        <v>39.840000000000003</v>
      </c>
      <c r="T15" s="69">
        <f>SUMIFS(Input!Y$2:Y$999,Input!$C$2:$C$999,CONCATENATE(LEFT($B$15,10),"*"),Input!$D$2:$D$999,$C$15)*IND_Mult!U15</f>
        <v>39.840000000000003</v>
      </c>
      <c r="U15" s="69">
        <f>SUMIFS(Input!Z$2:Z$999,Input!$C$2:$C$999,CONCATENATE(LEFT($B$15,10),"*"),Input!$D$2:$D$999,$C$15)*IND_Mult!V15</f>
        <v>39.840000000000003</v>
      </c>
      <c r="V15" s="69">
        <f>SUMIFS(Input!AA$2:AA$999,Input!$C$2:$C$999,CONCATENATE(LEFT($B$15,10),"*"),Input!$D$2:$D$999,$C$15)*IND_Mult!W15</f>
        <v>39.840000000000003</v>
      </c>
      <c r="W15" s="69">
        <f>SUMIFS(Input!AB$2:AB$999,Input!$C$2:$C$999,CONCATENATE(LEFT($B$15,10),"*"),Input!$D$2:$D$999,$C$15)*IND_Mult!X15</f>
        <v>39.840000000000003</v>
      </c>
      <c r="X15" s="69">
        <f>SUMIFS(Input!AC$2:AC$999,Input!$C$2:$C$999,CONCATENATE(LEFT($B$15,10),"*"),Input!$D$2:$D$999,$C$15)*IND_Mult!Y15</f>
        <v>39.840000000000003</v>
      </c>
      <c r="Y15" s="69">
        <f>SUMIFS(Input!AD$2:AD$999,Input!$C$2:$C$999,CONCATENATE(LEFT($B$15,10),"*"),Input!$D$2:$D$999,$C$15)*IND_Mult!Z15</f>
        <v>39.840000000000003</v>
      </c>
      <c r="Z15" s="69">
        <f>SUMIFS(Input!AE$2:AE$999,Input!$C$2:$C$999,CONCATENATE(LEFT($B$15,10),"*"),Input!$D$2:$D$999,$C$15)*IND_Mult!AA15</f>
        <v>39.840000000000003</v>
      </c>
      <c r="AA15" s="69">
        <f>SUMIFS(Input!AF$2:AF$999,Input!$C$2:$C$999,CONCATENATE(LEFT($B$15,10),"*"),Input!$D$2:$D$999,$C$15)*IND_Mult!AB15</f>
        <v>39.840000000000003</v>
      </c>
      <c r="AB15" s="69">
        <f>SUMIFS(Input!AG$2:AG$999,Input!$C$2:$C$999,CONCATENATE(LEFT($B$15,10),"*"),Input!$D$2:$D$999,$C$15)*IND_Mult!AC15</f>
        <v>39.840000000000003</v>
      </c>
      <c r="AC15" s="69">
        <f>SUMIFS(Input!AH$2:AH$999,Input!$C$2:$C$999,CONCATENATE(LEFT($B$15,10),"*"),Input!$D$2:$D$999,$C$15)*IND_Mult!AD15</f>
        <v>39.840000000000003</v>
      </c>
      <c r="AD15" s="69">
        <f>SUMIFS(Input!AI$2:AI$999,Input!$C$2:$C$999,CONCATENATE(LEFT($B$15,10),"*"),Input!$D$2:$D$999,$C$15)*IND_Mult!AE15</f>
        <v>39.840000000000003</v>
      </c>
      <c r="AE15" s="69">
        <f>SUMIFS(Input!AJ$2:AJ$999,Input!$C$2:$C$999,CONCATENATE(LEFT($B$15,10),"*"),Input!$D$2:$D$999,$C$15)*IND_Mult!AF15</f>
        <v>39.840000000000003</v>
      </c>
      <c r="AF15" s="69">
        <f>SUMIFS(Input!AK$2:AK$999,Input!$C$2:$C$999,CONCATENATE(LEFT($B$15,10),"*"),Input!$D$2:$D$999,$C$15)*IND_Mult!AG15</f>
        <v>39.840000000000003</v>
      </c>
      <c r="AG15" s="69">
        <f>SUMIFS(Input!AL$2:AL$999,Input!$C$2:$C$999,CONCATENATE(LEFT($B$15,10),"*"),Input!$D$2:$D$999,$C$15)*IND_Mult!AH15</f>
        <v>39.840000000000003</v>
      </c>
      <c r="AH15" s="69">
        <f>SUMIFS(Input!AM$2:AM$999,Input!$C$2:$C$999,CONCATENATE(LEFT($B$15,10),"*"),Input!$D$2:$D$999,$C$15)*IND_Mult!AI15</f>
        <v>39.840000000000003</v>
      </c>
      <c r="AI15" s="69">
        <f>SUMIFS(Input!AN$2:AN$999,Input!$C$2:$C$999,CONCATENATE(LEFT($B$15,10),"*"),Input!$D$2:$D$999,$C$15)*IND_Mult!AJ15</f>
        <v>39.840000000000003</v>
      </c>
      <c r="AJ15" s="69">
        <f>SUMIFS(Input!AO$2:AO$999,Input!$C$2:$C$999,CONCATENATE(LEFT($B$15,10),"*"),Input!$D$2:$D$999,$C$15)*IND_Mult!AK15</f>
        <v>39.840000000000003</v>
      </c>
      <c r="AK15" s="69">
        <f>SUMIFS(Input!AP$2:AP$999,Input!$C$2:$C$999,CONCATENATE(LEFT($B$15,10),"*"),Input!$D$2:$D$999,$C$15)*IND_Mult!AL15</f>
        <v>39.840000000000003</v>
      </c>
      <c r="AL15" s="69">
        <f>SUMIFS(Input!AQ$2:AQ$999,Input!$C$2:$C$999,CONCATENATE(LEFT($B$15,10),"*"),Input!$D$2:$D$999,$C$15)*IND_Mult!AM15</f>
        <v>39.840000000000003</v>
      </c>
      <c r="AM15" s="69">
        <f>SUMIFS(Input!AR$2:AR$999,Input!$C$2:$C$999,CONCATENATE(LEFT($B$15,10),"*"),Input!$D$2:$D$999,$C$15)*IND_Mult!AN15</f>
        <v>39.840000000000003</v>
      </c>
      <c r="AN15" s="69">
        <f>SUMIFS(Input!AS$2:AS$999,Input!$C$2:$C$999,CONCATENATE(LEFT($B$15,10),"*"),Input!$D$2:$D$999,$C$15)*IND_Mult!AO15</f>
        <v>40.176000000000002</v>
      </c>
      <c r="AO15" s="69">
        <f>SUMIFS(Input!AT$2:AT$999,Input!$C$2:$C$999,CONCATENATE(LEFT($B$15,10),"*"),Input!$D$2:$D$999,$C$15)*IND_Mult!AP15</f>
        <v>39.840000000000003</v>
      </c>
      <c r="AP15" s="69">
        <f>SUMIFS(Input!AU$2:AU$999,Input!$C$2:$C$999,CONCATENATE(LEFT($B$15,10),"*"),Input!$D$2:$D$999,$C$15)*IND_Mult!AQ15</f>
        <v>39.840000000000003</v>
      </c>
      <c r="AQ15" s="69">
        <f>SUMIFS(Input!AV$2:AV$999,Input!$C$2:$C$999,CONCATENATE(LEFT($B$15,10),"*"),Input!$D$2:$D$999,$C$15)*IND_Mult!AR15</f>
        <v>39.840000000000003</v>
      </c>
    </row>
    <row r="16" spans="1:43" ht="12.75">
      <c r="A16" s="6"/>
      <c r="B16" s="17" t="s">
        <v>258</v>
      </c>
      <c r="C16" s="18" t="s">
        <v>38</v>
      </c>
      <c r="D16" s="26"/>
      <c r="E16" s="16" t="s">
        <v>103</v>
      </c>
      <c r="F16" s="31"/>
      <c r="G16" s="69">
        <f>SUMIFS(Input!L$2:L$999,Input!$C$2:$C$999,CONCATENATE(LEFT($B$16,10),"*"),Input!$D$2:$D$999,$C$16)*IND_Mult!H16</f>
        <v>3.3599999999999999</v>
      </c>
      <c r="H16" s="69">
        <f>SUMIFS(Input!M$2:M$999,Input!$C$2:$C$999,CONCATENATE(LEFT($B$16,10),"*"),Input!$D$2:$D$999,$C$16)*IND_Mult!I16</f>
        <v>3.3599999999999999</v>
      </c>
      <c r="I16" s="69">
        <f>SUMIFS(Input!N$2:N$999,Input!$C$2:$C$999,CONCATENATE(LEFT($B$16,10),"*"),Input!$D$2:$D$999,$C$16)*IND_Mult!J16</f>
        <v>3.3599999999999999</v>
      </c>
      <c r="J16" s="69">
        <f>SUMIFS(Input!O$2:O$999,Input!$C$2:$C$999,CONCATENATE(LEFT($B$16,10),"*"),Input!$D$2:$D$999,$C$16)*IND_Mult!K16</f>
        <v>3.3599999999999999</v>
      </c>
      <c r="K16" s="69">
        <f>SUMIFS(Input!P$2:P$999,Input!$C$2:$C$999,CONCATENATE(LEFT($B$16,10),"*"),Input!$D$2:$D$999,$C$16)*IND_Mult!L16</f>
        <v>3.3599999999999999</v>
      </c>
      <c r="L16" s="69">
        <f>SUMIFS(Input!Q$2:Q$999,Input!$C$2:$C$999,CONCATENATE(LEFT($B$16,10),"*"),Input!$D$2:$D$999,$C$16)*IND_Mult!M16</f>
        <v>3.3599999999999999</v>
      </c>
      <c r="M16" s="69">
        <f>SUMIFS(Input!R$2:R$999,Input!$C$2:$C$999,CONCATENATE(LEFT($B$16,10),"*"),Input!$D$2:$D$999,$C$16)*IND_Mult!N16</f>
        <v>3.3599999999999999</v>
      </c>
      <c r="N16" s="69">
        <f>SUMIFS(Input!S$2:S$999,Input!$C$2:$C$999,CONCATENATE(LEFT($B$16,10),"*"),Input!$D$2:$D$999,$C$16)*IND_Mult!O16</f>
        <v>3.3599999999999999</v>
      </c>
      <c r="O16" s="69">
        <f>SUMIFS(Input!T$2:T$999,Input!$C$2:$C$999,CONCATENATE(LEFT($B$16,10),"*"),Input!$D$2:$D$999,$C$16)*IND_Mult!P16</f>
        <v>2.8559999999999999</v>
      </c>
      <c r="P16" s="69">
        <f>SUMIFS(Input!U$2:U$999,Input!$C$2:$C$999,CONCATENATE(LEFT($B$16,10),"*"),Input!$D$2:$D$999,$C$16)*IND_Mult!Q16</f>
        <v>3.3599999999999999</v>
      </c>
      <c r="Q16" s="69">
        <f>SUMIFS(Input!V$2:V$999,Input!$C$2:$C$999,CONCATENATE(LEFT($B$16,10),"*"),Input!$D$2:$D$999,$C$16)*IND_Mult!R16</f>
        <v>3.3599999999999999</v>
      </c>
      <c r="R16" s="69">
        <f>SUMIFS(Input!W$2:W$999,Input!$C$2:$C$999,CONCATENATE(LEFT($B$16,10),"*"),Input!$D$2:$D$999,$C$16)*IND_Mult!S16</f>
        <v>3.3599999999999999</v>
      </c>
      <c r="S16" s="69">
        <f>SUMIFS(Input!X$2:X$999,Input!$C$2:$C$999,CONCATENATE(LEFT($B$16,10),"*"),Input!$D$2:$D$999,$C$16)*IND_Mult!T16</f>
        <v>3.3599999999999999</v>
      </c>
      <c r="T16" s="69">
        <f>SUMIFS(Input!Y$2:Y$999,Input!$C$2:$C$999,CONCATENATE(LEFT($B$16,10),"*"),Input!$D$2:$D$999,$C$16)*IND_Mult!U16</f>
        <v>3.3599999999999999</v>
      </c>
      <c r="U16" s="69">
        <f>SUMIFS(Input!Z$2:Z$999,Input!$C$2:$C$999,CONCATENATE(LEFT($B$16,10),"*"),Input!$D$2:$D$999,$C$16)*IND_Mult!V16</f>
        <v>3.3599999999999999</v>
      </c>
      <c r="V16" s="69">
        <f>SUMIFS(Input!AA$2:AA$999,Input!$C$2:$C$999,CONCATENATE(LEFT($B$16,10),"*"),Input!$D$2:$D$999,$C$16)*IND_Mult!W16</f>
        <v>3.3599999999999999</v>
      </c>
      <c r="W16" s="69">
        <f>SUMIFS(Input!AB$2:AB$999,Input!$C$2:$C$999,CONCATENATE(LEFT($B$16,10),"*"),Input!$D$2:$D$999,$C$16)*IND_Mult!X16</f>
        <v>3.3599999999999999</v>
      </c>
      <c r="X16" s="69">
        <f>SUMIFS(Input!AC$2:AC$999,Input!$C$2:$C$999,CONCATENATE(LEFT($B$16,10),"*"),Input!$D$2:$D$999,$C$16)*IND_Mult!Y16</f>
        <v>3.3599999999999999</v>
      </c>
      <c r="Y16" s="69">
        <f>SUMIFS(Input!AD$2:AD$999,Input!$C$2:$C$999,CONCATENATE(LEFT($B$16,10),"*"),Input!$D$2:$D$999,$C$16)*IND_Mult!Z16</f>
        <v>3.3599999999999999</v>
      </c>
      <c r="Z16" s="69">
        <f>SUMIFS(Input!AE$2:AE$999,Input!$C$2:$C$999,CONCATENATE(LEFT($B$16,10),"*"),Input!$D$2:$D$999,$C$16)*IND_Mult!AA16</f>
        <v>3.3599999999999999</v>
      </c>
      <c r="AA16" s="69">
        <f>SUMIFS(Input!AF$2:AF$999,Input!$C$2:$C$999,CONCATENATE(LEFT($B$16,10),"*"),Input!$D$2:$D$999,$C$16)*IND_Mult!AB16</f>
        <v>3.3599999999999999</v>
      </c>
      <c r="AB16" s="69">
        <f>SUMIFS(Input!AG$2:AG$999,Input!$C$2:$C$999,CONCATENATE(LEFT($B$16,10),"*"),Input!$D$2:$D$999,$C$16)*IND_Mult!AC16</f>
        <v>3.3599999999999999</v>
      </c>
      <c r="AC16" s="69">
        <f>SUMIFS(Input!AH$2:AH$999,Input!$C$2:$C$999,CONCATENATE(LEFT($B$16,10),"*"),Input!$D$2:$D$999,$C$16)*IND_Mult!AD16</f>
        <v>3.3599999999999999</v>
      </c>
      <c r="AD16" s="69">
        <f>SUMIFS(Input!AI$2:AI$999,Input!$C$2:$C$999,CONCATENATE(LEFT($B$16,10),"*"),Input!$D$2:$D$999,$C$16)*IND_Mult!AE16</f>
        <v>3.3599999999999999</v>
      </c>
      <c r="AE16" s="69">
        <f>SUMIFS(Input!AJ$2:AJ$999,Input!$C$2:$C$999,CONCATENATE(LEFT($B$16,10),"*"),Input!$D$2:$D$999,$C$16)*IND_Mult!AF16</f>
        <v>3.3599999999999999</v>
      </c>
      <c r="AF16" s="69">
        <f>SUMIFS(Input!AK$2:AK$999,Input!$C$2:$C$999,CONCATENATE(LEFT($B$16,10),"*"),Input!$D$2:$D$999,$C$16)*IND_Mult!AG16</f>
        <v>3.3599999999999999</v>
      </c>
      <c r="AG16" s="69">
        <f>SUMIFS(Input!AL$2:AL$999,Input!$C$2:$C$999,CONCATENATE(LEFT($B$16,10),"*"),Input!$D$2:$D$999,$C$16)*IND_Mult!AH16</f>
        <v>3.3599999999999999</v>
      </c>
      <c r="AH16" s="69">
        <f>SUMIFS(Input!AM$2:AM$999,Input!$C$2:$C$999,CONCATENATE(LEFT($B$16,10),"*"),Input!$D$2:$D$999,$C$16)*IND_Mult!AI16</f>
        <v>13.68</v>
      </c>
      <c r="AI16" s="69">
        <f>SUMIFS(Input!AN$2:AN$999,Input!$C$2:$C$999,CONCATENATE(LEFT($B$16,10),"*"),Input!$D$2:$D$999,$C$16)*IND_Mult!AJ16</f>
        <v>3.3599999999999999</v>
      </c>
      <c r="AJ16" s="69">
        <f>SUMIFS(Input!AO$2:AO$999,Input!$C$2:$C$999,CONCATENATE(LEFT($B$16,10),"*"),Input!$D$2:$D$999,$C$16)*IND_Mult!AK16</f>
        <v>3.3599999999999999</v>
      </c>
      <c r="AK16" s="69">
        <f>SUMIFS(Input!AP$2:AP$999,Input!$C$2:$C$999,CONCATENATE(LEFT($B$16,10),"*"),Input!$D$2:$D$999,$C$16)*IND_Mult!AL16</f>
        <v>3.3599999999999999</v>
      </c>
      <c r="AL16" s="69">
        <f>SUMIFS(Input!AQ$2:AQ$999,Input!$C$2:$C$999,CONCATENATE(LEFT($B$16,10),"*"),Input!$D$2:$D$999,$C$16)*IND_Mult!AM16</f>
        <v>3.3599999999999999</v>
      </c>
      <c r="AM16" s="69">
        <f>SUMIFS(Input!AR$2:AR$999,Input!$C$2:$C$999,CONCATENATE(LEFT($B$16,10),"*"),Input!$D$2:$D$999,$C$16)*IND_Mult!AN16</f>
        <v>3.3599999999999999</v>
      </c>
      <c r="AN16" s="69">
        <f>SUMIFS(Input!AS$2:AS$999,Input!$C$2:$C$999,CONCATENATE(LEFT($B$16,10),"*"),Input!$D$2:$D$999,$C$16)*IND_Mult!AO16</f>
        <v>3.024</v>
      </c>
      <c r="AO16" s="69">
        <f>SUMIFS(Input!AT$2:AT$999,Input!$C$2:$C$999,CONCATENATE(LEFT($B$16,10),"*"),Input!$D$2:$D$999,$C$16)*IND_Mult!AP16</f>
        <v>3.3599999999999999</v>
      </c>
      <c r="AP16" s="69">
        <f>SUMIFS(Input!AU$2:AU$999,Input!$C$2:$C$999,CONCATENATE(LEFT($B$16,10),"*"),Input!$D$2:$D$999,$C$16)*IND_Mult!AQ16</f>
        <v>3.3599999999999999</v>
      </c>
      <c r="AQ16" s="69">
        <f>SUMIFS(Input!AV$2:AV$999,Input!$C$2:$C$999,CONCATENATE(LEFT($B$16,10),"*"),Input!$D$2:$D$999,$C$16)*IND_Mult!AR16</f>
        <v>3.3599999999999999</v>
      </c>
    </row>
    <row r="17" spans="1:43" ht="12.75">
      <c r="A17" s="6"/>
      <c r="B17" s="17" t="s">
        <v>258</v>
      </c>
      <c r="C17" s="18" t="s">
        <v>39</v>
      </c>
      <c r="D17" s="26"/>
      <c r="E17" s="16" t="s">
        <v>103</v>
      </c>
      <c r="F17" s="31"/>
      <c r="G17" s="69">
        <f>SUMIFS(Input!L$2:L$999,Input!$C$2:$C$999,CONCATENATE(LEFT($B$17,10),"*"),Input!$D$2:$D$999,$C$17)*IND_Mult!H17</f>
        <v>10.32</v>
      </c>
      <c r="H17" s="69">
        <f>SUMIFS(Input!M$2:M$999,Input!$C$2:$C$999,CONCATENATE(LEFT($B$17,10),"*"),Input!$D$2:$D$999,$C$17)*IND_Mult!I17</f>
        <v>10.32</v>
      </c>
      <c r="I17" s="69">
        <f>SUMIFS(Input!N$2:N$999,Input!$C$2:$C$999,CONCATENATE(LEFT($B$17,10),"*"),Input!$D$2:$D$999,$C$17)*IND_Mult!J17</f>
        <v>10.32</v>
      </c>
      <c r="J17" s="69">
        <f>SUMIFS(Input!O$2:O$999,Input!$C$2:$C$999,CONCATENATE(LEFT($B$17,10),"*"),Input!$D$2:$D$999,$C$17)*IND_Mult!K17</f>
        <v>10.32</v>
      </c>
      <c r="K17" s="69">
        <f>SUMIFS(Input!P$2:P$999,Input!$C$2:$C$999,CONCATENATE(LEFT($B$17,10),"*"),Input!$D$2:$D$999,$C$17)*IND_Mult!L17</f>
        <v>10.32</v>
      </c>
      <c r="L17" s="69">
        <f>SUMIFS(Input!Q$2:Q$999,Input!$C$2:$C$999,CONCATENATE(LEFT($B$17,10),"*"),Input!$D$2:$D$999,$C$17)*IND_Mult!M17</f>
        <v>10.32</v>
      </c>
      <c r="M17" s="69">
        <f>SUMIFS(Input!R$2:R$999,Input!$C$2:$C$999,CONCATENATE(LEFT($B$17,10),"*"),Input!$D$2:$D$999,$C$17)*IND_Mult!N17</f>
        <v>10.32</v>
      </c>
      <c r="N17" s="69">
        <f>SUMIFS(Input!S$2:S$999,Input!$C$2:$C$999,CONCATENATE(LEFT($B$17,10),"*"),Input!$D$2:$D$999,$C$17)*IND_Mult!O17</f>
        <v>10.32</v>
      </c>
      <c r="O17" s="69">
        <f>SUMIFS(Input!T$2:T$999,Input!$C$2:$C$999,CONCATENATE(LEFT($B$17,10),"*"),Input!$D$2:$D$999,$C$17)*IND_Mult!P17</f>
        <v>8.7720000000000002</v>
      </c>
      <c r="P17" s="69">
        <f>SUMIFS(Input!U$2:U$999,Input!$C$2:$C$999,CONCATENATE(LEFT($B$17,10),"*"),Input!$D$2:$D$999,$C$17)*IND_Mult!Q17</f>
        <v>10.32</v>
      </c>
      <c r="Q17" s="69">
        <f>SUMIFS(Input!V$2:V$999,Input!$C$2:$C$999,CONCATENATE(LEFT($B$17,10),"*"),Input!$D$2:$D$999,$C$17)*IND_Mult!R17</f>
        <v>10.32</v>
      </c>
      <c r="R17" s="69">
        <f>SUMIFS(Input!W$2:W$999,Input!$C$2:$C$999,CONCATENATE(LEFT($B$17,10),"*"),Input!$D$2:$D$999,$C$17)*IND_Mult!S17</f>
        <v>10.32</v>
      </c>
      <c r="S17" s="69">
        <f>SUMIFS(Input!X$2:X$999,Input!$C$2:$C$999,CONCATENATE(LEFT($B$17,10),"*"),Input!$D$2:$D$999,$C$17)*IND_Mult!T17</f>
        <v>10.32</v>
      </c>
      <c r="T17" s="69">
        <f>SUMIFS(Input!Y$2:Y$999,Input!$C$2:$C$999,CONCATENATE(LEFT($B$17,10),"*"),Input!$D$2:$D$999,$C$17)*IND_Mult!U17</f>
        <v>10.32</v>
      </c>
      <c r="U17" s="69">
        <f>SUMIFS(Input!Z$2:Z$999,Input!$C$2:$C$999,CONCATENATE(LEFT($B$17,10),"*"),Input!$D$2:$D$999,$C$17)*IND_Mult!V17</f>
        <v>10.32</v>
      </c>
      <c r="V17" s="69">
        <f>SUMIFS(Input!AA$2:AA$999,Input!$C$2:$C$999,CONCATENATE(LEFT($B$17,10),"*"),Input!$D$2:$D$999,$C$17)*IND_Mult!W17</f>
        <v>10.32</v>
      </c>
      <c r="W17" s="69">
        <f>SUMIFS(Input!AB$2:AB$999,Input!$C$2:$C$999,CONCATENATE(LEFT($B$17,10),"*"),Input!$D$2:$D$999,$C$17)*IND_Mult!X17</f>
        <v>10.32</v>
      </c>
      <c r="X17" s="69">
        <f>SUMIFS(Input!AC$2:AC$999,Input!$C$2:$C$999,CONCATENATE(LEFT($B$17,10),"*"),Input!$D$2:$D$999,$C$17)*IND_Mult!Y17</f>
        <v>10.32</v>
      </c>
      <c r="Y17" s="69">
        <f>SUMIFS(Input!AD$2:AD$999,Input!$C$2:$C$999,CONCATENATE(LEFT($B$17,10),"*"),Input!$D$2:$D$999,$C$17)*IND_Mult!Z17</f>
        <v>10.32</v>
      </c>
      <c r="Z17" s="69">
        <f>SUMIFS(Input!AE$2:AE$999,Input!$C$2:$C$999,CONCATENATE(LEFT($B$17,10),"*"),Input!$D$2:$D$999,$C$17)*IND_Mult!AA17</f>
        <v>10.32</v>
      </c>
      <c r="AA17" s="69">
        <f>SUMIFS(Input!AF$2:AF$999,Input!$C$2:$C$999,CONCATENATE(LEFT($B$17,10),"*"),Input!$D$2:$D$999,$C$17)*IND_Mult!AB17</f>
        <v>10.32</v>
      </c>
      <c r="AB17" s="69">
        <f>SUMIFS(Input!AG$2:AG$999,Input!$C$2:$C$999,CONCATENATE(LEFT($B$17,10),"*"),Input!$D$2:$D$999,$C$17)*IND_Mult!AC17</f>
        <v>10.32</v>
      </c>
      <c r="AC17" s="69">
        <f>SUMIFS(Input!AH$2:AH$999,Input!$C$2:$C$999,CONCATENATE(LEFT($B$17,10),"*"),Input!$D$2:$D$999,$C$17)*IND_Mult!AD17</f>
        <v>10.32</v>
      </c>
      <c r="AD17" s="69">
        <f>SUMIFS(Input!AI$2:AI$999,Input!$C$2:$C$999,CONCATENATE(LEFT($B$17,10),"*"),Input!$D$2:$D$999,$C$17)*IND_Mult!AE17</f>
        <v>10.32</v>
      </c>
      <c r="AE17" s="69">
        <f>SUMIFS(Input!AJ$2:AJ$999,Input!$C$2:$C$999,CONCATENATE(LEFT($B$17,10),"*"),Input!$D$2:$D$999,$C$17)*IND_Mult!AF17</f>
        <v>10.32</v>
      </c>
      <c r="AF17" s="69">
        <f>SUMIFS(Input!AK$2:AK$999,Input!$C$2:$C$999,CONCATENATE(LEFT($B$17,10),"*"),Input!$D$2:$D$999,$C$17)*IND_Mult!AG17</f>
        <v>10.32</v>
      </c>
      <c r="AG17" s="69">
        <f>SUMIFS(Input!AL$2:AL$999,Input!$C$2:$C$999,CONCATENATE(LEFT($B$17,10),"*"),Input!$D$2:$D$999,$C$17)*IND_Mult!AH17</f>
        <v>10.32</v>
      </c>
      <c r="AH17" s="69">
        <f>SUMIFS(Input!AM$2:AM$999,Input!$C$2:$C$999,CONCATENATE(LEFT($B$17,10),"*"),Input!$D$2:$D$999,$C$17)*IND_Mult!AI17</f>
        <v>0</v>
      </c>
      <c r="AI17" s="69">
        <f>SUMIFS(Input!AN$2:AN$999,Input!$C$2:$C$999,CONCATENATE(LEFT($B$17,10),"*"),Input!$D$2:$D$999,$C$17)*IND_Mult!AJ17</f>
        <v>10.32</v>
      </c>
      <c r="AJ17" s="69">
        <f>SUMIFS(Input!AO$2:AO$999,Input!$C$2:$C$999,CONCATENATE(LEFT($B$17,10),"*"),Input!$D$2:$D$999,$C$17)*IND_Mult!AK17</f>
        <v>10.32</v>
      </c>
      <c r="AK17" s="69">
        <f>SUMIFS(Input!AP$2:AP$999,Input!$C$2:$C$999,CONCATENATE(LEFT($B$17,10),"*"),Input!$D$2:$D$999,$C$17)*IND_Mult!AL17</f>
        <v>10.32</v>
      </c>
      <c r="AL17" s="69">
        <f>SUMIFS(Input!AQ$2:AQ$999,Input!$C$2:$C$999,CONCATENATE(LEFT($B$17,10),"*"),Input!$D$2:$D$999,$C$17)*IND_Mult!AM17</f>
        <v>10.32</v>
      </c>
      <c r="AM17" s="69">
        <f>SUMIFS(Input!AR$2:AR$999,Input!$C$2:$C$999,CONCATENATE(LEFT($B$17,10),"*"),Input!$D$2:$D$999,$C$17)*IND_Mult!AN17</f>
        <v>10.32</v>
      </c>
      <c r="AN17" s="69">
        <f>SUMIFS(Input!AS$2:AS$999,Input!$C$2:$C$999,CONCATENATE(LEFT($B$17,10),"*"),Input!$D$2:$D$999,$C$17)*IND_Mult!AO17</f>
        <v>10.32</v>
      </c>
      <c r="AO17" s="69">
        <f>SUMIFS(Input!AT$2:AT$999,Input!$C$2:$C$999,CONCATENATE(LEFT($B$17,10),"*"),Input!$D$2:$D$999,$C$17)*IND_Mult!AP17</f>
        <v>10.32</v>
      </c>
      <c r="AP17" s="69">
        <f>SUMIFS(Input!AU$2:AU$999,Input!$C$2:$C$999,CONCATENATE(LEFT($B$17,10),"*"),Input!$D$2:$D$999,$C$17)*IND_Mult!AQ17</f>
        <v>10.32</v>
      </c>
      <c r="AQ17" s="69">
        <f>SUMIFS(Input!AV$2:AV$999,Input!$C$2:$C$999,CONCATENATE(LEFT($B$17,10),"*"),Input!$D$2:$D$999,$C$17)*IND_Mult!AR17</f>
        <v>10.32</v>
      </c>
    </row>
    <row r="18" spans="1:43" ht="12.75">
      <c r="A18" s="6"/>
      <c r="B18" s="17" t="s">
        <v>258</v>
      </c>
      <c r="C18" s="18" t="s">
        <v>107</v>
      </c>
      <c r="D18" s="26"/>
      <c r="E18" s="16" t="s">
        <v>103</v>
      </c>
      <c r="F18" s="31"/>
      <c r="G18" s="69">
        <f>SUMIFS(Input!L$2:L$999,Input!$C$2:$C$999,CONCATENATE(LEFT($B$18,10),"*"),Input!$D$2:$D$999,$C$18)*IND_Mult!H18</f>
        <v>1.6000000000000001</v>
      </c>
      <c r="H18" s="69">
        <f>SUMIFS(Input!M$2:M$999,Input!$C$2:$C$999,CONCATENATE(LEFT($B$18,10),"*"),Input!$D$2:$D$999,$C$18)*IND_Mult!I18</f>
        <v>1.6000000000000001</v>
      </c>
      <c r="I18" s="69">
        <f>SUMIFS(Input!N$2:N$999,Input!$C$2:$C$999,CONCATENATE(LEFT($B$18,10),"*"),Input!$D$2:$D$999,$C$18)*IND_Mult!J18</f>
        <v>1.6000000000000001</v>
      </c>
      <c r="J18" s="69">
        <f>SUMIFS(Input!O$2:O$999,Input!$C$2:$C$999,CONCATENATE(LEFT($B$18,10),"*"),Input!$D$2:$D$999,$C$18)*IND_Mult!K18</f>
        <v>1.6000000000000001</v>
      </c>
      <c r="K18" s="69">
        <f>SUMIFS(Input!P$2:P$999,Input!$C$2:$C$999,CONCATENATE(LEFT($B$18,10),"*"),Input!$D$2:$D$999,$C$18)*IND_Mult!L18</f>
        <v>1.6000000000000001</v>
      </c>
      <c r="L18" s="69">
        <f>SUMIFS(Input!Q$2:Q$999,Input!$C$2:$C$999,CONCATENATE(LEFT($B$18,10),"*"),Input!$D$2:$D$999,$C$18)*IND_Mult!M18</f>
        <v>1.6000000000000001</v>
      </c>
      <c r="M18" s="69">
        <f>SUMIFS(Input!R$2:R$999,Input!$C$2:$C$999,CONCATENATE(LEFT($B$18,10),"*"),Input!$D$2:$D$999,$C$18)*IND_Mult!N18</f>
        <v>1.6000000000000001</v>
      </c>
      <c r="N18" s="69">
        <f>SUMIFS(Input!S$2:S$999,Input!$C$2:$C$999,CONCATENATE(LEFT($B$18,10),"*"),Input!$D$2:$D$999,$C$18)*IND_Mult!O18</f>
        <v>1.6000000000000001</v>
      </c>
      <c r="O18" s="69">
        <f>SUMIFS(Input!T$2:T$999,Input!$C$2:$C$999,CONCATENATE(LEFT($B$18,10),"*"),Input!$D$2:$D$999,$C$18)*IND_Mult!P18</f>
        <v>1.3600000000000001</v>
      </c>
      <c r="P18" s="69">
        <f>SUMIFS(Input!U$2:U$999,Input!$C$2:$C$999,CONCATENATE(LEFT($B$18,10),"*"),Input!$D$2:$D$999,$C$18)*IND_Mult!Q18</f>
        <v>1.6000000000000001</v>
      </c>
      <c r="Q18" s="69">
        <f>SUMIFS(Input!V$2:V$999,Input!$C$2:$C$999,CONCATENATE(LEFT($B$18,10),"*"),Input!$D$2:$D$999,$C$18)*IND_Mult!R18</f>
        <v>1.6000000000000001</v>
      </c>
      <c r="R18" s="69">
        <f>SUMIFS(Input!W$2:W$999,Input!$C$2:$C$999,CONCATENATE(LEFT($B$18,10),"*"),Input!$D$2:$D$999,$C$18)*IND_Mult!S18</f>
        <v>1.6000000000000001</v>
      </c>
      <c r="S18" s="69">
        <f>SUMIFS(Input!X$2:X$999,Input!$C$2:$C$999,CONCATENATE(LEFT($B$18,10),"*"),Input!$D$2:$D$999,$C$18)*IND_Mult!T18</f>
        <v>1.6000000000000001</v>
      </c>
      <c r="T18" s="69">
        <f>SUMIFS(Input!Y$2:Y$999,Input!$C$2:$C$999,CONCATENATE(LEFT($B$18,10),"*"),Input!$D$2:$D$999,$C$18)*IND_Mult!U18</f>
        <v>1.6000000000000001</v>
      </c>
      <c r="U18" s="69">
        <f>SUMIFS(Input!Z$2:Z$999,Input!$C$2:$C$999,CONCATENATE(LEFT($B$18,10),"*"),Input!$D$2:$D$999,$C$18)*IND_Mult!V18</f>
        <v>1.6000000000000001</v>
      </c>
      <c r="V18" s="69">
        <f>SUMIFS(Input!AA$2:AA$999,Input!$C$2:$C$999,CONCATENATE(LEFT($B$18,10),"*"),Input!$D$2:$D$999,$C$18)*IND_Mult!W18</f>
        <v>1.6000000000000001</v>
      </c>
      <c r="W18" s="69">
        <f>SUMIFS(Input!AB$2:AB$999,Input!$C$2:$C$999,CONCATENATE(LEFT($B$18,10),"*"),Input!$D$2:$D$999,$C$18)*IND_Mult!X18</f>
        <v>1.6000000000000001</v>
      </c>
      <c r="X18" s="69">
        <f>SUMIFS(Input!AC$2:AC$999,Input!$C$2:$C$999,CONCATENATE(LEFT($B$18,10),"*"),Input!$D$2:$D$999,$C$18)*IND_Mult!Y18</f>
        <v>1.6000000000000001</v>
      </c>
      <c r="Y18" s="69">
        <f>SUMIFS(Input!AD$2:AD$999,Input!$C$2:$C$999,CONCATENATE(LEFT($B$18,10),"*"),Input!$D$2:$D$999,$C$18)*IND_Mult!Z18</f>
        <v>1.6000000000000001</v>
      </c>
      <c r="Z18" s="69">
        <f>SUMIFS(Input!AE$2:AE$999,Input!$C$2:$C$999,CONCATENATE(LEFT($B$18,10),"*"),Input!$D$2:$D$999,$C$18)*IND_Mult!AA18</f>
        <v>1.6000000000000001</v>
      </c>
      <c r="AA18" s="69">
        <f>SUMIFS(Input!AF$2:AF$999,Input!$C$2:$C$999,CONCATENATE(LEFT($B$18,10),"*"),Input!$D$2:$D$999,$C$18)*IND_Mult!AB18</f>
        <v>1.6000000000000001</v>
      </c>
      <c r="AB18" s="69">
        <f>SUMIFS(Input!AG$2:AG$999,Input!$C$2:$C$999,CONCATENATE(LEFT($B$18,10),"*"),Input!$D$2:$D$999,$C$18)*IND_Mult!AC18</f>
        <v>1.6000000000000001</v>
      </c>
      <c r="AC18" s="69">
        <f>SUMIFS(Input!AH$2:AH$999,Input!$C$2:$C$999,CONCATENATE(LEFT($B$18,10),"*"),Input!$D$2:$D$999,$C$18)*IND_Mult!AD18</f>
        <v>1.6000000000000001</v>
      </c>
      <c r="AD18" s="69">
        <f>SUMIFS(Input!AI$2:AI$999,Input!$C$2:$C$999,CONCATENATE(LEFT($B$18,10),"*"),Input!$D$2:$D$999,$C$18)*IND_Mult!AE18</f>
        <v>1.6000000000000001</v>
      </c>
      <c r="AE18" s="69">
        <f>SUMIFS(Input!AJ$2:AJ$999,Input!$C$2:$C$999,CONCATENATE(LEFT($B$18,10),"*"),Input!$D$2:$D$999,$C$18)*IND_Mult!AF18</f>
        <v>1.6000000000000001</v>
      </c>
      <c r="AF18" s="69">
        <f>SUMIFS(Input!AK$2:AK$999,Input!$C$2:$C$999,CONCATENATE(LEFT($B$18,10),"*"),Input!$D$2:$D$999,$C$18)*IND_Mult!AG18</f>
        <v>1.6000000000000001</v>
      </c>
      <c r="AG18" s="69">
        <f>SUMIFS(Input!AL$2:AL$999,Input!$C$2:$C$999,CONCATENATE(LEFT($B$18,10),"*"),Input!$D$2:$D$999,$C$18)*IND_Mult!AH18</f>
        <v>1.6000000000000001</v>
      </c>
      <c r="AH18" s="69">
        <f>SUMIFS(Input!AM$2:AM$999,Input!$C$2:$C$999,CONCATENATE(LEFT($B$18,10),"*"),Input!$D$2:$D$999,$C$18)*IND_Mult!AI18</f>
        <v>1.6000000000000001</v>
      </c>
      <c r="AI18" s="69">
        <f>SUMIFS(Input!AN$2:AN$999,Input!$C$2:$C$999,CONCATENATE(LEFT($B$18,10),"*"),Input!$D$2:$D$999,$C$18)*IND_Mult!AJ18</f>
        <v>1.6000000000000001</v>
      </c>
      <c r="AJ18" s="69">
        <f>SUMIFS(Input!AO$2:AO$999,Input!$C$2:$C$999,CONCATENATE(LEFT($B$18,10),"*"),Input!$D$2:$D$999,$C$18)*IND_Mult!AK18</f>
        <v>1.6000000000000001</v>
      </c>
      <c r="AK18" s="69">
        <f>SUMIFS(Input!AP$2:AP$999,Input!$C$2:$C$999,CONCATENATE(LEFT($B$18,10),"*"),Input!$D$2:$D$999,$C$18)*IND_Mult!AL18</f>
        <v>1.6000000000000001</v>
      </c>
      <c r="AL18" s="69">
        <f>SUMIFS(Input!AQ$2:AQ$999,Input!$C$2:$C$999,CONCATENATE(LEFT($B$18,10),"*"),Input!$D$2:$D$999,$C$18)*IND_Mult!AM18</f>
        <v>1.6000000000000001</v>
      </c>
      <c r="AM18" s="69">
        <f>SUMIFS(Input!AR$2:AR$999,Input!$C$2:$C$999,CONCATENATE(LEFT($B$18,10),"*"),Input!$D$2:$D$999,$C$18)*IND_Mult!AN18</f>
        <v>1.6000000000000001</v>
      </c>
      <c r="AN18" s="69">
        <f>SUMIFS(Input!AS$2:AS$999,Input!$C$2:$C$999,CONCATENATE(LEFT($B$18,10),"*"),Input!$D$2:$D$999,$C$18)*IND_Mult!AO18</f>
        <v>1.6000000000000001</v>
      </c>
      <c r="AO18" s="69">
        <f>SUMIFS(Input!AT$2:AT$999,Input!$C$2:$C$999,CONCATENATE(LEFT($B$18,10),"*"),Input!$D$2:$D$999,$C$18)*IND_Mult!AP18</f>
        <v>1.6000000000000001</v>
      </c>
      <c r="AP18" s="69">
        <f>SUMIFS(Input!AU$2:AU$999,Input!$C$2:$C$999,CONCATENATE(LEFT($B$18,10),"*"),Input!$D$2:$D$999,$C$18)*IND_Mult!AQ18</f>
        <v>1.6000000000000001</v>
      </c>
      <c r="AQ18" s="69">
        <f>SUMIFS(Input!AV$2:AV$999,Input!$C$2:$C$999,CONCATENATE(LEFT($B$18,10),"*"),Input!$D$2:$D$999,$C$18)*IND_Mult!AR18</f>
        <v>1.6000000000000001</v>
      </c>
    </row>
    <row r="19" spans="1:43" ht="12.75">
      <c r="A19" s="6"/>
      <c r="B19" s="17" t="s">
        <v>258</v>
      </c>
      <c r="C19" s="18" t="s">
        <v>40</v>
      </c>
      <c r="D19" s="26"/>
      <c r="E19" s="16" t="s">
        <v>104</v>
      </c>
      <c r="F19" s="31"/>
      <c r="G19" s="72">
        <f>SUMIFS(Output!L$2:L$999,Output!$C$2:$C$999,CONCATENATE(LEFT($B$19,10),"*"),Output!$D$2:$D$999,$C$19)*IND_Mult!H19</f>
        <v>1</v>
      </c>
      <c r="H19" s="72">
        <f>SUMIFS(Output!M$2:M$999,Output!$C$2:$C$999,CONCATENATE(LEFT($B$19,10),"*"),Output!$D$2:$D$999,$C$19)*IND_Mult!I19</f>
        <v>1</v>
      </c>
      <c r="I19" s="72">
        <f>SUMIFS(Output!N$2:N$999,Output!$C$2:$C$999,CONCATENATE(LEFT($B$19,10),"*"),Output!$D$2:$D$999,$C$19)*IND_Mult!J19</f>
        <v>1</v>
      </c>
      <c r="J19" s="72">
        <f>SUMIFS(Output!O$2:O$999,Output!$C$2:$C$999,CONCATENATE(LEFT($B$19,10),"*"),Output!$D$2:$D$999,$C$19)*IND_Mult!K19</f>
        <v>1</v>
      </c>
      <c r="K19" s="72">
        <f>SUMIFS(Output!P$2:P$999,Output!$C$2:$C$999,CONCATENATE(LEFT($B$19,10),"*"),Output!$D$2:$D$999,$C$19)*IND_Mult!L19</f>
        <v>1</v>
      </c>
      <c r="L19" s="72">
        <f>SUMIFS(Output!Q$2:Q$999,Output!$C$2:$C$999,CONCATENATE(LEFT($B$19,10),"*"),Output!$D$2:$D$999,$C$19)*IND_Mult!M19</f>
        <v>1</v>
      </c>
      <c r="M19" s="72">
        <f>SUMIFS(Output!R$2:R$999,Output!$C$2:$C$999,CONCATENATE(LEFT($B$19,10),"*"),Output!$D$2:$D$999,$C$19)*IND_Mult!N19</f>
        <v>1</v>
      </c>
      <c r="N19" s="72">
        <f>SUMIFS(Output!S$2:S$999,Output!$C$2:$C$999,CONCATENATE(LEFT($B$19,10),"*"),Output!$D$2:$D$999,$C$19)*IND_Mult!O19</f>
        <v>1</v>
      </c>
      <c r="O19" s="72">
        <f>SUMIFS(Output!T$2:T$999,Output!$C$2:$C$999,CONCATENATE(LEFT($B$19,10),"*"),Output!$D$2:$D$999,$C$19)*IND_Mult!P19</f>
        <v>1</v>
      </c>
      <c r="P19" s="72">
        <f>SUMIFS(Output!U$2:U$999,Output!$C$2:$C$999,CONCATENATE(LEFT($B$19,10),"*"),Output!$D$2:$D$999,$C$19)*IND_Mult!Q19</f>
        <v>1</v>
      </c>
      <c r="Q19" s="72">
        <f>SUMIFS(Output!V$2:V$999,Output!$C$2:$C$999,CONCATENATE(LEFT($B$19,10),"*"),Output!$D$2:$D$999,$C$19)*IND_Mult!R19</f>
        <v>1</v>
      </c>
      <c r="R19" s="72">
        <f>SUMIFS(Output!W$2:W$999,Output!$C$2:$C$999,CONCATENATE(LEFT($B$19,10),"*"),Output!$D$2:$D$999,$C$19)*IND_Mult!S19</f>
        <v>1</v>
      </c>
      <c r="S19" s="72">
        <f>SUMIFS(Output!X$2:X$999,Output!$C$2:$C$999,CONCATENATE(LEFT($B$19,10),"*"),Output!$D$2:$D$999,$C$19)*IND_Mult!T19</f>
        <v>1</v>
      </c>
      <c r="T19" s="72">
        <f>SUMIFS(Output!Y$2:Y$999,Output!$C$2:$C$999,CONCATENATE(LEFT($B$19,10),"*"),Output!$D$2:$D$999,$C$19)*IND_Mult!U19</f>
        <v>1</v>
      </c>
      <c r="U19" s="72">
        <f>SUMIFS(Output!Z$2:Z$999,Output!$C$2:$C$999,CONCATENATE(LEFT($B$19,10),"*"),Output!$D$2:$D$999,$C$19)*IND_Mult!V19</f>
        <v>1</v>
      </c>
      <c r="V19" s="72">
        <f>SUMIFS(Output!AA$2:AA$999,Output!$C$2:$C$999,CONCATENATE(LEFT($B$19,10),"*"),Output!$D$2:$D$999,$C$19)*IND_Mult!W19</f>
        <v>1</v>
      </c>
      <c r="W19" s="72">
        <f>SUMIFS(Output!AB$2:AB$999,Output!$C$2:$C$999,CONCATENATE(LEFT($B$19,10),"*"),Output!$D$2:$D$999,$C$19)*IND_Mult!X19</f>
        <v>1</v>
      </c>
      <c r="X19" s="72">
        <f>SUMIFS(Output!AC$2:AC$999,Output!$C$2:$C$999,CONCATENATE(LEFT($B$19,10),"*"),Output!$D$2:$D$999,$C$19)*IND_Mult!Y19</f>
        <v>1</v>
      </c>
      <c r="Y19" s="72">
        <f>SUMIFS(Output!AD$2:AD$999,Output!$C$2:$C$999,CONCATENATE(LEFT($B$19,10),"*"),Output!$D$2:$D$999,$C$19)*IND_Mult!Z19</f>
        <v>1</v>
      </c>
      <c r="Z19" s="72">
        <f>SUMIFS(Output!AE$2:AE$999,Output!$C$2:$C$999,CONCATENATE(LEFT($B$19,10),"*"),Output!$D$2:$D$999,$C$19)*IND_Mult!AA19</f>
        <v>1</v>
      </c>
      <c r="AA19" s="72">
        <f>SUMIFS(Output!AF$2:AF$999,Output!$C$2:$C$999,CONCATENATE(LEFT($B$19,10),"*"),Output!$D$2:$D$999,$C$19)*IND_Mult!AB19</f>
        <v>1</v>
      </c>
      <c r="AB19" s="72">
        <f>SUMIFS(Output!AG$2:AG$999,Output!$C$2:$C$999,CONCATENATE(LEFT($B$19,10),"*"),Output!$D$2:$D$999,$C$19)*IND_Mult!AC19</f>
        <v>1</v>
      </c>
      <c r="AC19" s="72">
        <f>SUMIFS(Output!AH$2:AH$999,Output!$C$2:$C$999,CONCATENATE(LEFT($B$19,10),"*"),Output!$D$2:$D$999,$C$19)*IND_Mult!AD19</f>
        <v>1</v>
      </c>
      <c r="AD19" s="72">
        <f>SUMIFS(Output!AI$2:AI$999,Output!$C$2:$C$999,CONCATENATE(LEFT($B$19,10),"*"),Output!$D$2:$D$999,$C$19)*IND_Mult!AE19</f>
        <v>1</v>
      </c>
      <c r="AE19" s="72">
        <f>SUMIFS(Output!AJ$2:AJ$999,Output!$C$2:$C$999,CONCATENATE(LEFT($B$19,10),"*"),Output!$D$2:$D$999,$C$19)*IND_Mult!AF19</f>
        <v>1</v>
      </c>
      <c r="AF19" s="72">
        <f>SUMIFS(Output!AK$2:AK$999,Output!$C$2:$C$999,CONCATENATE(LEFT($B$19,10),"*"),Output!$D$2:$D$999,$C$19)*IND_Mult!AG19</f>
        <v>1</v>
      </c>
      <c r="AG19" s="72">
        <f>SUMIFS(Output!AL$2:AL$999,Output!$C$2:$C$999,CONCATENATE(LEFT($B$19,10),"*"),Output!$D$2:$D$999,$C$19)*IND_Mult!AH19</f>
        <v>1</v>
      </c>
      <c r="AH19" s="72">
        <f>SUMIFS(Output!AM$2:AM$999,Output!$C$2:$C$999,CONCATENATE(LEFT($B$19,10),"*"),Output!$D$2:$D$999,$C$19)*IND_Mult!AI19</f>
        <v>1</v>
      </c>
      <c r="AI19" s="72">
        <f>SUMIFS(Output!AN$2:AN$999,Output!$C$2:$C$999,CONCATENATE(LEFT($B$19,10),"*"),Output!$D$2:$D$999,$C$19)*IND_Mult!AJ19</f>
        <v>1</v>
      </c>
      <c r="AJ19" s="72">
        <f>SUMIFS(Output!AO$2:AO$999,Output!$C$2:$C$999,CONCATENATE(LEFT($B$19,10),"*"),Output!$D$2:$D$999,$C$19)*IND_Mult!AK19</f>
        <v>1</v>
      </c>
      <c r="AK19" s="72">
        <f>SUMIFS(Output!AP$2:AP$999,Output!$C$2:$C$999,CONCATENATE(LEFT($B$19,10),"*"),Output!$D$2:$D$999,$C$19)*IND_Mult!AL19</f>
        <v>1</v>
      </c>
      <c r="AL19" s="72">
        <f>SUMIFS(Output!AQ$2:AQ$999,Output!$C$2:$C$999,CONCATENATE(LEFT($B$19,10),"*"),Output!$D$2:$D$999,$C$19)*IND_Mult!AM19</f>
        <v>1</v>
      </c>
      <c r="AM19" s="72">
        <f>SUMIFS(Output!AR$2:AR$999,Output!$C$2:$C$999,CONCATENATE(LEFT($B$19,10),"*"),Output!$D$2:$D$999,$C$19)*IND_Mult!AN19</f>
        <v>1</v>
      </c>
      <c r="AN19" s="72">
        <f>SUMIFS(Output!AS$2:AS$999,Output!$C$2:$C$999,CONCATENATE(LEFT($B$19,10),"*"),Output!$D$2:$D$999,$C$19)*IND_Mult!AO19</f>
        <v>1</v>
      </c>
      <c r="AO19" s="72">
        <f>SUMIFS(Output!AT$2:AT$999,Output!$C$2:$C$999,CONCATENATE(LEFT($B$19,10),"*"),Output!$D$2:$D$999,$C$19)*IND_Mult!AP19</f>
        <v>1</v>
      </c>
      <c r="AP19" s="72">
        <f>SUMIFS(Output!AU$2:AU$999,Output!$C$2:$C$999,CONCATENATE(LEFT($B$19,10),"*"),Output!$D$2:$D$999,$C$19)*IND_Mult!AQ19</f>
        <v>1</v>
      </c>
      <c r="AQ19" s="72">
        <f>SUMIFS(Output!AV$2:AV$999,Output!$C$2:$C$999,CONCATENATE(LEFT($B$19,10),"*"),Output!$D$2:$D$999,$C$19)*IND_Mult!AR19</f>
        <v>1</v>
      </c>
    </row>
    <row r="20" spans="1:43" ht="12.75">
      <c r="A20" s="6"/>
      <c r="B20" s="17" t="s">
        <v>259</v>
      </c>
      <c r="C20" s="18" t="s">
        <v>37</v>
      </c>
      <c r="D20" s="26"/>
      <c r="E20" s="16" t="s">
        <v>103</v>
      </c>
      <c r="F20" s="31"/>
      <c r="G20" s="69">
        <f>SUMIFS(Input!L$2:L$999,Input!$C$2:$C$999,CONCATENATE(LEFT($B$20,10),"*"),Input!$D$2:$D$999,$C$20)*IND_Mult!H20</f>
        <v>32</v>
      </c>
      <c r="H20" s="69">
        <f>SUMIFS(Input!M$2:M$999,Input!$C$2:$C$999,CONCATENATE(LEFT($B$20,10),"*"),Input!$D$2:$D$999,$C$20)*IND_Mult!I20</f>
        <v>32</v>
      </c>
      <c r="I20" s="69">
        <f>SUMIFS(Input!N$2:N$999,Input!$C$2:$C$999,CONCATENATE(LEFT($B$20,10),"*"),Input!$D$2:$D$999,$C$20)*IND_Mult!J20</f>
        <v>32</v>
      </c>
      <c r="J20" s="69">
        <f>SUMIFS(Input!O$2:O$999,Input!$C$2:$C$999,CONCATENATE(LEFT($B$20,10),"*"),Input!$D$2:$D$999,$C$20)*IND_Mult!K20</f>
        <v>32</v>
      </c>
      <c r="K20" s="69">
        <f>SUMIFS(Input!P$2:P$999,Input!$C$2:$C$999,CONCATENATE(LEFT($B$20,10),"*"),Input!$D$2:$D$999,$C$20)*IND_Mult!L20</f>
        <v>32</v>
      </c>
      <c r="L20" s="69">
        <f>SUMIFS(Input!Q$2:Q$999,Input!$C$2:$C$999,CONCATENATE(LEFT($B$20,10),"*"),Input!$D$2:$D$999,$C$20)*IND_Mult!M20</f>
        <v>32</v>
      </c>
      <c r="M20" s="69">
        <f>SUMIFS(Input!R$2:R$999,Input!$C$2:$C$999,CONCATENATE(LEFT($B$20,10),"*"),Input!$D$2:$D$999,$C$20)*IND_Mult!N20</f>
        <v>32</v>
      </c>
      <c r="N20" s="69">
        <f>SUMIFS(Input!S$2:S$999,Input!$C$2:$C$999,CONCATENATE(LEFT($B$20,10),"*"),Input!$D$2:$D$999,$C$20)*IND_Mult!O20</f>
        <v>32</v>
      </c>
      <c r="O20" s="69">
        <f>SUMIFS(Input!T$2:T$999,Input!$C$2:$C$999,CONCATENATE(LEFT($B$20,10),"*"),Input!$D$2:$D$999,$C$20)*IND_Mult!P20</f>
        <v>27.199999999999999</v>
      </c>
      <c r="P20" s="69">
        <f>SUMIFS(Input!U$2:U$999,Input!$C$2:$C$999,CONCATENATE(LEFT($B$20,10),"*"),Input!$D$2:$D$999,$C$20)*IND_Mult!Q20</f>
        <v>32</v>
      </c>
      <c r="Q20" s="69">
        <f>SUMIFS(Input!V$2:V$999,Input!$C$2:$C$999,CONCATENATE(LEFT($B$20,10),"*"),Input!$D$2:$D$999,$C$20)*IND_Mult!R20</f>
        <v>32</v>
      </c>
      <c r="R20" s="69">
        <f>SUMIFS(Input!W$2:W$999,Input!$C$2:$C$999,CONCATENATE(LEFT($B$20,10),"*"),Input!$D$2:$D$999,$C$20)*IND_Mult!S20</f>
        <v>32</v>
      </c>
      <c r="S20" s="69">
        <f>SUMIFS(Input!X$2:X$999,Input!$C$2:$C$999,CONCATENATE(LEFT($B$20,10),"*"),Input!$D$2:$D$999,$C$20)*IND_Mult!T20</f>
        <v>32</v>
      </c>
      <c r="T20" s="69">
        <f>SUMIFS(Input!Y$2:Y$999,Input!$C$2:$C$999,CONCATENATE(LEFT($B$20,10),"*"),Input!$D$2:$D$999,$C$20)*IND_Mult!U20</f>
        <v>32</v>
      </c>
      <c r="U20" s="69">
        <f>SUMIFS(Input!Z$2:Z$999,Input!$C$2:$C$999,CONCATENATE(LEFT($B$20,10),"*"),Input!$D$2:$D$999,$C$20)*IND_Mult!V20</f>
        <v>32</v>
      </c>
      <c r="V20" s="69">
        <f>SUMIFS(Input!AA$2:AA$999,Input!$C$2:$C$999,CONCATENATE(LEFT($B$20,10),"*"),Input!$D$2:$D$999,$C$20)*IND_Mult!W20</f>
        <v>32</v>
      </c>
      <c r="W20" s="69">
        <f>SUMIFS(Input!AB$2:AB$999,Input!$C$2:$C$999,CONCATENATE(LEFT($B$20,10),"*"),Input!$D$2:$D$999,$C$20)*IND_Mult!X20</f>
        <v>32</v>
      </c>
      <c r="X20" s="69">
        <f>SUMIFS(Input!AC$2:AC$999,Input!$C$2:$C$999,CONCATENATE(LEFT($B$20,10),"*"),Input!$D$2:$D$999,$C$20)*IND_Mult!Y20</f>
        <v>32</v>
      </c>
      <c r="Y20" s="69">
        <f>SUMIFS(Input!AD$2:AD$999,Input!$C$2:$C$999,CONCATENATE(LEFT($B$20,10),"*"),Input!$D$2:$D$999,$C$20)*IND_Mult!Z20</f>
        <v>32</v>
      </c>
      <c r="Z20" s="69">
        <f>SUMIFS(Input!AE$2:AE$999,Input!$C$2:$C$999,CONCATENATE(LEFT($B$20,10),"*"),Input!$D$2:$D$999,$C$20)*IND_Mult!AA20</f>
        <v>32</v>
      </c>
      <c r="AA20" s="69">
        <f>SUMIFS(Input!AF$2:AF$999,Input!$C$2:$C$999,CONCATENATE(LEFT($B$20,10),"*"),Input!$D$2:$D$999,$C$20)*IND_Mult!AB20</f>
        <v>32</v>
      </c>
      <c r="AB20" s="69">
        <f>SUMIFS(Input!AG$2:AG$999,Input!$C$2:$C$999,CONCATENATE(LEFT($B$20,10),"*"),Input!$D$2:$D$999,$C$20)*IND_Mult!AC20</f>
        <v>32</v>
      </c>
      <c r="AC20" s="69">
        <f>SUMIFS(Input!AH$2:AH$999,Input!$C$2:$C$999,CONCATENATE(LEFT($B$20,10),"*"),Input!$D$2:$D$999,$C$20)*IND_Mult!AD20</f>
        <v>32</v>
      </c>
      <c r="AD20" s="69">
        <f>SUMIFS(Input!AI$2:AI$999,Input!$C$2:$C$999,CONCATENATE(LEFT($B$20,10),"*"),Input!$D$2:$D$999,$C$20)*IND_Mult!AE20</f>
        <v>32</v>
      </c>
      <c r="AE20" s="69">
        <f>SUMIFS(Input!AJ$2:AJ$999,Input!$C$2:$C$999,CONCATENATE(LEFT($B$20,10),"*"),Input!$D$2:$D$999,$C$20)*IND_Mult!AF20</f>
        <v>32</v>
      </c>
      <c r="AF20" s="69">
        <f>SUMIFS(Input!AK$2:AK$999,Input!$C$2:$C$999,CONCATENATE(LEFT($B$20,10),"*"),Input!$D$2:$D$999,$C$20)*IND_Mult!AG20</f>
        <v>32</v>
      </c>
      <c r="AG20" s="69">
        <f>SUMIFS(Input!AL$2:AL$999,Input!$C$2:$C$999,CONCATENATE(LEFT($B$20,10),"*"),Input!$D$2:$D$999,$C$20)*IND_Mult!AH20</f>
        <v>32</v>
      </c>
      <c r="AH20" s="69">
        <f>SUMIFS(Input!AM$2:AM$999,Input!$C$2:$C$999,CONCATENATE(LEFT($B$20,10),"*"),Input!$D$2:$D$999,$C$20)*IND_Mult!AI20</f>
        <v>32</v>
      </c>
      <c r="AI20" s="69">
        <f>SUMIFS(Input!AN$2:AN$999,Input!$C$2:$C$999,CONCATENATE(LEFT($B$20,10),"*"),Input!$D$2:$D$999,$C$20)*IND_Mult!AJ20</f>
        <v>32</v>
      </c>
      <c r="AJ20" s="69">
        <f>SUMIFS(Input!AO$2:AO$999,Input!$C$2:$C$999,CONCATENATE(LEFT($B$20,10),"*"),Input!$D$2:$D$999,$C$20)*IND_Mult!AK20</f>
        <v>32</v>
      </c>
      <c r="AK20" s="69">
        <f>SUMIFS(Input!AP$2:AP$999,Input!$C$2:$C$999,CONCATENATE(LEFT($B$20,10),"*"),Input!$D$2:$D$999,$C$20)*IND_Mult!AL20</f>
        <v>32</v>
      </c>
      <c r="AL20" s="69">
        <f>SUMIFS(Input!AQ$2:AQ$999,Input!$C$2:$C$999,CONCATENATE(LEFT($B$20,10),"*"),Input!$D$2:$D$999,$C$20)*IND_Mult!AM20</f>
        <v>32</v>
      </c>
      <c r="AM20" s="69">
        <f>SUMIFS(Input!AR$2:AR$999,Input!$C$2:$C$999,CONCATENATE(LEFT($B$20,10),"*"),Input!$D$2:$D$999,$C$20)*IND_Mult!AN20</f>
        <v>32</v>
      </c>
      <c r="AN20" s="69">
        <f>SUMIFS(Input!AS$2:AS$999,Input!$C$2:$C$999,CONCATENATE(LEFT($B$20,10),"*"),Input!$D$2:$D$999,$C$20)*IND_Mult!AO20</f>
        <v>32</v>
      </c>
      <c r="AO20" s="69">
        <f>SUMIFS(Input!AT$2:AT$999,Input!$C$2:$C$999,CONCATENATE(LEFT($B$20,10),"*"),Input!$D$2:$D$999,$C$20)*IND_Mult!AP20</f>
        <v>32</v>
      </c>
      <c r="AP20" s="69">
        <f>SUMIFS(Input!AU$2:AU$999,Input!$C$2:$C$999,CONCATENATE(LEFT($B$20,10),"*"),Input!$D$2:$D$999,$C$20)*IND_Mult!AQ20</f>
        <v>32</v>
      </c>
      <c r="AQ20" s="69">
        <f>SUMIFS(Input!AV$2:AV$999,Input!$C$2:$C$999,CONCATENATE(LEFT($B$20,10),"*"),Input!$D$2:$D$999,$C$20)*IND_Mult!AR20</f>
        <v>32</v>
      </c>
    </row>
    <row r="21" spans="1:43" ht="12.75">
      <c r="A21" s="6"/>
      <c r="B21" s="17" t="s">
        <v>259</v>
      </c>
      <c r="C21" s="18" t="s">
        <v>38</v>
      </c>
      <c r="D21" s="26"/>
      <c r="E21" s="16" t="s">
        <v>103</v>
      </c>
      <c r="F21" s="31"/>
      <c r="G21" s="69">
        <f>SUMIFS(Input!L$2:L$999,Input!$C$2:$C$999,CONCATENATE(LEFT($B$21,10),"*"),Input!$D$2:$D$999,$C$21)*IND_Mult!H21</f>
        <v>1.2</v>
      </c>
      <c r="H21" s="69">
        <f>SUMIFS(Input!M$2:M$999,Input!$C$2:$C$999,CONCATENATE(LEFT($B$21,10),"*"),Input!$D$2:$D$999,$C$21)*IND_Mult!I21</f>
        <v>1.2</v>
      </c>
      <c r="I21" s="69">
        <f>SUMIFS(Input!N$2:N$999,Input!$C$2:$C$999,CONCATENATE(LEFT($B$21,10),"*"),Input!$D$2:$D$999,$C$21)*IND_Mult!J21</f>
        <v>1.2</v>
      </c>
      <c r="J21" s="69">
        <f>SUMIFS(Input!O$2:O$999,Input!$C$2:$C$999,CONCATENATE(LEFT($B$21,10),"*"),Input!$D$2:$D$999,$C$21)*IND_Mult!K21</f>
        <v>1.2</v>
      </c>
      <c r="K21" s="69">
        <f>SUMIFS(Input!P$2:P$999,Input!$C$2:$C$999,CONCATENATE(LEFT($B$21,10),"*"),Input!$D$2:$D$999,$C$21)*IND_Mult!L21</f>
        <v>1.2</v>
      </c>
      <c r="L21" s="69">
        <f>SUMIFS(Input!Q$2:Q$999,Input!$C$2:$C$999,CONCATENATE(LEFT($B$21,10),"*"),Input!$D$2:$D$999,$C$21)*IND_Mult!M21</f>
        <v>1.2</v>
      </c>
      <c r="M21" s="69">
        <f>SUMIFS(Input!R$2:R$999,Input!$C$2:$C$999,CONCATENATE(LEFT($B$21,10),"*"),Input!$D$2:$D$999,$C$21)*IND_Mult!N21</f>
        <v>1.2</v>
      </c>
      <c r="N21" s="69">
        <f>SUMIFS(Input!S$2:S$999,Input!$C$2:$C$999,CONCATENATE(LEFT($B$21,10),"*"),Input!$D$2:$D$999,$C$21)*IND_Mult!O21</f>
        <v>1.2</v>
      </c>
      <c r="O21" s="69">
        <f>SUMIFS(Input!T$2:T$999,Input!$C$2:$C$999,CONCATENATE(LEFT($B$21,10),"*"),Input!$D$2:$D$999,$C$21)*IND_Mult!P21</f>
        <v>1.02</v>
      </c>
      <c r="P21" s="69">
        <f>SUMIFS(Input!U$2:U$999,Input!$C$2:$C$999,CONCATENATE(LEFT($B$21,10),"*"),Input!$D$2:$D$999,$C$21)*IND_Mult!Q21</f>
        <v>1.2</v>
      </c>
      <c r="Q21" s="69">
        <f>SUMIFS(Input!V$2:V$999,Input!$C$2:$C$999,CONCATENATE(LEFT($B$21,10),"*"),Input!$D$2:$D$999,$C$21)*IND_Mult!R21</f>
        <v>1.2</v>
      </c>
      <c r="R21" s="69">
        <f>SUMIFS(Input!W$2:W$999,Input!$C$2:$C$999,CONCATENATE(LEFT($B$21,10),"*"),Input!$D$2:$D$999,$C$21)*IND_Mult!S21</f>
        <v>1.2</v>
      </c>
      <c r="S21" s="69">
        <f>SUMIFS(Input!X$2:X$999,Input!$C$2:$C$999,CONCATENATE(LEFT($B$21,10),"*"),Input!$D$2:$D$999,$C$21)*IND_Mult!T21</f>
        <v>1.2</v>
      </c>
      <c r="T21" s="69">
        <f>SUMIFS(Input!Y$2:Y$999,Input!$C$2:$C$999,CONCATENATE(LEFT($B$21,10),"*"),Input!$D$2:$D$999,$C$21)*IND_Mult!U21</f>
        <v>1.2</v>
      </c>
      <c r="U21" s="69">
        <f>SUMIFS(Input!Z$2:Z$999,Input!$C$2:$C$999,CONCATENATE(LEFT($B$21,10),"*"),Input!$D$2:$D$999,$C$21)*IND_Mult!V21</f>
        <v>1.2</v>
      </c>
      <c r="V21" s="69">
        <f>SUMIFS(Input!AA$2:AA$999,Input!$C$2:$C$999,CONCATENATE(LEFT($B$21,10),"*"),Input!$D$2:$D$999,$C$21)*IND_Mult!W21</f>
        <v>1.2</v>
      </c>
      <c r="W21" s="69">
        <f>SUMIFS(Input!AB$2:AB$999,Input!$C$2:$C$999,CONCATENATE(LEFT($B$21,10),"*"),Input!$D$2:$D$999,$C$21)*IND_Mult!X21</f>
        <v>1.2</v>
      </c>
      <c r="X21" s="69">
        <f>SUMIFS(Input!AC$2:AC$999,Input!$C$2:$C$999,CONCATENATE(LEFT($B$21,10),"*"),Input!$D$2:$D$999,$C$21)*IND_Mult!Y21</f>
        <v>1.2</v>
      </c>
      <c r="Y21" s="69">
        <f>SUMIFS(Input!AD$2:AD$999,Input!$C$2:$C$999,CONCATENATE(LEFT($B$21,10),"*"),Input!$D$2:$D$999,$C$21)*IND_Mult!Z21</f>
        <v>1.2</v>
      </c>
      <c r="Z21" s="69">
        <f>SUMIFS(Input!AE$2:AE$999,Input!$C$2:$C$999,CONCATENATE(LEFT($B$21,10),"*"),Input!$D$2:$D$999,$C$21)*IND_Mult!AA21</f>
        <v>1.2</v>
      </c>
      <c r="AA21" s="69">
        <f>SUMIFS(Input!AF$2:AF$999,Input!$C$2:$C$999,CONCATENATE(LEFT($B$21,10),"*"),Input!$D$2:$D$999,$C$21)*IND_Mult!AB21</f>
        <v>1.2</v>
      </c>
      <c r="AB21" s="69">
        <f>SUMIFS(Input!AG$2:AG$999,Input!$C$2:$C$999,CONCATENATE(LEFT($B$21,10),"*"),Input!$D$2:$D$999,$C$21)*IND_Mult!AC21</f>
        <v>1.2</v>
      </c>
      <c r="AC21" s="69">
        <f>SUMIFS(Input!AH$2:AH$999,Input!$C$2:$C$999,CONCATENATE(LEFT($B$21,10),"*"),Input!$D$2:$D$999,$C$21)*IND_Mult!AD21</f>
        <v>1.2</v>
      </c>
      <c r="AD21" s="69">
        <f>SUMIFS(Input!AI$2:AI$999,Input!$C$2:$C$999,CONCATENATE(LEFT($B$21,10),"*"),Input!$D$2:$D$999,$C$21)*IND_Mult!AE21</f>
        <v>1.2</v>
      </c>
      <c r="AE21" s="69">
        <f>SUMIFS(Input!AJ$2:AJ$999,Input!$C$2:$C$999,CONCATENATE(LEFT($B$21,10),"*"),Input!$D$2:$D$999,$C$21)*IND_Mult!AF21</f>
        <v>1.2</v>
      </c>
      <c r="AF21" s="69">
        <f>SUMIFS(Input!AK$2:AK$999,Input!$C$2:$C$999,CONCATENATE(LEFT($B$21,10),"*"),Input!$D$2:$D$999,$C$21)*IND_Mult!AG21</f>
        <v>1.2</v>
      </c>
      <c r="AG21" s="69">
        <f>SUMIFS(Input!AL$2:AL$999,Input!$C$2:$C$999,CONCATENATE(LEFT($B$21,10),"*"),Input!$D$2:$D$999,$C$21)*IND_Mult!AH21</f>
        <v>1.2</v>
      </c>
      <c r="AH21" s="69">
        <f>SUMIFS(Input!AM$2:AM$999,Input!$C$2:$C$999,CONCATENATE(LEFT($B$21,10),"*"),Input!$D$2:$D$999,$C$21)*IND_Mult!AI21</f>
        <v>1.2</v>
      </c>
      <c r="AI21" s="69">
        <f>SUMIFS(Input!AN$2:AN$999,Input!$C$2:$C$999,CONCATENATE(LEFT($B$21,10),"*"),Input!$D$2:$D$999,$C$21)*IND_Mult!AJ21</f>
        <v>1.2</v>
      </c>
      <c r="AJ21" s="69">
        <f>SUMIFS(Input!AO$2:AO$999,Input!$C$2:$C$999,CONCATENATE(LEFT($B$21,10),"*"),Input!$D$2:$D$999,$C$21)*IND_Mult!AK21</f>
        <v>1.2</v>
      </c>
      <c r="AK21" s="69">
        <f>SUMIFS(Input!AP$2:AP$999,Input!$C$2:$C$999,CONCATENATE(LEFT($B$21,10),"*"),Input!$D$2:$D$999,$C$21)*IND_Mult!AL21</f>
        <v>1.2</v>
      </c>
      <c r="AL21" s="69">
        <f>SUMIFS(Input!AQ$2:AQ$999,Input!$C$2:$C$999,CONCATENATE(LEFT($B$21,10),"*"),Input!$D$2:$D$999,$C$21)*IND_Mult!AM21</f>
        <v>1.2</v>
      </c>
      <c r="AM21" s="69">
        <f>SUMIFS(Input!AR$2:AR$999,Input!$C$2:$C$999,CONCATENATE(LEFT($B$21,10),"*"),Input!$D$2:$D$999,$C$21)*IND_Mult!AN21</f>
        <v>1.2</v>
      </c>
      <c r="AN21" s="69">
        <f>SUMIFS(Input!AS$2:AS$999,Input!$C$2:$C$999,CONCATENATE(LEFT($B$21,10),"*"),Input!$D$2:$D$999,$C$21)*IND_Mult!AO21</f>
        <v>1.2</v>
      </c>
      <c r="AO21" s="69">
        <f>SUMIFS(Input!AT$2:AT$999,Input!$C$2:$C$999,CONCATENATE(LEFT($B$21,10),"*"),Input!$D$2:$D$999,$C$21)*IND_Mult!AP21</f>
        <v>1.2</v>
      </c>
      <c r="AP21" s="69">
        <f>SUMIFS(Input!AU$2:AU$999,Input!$C$2:$C$999,CONCATENATE(LEFT($B$21,10),"*"),Input!$D$2:$D$999,$C$21)*IND_Mult!AQ21</f>
        <v>1.2</v>
      </c>
      <c r="AQ21" s="69">
        <f>SUMIFS(Input!AV$2:AV$999,Input!$C$2:$C$999,CONCATENATE(LEFT($B$21,10),"*"),Input!$D$2:$D$999,$C$21)*IND_Mult!AR21</f>
        <v>1.2</v>
      </c>
    </row>
    <row r="22" spans="1:43" ht="12.75">
      <c r="A22" s="6"/>
      <c r="B22" s="17" t="s">
        <v>259</v>
      </c>
      <c r="C22" s="18" t="s">
        <v>107</v>
      </c>
      <c r="D22" s="26"/>
      <c r="E22" s="16" t="s">
        <v>103</v>
      </c>
      <c r="F22" s="31"/>
      <c r="G22" s="69">
        <f>SUMIFS(Input!L$2:L$999,Input!$C$2:$C$999,CONCATENATE(LEFT($B$22,10),"*"),Input!$D$2:$D$999,$C$22)*IND_Mult!H22</f>
        <v>1.6000000000000001</v>
      </c>
      <c r="H22" s="69">
        <f>SUMIFS(Input!M$2:M$999,Input!$C$2:$C$999,CONCATENATE(LEFT($B$22,10),"*"),Input!$D$2:$D$999,$C$22)*IND_Mult!I22</f>
        <v>1.6000000000000001</v>
      </c>
      <c r="I22" s="69">
        <f>SUMIFS(Input!N$2:N$999,Input!$C$2:$C$999,CONCATENATE(LEFT($B$22,10),"*"),Input!$D$2:$D$999,$C$22)*IND_Mult!J22</f>
        <v>1.6000000000000001</v>
      </c>
      <c r="J22" s="69">
        <f>SUMIFS(Input!O$2:O$999,Input!$C$2:$C$999,CONCATENATE(LEFT($B$22,10),"*"),Input!$D$2:$D$999,$C$22)*IND_Mult!K22</f>
        <v>1.6000000000000001</v>
      </c>
      <c r="K22" s="69">
        <f>SUMIFS(Input!P$2:P$999,Input!$C$2:$C$999,CONCATENATE(LEFT($B$22,10),"*"),Input!$D$2:$D$999,$C$22)*IND_Mult!L22</f>
        <v>1.6000000000000001</v>
      </c>
      <c r="L22" s="69">
        <f>SUMIFS(Input!Q$2:Q$999,Input!$C$2:$C$999,CONCATENATE(LEFT($B$22,10),"*"),Input!$D$2:$D$999,$C$22)*IND_Mult!M22</f>
        <v>1.6000000000000001</v>
      </c>
      <c r="M22" s="69">
        <f>SUMIFS(Input!R$2:R$999,Input!$C$2:$C$999,CONCATENATE(LEFT($B$22,10),"*"),Input!$D$2:$D$999,$C$22)*IND_Mult!N22</f>
        <v>1.6000000000000001</v>
      </c>
      <c r="N22" s="69">
        <f>SUMIFS(Input!S$2:S$999,Input!$C$2:$C$999,CONCATENATE(LEFT($B$22,10),"*"),Input!$D$2:$D$999,$C$22)*IND_Mult!O22</f>
        <v>1.6000000000000001</v>
      </c>
      <c r="O22" s="69">
        <f>SUMIFS(Input!T$2:T$999,Input!$C$2:$C$999,CONCATENATE(LEFT($B$22,10),"*"),Input!$D$2:$D$999,$C$22)*IND_Mult!P22</f>
        <v>1.3600000000000001</v>
      </c>
      <c r="P22" s="69">
        <f>SUMIFS(Input!U$2:U$999,Input!$C$2:$C$999,CONCATENATE(LEFT($B$22,10),"*"),Input!$D$2:$D$999,$C$22)*IND_Mult!Q22</f>
        <v>1.6000000000000001</v>
      </c>
      <c r="Q22" s="69">
        <f>SUMIFS(Input!V$2:V$999,Input!$C$2:$C$999,CONCATENATE(LEFT($B$22,10),"*"),Input!$D$2:$D$999,$C$22)*IND_Mult!R22</f>
        <v>1.6000000000000001</v>
      </c>
      <c r="R22" s="69">
        <f>SUMIFS(Input!W$2:W$999,Input!$C$2:$C$999,CONCATENATE(LEFT($B$22,10),"*"),Input!$D$2:$D$999,$C$22)*IND_Mult!S22</f>
        <v>1.6000000000000001</v>
      </c>
      <c r="S22" s="69">
        <f>SUMIFS(Input!X$2:X$999,Input!$C$2:$C$999,CONCATENATE(LEFT($B$22,10),"*"),Input!$D$2:$D$999,$C$22)*IND_Mult!T22</f>
        <v>1.6000000000000001</v>
      </c>
      <c r="T22" s="69">
        <f>SUMIFS(Input!Y$2:Y$999,Input!$C$2:$C$999,CONCATENATE(LEFT($B$22,10),"*"),Input!$D$2:$D$999,$C$22)*IND_Mult!U22</f>
        <v>1.6000000000000001</v>
      </c>
      <c r="U22" s="69">
        <f>SUMIFS(Input!Z$2:Z$999,Input!$C$2:$C$999,CONCATENATE(LEFT($B$22,10),"*"),Input!$D$2:$D$999,$C$22)*IND_Mult!V22</f>
        <v>1.6000000000000001</v>
      </c>
      <c r="V22" s="69">
        <f>SUMIFS(Input!AA$2:AA$999,Input!$C$2:$C$999,CONCATENATE(LEFT($B$22,10),"*"),Input!$D$2:$D$999,$C$22)*IND_Mult!W22</f>
        <v>1.6000000000000001</v>
      </c>
      <c r="W22" s="69">
        <f>SUMIFS(Input!AB$2:AB$999,Input!$C$2:$C$999,CONCATENATE(LEFT($B$22,10),"*"),Input!$D$2:$D$999,$C$22)*IND_Mult!X22</f>
        <v>1.6000000000000001</v>
      </c>
      <c r="X22" s="69">
        <f>SUMIFS(Input!AC$2:AC$999,Input!$C$2:$C$999,CONCATENATE(LEFT($B$22,10),"*"),Input!$D$2:$D$999,$C$22)*IND_Mult!Y22</f>
        <v>1.6000000000000001</v>
      </c>
      <c r="Y22" s="69">
        <f>SUMIFS(Input!AD$2:AD$999,Input!$C$2:$C$999,CONCATENATE(LEFT($B$22,10),"*"),Input!$D$2:$D$999,$C$22)*IND_Mult!Z22</f>
        <v>1.6000000000000001</v>
      </c>
      <c r="Z22" s="69">
        <f>SUMIFS(Input!AE$2:AE$999,Input!$C$2:$C$999,CONCATENATE(LEFT($B$22,10),"*"),Input!$D$2:$D$999,$C$22)*IND_Mult!AA22</f>
        <v>1.6000000000000001</v>
      </c>
      <c r="AA22" s="69">
        <f>SUMIFS(Input!AF$2:AF$999,Input!$C$2:$C$999,CONCATENATE(LEFT($B$22,10),"*"),Input!$D$2:$D$999,$C$22)*IND_Mult!AB22</f>
        <v>1.6000000000000001</v>
      </c>
      <c r="AB22" s="69">
        <f>SUMIFS(Input!AG$2:AG$999,Input!$C$2:$C$999,CONCATENATE(LEFT($B$22,10),"*"),Input!$D$2:$D$999,$C$22)*IND_Mult!AC22</f>
        <v>1.6000000000000001</v>
      </c>
      <c r="AC22" s="69">
        <f>SUMIFS(Input!AH$2:AH$999,Input!$C$2:$C$999,CONCATENATE(LEFT($B$22,10),"*"),Input!$D$2:$D$999,$C$22)*IND_Mult!AD22</f>
        <v>1.6000000000000001</v>
      </c>
      <c r="AD22" s="69">
        <f>SUMIFS(Input!AI$2:AI$999,Input!$C$2:$C$999,CONCATENATE(LEFT($B$22,10),"*"),Input!$D$2:$D$999,$C$22)*IND_Mult!AE22</f>
        <v>1.6000000000000001</v>
      </c>
      <c r="AE22" s="69">
        <f>SUMIFS(Input!AJ$2:AJ$999,Input!$C$2:$C$999,CONCATENATE(LEFT($B$22,10),"*"),Input!$D$2:$D$999,$C$22)*IND_Mult!AF22</f>
        <v>1.6000000000000001</v>
      </c>
      <c r="AF22" s="69">
        <f>SUMIFS(Input!AK$2:AK$999,Input!$C$2:$C$999,CONCATENATE(LEFT($B$22,10),"*"),Input!$D$2:$D$999,$C$22)*IND_Mult!AG22</f>
        <v>1.6000000000000001</v>
      </c>
      <c r="AG22" s="69">
        <f>SUMIFS(Input!AL$2:AL$999,Input!$C$2:$C$999,CONCATENATE(LEFT($B$22,10),"*"),Input!$D$2:$D$999,$C$22)*IND_Mult!AH22</f>
        <v>1.6000000000000001</v>
      </c>
      <c r="AH22" s="69">
        <f>SUMIFS(Input!AM$2:AM$999,Input!$C$2:$C$999,CONCATENATE(LEFT($B$22,10),"*"),Input!$D$2:$D$999,$C$22)*IND_Mult!AI22</f>
        <v>1.6000000000000001</v>
      </c>
      <c r="AI22" s="69">
        <f>SUMIFS(Input!AN$2:AN$999,Input!$C$2:$C$999,CONCATENATE(LEFT($B$22,10),"*"),Input!$D$2:$D$999,$C$22)*IND_Mult!AJ22</f>
        <v>1.6000000000000001</v>
      </c>
      <c r="AJ22" s="69">
        <f>SUMIFS(Input!AO$2:AO$999,Input!$C$2:$C$999,CONCATENATE(LEFT($B$22,10),"*"),Input!$D$2:$D$999,$C$22)*IND_Mult!AK22</f>
        <v>1.6000000000000001</v>
      </c>
      <c r="AK22" s="69">
        <f>SUMIFS(Input!AP$2:AP$999,Input!$C$2:$C$999,CONCATENATE(LEFT($B$22,10),"*"),Input!$D$2:$D$999,$C$22)*IND_Mult!AL22</f>
        <v>1.6000000000000001</v>
      </c>
      <c r="AL22" s="69">
        <f>SUMIFS(Input!AQ$2:AQ$999,Input!$C$2:$C$999,CONCATENATE(LEFT($B$22,10),"*"),Input!$D$2:$D$999,$C$22)*IND_Mult!AM22</f>
        <v>1.6000000000000001</v>
      </c>
      <c r="AM22" s="69">
        <f>SUMIFS(Input!AR$2:AR$999,Input!$C$2:$C$999,CONCATENATE(LEFT($B$22,10),"*"),Input!$D$2:$D$999,$C$22)*IND_Mult!AN22</f>
        <v>1.6000000000000001</v>
      </c>
      <c r="AN22" s="69">
        <f>SUMIFS(Input!AS$2:AS$999,Input!$C$2:$C$999,CONCATENATE(LEFT($B$22,10),"*"),Input!$D$2:$D$999,$C$22)*IND_Mult!AO22</f>
        <v>1.6000000000000001</v>
      </c>
      <c r="AO22" s="69">
        <f>SUMIFS(Input!AT$2:AT$999,Input!$C$2:$C$999,CONCATENATE(LEFT($B$22,10),"*"),Input!$D$2:$D$999,$C$22)*IND_Mult!AP22</f>
        <v>1.6000000000000001</v>
      </c>
      <c r="AP22" s="69">
        <f>SUMIFS(Input!AU$2:AU$999,Input!$C$2:$C$999,CONCATENATE(LEFT($B$22,10),"*"),Input!$D$2:$D$999,$C$22)*IND_Mult!AQ22</f>
        <v>1.6000000000000001</v>
      </c>
      <c r="AQ22" s="69">
        <f>SUMIFS(Input!AV$2:AV$999,Input!$C$2:$C$999,CONCATENATE(LEFT($B$22,10),"*"),Input!$D$2:$D$999,$C$22)*IND_Mult!AR22</f>
        <v>1.6000000000000001</v>
      </c>
    </row>
    <row r="23" spans="1:43" ht="12.75">
      <c r="A23" s="6"/>
      <c r="B23" s="17" t="s">
        <v>259</v>
      </c>
      <c r="C23" s="18" t="s">
        <v>40</v>
      </c>
      <c r="D23" s="26"/>
      <c r="E23" s="16" t="s">
        <v>104</v>
      </c>
      <c r="F23" s="31"/>
      <c r="G23" s="72">
        <f>SUMIFS(Output!L$2:L$999,Output!$C$2:$C$999,CONCATENATE(LEFT($B$23,10),"*"),Output!$D$2:$D$999,$C$23)*IND_Mult!H23</f>
        <v>1</v>
      </c>
      <c r="H23" s="72">
        <f>SUMIFS(Output!M$2:M$999,Output!$C$2:$C$999,CONCATENATE(LEFT($B$23,10),"*"),Output!$D$2:$D$999,$C$23)*IND_Mult!I23</f>
        <v>1</v>
      </c>
      <c r="I23" s="72">
        <f>SUMIFS(Output!N$2:N$999,Output!$C$2:$C$999,CONCATENATE(LEFT($B$23,10),"*"),Output!$D$2:$D$999,$C$23)*IND_Mult!J23</f>
        <v>1</v>
      </c>
      <c r="J23" s="72">
        <f>SUMIFS(Output!O$2:O$999,Output!$C$2:$C$999,CONCATENATE(LEFT($B$23,10),"*"),Output!$D$2:$D$999,$C$23)*IND_Mult!K23</f>
        <v>1</v>
      </c>
      <c r="K23" s="72">
        <f>SUMIFS(Output!P$2:P$999,Output!$C$2:$C$999,CONCATENATE(LEFT($B$23,10),"*"),Output!$D$2:$D$999,$C$23)*IND_Mult!L23</f>
        <v>1</v>
      </c>
      <c r="L23" s="72">
        <f>SUMIFS(Output!Q$2:Q$999,Output!$C$2:$C$999,CONCATENATE(LEFT($B$23,10),"*"),Output!$D$2:$D$999,$C$23)*IND_Mult!M23</f>
        <v>1</v>
      </c>
      <c r="M23" s="72">
        <f>SUMIFS(Output!R$2:R$999,Output!$C$2:$C$999,CONCATENATE(LEFT($B$23,10),"*"),Output!$D$2:$D$999,$C$23)*IND_Mult!N23</f>
        <v>1</v>
      </c>
      <c r="N23" s="72">
        <f>SUMIFS(Output!S$2:S$999,Output!$C$2:$C$999,CONCATENATE(LEFT($B$23,10),"*"),Output!$D$2:$D$999,$C$23)*IND_Mult!O23</f>
        <v>1</v>
      </c>
      <c r="O23" s="72">
        <f>SUMIFS(Output!T$2:T$999,Output!$C$2:$C$999,CONCATENATE(LEFT($B$23,10),"*"),Output!$D$2:$D$999,$C$23)*IND_Mult!P23</f>
        <v>1</v>
      </c>
      <c r="P23" s="72">
        <f>SUMIFS(Output!U$2:U$999,Output!$C$2:$C$999,CONCATENATE(LEFT($B$23,10),"*"),Output!$D$2:$D$999,$C$23)*IND_Mult!Q23</f>
        <v>1</v>
      </c>
      <c r="Q23" s="72">
        <f>SUMIFS(Output!V$2:V$999,Output!$C$2:$C$999,CONCATENATE(LEFT($B$23,10),"*"),Output!$D$2:$D$999,$C$23)*IND_Mult!R23</f>
        <v>1</v>
      </c>
      <c r="R23" s="72">
        <f>SUMIFS(Output!W$2:W$999,Output!$C$2:$C$999,CONCATENATE(LEFT($B$23,10),"*"),Output!$D$2:$D$999,$C$23)*IND_Mult!S23</f>
        <v>1</v>
      </c>
      <c r="S23" s="72">
        <f>SUMIFS(Output!X$2:X$999,Output!$C$2:$C$999,CONCATENATE(LEFT($B$23,10),"*"),Output!$D$2:$D$999,$C$23)*IND_Mult!T23</f>
        <v>1</v>
      </c>
      <c r="T23" s="72">
        <f>SUMIFS(Output!Y$2:Y$999,Output!$C$2:$C$999,CONCATENATE(LEFT($B$23,10),"*"),Output!$D$2:$D$999,$C$23)*IND_Mult!U23</f>
        <v>1</v>
      </c>
      <c r="U23" s="72">
        <f>SUMIFS(Output!Z$2:Z$999,Output!$C$2:$C$999,CONCATENATE(LEFT($B$23,10),"*"),Output!$D$2:$D$999,$C$23)*IND_Mult!V23</f>
        <v>1</v>
      </c>
      <c r="V23" s="72">
        <f>SUMIFS(Output!AA$2:AA$999,Output!$C$2:$C$999,CONCATENATE(LEFT($B$23,10),"*"),Output!$D$2:$D$999,$C$23)*IND_Mult!W23</f>
        <v>1</v>
      </c>
      <c r="W23" s="72">
        <f>SUMIFS(Output!AB$2:AB$999,Output!$C$2:$C$999,CONCATENATE(LEFT($B$23,10),"*"),Output!$D$2:$D$999,$C$23)*IND_Mult!X23</f>
        <v>1</v>
      </c>
      <c r="X23" s="72">
        <f>SUMIFS(Output!AC$2:AC$999,Output!$C$2:$C$999,CONCATENATE(LEFT($B$23,10),"*"),Output!$D$2:$D$999,$C$23)*IND_Mult!Y23</f>
        <v>1</v>
      </c>
      <c r="Y23" s="72">
        <f>SUMIFS(Output!AD$2:AD$999,Output!$C$2:$C$999,CONCATENATE(LEFT($B$23,10),"*"),Output!$D$2:$D$999,$C$23)*IND_Mult!Z23</f>
        <v>1</v>
      </c>
      <c r="Z23" s="72">
        <f>SUMIFS(Output!AE$2:AE$999,Output!$C$2:$C$999,CONCATENATE(LEFT($B$23,10),"*"),Output!$D$2:$D$999,$C$23)*IND_Mult!AA23</f>
        <v>1</v>
      </c>
      <c r="AA23" s="72">
        <f>SUMIFS(Output!AF$2:AF$999,Output!$C$2:$C$999,CONCATENATE(LEFT($B$23,10),"*"),Output!$D$2:$D$999,$C$23)*IND_Mult!AB23</f>
        <v>1</v>
      </c>
      <c r="AB23" s="72">
        <f>SUMIFS(Output!AG$2:AG$999,Output!$C$2:$C$999,CONCATENATE(LEFT($B$23,10),"*"),Output!$D$2:$D$999,$C$23)*IND_Mult!AC23</f>
        <v>1</v>
      </c>
      <c r="AC23" s="72">
        <f>SUMIFS(Output!AH$2:AH$999,Output!$C$2:$C$999,CONCATENATE(LEFT($B$23,10),"*"),Output!$D$2:$D$999,$C$23)*IND_Mult!AD23</f>
        <v>1</v>
      </c>
      <c r="AD23" s="72">
        <f>SUMIFS(Output!AI$2:AI$999,Output!$C$2:$C$999,CONCATENATE(LEFT($B$23,10),"*"),Output!$D$2:$D$999,$C$23)*IND_Mult!AE23</f>
        <v>1</v>
      </c>
      <c r="AE23" s="72">
        <f>SUMIFS(Output!AJ$2:AJ$999,Output!$C$2:$C$999,CONCATENATE(LEFT($B$23,10),"*"),Output!$D$2:$D$999,$C$23)*IND_Mult!AF23</f>
        <v>1</v>
      </c>
      <c r="AF23" s="72">
        <f>SUMIFS(Output!AK$2:AK$999,Output!$C$2:$C$999,CONCATENATE(LEFT($B$23,10),"*"),Output!$D$2:$D$999,$C$23)*IND_Mult!AG23</f>
        <v>1</v>
      </c>
      <c r="AG23" s="72">
        <f>SUMIFS(Output!AL$2:AL$999,Output!$C$2:$C$999,CONCATENATE(LEFT($B$23,10),"*"),Output!$D$2:$D$999,$C$23)*IND_Mult!AH23</f>
        <v>1</v>
      </c>
      <c r="AH23" s="72">
        <f>SUMIFS(Output!AM$2:AM$999,Output!$C$2:$C$999,CONCATENATE(LEFT($B$23,10),"*"),Output!$D$2:$D$999,$C$23)*IND_Mult!AI23</f>
        <v>1</v>
      </c>
      <c r="AI23" s="72">
        <f>SUMIFS(Output!AN$2:AN$999,Output!$C$2:$C$999,CONCATENATE(LEFT($B$23,10),"*"),Output!$D$2:$D$999,$C$23)*IND_Mult!AJ23</f>
        <v>1</v>
      </c>
      <c r="AJ23" s="72">
        <f>SUMIFS(Output!AO$2:AO$999,Output!$C$2:$C$999,CONCATENATE(LEFT($B$23,10),"*"),Output!$D$2:$D$999,$C$23)*IND_Mult!AK23</f>
        <v>1</v>
      </c>
      <c r="AK23" s="72">
        <f>SUMIFS(Output!AP$2:AP$999,Output!$C$2:$C$999,CONCATENATE(LEFT($B$23,10),"*"),Output!$D$2:$D$999,$C$23)*IND_Mult!AL23</f>
        <v>1</v>
      </c>
      <c r="AL23" s="72">
        <f>SUMIFS(Output!AQ$2:AQ$999,Output!$C$2:$C$999,CONCATENATE(LEFT($B$23,10),"*"),Output!$D$2:$D$999,$C$23)*IND_Mult!AM23</f>
        <v>1</v>
      </c>
      <c r="AM23" s="72">
        <f>SUMIFS(Output!AR$2:AR$999,Output!$C$2:$C$999,CONCATENATE(LEFT($B$23,10),"*"),Output!$D$2:$D$999,$C$23)*IND_Mult!AN23</f>
        <v>1</v>
      </c>
      <c r="AN23" s="72">
        <f>SUMIFS(Output!AS$2:AS$999,Output!$C$2:$C$999,CONCATENATE(LEFT($B$23,10),"*"),Output!$D$2:$D$999,$C$23)*IND_Mult!AO23</f>
        <v>1</v>
      </c>
      <c r="AO23" s="72">
        <f>SUMIFS(Output!AT$2:AT$999,Output!$C$2:$C$999,CONCATENATE(LEFT($B$23,10),"*"),Output!$D$2:$D$999,$C$23)*IND_Mult!AP23</f>
        <v>1</v>
      </c>
      <c r="AP23" s="72">
        <f>SUMIFS(Output!AU$2:AU$999,Output!$C$2:$C$999,CONCATENATE(LEFT($B$23,10),"*"),Output!$D$2:$D$999,$C$23)*IND_Mult!AQ23</f>
        <v>1</v>
      </c>
      <c r="AQ23" s="72">
        <f>SUMIFS(Output!AV$2:AV$999,Output!$C$2:$C$999,CONCATENATE(LEFT($B$23,10),"*"),Output!$D$2:$D$999,$C$23)*IND_Mult!AR23</f>
        <v>1</v>
      </c>
    </row>
    <row r="24" spans="1:43" ht="12.75">
      <c r="A24" s="6"/>
      <c r="B24" s="17" t="s">
        <v>260</v>
      </c>
      <c r="C24" s="18" t="s">
        <v>37</v>
      </c>
      <c r="D24" s="26"/>
      <c r="E24" s="16" t="s">
        <v>103</v>
      </c>
      <c r="F24" s="31"/>
      <c r="G24" s="69">
        <f>SUMIFS(Input!L$2:L$999,Input!$C$2:$C$999,CONCATENATE(LEFT($B$24,10),"*"),Input!$D$2:$D$999,$C$24)*IND_Mult!H24</f>
        <v>1.4399999999999999</v>
      </c>
      <c r="H24" s="69">
        <f>SUMIFS(Input!M$2:M$999,Input!$C$2:$C$999,CONCATENATE(LEFT($B$24,10),"*"),Input!$D$2:$D$999,$C$24)*IND_Mult!I24</f>
        <v>1.4399999999999999</v>
      </c>
      <c r="I24" s="69">
        <f>SUMIFS(Input!N$2:N$999,Input!$C$2:$C$999,CONCATENATE(LEFT($B$24,10),"*"),Input!$D$2:$D$999,$C$24)*IND_Mult!J24</f>
        <v>1.4399999999999999</v>
      </c>
      <c r="J24" s="69">
        <f>SUMIFS(Input!O$2:O$999,Input!$C$2:$C$999,CONCATENATE(LEFT($B$24,10),"*"),Input!$D$2:$D$999,$C$24)*IND_Mult!K24</f>
        <v>1.4399999999999999</v>
      </c>
      <c r="K24" s="69">
        <f>SUMIFS(Input!P$2:P$999,Input!$C$2:$C$999,CONCATENATE(LEFT($B$24,10),"*"),Input!$D$2:$D$999,$C$24)*IND_Mult!L24</f>
        <v>1.4399999999999999</v>
      </c>
      <c r="L24" s="69">
        <f>SUMIFS(Input!Q$2:Q$999,Input!$C$2:$C$999,CONCATENATE(LEFT($B$24,10),"*"),Input!$D$2:$D$999,$C$24)*IND_Mult!M24</f>
        <v>1.4399999999999999</v>
      </c>
      <c r="M24" s="69">
        <f>SUMIFS(Input!R$2:R$999,Input!$C$2:$C$999,CONCATENATE(LEFT($B$24,10),"*"),Input!$D$2:$D$999,$C$24)*IND_Mult!N24</f>
        <v>1.4399999999999999</v>
      </c>
      <c r="N24" s="69">
        <f>SUMIFS(Input!S$2:S$999,Input!$C$2:$C$999,CONCATENATE(LEFT($B$24,10),"*"),Input!$D$2:$D$999,$C$24)*IND_Mult!O24</f>
        <v>1.4399999999999999</v>
      </c>
      <c r="O24" s="69">
        <f>SUMIFS(Input!T$2:T$999,Input!$C$2:$C$999,CONCATENATE(LEFT($B$24,10),"*"),Input!$D$2:$D$999,$C$24)*IND_Mult!P24</f>
        <v>1.224</v>
      </c>
      <c r="P24" s="69">
        <f>SUMIFS(Input!U$2:U$999,Input!$C$2:$C$999,CONCATENATE(LEFT($B$24,10),"*"),Input!$D$2:$D$999,$C$24)*IND_Mult!Q24</f>
        <v>1.4399999999999999</v>
      </c>
      <c r="Q24" s="69">
        <f>SUMIFS(Input!V$2:V$999,Input!$C$2:$C$999,CONCATENATE(LEFT($B$24,10),"*"),Input!$D$2:$D$999,$C$24)*IND_Mult!R24</f>
        <v>1.4399999999999999</v>
      </c>
      <c r="R24" s="69">
        <f>SUMIFS(Input!W$2:W$999,Input!$C$2:$C$999,CONCATENATE(LEFT($B$24,10),"*"),Input!$D$2:$D$999,$C$24)*IND_Mult!S24</f>
        <v>1.4399999999999999</v>
      </c>
      <c r="S24" s="69">
        <f>SUMIFS(Input!X$2:X$999,Input!$C$2:$C$999,CONCATENATE(LEFT($B$24,10),"*"),Input!$D$2:$D$999,$C$24)*IND_Mult!T24</f>
        <v>1.4399999999999999</v>
      </c>
      <c r="T24" s="69">
        <f>SUMIFS(Input!Y$2:Y$999,Input!$C$2:$C$999,CONCATENATE(LEFT($B$24,10),"*"),Input!$D$2:$D$999,$C$24)*IND_Mult!U24</f>
        <v>1.4399999999999999</v>
      </c>
      <c r="U24" s="69">
        <f>SUMIFS(Input!Z$2:Z$999,Input!$C$2:$C$999,CONCATENATE(LEFT($B$24,10),"*"),Input!$D$2:$D$999,$C$24)*IND_Mult!V24</f>
        <v>1.4399999999999999</v>
      </c>
      <c r="V24" s="69">
        <f>SUMIFS(Input!AA$2:AA$999,Input!$C$2:$C$999,CONCATENATE(LEFT($B$24,10),"*"),Input!$D$2:$D$999,$C$24)*IND_Mult!W24</f>
        <v>1.4399999999999999</v>
      </c>
      <c r="W24" s="69">
        <f>SUMIFS(Input!AB$2:AB$999,Input!$C$2:$C$999,CONCATENATE(LEFT($B$24,10),"*"),Input!$D$2:$D$999,$C$24)*IND_Mult!X24</f>
        <v>1.4399999999999999</v>
      </c>
      <c r="X24" s="69">
        <f>SUMIFS(Input!AC$2:AC$999,Input!$C$2:$C$999,CONCATENATE(LEFT($B$24,10),"*"),Input!$D$2:$D$999,$C$24)*IND_Mult!Y24</f>
        <v>1.4399999999999999</v>
      </c>
      <c r="Y24" s="69">
        <f>SUMIFS(Input!AD$2:AD$999,Input!$C$2:$C$999,CONCATENATE(LEFT($B$24,10),"*"),Input!$D$2:$D$999,$C$24)*IND_Mult!Z24</f>
        <v>1.4399999999999999</v>
      </c>
      <c r="Z24" s="69">
        <f>SUMIFS(Input!AE$2:AE$999,Input!$C$2:$C$999,CONCATENATE(LEFT($B$24,10),"*"),Input!$D$2:$D$999,$C$24)*IND_Mult!AA24</f>
        <v>1.4399999999999999</v>
      </c>
      <c r="AA24" s="69">
        <f>SUMIFS(Input!AF$2:AF$999,Input!$C$2:$C$999,CONCATENATE(LEFT($B$24,10),"*"),Input!$D$2:$D$999,$C$24)*IND_Mult!AB24</f>
        <v>1.4399999999999999</v>
      </c>
      <c r="AB24" s="69">
        <f>SUMIFS(Input!AG$2:AG$999,Input!$C$2:$C$999,CONCATENATE(LEFT($B$24,10),"*"),Input!$D$2:$D$999,$C$24)*IND_Mult!AC24</f>
        <v>1.4399999999999999</v>
      </c>
      <c r="AC24" s="69">
        <f>SUMIFS(Input!AH$2:AH$999,Input!$C$2:$C$999,CONCATENATE(LEFT($B$24,10),"*"),Input!$D$2:$D$999,$C$24)*IND_Mult!AD24</f>
        <v>1.4399999999999999</v>
      </c>
      <c r="AD24" s="69">
        <f>SUMIFS(Input!AI$2:AI$999,Input!$C$2:$C$999,CONCATENATE(LEFT($B$24,10),"*"),Input!$D$2:$D$999,$C$24)*IND_Mult!AE24</f>
        <v>1.4399999999999999</v>
      </c>
      <c r="AE24" s="69">
        <f>SUMIFS(Input!AJ$2:AJ$999,Input!$C$2:$C$999,CONCATENATE(LEFT($B$24,10),"*"),Input!$D$2:$D$999,$C$24)*IND_Mult!AF24</f>
        <v>1.4399999999999999</v>
      </c>
      <c r="AF24" s="69">
        <f>SUMIFS(Input!AK$2:AK$999,Input!$C$2:$C$999,CONCATENATE(LEFT($B$24,10),"*"),Input!$D$2:$D$999,$C$24)*IND_Mult!AG24</f>
        <v>1.4399999999999999</v>
      </c>
      <c r="AG24" s="69">
        <f>SUMIFS(Input!AL$2:AL$999,Input!$C$2:$C$999,CONCATENATE(LEFT($B$24,10),"*"),Input!$D$2:$D$999,$C$24)*IND_Mult!AH24</f>
        <v>1.4399999999999999</v>
      </c>
      <c r="AH24" s="69">
        <f>SUMIFS(Input!AM$2:AM$999,Input!$C$2:$C$999,CONCATENATE(LEFT($B$24,10),"*"),Input!$D$2:$D$999,$C$24)*IND_Mult!AI24</f>
        <v>1.4399999999999999</v>
      </c>
      <c r="AI24" s="69">
        <f>SUMIFS(Input!AN$2:AN$999,Input!$C$2:$C$999,CONCATENATE(LEFT($B$24,10),"*"),Input!$D$2:$D$999,$C$24)*IND_Mult!AJ24</f>
        <v>6.04</v>
      </c>
      <c r="AJ24" s="69">
        <f>SUMIFS(Input!AO$2:AO$999,Input!$C$2:$C$999,CONCATENATE(LEFT($B$24,10),"*"),Input!$D$2:$D$999,$C$24)*IND_Mult!AK24</f>
        <v>1.4399999999999999</v>
      </c>
      <c r="AK24" s="69">
        <f>SUMIFS(Input!AP$2:AP$999,Input!$C$2:$C$999,CONCATENATE(LEFT($B$24,10),"*"),Input!$D$2:$D$999,$C$24)*IND_Mult!AL24</f>
        <v>1.4399999999999999</v>
      </c>
      <c r="AL24" s="69">
        <f>SUMIFS(Input!AQ$2:AQ$999,Input!$C$2:$C$999,CONCATENATE(LEFT($B$24,10),"*"),Input!$D$2:$D$999,$C$24)*IND_Mult!AM24</f>
        <v>1.4399999999999999</v>
      </c>
      <c r="AM24" s="69">
        <f>SUMIFS(Input!AR$2:AR$999,Input!$C$2:$C$999,CONCATENATE(LEFT($B$24,10),"*"),Input!$D$2:$D$999,$C$24)*IND_Mult!AN24</f>
        <v>1.4399999999999999</v>
      </c>
      <c r="AN24" s="69">
        <f>SUMIFS(Input!AS$2:AS$999,Input!$C$2:$C$999,CONCATENATE(LEFT($B$24,10),"*"),Input!$D$2:$D$999,$C$24)*IND_Mult!AO24</f>
        <v>6.3399999999999999</v>
      </c>
      <c r="AO24" s="69">
        <f>SUMIFS(Input!AT$2:AT$999,Input!$C$2:$C$999,CONCATENATE(LEFT($B$24,10),"*"),Input!$D$2:$D$999,$C$24)*IND_Mult!AP24</f>
        <v>1.4399999999999999</v>
      </c>
      <c r="AP24" s="69">
        <f>SUMIFS(Input!AU$2:AU$999,Input!$C$2:$C$999,CONCATENATE(LEFT($B$24,10),"*"),Input!$D$2:$D$999,$C$24)*IND_Mult!AQ24</f>
        <v>1.4399999999999999</v>
      </c>
      <c r="AQ24" s="69">
        <f>SUMIFS(Input!AV$2:AV$999,Input!$C$2:$C$999,CONCATENATE(LEFT($B$24,10),"*"),Input!$D$2:$D$999,$C$24)*IND_Mult!AR24</f>
        <v>1.4399999999999999</v>
      </c>
    </row>
    <row r="25" spans="1:43" ht="12.75">
      <c r="A25" s="6"/>
      <c r="B25" s="17" t="s">
        <v>260</v>
      </c>
      <c r="C25" s="18" t="s">
        <v>38</v>
      </c>
      <c r="D25" s="26"/>
      <c r="E25" s="16" t="s">
        <v>103</v>
      </c>
      <c r="F25" s="31"/>
      <c r="G25" s="69">
        <f>SUMIFS(Input!L$2:L$999,Input!$C$2:$C$999,CONCATENATE(LEFT($B$25,10),"*"),Input!$D$2:$D$999,$C$25)*IND_Mult!H25</f>
        <v>6.7999999999999998</v>
      </c>
      <c r="H25" s="69">
        <f>SUMIFS(Input!M$2:M$999,Input!$C$2:$C$999,CONCATENATE(LEFT($B$25,10),"*"),Input!$D$2:$D$999,$C$25)*IND_Mult!I25</f>
        <v>6.7999999999999998</v>
      </c>
      <c r="I25" s="69">
        <f>SUMIFS(Input!N$2:N$999,Input!$C$2:$C$999,CONCATENATE(LEFT($B$25,10),"*"),Input!$D$2:$D$999,$C$25)*IND_Mult!J25</f>
        <v>6.7999999999999998</v>
      </c>
      <c r="J25" s="69">
        <f>SUMIFS(Input!O$2:O$999,Input!$C$2:$C$999,CONCATENATE(LEFT($B$25,10),"*"),Input!$D$2:$D$999,$C$25)*IND_Mult!K25</f>
        <v>6.7999999999999998</v>
      </c>
      <c r="K25" s="69">
        <f>SUMIFS(Input!P$2:P$999,Input!$C$2:$C$999,CONCATENATE(LEFT($B$25,10),"*"),Input!$D$2:$D$999,$C$25)*IND_Mult!L25</f>
        <v>6.7999999999999998</v>
      </c>
      <c r="L25" s="69">
        <f>SUMIFS(Input!Q$2:Q$999,Input!$C$2:$C$999,CONCATENATE(LEFT($B$25,10),"*"),Input!$D$2:$D$999,$C$25)*IND_Mult!M25</f>
        <v>6.7999999999999998</v>
      </c>
      <c r="M25" s="69">
        <f>SUMIFS(Input!R$2:R$999,Input!$C$2:$C$999,CONCATENATE(LEFT($B$25,10),"*"),Input!$D$2:$D$999,$C$25)*IND_Mult!N25</f>
        <v>6.7999999999999998</v>
      </c>
      <c r="N25" s="69">
        <f>SUMIFS(Input!S$2:S$999,Input!$C$2:$C$999,CONCATENATE(LEFT($B$25,10),"*"),Input!$D$2:$D$999,$C$25)*IND_Mult!O25</f>
        <v>6.7999999999999998</v>
      </c>
      <c r="O25" s="69">
        <f>SUMIFS(Input!T$2:T$999,Input!$C$2:$C$999,CONCATENATE(LEFT($B$25,10),"*"),Input!$D$2:$D$999,$C$25)*IND_Mult!P25</f>
        <v>5.7799999999999994</v>
      </c>
      <c r="P25" s="69">
        <f>SUMIFS(Input!U$2:U$999,Input!$C$2:$C$999,CONCATENATE(LEFT($B$25,10),"*"),Input!$D$2:$D$999,$C$25)*IND_Mult!Q25</f>
        <v>6.7999999999999998</v>
      </c>
      <c r="Q25" s="69">
        <f>SUMIFS(Input!V$2:V$999,Input!$C$2:$C$999,CONCATENATE(LEFT($B$25,10),"*"),Input!$D$2:$D$999,$C$25)*IND_Mult!R25</f>
        <v>6.7999999999999998</v>
      </c>
      <c r="R25" s="69">
        <f>SUMIFS(Input!W$2:W$999,Input!$C$2:$C$999,CONCATENATE(LEFT($B$25,10),"*"),Input!$D$2:$D$999,$C$25)*IND_Mult!S25</f>
        <v>6.7999999999999998</v>
      </c>
      <c r="S25" s="69">
        <f>SUMIFS(Input!X$2:X$999,Input!$C$2:$C$999,CONCATENATE(LEFT($B$25,10),"*"),Input!$D$2:$D$999,$C$25)*IND_Mult!T25</f>
        <v>6.7999999999999998</v>
      </c>
      <c r="T25" s="69">
        <f>SUMIFS(Input!Y$2:Y$999,Input!$C$2:$C$999,CONCATENATE(LEFT($B$25,10),"*"),Input!$D$2:$D$999,$C$25)*IND_Mult!U25</f>
        <v>6.7999999999999998</v>
      </c>
      <c r="U25" s="69">
        <f>SUMIFS(Input!Z$2:Z$999,Input!$C$2:$C$999,CONCATENATE(LEFT($B$25,10),"*"),Input!$D$2:$D$999,$C$25)*IND_Mult!V25</f>
        <v>6.7999999999999998</v>
      </c>
      <c r="V25" s="69">
        <f>SUMIFS(Input!AA$2:AA$999,Input!$C$2:$C$999,CONCATENATE(LEFT($B$25,10),"*"),Input!$D$2:$D$999,$C$25)*IND_Mult!W25</f>
        <v>6.7999999999999998</v>
      </c>
      <c r="W25" s="69">
        <f>SUMIFS(Input!AB$2:AB$999,Input!$C$2:$C$999,CONCATENATE(LEFT($B$25,10),"*"),Input!$D$2:$D$999,$C$25)*IND_Mult!X25</f>
        <v>6.7999999999999998</v>
      </c>
      <c r="X25" s="69">
        <f>SUMIFS(Input!AC$2:AC$999,Input!$C$2:$C$999,CONCATENATE(LEFT($B$25,10),"*"),Input!$D$2:$D$999,$C$25)*IND_Mult!Y25</f>
        <v>6.7999999999999998</v>
      </c>
      <c r="Y25" s="69">
        <f>SUMIFS(Input!AD$2:AD$999,Input!$C$2:$C$999,CONCATENATE(LEFT($B$25,10),"*"),Input!$D$2:$D$999,$C$25)*IND_Mult!Z25</f>
        <v>6.7999999999999998</v>
      </c>
      <c r="Z25" s="69">
        <f>SUMIFS(Input!AE$2:AE$999,Input!$C$2:$C$999,CONCATENATE(LEFT($B$25,10),"*"),Input!$D$2:$D$999,$C$25)*IND_Mult!AA25</f>
        <v>6.7999999999999998</v>
      </c>
      <c r="AA25" s="69">
        <f>SUMIFS(Input!AF$2:AF$999,Input!$C$2:$C$999,CONCATENATE(LEFT($B$25,10),"*"),Input!$D$2:$D$999,$C$25)*IND_Mult!AB25</f>
        <v>6.7999999999999998</v>
      </c>
      <c r="AB25" s="69">
        <f>SUMIFS(Input!AG$2:AG$999,Input!$C$2:$C$999,CONCATENATE(LEFT($B$25,10),"*"),Input!$D$2:$D$999,$C$25)*IND_Mult!AC25</f>
        <v>6.7999999999999998</v>
      </c>
      <c r="AC25" s="69">
        <f>SUMIFS(Input!AH$2:AH$999,Input!$C$2:$C$999,CONCATENATE(LEFT($B$25,10),"*"),Input!$D$2:$D$999,$C$25)*IND_Mult!AD25</f>
        <v>6.7999999999999998</v>
      </c>
      <c r="AD25" s="69">
        <f>SUMIFS(Input!AI$2:AI$999,Input!$C$2:$C$999,CONCATENATE(LEFT($B$25,10),"*"),Input!$D$2:$D$999,$C$25)*IND_Mult!AE25</f>
        <v>6.7999999999999998</v>
      </c>
      <c r="AE25" s="69">
        <f>SUMIFS(Input!AJ$2:AJ$999,Input!$C$2:$C$999,CONCATENATE(LEFT($B$25,10),"*"),Input!$D$2:$D$999,$C$25)*IND_Mult!AF25</f>
        <v>6.7999999999999998</v>
      </c>
      <c r="AF25" s="69">
        <f>SUMIFS(Input!AK$2:AK$999,Input!$C$2:$C$999,CONCATENATE(LEFT($B$25,10),"*"),Input!$D$2:$D$999,$C$25)*IND_Mult!AG25</f>
        <v>6.7999999999999998</v>
      </c>
      <c r="AG25" s="69">
        <f>SUMIFS(Input!AL$2:AL$999,Input!$C$2:$C$999,CONCATENATE(LEFT($B$25,10),"*"),Input!$D$2:$D$999,$C$25)*IND_Mult!AH25</f>
        <v>6.7999999999999998</v>
      </c>
      <c r="AH25" s="69">
        <f>SUMIFS(Input!AM$2:AM$999,Input!$C$2:$C$999,CONCATENATE(LEFT($B$25,10),"*"),Input!$D$2:$D$999,$C$25)*IND_Mult!AI25</f>
        <v>6.7999999999999998</v>
      </c>
      <c r="AI25" s="69">
        <f>SUMIFS(Input!AN$2:AN$999,Input!$C$2:$C$999,CONCATENATE(LEFT($B$25,10),"*"),Input!$D$2:$D$999,$C$25)*IND_Mult!AJ25</f>
        <v>2.2000000000000002</v>
      </c>
      <c r="AJ25" s="69">
        <f>SUMIFS(Input!AO$2:AO$999,Input!$C$2:$C$999,CONCATENATE(LEFT($B$25,10),"*"),Input!$D$2:$D$999,$C$25)*IND_Mult!AK25</f>
        <v>6.7999999999999998</v>
      </c>
      <c r="AK25" s="69">
        <f>SUMIFS(Input!AP$2:AP$999,Input!$C$2:$C$999,CONCATENATE(LEFT($B$25,10),"*"),Input!$D$2:$D$999,$C$25)*IND_Mult!AL25</f>
        <v>6.7999999999999998</v>
      </c>
      <c r="AL25" s="69">
        <f>SUMIFS(Input!AQ$2:AQ$999,Input!$C$2:$C$999,CONCATENATE(LEFT($B$25,10),"*"),Input!$D$2:$D$999,$C$25)*IND_Mult!AM25</f>
        <v>6.7999999999999998</v>
      </c>
      <c r="AM25" s="69">
        <f>SUMIFS(Input!AR$2:AR$999,Input!$C$2:$C$999,CONCATENATE(LEFT($B$25,10),"*"),Input!$D$2:$D$999,$C$25)*IND_Mult!AN25</f>
        <v>6.7999999999999998</v>
      </c>
      <c r="AN25" s="69">
        <f>SUMIFS(Input!AS$2:AS$999,Input!$C$2:$C$999,CONCATENATE(LEFT($B$25,10),"*"),Input!$D$2:$D$999,$C$25)*IND_Mult!AO25</f>
        <v>1.8999999999999999</v>
      </c>
      <c r="AO25" s="69">
        <f>SUMIFS(Input!AT$2:AT$999,Input!$C$2:$C$999,CONCATENATE(LEFT($B$25,10),"*"),Input!$D$2:$D$999,$C$25)*IND_Mult!AP25</f>
        <v>6.7999999999999998</v>
      </c>
      <c r="AP25" s="69">
        <f>SUMIFS(Input!AU$2:AU$999,Input!$C$2:$C$999,CONCATENATE(LEFT($B$25,10),"*"),Input!$D$2:$D$999,$C$25)*IND_Mult!AQ25</f>
        <v>6.7999999999999998</v>
      </c>
      <c r="AQ25" s="69">
        <f>SUMIFS(Input!AV$2:AV$999,Input!$C$2:$C$999,CONCATENATE(LEFT($B$25,10),"*"),Input!$D$2:$D$999,$C$25)*IND_Mult!AR25</f>
        <v>6.7999999999999998</v>
      </c>
    </row>
    <row r="26" spans="1:43" ht="12.75">
      <c r="A26" s="6"/>
      <c r="B26" s="17" t="s">
        <v>260</v>
      </c>
      <c r="C26" s="18" t="s">
        <v>107</v>
      </c>
      <c r="D26" s="26"/>
      <c r="E26" s="16" t="s">
        <v>103</v>
      </c>
      <c r="F26" s="31"/>
      <c r="G26" s="69">
        <f>SUMIFS(Input!L$2:L$999,Input!$C$2:$C$999,CONCATENATE(LEFT($B$26,10),"*"),Input!$D$2:$D$999,$C$26)*IND_Mult!H26</f>
        <v>1.6000000000000001</v>
      </c>
      <c r="H26" s="69">
        <f>SUMIFS(Input!M$2:M$999,Input!$C$2:$C$999,CONCATENATE(LEFT($B$26,10),"*"),Input!$D$2:$D$999,$C$26)*IND_Mult!I26</f>
        <v>1.6000000000000001</v>
      </c>
      <c r="I26" s="69">
        <f>SUMIFS(Input!N$2:N$999,Input!$C$2:$C$999,CONCATENATE(LEFT($B$26,10),"*"),Input!$D$2:$D$999,$C$26)*IND_Mult!J26</f>
        <v>1.6000000000000001</v>
      </c>
      <c r="J26" s="69">
        <f>SUMIFS(Input!O$2:O$999,Input!$C$2:$C$999,CONCATENATE(LEFT($B$26,10),"*"),Input!$D$2:$D$999,$C$26)*IND_Mult!K26</f>
        <v>1.6000000000000001</v>
      </c>
      <c r="K26" s="69">
        <f>SUMIFS(Input!P$2:P$999,Input!$C$2:$C$999,CONCATENATE(LEFT($B$26,10),"*"),Input!$D$2:$D$999,$C$26)*IND_Mult!L26</f>
        <v>1.6000000000000001</v>
      </c>
      <c r="L26" s="69">
        <f>SUMIFS(Input!Q$2:Q$999,Input!$C$2:$C$999,CONCATENATE(LEFT($B$26,10),"*"),Input!$D$2:$D$999,$C$26)*IND_Mult!M26</f>
        <v>1.6000000000000001</v>
      </c>
      <c r="M26" s="69">
        <f>SUMIFS(Input!R$2:R$999,Input!$C$2:$C$999,CONCATENATE(LEFT($B$26,10),"*"),Input!$D$2:$D$999,$C$26)*IND_Mult!N26</f>
        <v>1.6000000000000001</v>
      </c>
      <c r="N26" s="69">
        <f>SUMIFS(Input!S$2:S$999,Input!$C$2:$C$999,CONCATENATE(LEFT($B$26,10),"*"),Input!$D$2:$D$999,$C$26)*IND_Mult!O26</f>
        <v>1.6000000000000001</v>
      </c>
      <c r="O26" s="69">
        <f>SUMIFS(Input!T$2:T$999,Input!$C$2:$C$999,CONCATENATE(LEFT($B$26,10),"*"),Input!$D$2:$D$999,$C$26)*IND_Mult!P26</f>
        <v>1.3600000000000001</v>
      </c>
      <c r="P26" s="69">
        <f>SUMIFS(Input!U$2:U$999,Input!$C$2:$C$999,CONCATENATE(LEFT($B$26,10),"*"),Input!$D$2:$D$999,$C$26)*IND_Mult!Q26</f>
        <v>1.6000000000000001</v>
      </c>
      <c r="Q26" s="69">
        <f>SUMIFS(Input!V$2:V$999,Input!$C$2:$C$999,CONCATENATE(LEFT($B$26,10),"*"),Input!$D$2:$D$999,$C$26)*IND_Mult!R26</f>
        <v>1.6000000000000001</v>
      </c>
      <c r="R26" s="69">
        <f>SUMIFS(Input!W$2:W$999,Input!$C$2:$C$999,CONCATENATE(LEFT($B$26,10),"*"),Input!$D$2:$D$999,$C$26)*IND_Mult!S26</f>
        <v>1.6000000000000001</v>
      </c>
      <c r="S26" s="69">
        <f>SUMIFS(Input!X$2:X$999,Input!$C$2:$C$999,CONCATENATE(LEFT($B$26,10),"*"),Input!$D$2:$D$999,$C$26)*IND_Mult!T26</f>
        <v>1.6000000000000001</v>
      </c>
      <c r="T26" s="69">
        <f>SUMIFS(Input!Y$2:Y$999,Input!$C$2:$C$999,CONCATENATE(LEFT($B$26,10),"*"),Input!$D$2:$D$999,$C$26)*IND_Mult!U26</f>
        <v>1.6000000000000001</v>
      </c>
      <c r="U26" s="69">
        <f>SUMIFS(Input!Z$2:Z$999,Input!$C$2:$C$999,CONCATENATE(LEFT($B$26,10),"*"),Input!$D$2:$D$999,$C$26)*IND_Mult!V26</f>
        <v>1.6000000000000001</v>
      </c>
      <c r="V26" s="69">
        <f>SUMIFS(Input!AA$2:AA$999,Input!$C$2:$C$999,CONCATENATE(LEFT($B$26,10),"*"),Input!$D$2:$D$999,$C$26)*IND_Mult!W26</f>
        <v>1.6000000000000001</v>
      </c>
      <c r="W26" s="69">
        <f>SUMIFS(Input!AB$2:AB$999,Input!$C$2:$C$999,CONCATENATE(LEFT($B$26,10),"*"),Input!$D$2:$D$999,$C$26)*IND_Mult!X26</f>
        <v>1.6000000000000001</v>
      </c>
      <c r="X26" s="69">
        <f>SUMIFS(Input!AC$2:AC$999,Input!$C$2:$C$999,CONCATENATE(LEFT($B$26,10),"*"),Input!$D$2:$D$999,$C$26)*IND_Mult!Y26</f>
        <v>1.6000000000000001</v>
      </c>
      <c r="Y26" s="69">
        <f>SUMIFS(Input!AD$2:AD$999,Input!$C$2:$C$999,CONCATENATE(LEFT($B$26,10),"*"),Input!$D$2:$D$999,$C$26)*IND_Mult!Z26</f>
        <v>1.6000000000000001</v>
      </c>
      <c r="Z26" s="69">
        <f>SUMIFS(Input!AE$2:AE$999,Input!$C$2:$C$999,CONCATENATE(LEFT($B$26,10),"*"),Input!$D$2:$D$999,$C$26)*IND_Mult!AA26</f>
        <v>1.6000000000000001</v>
      </c>
      <c r="AA26" s="69">
        <f>SUMIFS(Input!AF$2:AF$999,Input!$C$2:$C$999,CONCATENATE(LEFT($B$26,10),"*"),Input!$D$2:$D$999,$C$26)*IND_Mult!AB26</f>
        <v>1.6000000000000001</v>
      </c>
      <c r="AB26" s="69">
        <f>SUMIFS(Input!AG$2:AG$999,Input!$C$2:$C$999,CONCATENATE(LEFT($B$26,10),"*"),Input!$D$2:$D$999,$C$26)*IND_Mult!AC26</f>
        <v>1.6000000000000001</v>
      </c>
      <c r="AC26" s="69">
        <f>SUMIFS(Input!AH$2:AH$999,Input!$C$2:$C$999,CONCATENATE(LEFT($B$26,10),"*"),Input!$D$2:$D$999,$C$26)*IND_Mult!AD26</f>
        <v>1.6000000000000001</v>
      </c>
      <c r="AD26" s="69">
        <f>SUMIFS(Input!AI$2:AI$999,Input!$C$2:$C$999,CONCATENATE(LEFT($B$26,10),"*"),Input!$D$2:$D$999,$C$26)*IND_Mult!AE26</f>
        <v>1.6000000000000001</v>
      </c>
      <c r="AE26" s="69">
        <f>SUMIFS(Input!AJ$2:AJ$999,Input!$C$2:$C$999,CONCATENATE(LEFT($B$26,10),"*"),Input!$D$2:$D$999,$C$26)*IND_Mult!AF26</f>
        <v>1.6000000000000001</v>
      </c>
      <c r="AF26" s="69">
        <f>SUMIFS(Input!AK$2:AK$999,Input!$C$2:$C$999,CONCATENATE(LEFT($B$26,10),"*"),Input!$D$2:$D$999,$C$26)*IND_Mult!AG26</f>
        <v>1.6000000000000001</v>
      </c>
      <c r="AG26" s="69">
        <f>SUMIFS(Input!AL$2:AL$999,Input!$C$2:$C$999,CONCATENATE(LEFT($B$26,10),"*"),Input!$D$2:$D$999,$C$26)*IND_Mult!AH26</f>
        <v>1.6000000000000001</v>
      </c>
      <c r="AH26" s="69">
        <f>SUMIFS(Input!AM$2:AM$999,Input!$C$2:$C$999,CONCATENATE(LEFT($B$26,10),"*"),Input!$D$2:$D$999,$C$26)*IND_Mult!AI26</f>
        <v>1.6000000000000001</v>
      </c>
      <c r="AI26" s="69">
        <f>SUMIFS(Input!AN$2:AN$999,Input!$C$2:$C$999,CONCATENATE(LEFT($B$26,10),"*"),Input!$D$2:$D$999,$C$26)*IND_Mult!AJ26</f>
        <v>1.6000000000000001</v>
      </c>
      <c r="AJ26" s="69">
        <f>SUMIFS(Input!AO$2:AO$999,Input!$C$2:$C$999,CONCATENATE(LEFT($B$26,10),"*"),Input!$D$2:$D$999,$C$26)*IND_Mult!AK26</f>
        <v>1.6000000000000001</v>
      </c>
      <c r="AK26" s="69">
        <f>SUMIFS(Input!AP$2:AP$999,Input!$C$2:$C$999,CONCATENATE(LEFT($B$26,10),"*"),Input!$D$2:$D$999,$C$26)*IND_Mult!AL26</f>
        <v>1.6000000000000001</v>
      </c>
      <c r="AL26" s="69">
        <f>SUMIFS(Input!AQ$2:AQ$999,Input!$C$2:$C$999,CONCATENATE(LEFT($B$26,10),"*"),Input!$D$2:$D$999,$C$26)*IND_Mult!AM26</f>
        <v>1.6000000000000001</v>
      </c>
      <c r="AM26" s="69">
        <f>SUMIFS(Input!AR$2:AR$999,Input!$C$2:$C$999,CONCATENATE(LEFT($B$26,10),"*"),Input!$D$2:$D$999,$C$26)*IND_Mult!AN26</f>
        <v>1.6000000000000001</v>
      </c>
      <c r="AN26" s="69">
        <f>SUMIFS(Input!AS$2:AS$999,Input!$C$2:$C$999,CONCATENATE(LEFT($B$26,10),"*"),Input!$D$2:$D$999,$C$26)*IND_Mult!AO26</f>
        <v>1.6000000000000001</v>
      </c>
      <c r="AO26" s="69">
        <f>SUMIFS(Input!AT$2:AT$999,Input!$C$2:$C$999,CONCATENATE(LEFT($B$26,10),"*"),Input!$D$2:$D$999,$C$26)*IND_Mult!AP26</f>
        <v>1.6000000000000001</v>
      </c>
      <c r="AP26" s="69">
        <f>SUMIFS(Input!AU$2:AU$999,Input!$C$2:$C$999,CONCATENATE(LEFT($B$26,10),"*"),Input!$D$2:$D$999,$C$26)*IND_Mult!AQ26</f>
        <v>1.6000000000000001</v>
      </c>
      <c r="AQ26" s="69">
        <f>SUMIFS(Input!AV$2:AV$999,Input!$C$2:$C$999,CONCATENATE(LEFT($B$26,10),"*"),Input!$D$2:$D$999,$C$26)*IND_Mult!AR26</f>
        <v>1.6000000000000001</v>
      </c>
    </row>
    <row r="27" spans="1:43" ht="12.75">
      <c r="A27" s="6"/>
      <c r="B27" s="17" t="s">
        <v>260</v>
      </c>
      <c r="C27" s="18" t="s">
        <v>111</v>
      </c>
      <c r="D27" s="26"/>
      <c r="E27" s="16" t="s">
        <v>103</v>
      </c>
      <c r="F27" s="31"/>
      <c r="G27" s="69">
        <f>SUMIFS(Input!L$2:L$999,Input!$C$2:$C$999,CONCATENATE(LEFT($B$27,10),"*"),Input!$D$2:$D$999,$C$27)*IND_Mult!H27</f>
        <v>0.83999999999999997</v>
      </c>
      <c r="H27" s="69">
        <f>SUMIFS(Input!M$2:M$999,Input!$C$2:$C$999,CONCATENATE(LEFT($B$27,10),"*"),Input!$D$2:$D$999,$C$27)*IND_Mult!I27</f>
        <v>0.83999999999999997</v>
      </c>
      <c r="I27" s="69">
        <f>SUMIFS(Input!N$2:N$999,Input!$C$2:$C$999,CONCATENATE(LEFT($B$27,10),"*"),Input!$D$2:$D$999,$C$27)*IND_Mult!J27</f>
        <v>0.83999999999999997</v>
      </c>
      <c r="J27" s="69">
        <f>SUMIFS(Input!O$2:O$999,Input!$C$2:$C$999,CONCATENATE(LEFT($B$27,10),"*"),Input!$D$2:$D$999,$C$27)*IND_Mult!K27</f>
        <v>0.83999999999999997</v>
      </c>
      <c r="K27" s="69">
        <f>SUMIFS(Input!P$2:P$999,Input!$C$2:$C$999,CONCATENATE(LEFT($B$27,10),"*"),Input!$D$2:$D$999,$C$27)*IND_Mult!L27</f>
        <v>0.83999999999999997</v>
      </c>
      <c r="L27" s="69">
        <f>SUMIFS(Input!Q$2:Q$999,Input!$C$2:$C$999,CONCATENATE(LEFT($B$27,10),"*"),Input!$D$2:$D$999,$C$27)*IND_Mult!M27</f>
        <v>0.83999999999999997</v>
      </c>
      <c r="M27" s="69">
        <f>SUMIFS(Input!R$2:R$999,Input!$C$2:$C$999,CONCATENATE(LEFT($B$27,10),"*"),Input!$D$2:$D$999,$C$27)*IND_Mult!N27</f>
        <v>0.83999999999999997</v>
      </c>
      <c r="N27" s="69">
        <f>SUMIFS(Input!S$2:S$999,Input!$C$2:$C$999,CONCATENATE(LEFT($B$27,10),"*"),Input!$D$2:$D$999,$C$27)*IND_Mult!O27</f>
        <v>0.83999999999999997</v>
      </c>
      <c r="O27" s="69">
        <f>SUMIFS(Input!T$2:T$999,Input!$C$2:$C$999,CONCATENATE(LEFT($B$27,10),"*"),Input!$D$2:$D$999,$C$27)*IND_Mult!P27</f>
        <v>0.71399999999999997</v>
      </c>
      <c r="P27" s="69">
        <f>SUMIFS(Input!U$2:U$999,Input!$C$2:$C$999,CONCATENATE(LEFT($B$27,10),"*"),Input!$D$2:$D$999,$C$27)*IND_Mult!Q27</f>
        <v>0.83999999999999997</v>
      </c>
      <c r="Q27" s="69">
        <f>SUMIFS(Input!V$2:V$999,Input!$C$2:$C$999,CONCATENATE(LEFT($B$27,10),"*"),Input!$D$2:$D$999,$C$27)*IND_Mult!R27</f>
        <v>0.83999999999999997</v>
      </c>
      <c r="R27" s="69">
        <f>SUMIFS(Input!W$2:W$999,Input!$C$2:$C$999,CONCATENATE(LEFT($B$27,10),"*"),Input!$D$2:$D$999,$C$27)*IND_Mult!S27</f>
        <v>0.83999999999999997</v>
      </c>
      <c r="S27" s="69">
        <f>SUMIFS(Input!X$2:X$999,Input!$C$2:$C$999,CONCATENATE(LEFT($B$27,10),"*"),Input!$D$2:$D$999,$C$27)*IND_Mult!T27</f>
        <v>0.83999999999999997</v>
      </c>
      <c r="T27" s="69">
        <f>SUMIFS(Input!Y$2:Y$999,Input!$C$2:$C$999,CONCATENATE(LEFT($B$27,10),"*"),Input!$D$2:$D$999,$C$27)*IND_Mult!U27</f>
        <v>0.83999999999999997</v>
      </c>
      <c r="U27" s="69">
        <f>SUMIFS(Input!Z$2:Z$999,Input!$C$2:$C$999,CONCATENATE(LEFT($B$27,10),"*"),Input!$D$2:$D$999,$C$27)*IND_Mult!V27</f>
        <v>0.83999999999999997</v>
      </c>
      <c r="V27" s="69">
        <f>SUMIFS(Input!AA$2:AA$999,Input!$C$2:$C$999,CONCATENATE(LEFT($B$27,10),"*"),Input!$D$2:$D$999,$C$27)*IND_Mult!W27</f>
        <v>0.83999999999999997</v>
      </c>
      <c r="W27" s="69">
        <f>SUMIFS(Input!AB$2:AB$999,Input!$C$2:$C$999,CONCATENATE(LEFT($B$27,10),"*"),Input!$D$2:$D$999,$C$27)*IND_Mult!X27</f>
        <v>0.83999999999999997</v>
      </c>
      <c r="X27" s="69">
        <f>SUMIFS(Input!AC$2:AC$999,Input!$C$2:$C$999,CONCATENATE(LEFT($B$27,10),"*"),Input!$D$2:$D$999,$C$27)*IND_Mult!Y27</f>
        <v>0.83999999999999997</v>
      </c>
      <c r="Y27" s="69">
        <f>SUMIFS(Input!AD$2:AD$999,Input!$C$2:$C$999,CONCATENATE(LEFT($B$27,10),"*"),Input!$D$2:$D$999,$C$27)*IND_Mult!Z27</f>
        <v>0.83999999999999997</v>
      </c>
      <c r="Z27" s="69">
        <f>SUMIFS(Input!AE$2:AE$999,Input!$C$2:$C$999,CONCATENATE(LEFT($B$27,10),"*"),Input!$D$2:$D$999,$C$27)*IND_Mult!AA27</f>
        <v>0.83999999999999997</v>
      </c>
      <c r="AA27" s="69">
        <f>SUMIFS(Input!AF$2:AF$999,Input!$C$2:$C$999,CONCATENATE(LEFT($B$27,10),"*"),Input!$D$2:$D$999,$C$27)*IND_Mult!AB27</f>
        <v>0.83999999999999997</v>
      </c>
      <c r="AB27" s="69">
        <f>SUMIFS(Input!AG$2:AG$999,Input!$C$2:$C$999,CONCATENATE(LEFT($B$27,10),"*"),Input!$D$2:$D$999,$C$27)*IND_Mult!AC27</f>
        <v>0.83999999999999997</v>
      </c>
      <c r="AC27" s="69">
        <f>SUMIFS(Input!AH$2:AH$999,Input!$C$2:$C$999,CONCATENATE(LEFT($B$27,10),"*"),Input!$D$2:$D$999,$C$27)*IND_Mult!AD27</f>
        <v>0.83999999999999997</v>
      </c>
      <c r="AD27" s="69">
        <f>SUMIFS(Input!AI$2:AI$999,Input!$C$2:$C$999,CONCATENATE(LEFT($B$27,10),"*"),Input!$D$2:$D$999,$C$27)*IND_Mult!AE27</f>
        <v>0.83999999999999997</v>
      </c>
      <c r="AE27" s="69">
        <f>SUMIFS(Input!AJ$2:AJ$999,Input!$C$2:$C$999,CONCATENATE(LEFT($B$27,10),"*"),Input!$D$2:$D$999,$C$27)*IND_Mult!AF27</f>
        <v>0.83999999999999997</v>
      </c>
      <c r="AF27" s="69">
        <f>SUMIFS(Input!AK$2:AK$999,Input!$C$2:$C$999,CONCATENATE(LEFT($B$27,10),"*"),Input!$D$2:$D$999,$C$27)*IND_Mult!AG27</f>
        <v>0.83999999999999997</v>
      </c>
      <c r="AG27" s="69">
        <f>SUMIFS(Input!AL$2:AL$999,Input!$C$2:$C$999,CONCATENATE(LEFT($B$27,10),"*"),Input!$D$2:$D$999,$C$27)*IND_Mult!AH27</f>
        <v>0.83999999999999997</v>
      </c>
      <c r="AH27" s="69">
        <f>SUMIFS(Input!AM$2:AM$999,Input!$C$2:$C$999,CONCATENATE(LEFT($B$27,10),"*"),Input!$D$2:$D$999,$C$27)*IND_Mult!AI27</f>
        <v>0.83999999999999997</v>
      </c>
      <c r="AI27" s="69">
        <f>SUMIFS(Input!AN$2:AN$999,Input!$C$2:$C$999,CONCATENATE(LEFT($B$27,10),"*"),Input!$D$2:$D$999,$C$27)*IND_Mult!AJ27</f>
        <v>0.83999999999999997</v>
      </c>
      <c r="AJ27" s="69">
        <f>SUMIFS(Input!AO$2:AO$999,Input!$C$2:$C$999,CONCATENATE(LEFT($B$27,10),"*"),Input!$D$2:$D$999,$C$27)*IND_Mult!AK27</f>
        <v>0.83999999999999997</v>
      </c>
      <c r="AK27" s="69">
        <f>SUMIFS(Input!AP$2:AP$999,Input!$C$2:$C$999,CONCATENATE(LEFT($B$27,10),"*"),Input!$D$2:$D$999,$C$27)*IND_Mult!AL27</f>
        <v>0.83999999999999997</v>
      </c>
      <c r="AL27" s="69">
        <f>SUMIFS(Input!AQ$2:AQ$999,Input!$C$2:$C$999,CONCATENATE(LEFT($B$27,10),"*"),Input!$D$2:$D$999,$C$27)*IND_Mult!AM27</f>
        <v>0.83999999999999997</v>
      </c>
      <c r="AM27" s="69">
        <f>SUMIFS(Input!AR$2:AR$999,Input!$C$2:$C$999,CONCATENATE(LEFT($B$27,10),"*"),Input!$D$2:$D$999,$C$27)*IND_Mult!AN27</f>
        <v>0.83999999999999997</v>
      </c>
      <c r="AN27" s="69">
        <f>SUMIFS(Input!AS$2:AS$999,Input!$C$2:$C$999,CONCATENATE(LEFT($B$27,10),"*"),Input!$D$2:$D$999,$C$27)*IND_Mult!AO27</f>
        <v>0.83999999999999997</v>
      </c>
      <c r="AO27" s="69">
        <f>SUMIFS(Input!AT$2:AT$999,Input!$C$2:$C$999,CONCATENATE(LEFT($B$27,10),"*"),Input!$D$2:$D$999,$C$27)*IND_Mult!AP27</f>
        <v>0.83999999999999997</v>
      </c>
      <c r="AP27" s="69">
        <f>SUMIFS(Input!AU$2:AU$999,Input!$C$2:$C$999,CONCATENATE(LEFT($B$27,10),"*"),Input!$D$2:$D$999,$C$27)*IND_Mult!AQ27</f>
        <v>0.83999999999999997</v>
      </c>
      <c r="AQ27" s="69">
        <f>SUMIFS(Input!AV$2:AV$999,Input!$C$2:$C$999,CONCATENATE(LEFT($B$27,10),"*"),Input!$D$2:$D$999,$C$27)*IND_Mult!AR27</f>
        <v>0.83999999999999997</v>
      </c>
    </row>
    <row r="28" spans="1:43" ht="12.75">
      <c r="A28" s="6"/>
      <c r="B28" s="17" t="s">
        <v>260</v>
      </c>
      <c r="C28" s="18" t="s">
        <v>40</v>
      </c>
      <c r="D28" s="26"/>
      <c r="E28" s="16" t="s">
        <v>104</v>
      </c>
      <c r="F28" s="31"/>
      <c r="G28" s="72">
        <f>SUMIFS(Output!L$2:L$999,Output!$C$2:$C$999,CONCATENATE(LEFT($B$28,10),"*"),Output!$D$2:$D$999,$C$28)*IND_Mult!H28</f>
        <v>1</v>
      </c>
      <c r="H28" s="72">
        <f>SUMIFS(Output!M$2:M$999,Output!$C$2:$C$999,CONCATENATE(LEFT($B$28,10),"*"),Output!$D$2:$D$999,$C$28)*IND_Mult!I28</f>
        <v>1</v>
      </c>
      <c r="I28" s="72">
        <f>SUMIFS(Output!N$2:N$999,Output!$C$2:$C$999,CONCATENATE(LEFT($B$28,10),"*"),Output!$D$2:$D$999,$C$28)*IND_Mult!J28</f>
        <v>1</v>
      </c>
      <c r="J28" s="72">
        <f>SUMIFS(Output!O$2:O$999,Output!$C$2:$C$999,CONCATENATE(LEFT($B$28,10),"*"),Output!$D$2:$D$999,$C$28)*IND_Mult!K28</f>
        <v>1</v>
      </c>
      <c r="K28" s="72">
        <f>SUMIFS(Output!P$2:P$999,Output!$C$2:$C$999,CONCATENATE(LEFT($B$28,10),"*"),Output!$D$2:$D$999,$C$28)*IND_Mult!L28</f>
        <v>1</v>
      </c>
      <c r="L28" s="72">
        <f>SUMIFS(Output!Q$2:Q$999,Output!$C$2:$C$999,CONCATENATE(LEFT($B$28,10),"*"),Output!$D$2:$D$999,$C$28)*IND_Mult!M28</f>
        <v>1</v>
      </c>
      <c r="M28" s="72">
        <f>SUMIFS(Output!R$2:R$999,Output!$C$2:$C$999,CONCATENATE(LEFT($B$28,10),"*"),Output!$D$2:$D$999,$C$28)*IND_Mult!N28</f>
        <v>1</v>
      </c>
      <c r="N28" s="72">
        <f>SUMIFS(Output!S$2:S$999,Output!$C$2:$C$999,CONCATENATE(LEFT($B$28,10),"*"),Output!$D$2:$D$999,$C$28)*IND_Mult!O28</f>
        <v>1</v>
      </c>
      <c r="O28" s="72">
        <f>SUMIFS(Output!T$2:T$999,Output!$C$2:$C$999,CONCATENATE(LEFT($B$28,10),"*"),Output!$D$2:$D$999,$C$28)*IND_Mult!P28</f>
        <v>1</v>
      </c>
      <c r="P28" s="72">
        <f>SUMIFS(Output!U$2:U$999,Output!$C$2:$C$999,CONCATENATE(LEFT($B$28,10),"*"),Output!$D$2:$D$999,$C$28)*IND_Mult!Q28</f>
        <v>1</v>
      </c>
      <c r="Q28" s="72">
        <f>SUMIFS(Output!V$2:V$999,Output!$C$2:$C$999,CONCATENATE(LEFT($B$28,10),"*"),Output!$D$2:$D$999,$C$28)*IND_Mult!R28</f>
        <v>1</v>
      </c>
      <c r="R28" s="72">
        <f>SUMIFS(Output!W$2:W$999,Output!$C$2:$C$999,CONCATENATE(LEFT($B$28,10),"*"),Output!$D$2:$D$999,$C$28)*IND_Mult!S28</f>
        <v>1</v>
      </c>
      <c r="S28" s="72">
        <f>SUMIFS(Output!X$2:X$999,Output!$C$2:$C$999,CONCATENATE(LEFT($B$28,10),"*"),Output!$D$2:$D$999,$C$28)*IND_Mult!T28</f>
        <v>1</v>
      </c>
      <c r="T28" s="72">
        <f>SUMIFS(Output!Y$2:Y$999,Output!$C$2:$C$999,CONCATENATE(LEFT($B$28,10),"*"),Output!$D$2:$D$999,$C$28)*IND_Mult!U28</f>
        <v>1</v>
      </c>
      <c r="U28" s="72">
        <f>SUMIFS(Output!Z$2:Z$999,Output!$C$2:$C$999,CONCATENATE(LEFT($B$28,10),"*"),Output!$D$2:$D$999,$C$28)*IND_Mult!V28</f>
        <v>1</v>
      </c>
      <c r="V28" s="72">
        <f>SUMIFS(Output!AA$2:AA$999,Output!$C$2:$C$999,CONCATENATE(LEFT($B$28,10),"*"),Output!$D$2:$D$999,$C$28)*IND_Mult!W28</f>
        <v>1</v>
      </c>
      <c r="W28" s="72">
        <f>SUMIFS(Output!AB$2:AB$999,Output!$C$2:$C$999,CONCATENATE(LEFT($B$28,10),"*"),Output!$D$2:$D$999,$C$28)*IND_Mult!X28</f>
        <v>1</v>
      </c>
      <c r="X28" s="72">
        <f>SUMIFS(Output!AC$2:AC$999,Output!$C$2:$C$999,CONCATENATE(LEFT($B$28,10),"*"),Output!$D$2:$D$999,$C$28)*IND_Mult!Y28</f>
        <v>1</v>
      </c>
      <c r="Y28" s="72">
        <f>SUMIFS(Output!AD$2:AD$999,Output!$C$2:$C$999,CONCATENATE(LEFT($B$28,10),"*"),Output!$D$2:$D$999,$C$28)*IND_Mult!Z28</f>
        <v>1</v>
      </c>
      <c r="Z28" s="72">
        <f>SUMIFS(Output!AE$2:AE$999,Output!$C$2:$C$999,CONCATENATE(LEFT($B$28,10),"*"),Output!$D$2:$D$999,$C$28)*IND_Mult!AA28</f>
        <v>1</v>
      </c>
      <c r="AA28" s="72">
        <f>SUMIFS(Output!AF$2:AF$999,Output!$C$2:$C$999,CONCATENATE(LEFT($B$28,10),"*"),Output!$D$2:$D$999,$C$28)*IND_Mult!AB28</f>
        <v>1</v>
      </c>
      <c r="AB28" s="72">
        <f>SUMIFS(Output!AG$2:AG$999,Output!$C$2:$C$999,CONCATENATE(LEFT($B$28,10),"*"),Output!$D$2:$D$999,$C$28)*IND_Mult!AC28</f>
        <v>1</v>
      </c>
      <c r="AC28" s="72">
        <f>SUMIFS(Output!AH$2:AH$999,Output!$C$2:$C$999,CONCATENATE(LEFT($B$28,10),"*"),Output!$D$2:$D$999,$C$28)*IND_Mult!AD28</f>
        <v>1</v>
      </c>
      <c r="AD28" s="72">
        <f>SUMIFS(Output!AI$2:AI$999,Output!$C$2:$C$999,CONCATENATE(LEFT($B$28,10),"*"),Output!$D$2:$D$999,$C$28)*IND_Mult!AE28</f>
        <v>1</v>
      </c>
      <c r="AE28" s="72">
        <f>SUMIFS(Output!AJ$2:AJ$999,Output!$C$2:$C$999,CONCATENATE(LEFT($B$28,10),"*"),Output!$D$2:$D$999,$C$28)*IND_Mult!AF28</f>
        <v>1</v>
      </c>
      <c r="AF28" s="72">
        <f>SUMIFS(Output!AK$2:AK$999,Output!$C$2:$C$999,CONCATENATE(LEFT($B$28,10),"*"),Output!$D$2:$D$999,$C$28)*IND_Mult!AG28</f>
        <v>1</v>
      </c>
      <c r="AG28" s="72">
        <f>SUMIFS(Output!AL$2:AL$999,Output!$C$2:$C$999,CONCATENATE(LEFT($B$28,10),"*"),Output!$D$2:$D$999,$C$28)*IND_Mult!AH28</f>
        <v>1</v>
      </c>
      <c r="AH28" s="72">
        <f>SUMIFS(Output!AM$2:AM$999,Output!$C$2:$C$999,CONCATENATE(LEFT($B$28,10),"*"),Output!$D$2:$D$999,$C$28)*IND_Mult!AI28</f>
        <v>1</v>
      </c>
      <c r="AI28" s="72">
        <f>SUMIFS(Output!AN$2:AN$999,Output!$C$2:$C$999,CONCATENATE(LEFT($B$28,10),"*"),Output!$D$2:$D$999,$C$28)*IND_Mult!AJ28</f>
        <v>1</v>
      </c>
      <c r="AJ28" s="72">
        <f>SUMIFS(Output!AO$2:AO$999,Output!$C$2:$C$999,CONCATENATE(LEFT($B$28,10),"*"),Output!$D$2:$D$999,$C$28)*IND_Mult!AK28</f>
        <v>1</v>
      </c>
      <c r="AK28" s="72">
        <f>SUMIFS(Output!AP$2:AP$999,Output!$C$2:$C$999,CONCATENATE(LEFT($B$28,10),"*"),Output!$D$2:$D$999,$C$28)*IND_Mult!AL28</f>
        <v>1</v>
      </c>
      <c r="AL28" s="72">
        <f>SUMIFS(Output!AQ$2:AQ$999,Output!$C$2:$C$999,CONCATENATE(LEFT($B$28,10),"*"),Output!$D$2:$D$999,$C$28)*IND_Mult!AM28</f>
        <v>1</v>
      </c>
      <c r="AM28" s="72">
        <f>SUMIFS(Output!AR$2:AR$999,Output!$C$2:$C$999,CONCATENATE(LEFT($B$28,10),"*"),Output!$D$2:$D$999,$C$28)*IND_Mult!AN28</f>
        <v>1</v>
      </c>
      <c r="AN28" s="72">
        <f>SUMIFS(Output!AS$2:AS$999,Output!$C$2:$C$999,CONCATENATE(LEFT($B$28,10),"*"),Output!$D$2:$D$999,$C$28)*IND_Mult!AO28</f>
        <v>1</v>
      </c>
      <c r="AO28" s="72">
        <f>SUMIFS(Output!AT$2:AT$999,Output!$C$2:$C$999,CONCATENATE(LEFT($B$28,10),"*"),Output!$D$2:$D$999,$C$28)*IND_Mult!AP28</f>
        <v>1</v>
      </c>
      <c r="AP28" s="72">
        <f>SUMIFS(Output!AU$2:AU$999,Output!$C$2:$C$999,CONCATENATE(LEFT($B$28,10),"*"),Output!$D$2:$D$999,$C$28)*IND_Mult!AQ28</f>
        <v>1</v>
      </c>
      <c r="AQ28" s="72">
        <f>SUMIFS(Output!AV$2:AV$999,Output!$C$2:$C$999,CONCATENATE(LEFT($B$28,10),"*"),Output!$D$2:$D$999,$C$28)*IND_Mult!AR28</f>
        <v>1</v>
      </c>
    </row>
    <row r="29" spans="1:43" ht="12.75">
      <c r="A29" s="6"/>
      <c r="B29" s="17" t="s">
        <v>282</v>
      </c>
      <c r="C29" s="18" t="s">
        <v>37</v>
      </c>
      <c r="D29" s="26"/>
      <c r="E29" s="16" t="s">
        <v>103</v>
      </c>
      <c r="F29" s="31"/>
      <c r="G29" s="69">
        <f>SUMIFS(Input!L$2:L$999,Input!$C$2:$C$999,CONCATENATE(LEFT($B$29,10),"*"),Input!$D$2:$D$999,$C$29)*IND_Mult!H29</f>
        <v>0</v>
      </c>
      <c r="H29" s="69">
        <f>SUMIFS(Input!M$2:M$999,Input!$C$2:$C$999,CONCATENATE(LEFT($B$29,10),"*"),Input!$D$2:$D$999,$C$29)*IND_Mult!I29</f>
        <v>0</v>
      </c>
      <c r="I29" s="69">
        <f>SUMIFS(Input!N$2:N$999,Input!$C$2:$C$999,CONCATENATE(LEFT($B$29,10),"*"),Input!$D$2:$D$999,$C$29)*IND_Mult!J29</f>
        <v>0</v>
      </c>
      <c r="J29" s="69">
        <f>SUMIFS(Input!O$2:O$999,Input!$C$2:$C$999,CONCATENATE(LEFT($B$29,10),"*"),Input!$D$2:$D$999,$C$29)*IND_Mult!K29</f>
        <v>0</v>
      </c>
      <c r="K29" s="69">
        <f>SUMIFS(Input!P$2:P$999,Input!$C$2:$C$999,CONCATENATE(LEFT($B$29,10),"*"),Input!$D$2:$D$999,$C$29)*IND_Mult!L29</f>
        <v>0</v>
      </c>
      <c r="L29" s="69">
        <f>SUMIFS(Input!Q$2:Q$999,Input!$C$2:$C$999,CONCATENATE(LEFT($B$29,10),"*"),Input!$D$2:$D$999,$C$29)*IND_Mult!M29</f>
        <v>0</v>
      </c>
      <c r="M29" s="69">
        <f>SUMIFS(Input!R$2:R$999,Input!$C$2:$C$999,CONCATENATE(LEFT($B$29,10),"*"),Input!$D$2:$D$999,$C$29)*IND_Mult!N29</f>
        <v>0</v>
      </c>
      <c r="N29" s="69">
        <f>SUMIFS(Input!S$2:S$999,Input!$C$2:$C$999,CONCATENATE(LEFT($B$29,10),"*"),Input!$D$2:$D$999,$C$29)*IND_Mult!O29</f>
        <v>0</v>
      </c>
      <c r="O29" s="69">
        <f>SUMIFS(Input!T$2:T$999,Input!$C$2:$C$999,CONCATENATE(LEFT($B$29,10),"*"),Input!$D$2:$D$999,$C$29)*IND_Mult!P29</f>
        <v>0</v>
      </c>
      <c r="P29" s="69">
        <f>SUMIFS(Input!U$2:U$999,Input!$C$2:$C$999,CONCATENATE(LEFT($B$29,10),"*"),Input!$D$2:$D$999,$C$29)*IND_Mult!Q29</f>
        <v>0</v>
      </c>
      <c r="Q29" s="69">
        <f>SUMIFS(Input!V$2:V$999,Input!$C$2:$C$999,CONCATENATE(LEFT($B$29,10),"*"),Input!$D$2:$D$999,$C$29)*IND_Mult!R29</f>
        <v>0</v>
      </c>
      <c r="R29" s="69">
        <f>SUMIFS(Input!W$2:W$999,Input!$C$2:$C$999,CONCATENATE(LEFT($B$29,10),"*"),Input!$D$2:$D$999,$C$29)*IND_Mult!S29</f>
        <v>0</v>
      </c>
      <c r="S29" s="69">
        <f>SUMIFS(Input!X$2:X$999,Input!$C$2:$C$999,CONCATENATE(LEFT($B$29,10),"*"),Input!$D$2:$D$999,$C$29)*IND_Mult!T29</f>
        <v>0</v>
      </c>
      <c r="T29" s="69">
        <f>SUMIFS(Input!Y$2:Y$999,Input!$C$2:$C$999,CONCATENATE(LEFT($B$29,10),"*"),Input!$D$2:$D$999,$C$29)*IND_Mult!U29</f>
        <v>0</v>
      </c>
      <c r="U29" s="69">
        <f>SUMIFS(Input!Z$2:Z$999,Input!$C$2:$C$999,CONCATENATE(LEFT($B$29,10),"*"),Input!$D$2:$D$999,$C$29)*IND_Mult!V29</f>
        <v>0</v>
      </c>
      <c r="V29" s="69">
        <f>SUMIFS(Input!AA$2:AA$999,Input!$C$2:$C$999,CONCATENATE(LEFT($B$29,10),"*"),Input!$D$2:$D$999,$C$29)*IND_Mult!W29</f>
        <v>0</v>
      </c>
      <c r="W29" s="69">
        <f>SUMIFS(Input!AB$2:AB$999,Input!$C$2:$C$999,CONCATENATE(LEFT($B$29,10),"*"),Input!$D$2:$D$999,$C$29)*IND_Mult!X29</f>
        <v>0</v>
      </c>
      <c r="X29" s="69">
        <f>SUMIFS(Input!AC$2:AC$999,Input!$C$2:$C$999,CONCATENATE(LEFT($B$29,10),"*"),Input!$D$2:$D$999,$C$29)*IND_Mult!Y29</f>
        <v>0</v>
      </c>
      <c r="Y29" s="69">
        <f>SUMIFS(Input!AD$2:AD$999,Input!$C$2:$C$999,CONCATENATE(LEFT($B$29,10),"*"),Input!$D$2:$D$999,$C$29)*IND_Mult!Z29</f>
        <v>0</v>
      </c>
      <c r="Z29" s="69">
        <f>SUMIFS(Input!AE$2:AE$999,Input!$C$2:$C$999,CONCATENATE(LEFT($B$29,10),"*"),Input!$D$2:$D$999,$C$29)*IND_Mult!AA29</f>
        <v>0</v>
      </c>
      <c r="AA29" s="69">
        <f>SUMIFS(Input!AF$2:AF$999,Input!$C$2:$C$999,CONCATENATE(LEFT($B$29,10),"*"),Input!$D$2:$D$999,$C$29)*IND_Mult!AB29</f>
        <v>0</v>
      </c>
      <c r="AB29" s="69">
        <f>SUMIFS(Input!AG$2:AG$999,Input!$C$2:$C$999,CONCATENATE(LEFT($B$29,10),"*"),Input!$D$2:$D$999,$C$29)*IND_Mult!AC29</f>
        <v>0</v>
      </c>
      <c r="AC29" s="69">
        <f>SUMIFS(Input!AH$2:AH$999,Input!$C$2:$C$999,CONCATENATE(LEFT($B$29,10),"*"),Input!$D$2:$D$999,$C$29)*IND_Mult!AD29</f>
        <v>0</v>
      </c>
      <c r="AD29" s="69">
        <f>SUMIFS(Input!AI$2:AI$999,Input!$C$2:$C$999,CONCATENATE(LEFT($B$29,10),"*"),Input!$D$2:$D$999,$C$29)*IND_Mult!AE29</f>
        <v>0</v>
      </c>
      <c r="AE29" s="69">
        <f>SUMIFS(Input!AJ$2:AJ$999,Input!$C$2:$C$999,CONCATENATE(LEFT($B$29,10),"*"),Input!$D$2:$D$999,$C$29)*IND_Mult!AF29</f>
        <v>0</v>
      </c>
      <c r="AF29" s="69">
        <f>SUMIFS(Input!AK$2:AK$999,Input!$C$2:$C$999,CONCATENATE(LEFT($B$29,10),"*"),Input!$D$2:$D$999,$C$29)*IND_Mult!AG29</f>
        <v>0</v>
      </c>
      <c r="AG29" s="69">
        <f>SUMIFS(Input!AL$2:AL$999,Input!$C$2:$C$999,CONCATENATE(LEFT($B$29,10),"*"),Input!$D$2:$D$999,$C$29)*IND_Mult!AH29</f>
        <v>0</v>
      </c>
      <c r="AH29" s="69">
        <f>SUMIFS(Input!AM$2:AM$999,Input!$C$2:$C$999,CONCATENATE(LEFT($B$29,10),"*"),Input!$D$2:$D$999,$C$29)*IND_Mult!AI29</f>
        <v>0</v>
      </c>
      <c r="AI29" s="69">
        <f>SUMIFS(Input!AN$2:AN$999,Input!$C$2:$C$999,CONCATENATE(LEFT($B$29,10),"*"),Input!$D$2:$D$999,$C$29)*IND_Mult!AJ29</f>
        <v>0</v>
      </c>
      <c r="AJ29" s="69">
        <f>SUMIFS(Input!AO$2:AO$999,Input!$C$2:$C$999,CONCATENATE(LEFT($B$29,10),"*"),Input!$D$2:$D$999,$C$29)*IND_Mult!AK29</f>
        <v>0</v>
      </c>
      <c r="AK29" s="69">
        <f>SUMIFS(Input!AP$2:AP$999,Input!$C$2:$C$999,CONCATENATE(LEFT($B$29,10),"*"),Input!$D$2:$D$999,$C$29)*IND_Mult!AL29</f>
        <v>0</v>
      </c>
      <c r="AL29" s="69">
        <f>SUMIFS(Input!AQ$2:AQ$999,Input!$C$2:$C$999,CONCATENATE(LEFT($B$29,10),"*"),Input!$D$2:$D$999,$C$29)*IND_Mult!AM29</f>
        <v>0</v>
      </c>
      <c r="AM29" s="69">
        <f>SUMIFS(Input!AR$2:AR$999,Input!$C$2:$C$999,CONCATENATE(LEFT($B$29,10),"*"),Input!$D$2:$D$999,$C$29)*IND_Mult!AN29</f>
        <v>0</v>
      </c>
      <c r="AN29" s="69">
        <f>SUMIFS(Input!AS$2:AS$999,Input!$C$2:$C$999,CONCATENATE(LEFT($B$29,10),"*"),Input!$D$2:$D$999,$C$29)*IND_Mult!AO29</f>
        <v>0</v>
      </c>
      <c r="AO29" s="69">
        <f>SUMIFS(Input!AT$2:AT$999,Input!$C$2:$C$999,CONCATENATE(LEFT($B$29,10),"*"),Input!$D$2:$D$999,$C$29)*IND_Mult!AP29</f>
        <v>0</v>
      </c>
      <c r="AP29" s="69">
        <f>SUMIFS(Input!AU$2:AU$999,Input!$C$2:$C$999,CONCATENATE(LEFT($B$29,10),"*"),Input!$D$2:$D$999,$C$29)*IND_Mult!AQ29</f>
        <v>0</v>
      </c>
      <c r="AQ29" s="69">
        <f>SUMIFS(Input!AV$2:AV$999,Input!$C$2:$C$999,CONCATENATE(LEFT($B$29,10),"*"),Input!$D$2:$D$999,$C$29)*IND_Mult!AR29</f>
        <v>0</v>
      </c>
    </row>
    <row r="30" spans="1:43" ht="12.75">
      <c r="A30" s="6"/>
      <c r="B30" s="17" t="s">
        <v>282</v>
      </c>
      <c r="C30" s="18" t="s">
        <v>38</v>
      </c>
      <c r="D30" s="26"/>
      <c r="E30" s="16" t="s">
        <v>103</v>
      </c>
      <c r="F30" s="31"/>
      <c r="G30" s="69">
        <f>SUMIFS(Input!L$2:L$999,Input!$C$2:$C$999,CONCATENATE(LEFT($B$30,10),"*"),Input!$D$2:$D$999,$C$30)*IND_Mult!H30</f>
        <v>0</v>
      </c>
      <c r="H30" s="69">
        <f>SUMIFS(Input!M$2:M$999,Input!$C$2:$C$999,CONCATENATE(LEFT($B$30,10),"*"),Input!$D$2:$D$999,$C$30)*IND_Mult!I30</f>
        <v>0</v>
      </c>
      <c r="I30" s="69">
        <f>SUMIFS(Input!N$2:N$999,Input!$C$2:$C$999,CONCATENATE(LEFT($B$30,10),"*"),Input!$D$2:$D$999,$C$30)*IND_Mult!J30</f>
        <v>0</v>
      </c>
      <c r="J30" s="69">
        <f>SUMIFS(Input!O$2:O$999,Input!$C$2:$C$999,CONCATENATE(LEFT($B$30,10),"*"),Input!$D$2:$D$999,$C$30)*IND_Mult!K30</f>
        <v>0</v>
      </c>
      <c r="K30" s="69">
        <f>SUMIFS(Input!P$2:P$999,Input!$C$2:$C$999,CONCATENATE(LEFT($B$30,10),"*"),Input!$D$2:$D$999,$C$30)*IND_Mult!L30</f>
        <v>0</v>
      </c>
      <c r="L30" s="69">
        <f>SUMIFS(Input!Q$2:Q$999,Input!$C$2:$C$999,CONCATENATE(LEFT($B$30,10),"*"),Input!$D$2:$D$999,$C$30)*IND_Mult!M30</f>
        <v>0</v>
      </c>
      <c r="M30" s="69">
        <f>SUMIFS(Input!R$2:R$999,Input!$C$2:$C$999,CONCATENATE(LEFT($B$30,10),"*"),Input!$D$2:$D$999,$C$30)*IND_Mult!N30</f>
        <v>0</v>
      </c>
      <c r="N30" s="69">
        <f>SUMIFS(Input!S$2:S$999,Input!$C$2:$C$999,CONCATENATE(LEFT($B$30,10),"*"),Input!$D$2:$D$999,$C$30)*IND_Mult!O30</f>
        <v>0</v>
      </c>
      <c r="O30" s="69">
        <f>SUMIFS(Input!T$2:T$999,Input!$C$2:$C$999,CONCATENATE(LEFT($B$30,10),"*"),Input!$D$2:$D$999,$C$30)*IND_Mult!P30</f>
        <v>0</v>
      </c>
      <c r="P30" s="69">
        <f>SUMIFS(Input!U$2:U$999,Input!$C$2:$C$999,CONCATENATE(LEFT($B$30,10),"*"),Input!$D$2:$D$999,$C$30)*IND_Mult!Q30</f>
        <v>0</v>
      </c>
      <c r="Q30" s="69">
        <f>SUMIFS(Input!V$2:V$999,Input!$C$2:$C$999,CONCATENATE(LEFT($B$30,10),"*"),Input!$D$2:$D$999,$C$30)*IND_Mult!R30</f>
        <v>0</v>
      </c>
      <c r="R30" s="69">
        <f>SUMIFS(Input!W$2:W$999,Input!$C$2:$C$999,CONCATENATE(LEFT($B$30,10),"*"),Input!$D$2:$D$999,$C$30)*IND_Mult!S30</f>
        <v>0</v>
      </c>
      <c r="S30" s="69">
        <f>SUMIFS(Input!X$2:X$999,Input!$C$2:$C$999,CONCATENATE(LEFT($B$30,10),"*"),Input!$D$2:$D$999,$C$30)*IND_Mult!T30</f>
        <v>0</v>
      </c>
      <c r="T30" s="69">
        <f>SUMIFS(Input!Y$2:Y$999,Input!$C$2:$C$999,CONCATENATE(LEFT($B$30,10),"*"),Input!$D$2:$D$999,$C$30)*IND_Mult!U30</f>
        <v>0</v>
      </c>
      <c r="U30" s="69">
        <f>SUMIFS(Input!Z$2:Z$999,Input!$C$2:$C$999,CONCATENATE(LEFT($B$30,10),"*"),Input!$D$2:$D$999,$C$30)*IND_Mult!V30</f>
        <v>0</v>
      </c>
      <c r="V30" s="69">
        <f>SUMIFS(Input!AA$2:AA$999,Input!$C$2:$C$999,CONCATENATE(LEFT($B$30,10),"*"),Input!$D$2:$D$999,$C$30)*IND_Mult!W30</f>
        <v>0</v>
      </c>
      <c r="W30" s="69">
        <f>SUMIFS(Input!AB$2:AB$999,Input!$C$2:$C$999,CONCATENATE(LEFT($B$30,10),"*"),Input!$D$2:$D$999,$C$30)*IND_Mult!X30</f>
        <v>0</v>
      </c>
      <c r="X30" s="69">
        <f>SUMIFS(Input!AC$2:AC$999,Input!$C$2:$C$999,CONCATENATE(LEFT($B$30,10),"*"),Input!$D$2:$D$999,$C$30)*IND_Mult!Y30</f>
        <v>0</v>
      </c>
      <c r="Y30" s="69">
        <f>SUMIFS(Input!AD$2:AD$999,Input!$C$2:$C$999,CONCATENATE(LEFT($B$30,10),"*"),Input!$D$2:$D$999,$C$30)*IND_Mult!Z30</f>
        <v>0</v>
      </c>
      <c r="Z30" s="69">
        <f>SUMIFS(Input!AE$2:AE$999,Input!$C$2:$C$999,CONCATENATE(LEFT($B$30,10),"*"),Input!$D$2:$D$999,$C$30)*IND_Mult!AA30</f>
        <v>0</v>
      </c>
      <c r="AA30" s="69">
        <f>SUMIFS(Input!AF$2:AF$999,Input!$C$2:$C$999,CONCATENATE(LEFT($B$30,10),"*"),Input!$D$2:$D$999,$C$30)*IND_Mult!AB30</f>
        <v>0</v>
      </c>
      <c r="AB30" s="69">
        <f>SUMIFS(Input!AG$2:AG$999,Input!$C$2:$C$999,CONCATENATE(LEFT($B$30,10),"*"),Input!$D$2:$D$999,$C$30)*IND_Mult!AC30</f>
        <v>0</v>
      </c>
      <c r="AC30" s="69">
        <f>SUMIFS(Input!AH$2:AH$999,Input!$C$2:$C$999,CONCATENATE(LEFT($B$30,10),"*"),Input!$D$2:$D$999,$C$30)*IND_Mult!AD30</f>
        <v>0</v>
      </c>
      <c r="AD30" s="69">
        <f>SUMIFS(Input!AI$2:AI$999,Input!$C$2:$C$999,CONCATENATE(LEFT($B$30,10),"*"),Input!$D$2:$D$999,$C$30)*IND_Mult!AE30</f>
        <v>0</v>
      </c>
      <c r="AE30" s="69">
        <f>SUMIFS(Input!AJ$2:AJ$999,Input!$C$2:$C$999,CONCATENATE(LEFT($B$30,10),"*"),Input!$D$2:$D$999,$C$30)*IND_Mult!AF30</f>
        <v>0</v>
      </c>
      <c r="AF30" s="69">
        <f>SUMIFS(Input!AK$2:AK$999,Input!$C$2:$C$999,CONCATENATE(LEFT($B$30,10),"*"),Input!$D$2:$D$999,$C$30)*IND_Mult!AG30</f>
        <v>0</v>
      </c>
      <c r="AG30" s="69">
        <f>SUMIFS(Input!AL$2:AL$999,Input!$C$2:$C$999,CONCATENATE(LEFT($B$30,10),"*"),Input!$D$2:$D$999,$C$30)*IND_Mult!AH30</f>
        <v>0</v>
      </c>
      <c r="AH30" s="69">
        <f>SUMIFS(Input!AM$2:AM$999,Input!$C$2:$C$999,CONCATENATE(LEFT($B$30,10),"*"),Input!$D$2:$D$999,$C$30)*IND_Mult!AI30</f>
        <v>0</v>
      </c>
      <c r="AI30" s="69">
        <f>SUMIFS(Input!AN$2:AN$999,Input!$C$2:$C$999,CONCATENATE(LEFT($B$30,10),"*"),Input!$D$2:$D$999,$C$30)*IND_Mult!AJ30</f>
        <v>0</v>
      </c>
      <c r="AJ30" s="69">
        <f>SUMIFS(Input!AO$2:AO$999,Input!$C$2:$C$999,CONCATENATE(LEFT($B$30,10),"*"),Input!$D$2:$D$999,$C$30)*IND_Mult!AK30</f>
        <v>0</v>
      </c>
      <c r="AK30" s="69">
        <f>SUMIFS(Input!AP$2:AP$999,Input!$C$2:$C$999,CONCATENATE(LEFT($B$30,10),"*"),Input!$D$2:$D$999,$C$30)*IND_Mult!AL30</f>
        <v>0</v>
      </c>
      <c r="AL30" s="69">
        <f>SUMIFS(Input!AQ$2:AQ$999,Input!$C$2:$C$999,CONCATENATE(LEFT($B$30,10),"*"),Input!$D$2:$D$999,$C$30)*IND_Mult!AM30</f>
        <v>0</v>
      </c>
      <c r="AM30" s="69">
        <f>SUMIFS(Input!AR$2:AR$999,Input!$C$2:$C$999,CONCATENATE(LEFT($B$30,10),"*"),Input!$D$2:$D$999,$C$30)*IND_Mult!AN30</f>
        <v>0</v>
      </c>
      <c r="AN30" s="69">
        <f>SUMIFS(Input!AS$2:AS$999,Input!$C$2:$C$999,CONCATENATE(LEFT($B$30,10),"*"),Input!$D$2:$D$999,$C$30)*IND_Mult!AO30</f>
        <v>0</v>
      </c>
      <c r="AO30" s="69">
        <f>SUMIFS(Input!AT$2:AT$999,Input!$C$2:$C$999,CONCATENATE(LEFT($B$30,10),"*"),Input!$D$2:$D$999,$C$30)*IND_Mult!AP30</f>
        <v>0</v>
      </c>
      <c r="AP30" s="69">
        <f>SUMIFS(Input!AU$2:AU$999,Input!$C$2:$C$999,CONCATENATE(LEFT($B$30,10),"*"),Input!$D$2:$D$999,$C$30)*IND_Mult!AQ30</f>
        <v>0</v>
      </c>
      <c r="AQ30" s="69">
        <f>SUMIFS(Input!AV$2:AV$999,Input!$C$2:$C$999,CONCATENATE(LEFT($B$30,10),"*"),Input!$D$2:$D$999,$C$30)*IND_Mult!AR30</f>
        <v>0</v>
      </c>
    </row>
    <row r="31" spans="1:43" ht="12.75">
      <c r="A31" s="6"/>
      <c r="B31" s="17" t="s">
        <v>261</v>
      </c>
      <c r="C31" s="18" t="s">
        <v>37</v>
      </c>
      <c r="D31" s="26"/>
      <c r="E31" s="16" t="s">
        <v>103</v>
      </c>
      <c r="F31" s="31"/>
      <c r="G31" s="69">
        <f>SUMIFS(Input!L$2:L$999,Input!$C$2:$C$999,CONCATENATE(LEFT($B$31,10),"*"),Input!$D$2:$D$999,$C$31)*IND_Mult!H31</f>
        <v>0.5</v>
      </c>
      <c r="H31" s="69">
        <f>SUMIFS(Input!M$2:M$999,Input!$C$2:$C$999,CONCATENATE(LEFT($B$31,10),"*"),Input!$D$2:$D$999,$C$31)*IND_Mult!I31</f>
        <v>0.5</v>
      </c>
      <c r="I31" s="69">
        <f>SUMIFS(Input!N$2:N$999,Input!$C$2:$C$999,CONCATENATE(LEFT($B$31,10),"*"),Input!$D$2:$D$999,$C$31)*IND_Mult!J31</f>
        <v>0.5</v>
      </c>
      <c r="J31" s="69">
        <f>SUMIFS(Input!O$2:O$999,Input!$C$2:$C$999,CONCATENATE(LEFT($B$31,10),"*"),Input!$D$2:$D$999,$C$31)*IND_Mult!K31</f>
        <v>0.5</v>
      </c>
      <c r="K31" s="69">
        <f>SUMIFS(Input!P$2:P$999,Input!$C$2:$C$999,CONCATENATE(LEFT($B$31,10),"*"),Input!$D$2:$D$999,$C$31)*IND_Mult!L31</f>
        <v>0.5</v>
      </c>
      <c r="L31" s="69">
        <f>SUMIFS(Input!Q$2:Q$999,Input!$C$2:$C$999,CONCATENATE(LEFT($B$31,10),"*"),Input!$D$2:$D$999,$C$31)*IND_Mult!M31</f>
        <v>0.5</v>
      </c>
      <c r="M31" s="69">
        <f>SUMIFS(Input!R$2:R$999,Input!$C$2:$C$999,CONCATENATE(LEFT($B$31,10),"*"),Input!$D$2:$D$999,$C$31)*IND_Mult!N31</f>
        <v>0.5</v>
      </c>
      <c r="N31" s="69">
        <f>SUMIFS(Input!S$2:S$999,Input!$C$2:$C$999,CONCATENATE(LEFT($B$31,10),"*"),Input!$D$2:$D$999,$C$31)*IND_Mult!O31</f>
        <v>0.5</v>
      </c>
      <c r="O31" s="69">
        <f>SUMIFS(Input!T$2:T$999,Input!$C$2:$C$999,CONCATENATE(LEFT($B$31,10),"*"),Input!$D$2:$D$999,$C$31)*IND_Mult!P31</f>
        <v>0.42499999999999999</v>
      </c>
      <c r="P31" s="69">
        <f>SUMIFS(Input!U$2:U$999,Input!$C$2:$C$999,CONCATENATE(LEFT($B$31,10),"*"),Input!$D$2:$D$999,$C$31)*IND_Mult!Q31</f>
        <v>0.5</v>
      </c>
      <c r="Q31" s="69">
        <f>SUMIFS(Input!V$2:V$999,Input!$C$2:$C$999,CONCATENATE(LEFT($B$31,10),"*"),Input!$D$2:$D$999,$C$31)*IND_Mult!R31</f>
        <v>0.5</v>
      </c>
      <c r="R31" s="69">
        <f>SUMIFS(Input!W$2:W$999,Input!$C$2:$C$999,CONCATENATE(LEFT($B$31,10),"*"),Input!$D$2:$D$999,$C$31)*IND_Mult!S31</f>
        <v>0.5</v>
      </c>
      <c r="S31" s="69">
        <f>SUMIFS(Input!X$2:X$999,Input!$C$2:$C$999,CONCATENATE(LEFT($B$31,10),"*"),Input!$D$2:$D$999,$C$31)*IND_Mult!T31</f>
        <v>0.5</v>
      </c>
      <c r="T31" s="69">
        <f>SUMIFS(Input!Y$2:Y$999,Input!$C$2:$C$999,CONCATENATE(LEFT($B$31,10),"*"),Input!$D$2:$D$999,$C$31)*IND_Mult!U31</f>
        <v>0.5</v>
      </c>
      <c r="U31" s="69">
        <f>SUMIFS(Input!Z$2:Z$999,Input!$C$2:$C$999,CONCATENATE(LEFT($B$31,10),"*"),Input!$D$2:$D$999,$C$31)*IND_Mult!V31</f>
        <v>0.5</v>
      </c>
      <c r="V31" s="69">
        <f>SUMIFS(Input!AA$2:AA$999,Input!$C$2:$C$999,CONCATENATE(LEFT($B$31,10),"*"),Input!$D$2:$D$999,$C$31)*IND_Mult!W31</f>
        <v>0.5</v>
      </c>
      <c r="W31" s="69">
        <f>SUMIFS(Input!AB$2:AB$999,Input!$C$2:$C$999,CONCATENATE(LEFT($B$31,10),"*"),Input!$D$2:$D$999,$C$31)*IND_Mult!X31</f>
        <v>0.5</v>
      </c>
      <c r="X31" s="69">
        <f>SUMIFS(Input!AC$2:AC$999,Input!$C$2:$C$999,CONCATENATE(LEFT($B$31,10),"*"),Input!$D$2:$D$999,$C$31)*IND_Mult!Y31</f>
        <v>0.5</v>
      </c>
      <c r="Y31" s="69">
        <f>SUMIFS(Input!AD$2:AD$999,Input!$C$2:$C$999,CONCATENATE(LEFT($B$31,10),"*"),Input!$D$2:$D$999,$C$31)*IND_Mult!Z31</f>
        <v>0.5</v>
      </c>
      <c r="Z31" s="69">
        <f>SUMIFS(Input!AE$2:AE$999,Input!$C$2:$C$999,CONCATENATE(LEFT($B$31,10),"*"),Input!$D$2:$D$999,$C$31)*IND_Mult!AA31</f>
        <v>0.5</v>
      </c>
      <c r="AA31" s="69">
        <f>SUMIFS(Input!AF$2:AF$999,Input!$C$2:$C$999,CONCATENATE(LEFT($B$31,10),"*"),Input!$D$2:$D$999,$C$31)*IND_Mult!AB31</f>
        <v>0.5</v>
      </c>
      <c r="AB31" s="69">
        <f>SUMIFS(Input!AG$2:AG$999,Input!$C$2:$C$999,CONCATENATE(LEFT($B$31,10),"*"),Input!$D$2:$D$999,$C$31)*IND_Mult!AC31</f>
        <v>0.5</v>
      </c>
      <c r="AC31" s="69">
        <f>SUMIFS(Input!AH$2:AH$999,Input!$C$2:$C$999,CONCATENATE(LEFT($B$31,10),"*"),Input!$D$2:$D$999,$C$31)*IND_Mult!AD31</f>
        <v>0.5</v>
      </c>
      <c r="AD31" s="69">
        <f>SUMIFS(Input!AI$2:AI$999,Input!$C$2:$C$999,CONCATENATE(LEFT($B$31,10),"*"),Input!$D$2:$D$999,$C$31)*IND_Mult!AE31</f>
        <v>0.5</v>
      </c>
      <c r="AE31" s="69">
        <f>SUMIFS(Input!AJ$2:AJ$999,Input!$C$2:$C$999,CONCATENATE(LEFT($B$31,10),"*"),Input!$D$2:$D$999,$C$31)*IND_Mult!AF31</f>
        <v>0.5</v>
      </c>
      <c r="AF31" s="69">
        <f>SUMIFS(Input!AK$2:AK$999,Input!$C$2:$C$999,CONCATENATE(LEFT($B$31,10),"*"),Input!$D$2:$D$999,$C$31)*IND_Mult!AG31</f>
        <v>0.5</v>
      </c>
      <c r="AG31" s="69">
        <f>SUMIFS(Input!AL$2:AL$999,Input!$C$2:$C$999,CONCATENATE(LEFT($B$31,10),"*"),Input!$D$2:$D$999,$C$31)*IND_Mult!AH31</f>
        <v>0.5</v>
      </c>
      <c r="AH31" s="69">
        <f>SUMIFS(Input!AM$2:AM$999,Input!$C$2:$C$999,CONCATENATE(LEFT($B$31,10),"*"),Input!$D$2:$D$999,$C$31)*IND_Mult!AI31</f>
        <v>0.5</v>
      </c>
      <c r="AI31" s="69">
        <f>SUMIFS(Input!AN$2:AN$999,Input!$C$2:$C$999,CONCATENATE(LEFT($B$31,10),"*"),Input!$D$2:$D$999,$C$31)*IND_Mult!AJ31</f>
        <v>0.5</v>
      </c>
      <c r="AJ31" s="69">
        <f>SUMIFS(Input!AO$2:AO$999,Input!$C$2:$C$999,CONCATENATE(LEFT($B$31,10),"*"),Input!$D$2:$D$999,$C$31)*IND_Mult!AK31</f>
        <v>0.5</v>
      </c>
      <c r="AK31" s="69">
        <f>SUMIFS(Input!AP$2:AP$999,Input!$C$2:$C$999,CONCATENATE(LEFT($B$31,10),"*"),Input!$D$2:$D$999,$C$31)*IND_Mult!AL31</f>
        <v>0.5</v>
      </c>
      <c r="AL31" s="69">
        <f>SUMIFS(Input!AQ$2:AQ$999,Input!$C$2:$C$999,CONCATENATE(LEFT($B$31,10),"*"),Input!$D$2:$D$999,$C$31)*IND_Mult!AM31</f>
        <v>0.5</v>
      </c>
      <c r="AM31" s="69">
        <f>SUMIFS(Input!AR$2:AR$999,Input!$C$2:$C$999,CONCATENATE(LEFT($B$31,10),"*"),Input!$D$2:$D$999,$C$31)*IND_Mult!AN31</f>
        <v>0.5</v>
      </c>
      <c r="AN31" s="69">
        <f>SUMIFS(Input!AS$2:AS$999,Input!$C$2:$C$999,CONCATENATE(LEFT($B$31,10),"*"),Input!$D$2:$D$999,$C$31)*IND_Mult!AO31</f>
        <v>0.5</v>
      </c>
      <c r="AO31" s="69">
        <f>SUMIFS(Input!AT$2:AT$999,Input!$C$2:$C$999,CONCATENATE(LEFT($B$31,10),"*"),Input!$D$2:$D$999,$C$31)*IND_Mult!AP31</f>
        <v>0.5</v>
      </c>
      <c r="AP31" s="69">
        <f>SUMIFS(Input!AU$2:AU$999,Input!$C$2:$C$999,CONCATENATE(LEFT($B$31,10),"*"),Input!$D$2:$D$999,$C$31)*IND_Mult!AQ31</f>
        <v>0.5</v>
      </c>
      <c r="AQ31" s="69">
        <f>SUMIFS(Input!AV$2:AV$999,Input!$C$2:$C$999,CONCATENATE(LEFT($B$31,10),"*"),Input!$D$2:$D$999,$C$31)*IND_Mult!AR31</f>
        <v>0.5</v>
      </c>
    </row>
    <row r="32" spans="1:43" ht="12.75">
      <c r="A32" s="6"/>
      <c r="B32" s="17" t="s">
        <v>261</v>
      </c>
      <c r="C32" s="18" t="s">
        <v>38</v>
      </c>
      <c r="D32" s="26"/>
      <c r="E32" s="16" t="s">
        <v>103</v>
      </c>
      <c r="F32" s="31"/>
      <c r="G32" s="69">
        <f>SUMIFS(Input!L$2:L$999,Input!$C$2:$C$999,CONCATENATE(LEFT($B$32,10),"*"),Input!$D$2:$D$999,$C$32)*IND_Mult!H32</f>
        <v>22.5</v>
      </c>
      <c r="H32" s="69">
        <f>SUMIFS(Input!M$2:M$999,Input!$C$2:$C$999,CONCATENATE(LEFT($B$32,10),"*"),Input!$D$2:$D$999,$C$32)*IND_Mult!I32</f>
        <v>22.5</v>
      </c>
      <c r="I32" s="69">
        <f>SUMIFS(Input!N$2:N$999,Input!$C$2:$C$999,CONCATENATE(LEFT($B$32,10),"*"),Input!$D$2:$D$999,$C$32)*IND_Mult!J32</f>
        <v>22.5</v>
      </c>
      <c r="J32" s="69">
        <f>SUMIFS(Input!O$2:O$999,Input!$C$2:$C$999,CONCATENATE(LEFT($B$32,10),"*"),Input!$D$2:$D$999,$C$32)*IND_Mult!K32</f>
        <v>22.5</v>
      </c>
      <c r="K32" s="69">
        <f>SUMIFS(Input!P$2:P$999,Input!$C$2:$C$999,CONCATENATE(LEFT($B$32,10),"*"),Input!$D$2:$D$999,$C$32)*IND_Mult!L32</f>
        <v>22.5</v>
      </c>
      <c r="L32" s="69">
        <f>SUMIFS(Input!Q$2:Q$999,Input!$C$2:$C$999,CONCATENATE(LEFT($B$32,10),"*"),Input!$D$2:$D$999,$C$32)*IND_Mult!M32</f>
        <v>22.5</v>
      </c>
      <c r="M32" s="69">
        <f>SUMIFS(Input!R$2:R$999,Input!$C$2:$C$999,CONCATENATE(LEFT($B$32,10),"*"),Input!$D$2:$D$999,$C$32)*IND_Mult!N32</f>
        <v>22.5</v>
      </c>
      <c r="N32" s="69">
        <f>SUMIFS(Input!S$2:S$999,Input!$C$2:$C$999,CONCATENATE(LEFT($B$32,10),"*"),Input!$D$2:$D$999,$C$32)*IND_Mult!O32</f>
        <v>22.5</v>
      </c>
      <c r="O32" s="69">
        <f>SUMIFS(Input!T$2:T$999,Input!$C$2:$C$999,CONCATENATE(LEFT($B$32,10),"*"),Input!$D$2:$D$999,$C$32)*IND_Mult!P32</f>
        <v>19.125</v>
      </c>
      <c r="P32" s="69">
        <f>SUMIFS(Input!U$2:U$999,Input!$C$2:$C$999,CONCATENATE(LEFT($B$32,10),"*"),Input!$D$2:$D$999,$C$32)*IND_Mult!Q32</f>
        <v>22.5</v>
      </c>
      <c r="Q32" s="69">
        <f>SUMIFS(Input!V$2:V$999,Input!$C$2:$C$999,CONCATENATE(LEFT($B$32,10),"*"),Input!$D$2:$D$999,$C$32)*IND_Mult!R32</f>
        <v>22.5</v>
      </c>
      <c r="R32" s="69">
        <f>SUMIFS(Input!W$2:W$999,Input!$C$2:$C$999,CONCATENATE(LEFT($B$32,10),"*"),Input!$D$2:$D$999,$C$32)*IND_Mult!S32</f>
        <v>22.5</v>
      </c>
      <c r="S32" s="69">
        <f>SUMIFS(Input!X$2:X$999,Input!$C$2:$C$999,CONCATENATE(LEFT($B$32,10),"*"),Input!$D$2:$D$999,$C$32)*IND_Mult!T32</f>
        <v>22.5</v>
      </c>
      <c r="T32" s="69">
        <f>SUMIFS(Input!Y$2:Y$999,Input!$C$2:$C$999,CONCATENATE(LEFT($B$32,10),"*"),Input!$D$2:$D$999,$C$32)*IND_Mult!U32</f>
        <v>22.5</v>
      </c>
      <c r="U32" s="69">
        <f>SUMIFS(Input!Z$2:Z$999,Input!$C$2:$C$999,CONCATENATE(LEFT($B$32,10),"*"),Input!$D$2:$D$999,$C$32)*IND_Mult!V32</f>
        <v>14.625</v>
      </c>
      <c r="V32" s="69">
        <f>SUMIFS(Input!AA$2:AA$999,Input!$C$2:$C$999,CONCATENATE(LEFT($B$32,10),"*"),Input!$D$2:$D$999,$C$32)*IND_Mult!W32</f>
        <v>22.5</v>
      </c>
      <c r="W32" s="69">
        <f>SUMIFS(Input!AB$2:AB$999,Input!$C$2:$C$999,CONCATENATE(LEFT($B$32,10),"*"),Input!$D$2:$D$999,$C$32)*IND_Mult!X32</f>
        <v>14.625</v>
      </c>
      <c r="X32" s="69">
        <f>SUMIFS(Input!AC$2:AC$999,Input!$C$2:$C$999,CONCATENATE(LEFT($B$32,10),"*"),Input!$D$2:$D$999,$C$32)*IND_Mult!Y32</f>
        <v>22.5</v>
      </c>
      <c r="Y32" s="69">
        <f>SUMIFS(Input!AD$2:AD$999,Input!$C$2:$C$999,CONCATENATE(LEFT($B$32,10),"*"),Input!$D$2:$D$999,$C$32)*IND_Mult!Z32</f>
        <v>22.5</v>
      </c>
      <c r="Z32" s="69">
        <f>SUMIFS(Input!AE$2:AE$999,Input!$C$2:$C$999,CONCATENATE(LEFT($B$32,10),"*"),Input!$D$2:$D$999,$C$32)*IND_Mult!AA32</f>
        <v>22.5</v>
      </c>
      <c r="AA32" s="69">
        <f>SUMIFS(Input!AF$2:AF$999,Input!$C$2:$C$999,CONCATENATE(LEFT($B$32,10),"*"),Input!$D$2:$D$999,$C$32)*IND_Mult!AB32</f>
        <v>22.5</v>
      </c>
      <c r="AB32" s="69">
        <f>SUMIFS(Input!AG$2:AG$999,Input!$C$2:$C$999,CONCATENATE(LEFT($B$32,10),"*"),Input!$D$2:$D$999,$C$32)*IND_Mult!AC32</f>
        <v>22.5</v>
      </c>
      <c r="AC32" s="69">
        <f>SUMIFS(Input!AH$2:AH$999,Input!$C$2:$C$999,CONCATENATE(LEFT($B$32,10),"*"),Input!$D$2:$D$999,$C$32)*IND_Mult!AD32</f>
        <v>22.5</v>
      </c>
      <c r="AD32" s="69">
        <f>SUMIFS(Input!AI$2:AI$999,Input!$C$2:$C$999,CONCATENATE(LEFT($B$32,10),"*"),Input!$D$2:$D$999,$C$32)*IND_Mult!AE32</f>
        <v>22.5</v>
      </c>
      <c r="AE32" s="69">
        <f>SUMIFS(Input!AJ$2:AJ$999,Input!$C$2:$C$999,CONCATENATE(LEFT($B$32,10),"*"),Input!$D$2:$D$999,$C$32)*IND_Mult!AF32</f>
        <v>22.5</v>
      </c>
      <c r="AF32" s="69">
        <f>SUMIFS(Input!AK$2:AK$999,Input!$C$2:$C$999,CONCATENATE(LEFT($B$32,10),"*"),Input!$D$2:$D$999,$C$32)*IND_Mult!AG32</f>
        <v>22.5</v>
      </c>
      <c r="AG32" s="69">
        <f>SUMIFS(Input!AL$2:AL$999,Input!$C$2:$C$999,CONCATENATE(LEFT($B$32,10),"*"),Input!$D$2:$D$999,$C$32)*IND_Mult!AH32</f>
        <v>22.5</v>
      </c>
      <c r="AH32" s="69">
        <f>SUMIFS(Input!AM$2:AM$999,Input!$C$2:$C$999,CONCATENATE(LEFT($B$32,10),"*"),Input!$D$2:$D$999,$C$32)*IND_Mult!AI32</f>
        <v>22.5</v>
      </c>
      <c r="AI32" s="69">
        <f>SUMIFS(Input!AN$2:AN$999,Input!$C$2:$C$999,CONCATENATE(LEFT($B$32,10),"*"),Input!$D$2:$D$999,$C$32)*IND_Mult!AJ32</f>
        <v>22.5</v>
      </c>
      <c r="AJ32" s="69">
        <f>SUMIFS(Input!AO$2:AO$999,Input!$C$2:$C$999,CONCATENATE(LEFT($B$32,10),"*"),Input!$D$2:$D$999,$C$32)*IND_Mult!AK32</f>
        <v>22.5</v>
      </c>
      <c r="AK32" s="69">
        <f>SUMIFS(Input!AP$2:AP$999,Input!$C$2:$C$999,CONCATENATE(LEFT($B$32,10),"*"),Input!$D$2:$D$999,$C$32)*IND_Mult!AL32</f>
        <v>18.449999999999999</v>
      </c>
      <c r="AL32" s="69">
        <f>SUMIFS(Input!AQ$2:AQ$999,Input!$C$2:$C$999,CONCATENATE(LEFT($B$32,10),"*"),Input!$D$2:$D$999,$C$32)*IND_Mult!AM32</f>
        <v>22.5</v>
      </c>
      <c r="AM32" s="69">
        <f>SUMIFS(Input!AR$2:AR$999,Input!$C$2:$C$999,CONCATENATE(LEFT($B$32,10),"*"),Input!$D$2:$D$999,$C$32)*IND_Mult!AN32</f>
        <v>22.5</v>
      </c>
      <c r="AN32" s="69">
        <f>SUMIFS(Input!AS$2:AS$999,Input!$C$2:$C$999,CONCATENATE(LEFT($B$32,10),"*"),Input!$D$2:$D$999,$C$32)*IND_Mult!AO32</f>
        <v>22.5</v>
      </c>
      <c r="AO32" s="69">
        <f>SUMIFS(Input!AT$2:AT$999,Input!$C$2:$C$999,CONCATENATE(LEFT($B$32,10),"*"),Input!$D$2:$D$999,$C$32)*IND_Mult!AP32</f>
        <v>22.5</v>
      </c>
      <c r="AP32" s="69">
        <f>SUMIFS(Input!AU$2:AU$999,Input!$C$2:$C$999,CONCATENATE(LEFT($B$32,10),"*"),Input!$D$2:$D$999,$C$32)*IND_Mult!AQ32</f>
        <v>22.5</v>
      </c>
      <c r="AQ32" s="69">
        <f>SUMIFS(Input!AV$2:AV$999,Input!$C$2:$C$999,CONCATENATE(LEFT($B$32,10),"*"),Input!$D$2:$D$999,$C$32)*IND_Mult!AR32</f>
        <v>22.5</v>
      </c>
    </row>
    <row r="33" spans="1:43" ht="12.75">
      <c r="A33" s="6"/>
      <c r="B33" s="17" t="s">
        <v>262</v>
      </c>
      <c r="C33" s="18" t="s">
        <v>102</v>
      </c>
      <c r="D33" s="26"/>
      <c r="E33" s="16" t="s">
        <v>103</v>
      </c>
      <c r="F33" s="31"/>
      <c r="G33" s="69">
        <f>SUMIFS(Input!L$2:L$999,Input!$C$2:$C$999,CONCATENATE(LEFT($B$33,10),"*"),Input!$D$2:$D$999,$C$33)*IND_Mult!H33</f>
        <v>0</v>
      </c>
      <c r="H33" s="69">
        <f>SUMIFS(Input!M$2:M$999,Input!$C$2:$C$999,CONCATENATE(LEFT($B$33,10),"*"),Input!$D$2:$D$999,$C$33)*IND_Mult!I33</f>
        <v>0</v>
      </c>
      <c r="I33" s="69">
        <f>SUMIFS(Input!N$2:N$999,Input!$C$2:$C$999,CONCATENATE(LEFT($B$33,10),"*"),Input!$D$2:$D$999,$C$33)*IND_Mult!J33</f>
        <v>0</v>
      </c>
      <c r="J33" s="69">
        <f>SUMIFS(Input!O$2:O$999,Input!$C$2:$C$999,CONCATENATE(LEFT($B$33,10),"*"),Input!$D$2:$D$999,$C$33)*IND_Mult!K33</f>
        <v>0</v>
      </c>
      <c r="K33" s="69">
        <f>SUMIFS(Input!P$2:P$999,Input!$C$2:$C$999,CONCATENATE(LEFT($B$33,10),"*"),Input!$D$2:$D$999,$C$33)*IND_Mult!L33</f>
        <v>0</v>
      </c>
      <c r="L33" s="69">
        <f>SUMIFS(Input!Q$2:Q$999,Input!$C$2:$C$999,CONCATENATE(LEFT($B$33,10),"*"),Input!$D$2:$D$999,$C$33)*IND_Mult!M33</f>
        <v>0</v>
      </c>
      <c r="M33" s="69">
        <f>SUMIFS(Input!R$2:R$999,Input!$C$2:$C$999,CONCATENATE(LEFT($B$33,10),"*"),Input!$D$2:$D$999,$C$33)*IND_Mult!N33</f>
        <v>0</v>
      </c>
      <c r="N33" s="69">
        <f>SUMIFS(Input!S$2:S$999,Input!$C$2:$C$999,CONCATENATE(LEFT($B$33,10),"*"),Input!$D$2:$D$999,$C$33)*IND_Mult!O33</f>
        <v>0</v>
      </c>
      <c r="O33" s="69">
        <f>SUMIFS(Input!T$2:T$999,Input!$C$2:$C$999,CONCATENATE(LEFT($B$33,10),"*"),Input!$D$2:$D$999,$C$33)*IND_Mult!P33</f>
        <v>0</v>
      </c>
      <c r="P33" s="69">
        <f>SUMIFS(Input!U$2:U$999,Input!$C$2:$C$999,CONCATENATE(LEFT($B$33,10),"*"),Input!$D$2:$D$999,$C$33)*IND_Mult!Q33</f>
        <v>0</v>
      </c>
      <c r="Q33" s="69">
        <f>SUMIFS(Input!V$2:V$999,Input!$C$2:$C$999,CONCATENATE(LEFT($B$33,10),"*"),Input!$D$2:$D$999,$C$33)*IND_Mult!R33</f>
        <v>0</v>
      </c>
      <c r="R33" s="69">
        <f>SUMIFS(Input!W$2:W$999,Input!$C$2:$C$999,CONCATENATE(LEFT($B$33,10),"*"),Input!$D$2:$D$999,$C$33)*IND_Mult!S33</f>
        <v>0</v>
      </c>
      <c r="S33" s="69">
        <f>SUMIFS(Input!X$2:X$999,Input!$C$2:$C$999,CONCATENATE(LEFT($B$33,10),"*"),Input!$D$2:$D$999,$C$33)*IND_Mult!T33</f>
        <v>0</v>
      </c>
      <c r="T33" s="69">
        <f>SUMIFS(Input!Y$2:Y$999,Input!$C$2:$C$999,CONCATENATE(LEFT($B$33,10),"*"),Input!$D$2:$D$999,$C$33)*IND_Mult!U33</f>
        <v>0</v>
      </c>
      <c r="U33" s="69">
        <f>SUMIFS(Input!Z$2:Z$999,Input!$C$2:$C$999,CONCATENATE(LEFT($B$33,10),"*"),Input!$D$2:$D$999,$C$33)*IND_Mult!V33</f>
        <v>0</v>
      </c>
      <c r="V33" s="69">
        <f>SUMIFS(Input!AA$2:AA$999,Input!$C$2:$C$999,CONCATENATE(LEFT($B$33,10),"*"),Input!$D$2:$D$999,$C$33)*IND_Mult!W33</f>
        <v>0</v>
      </c>
      <c r="W33" s="69">
        <f>SUMIFS(Input!AB$2:AB$999,Input!$C$2:$C$999,CONCATENATE(LEFT($B$33,10),"*"),Input!$D$2:$D$999,$C$33)*IND_Mult!X33</f>
        <v>0</v>
      </c>
      <c r="X33" s="69">
        <f>SUMIFS(Input!AC$2:AC$999,Input!$C$2:$C$999,CONCATENATE(LEFT($B$33,10),"*"),Input!$D$2:$D$999,$C$33)*IND_Mult!Y33</f>
        <v>0</v>
      </c>
      <c r="Y33" s="69">
        <f>SUMIFS(Input!AD$2:AD$999,Input!$C$2:$C$999,CONCATENATE(LEFT($B$33,10),"*"),Input!$D$2:$D$999,$C$33)*IND_Mult!Z33</f>
        <v>0</v>
      </c>
      <c r="Z33" s="69">
        <f>SUMIFS(Input!AE$2:AE$999,Input!$C$2:$C$999,CONCATENATE(LEFT($B$33,10),"*"),Input!$D$2:$D$999,$C$33)*IND_Mult!AA33</f>
        <v>0</v>
      </c>
      <c r="AA33" s="69">
        <f>SUMIFS(Input!AF$2:AF$999,Input!$C$2:$C$999,CONCATENATE(LEFT($B$33,10),"*"),Input!$D$2:$D$999,$C$33)*IND_Mult!AB33</f>
        <v>0</v>
      </c>
      <c r="AB33" s="69">
        <f>SUMIFS(Input!AG$2:AG$999,Input!$C$2:$C$999,CONCATENATE(LEFT($B$33,10),"*"),Input!$D$2:$D$999,$C$33)*IND_Mult!AC33</f>
        <v>0</v>
      </c>
      <c r="AC33" s="69">
        <f>SUMIFS(Input!AH$2:AH$999,Input!$C$2:$C$999,CONCATENATE(LEFT($B$33,10),"*"),Input!$D$2:$D$999,$C$33)*IND_Mult!AD33</f>
        <v>0</v>
      </c>
      <c r="AD33" s="69">
        <f>SUMIFS(Input!AI$2:AI$999,Input!$C$2:$C$999,CONCATENATE(LEFT($B$33,10),"*"),Input!$D$2:$D$999,$C$33)*IND_Mult!AE33</f>
        <v>0</v>
      </c>
      <c r="AE33" s="69">
        <f>SUMIFS(Input!AJ$2:AJ$999,Input!$C$2:$C$999,CONCATENATE(LEFT($B$33,10),"*"),Input!$D$2:$D$999,$C$33)*IND_Mult!AF33</f>
        <v>0</v>
      </c>
      <c r="AF33" s="69">
        <f>SUMIFS(Input!AK$2:AK$999,Input!$C$2:$C$999,CONCATENATE(LEFT($B$33,10),"*"),Input!$D$2:$D$999,$C$33)*IND_Mult!AG33</f>
        <v>0</v>
      </c>
      <c r="AG33" s="69">
        <f>SUMIFS(Input!AL$2:AL$999,Input!$C$2:$C$999,CONCATENATE(LEFT($B$33,10),"*"),Input!$D$2:$D$999,$C$33)*IND_Mult!AH33</f>
        <v>0</v>
      </c>
      <c r="AH33" s="69">
        <f>SUMIFS(Input!AM$2:AM$999,Input!$C$2:$C$999,CONCATENATE(LEFT($B$33,10),"*"),Input!$D$2:$D$999,$C$33)*IND_Mult!AI33</f>
        <v>0</v>
      </c>
      <c r="AI33" s="69">
        <f>SUMIFS(Input!AN$2:AN$999,Input!$C$2:$C$999,CONCATENATE(LEFT($B$33,10),"*"),Input!$D$2:$D$999,$C$33)*IND_Mult!AJ33</f>
        <v>0</v>
      </c>
      <c r="AJ33" s="69">
        <f>SUMIFS(Input!AO$2:AO$999,Input!$C$2:$C$999,CONCATENATE(LEFT($B$33,10),"*"),Input!$D$2:$D$999,$C$33)*IND_Mult!AK33</f>
        <v>0</v>
      </c>
      <c r="AK33" s="69">
        <f>SUMIFS(Input!AP$2:AP$999,Input!$C$2:$C$999,CONCATENATE(LEFT($B$33,10),"*"),Input!$D$2:$D$999,$C$33)*IND_Mult!AL33</f>
        <v>0</v>
      </c>
      <c r="AL33" s="69">
        <f>SUMIFS(Input!AQ$2:AQ$999,Input!$C$2:$C$999,CONCATENATE(LEFT($B$33,10),"*"),Input!$D$2:$D$999,$C$33)*IND_Mult!AM33</f>
        <v>0</v>
      </c>
      <c r="AM33" s="69">
        <f>SUMIFS(Input!AR$2:AR$999,Input!$C$2:$C$999,CONCATENATE(LEFT($B$33,10),"*"),Input!$D$2:$D$999,$C$33)*IND_Mult!AN33</f>
        <v>0</v>
      </c>
      <c r="AN33" s="69">
        <f>SUMIFS(Input!AS$2:AS$999,Input!$C$2:$C$999,CONCATENATE(LEFT($B$33,10),"*"),Input!$D$2:$D$999,$C$33)*IND_Mult!AO33</f>
        <v>0</v>
      </c>
      <c r="AO33" s="69">
        <f>SUMIFS(Input!AT$2:AT$999,Input!$C$2:$C$999,CONCATENATE(LEFT($B$33,10),"*"),Input!$D$2:$D$999,$C$33)*IND_Mult!AP33</f>
        <v>0</v>
      </c>
      <c r="AP33" s="69">
        <f>SUMIFS(Input!AU$2:AU$999,Input!$C$2:$C$999,CONCATENATE(LEFT($B$33,10),"*"),Input!$D$2:$D$999,$C$33)*IND_Mult!AQ33</f>
        <v>0</v>
      </c>
      <c r="AQ33" s="69">
        <f>SUMIFS(Input!AV$2:AV$999,Input!$C$2:$C$999,CONCATENATE(LEFT($B$33,10),"*"),Input!$D$2:$D$999,$C$33)*IND_Mult!AR33</f>
        <v>0</v>
      </c>
    </row>
    <row r="34" spans="1:43" ht="12.75">
      <c r="A34" s="6"/>
      <c r="B34" s="17" t="s">
        <v>262</v>
      </c>
      <c r="C34" s="18" t="s">
        <v>37</v>
      </c>
      <c r="D34" s="26"/>
      <c r="E34" s="16" t="s">
        <v>103</v>
      </c>
      <c r="F34" s="31"/>
      <c r="G34" s="69">
        <f>SUMIFS(Input!L$2:L$999,Input!$C$2:$C$999,CONCATENATE(LEFT($B$34,10),"*"),Input!$D$2:$D$999,$C$34)*IND_Mult!H34</f>
        <v>0.108</v>
      </c>
      <c r="H34" s="69">
        <f>SUMIFS(Input!M$2:M$999,Input!$C$2:$C$999,CONCATENATE(LEFT($B$34,10),"*"),Input!$D$2:$D$999,$C$34)*IND_Mult!I34</f>
        <v>0.108</v>
      </c>
      <c r="I34" s="69">
        <f>SUMIFS(Input!N$2:N$999,Input!$C$2:$C$999,CONCATENATE(LEFT($B$34,10),"*"),Input!$D$2:$D$999,$C$34)*IND_Mult!J34</f>
        <v>0.108</v>
      </c>
      <c r="J34" s="69">
        <f>SUMIFS(Input!O$2:O$999,Input!$C$2:$C$999,CONCATENATE(LEFT($B$34,10),"*"),Input!$D$2:$D$999,$C$34)*IND_Mult!K34</f>
        <v>0.086400000000000005</v>
      </c>
      <c r="K34" s="69">
        <f>SUMIFS(Input!P$2:P$999,Input!$C$2:$C$999,CONCATENATE(LEFT($B$34,10),"*"),Input!$D$2:$D$999,$C$34)*IND_Mult!L34</f>
        <v>0.108</v>
      </c>
      <c r="L34" s="69">
        <f>SUMIFS(Input!Q$2:Q$999,Input!$C$2:$C$999,CONCATENATE(LEFT($B$34,10),"*"),Input!$D$2:$D$999,$C$34)*IND_Mult!M34</f>
        <v>0.108</v>
      </c>
      <c r="M34" s="69">
        <f>SUMIFS(Input!R$2:R$999,Input!$C$2:$C$999,CONCATENATE(LEFT($B$34,10),"*"),Input!$D$2:$D$999,$C$34)*IND_Mult!N34</f>
        <v>0.108</v>
      </c>
      <c r="N34" s="69">
        <f>SUMIFS(Input!S$2:S$999,Input!$C$2:$C$999,CONCATENATE(LEFT($B$34,10),"*"),Input!$D$2:$D$999,$C$34)*IND_Mult!O34</f>
        <v>0.108</v>
      </c>
      <c r="O34" s="69">
        <f>SUMIFS(Input!T$2:T$999,Input!$C$2:$C$999,CONCATENATE(LEFT($B$34,10),"*"),Input!$D$2:$D$999,$C$34)*IND_Mult!P34</f>
        <v>0.091799999999999993</v>
      </c>
      <c r="P34" s="69">
        <f>SUMIFS(Input!U$2:U$999,Input!$C$2:$C$999,CONCATENATE(LEFT($B$34,10),"*"),Input!$D$2:$D$999,$C$34)*IND_Mult!Q34</f>
        <v>0.108</v>
      </c>
      <c r="Q34" s="69">
        <f>SUMIFS(Input!V$2:V$999,Input!$C$2:$C$999,CONCATENATE(LEFT($B$34,10),"*"),Input!$D$2:$D$999,$C$34)*IND_Mult!R34</f>
        <v>0.108</v>
      </c>
      <c r="R34" s="69">
        <f>SUMIFS(Input!W$2:W$999,Input!$C$2:$C$999,CONCATENATE(LEFT($B$34,10),"*"),Input!$D$2:$D$999,$C$34)*IND_Mult!S34</f>
        <v>0.25685000000000002</v>
      </c>
      <c r="S34" s="69">
        <f>SUMIFS(Input!X$2:X$999,Input!$C$2:$C$999,CONCATENATE(LEFT($B$34,10),"*"),Input!$D$2:$D$999,$C$34)*IND_Mult!T34</f>
        <v>0.108</v>
      </c>
      <c r="T34" s="69">
        <f>SUMIFS(Input!Y$2:Y$999,Input!$C$2:$C$999,CONCATENATE(LEFT($B$34,10),"*"),Input!$D$2:$D$999,$C$34)*IND_Mult!U34</f>
        <v>0.108</v>
      </c>
      <c r="U34" s="69">
        <f>SUMIFS(Input!Z$2:Z$999,Input!$C$2:$C$999,CONCATENATE(LEFT($B$34,10),"*"),Input!$D$2:$D$999,$C$34)*IND_Mult!V34</f>
        <v>0.108</v>
      </c>
      <c r="V34" s="69">
        <f>SUMIFS(Input!AA$2:AA$999,Input!$C$2:$C$999,CONCATENATE(LEFT($B$34,10),"*"),Input!$D$2:$D$999,$C$34)*IND_Mult!W34</f>
        <v>0.108</v>
      </c>
      <c r="W34" s="69">
        <f>SUMIFS(Input!AB$2:AB$999,Input!$C$2:$C$999,CONCATENATE(LEFT($B$34,10),"*"),Input!$D$2:$D$999,$C$34)*IND_Mult!X34</f>
        <v>0.108</v>
      </c>
      <c r="X34" s="69">
        <f>SUMIFS(Input!AC$2:AC$999,Input!$C$2:$C$999,CONCATENATE(LEFT($B$34,10),"*"),Input!$D$2:$D$999,$C$34)*IND_Mult!Y34</f>
        <v>0.108</v>
      </c>
      <c r="Y34" s="69">
        <f>SUMIFS(Input!AD$2:AD$999,Input!$C$2:$C$999,CONCATENATE(LEFT($B$34,10),"*"),Input!$D$2:$D$999,$C$34)*IND_Mult!Z34</f>
        <v>0.108</v>
      </c>
      <c r="Z34" s="69">
        <f>SUMIFS(Input!AE$2:AE$999,Input!$C$2:$C$999,CONCATENATE(LEFT($B$34,10),"*"),Input!$D$2:$D$999,$C$34)*IND_Mult!AA34</f>
        <v>0.108</v>
      </c>
      <c r="AA34" s="69">
        <f>SUMIFS(Input!AF$2:AF$999,Input!$C$2:$C$999,CONCATENATE(LEFT($B$34,10),"*"),Input!$D$2:$D$999,$C$34)*IND_Mult!AB34</f>
        <v>0.108</v>
      </c>
      <c r="AB34" s="69">
        <f>SUMIFS(Input!AG$2:AG$999,Input!$C$2:$C$999,CONCATENATE(LEFT($B$34,10),"*"),Input!$D$2:$D$999,$C$34)*IND_Mult!AC34</f>
        <v>0.108</v>
      </c>
      <c r="AC34" s="69">
        <f>SUMIFS(Input!AH$2:AH$999,Input!$C$2:$C$999,CONCATENATE(LEFT($B$34,10),"*"),Input!$D$2:$D$999,$C$34)*IND_Mult!AD34</f>
        <v>0.108</v>
      </c>
      <c r="AD34" s="69">
        <f>SUMIFS(Input!AI$2:AI$999,Input!$C$2:$C$999,CONCATENATE(LEFT($B$34,10),"*"),Input!$D$2:$D$999,$C$34)*IND_Mult!AE34</f>
        <v>0.108</v>
      </c>
      <c r="AE34" s="69">
        <f>SUMIFS(Input!AJ$2:AJ$999,Input!$C$2:$C$999,CONCATENATE(LEFT($B$34,10),"*"),Input!$D$2:$D$999,$C$34)*IND_Mult!AF34</f>
        <v>0.108</v>
      </c>
      <c r="AF34" s="69">
        <f>SUMIFS(Input!AK$2:AK$999,Input!$C$2:$C$999,CONCATENATE(LEFT($B$34,10),"*"),Input!$D$2:$D$999,$C$34)*IND_Mult!AG34</f>
        <v>0.108</v>
      </c>
      <c r="AG34" s="69">
        <f>SUMIFS(Input!AL$2:AL$999,Input!$C$2:$C$999,CONCATENATE(LEFT($B$34,10),"*"),Input!$D$2:$D$999,$C$34)*IND_Mult!AH34</f>
        <v>0.108</v>
      </c>
      <c r="AH34" s="69">
        <f>SUMIFS(Input!AM$2:AM$999,Input!$C$2:$C$999,CONCATENATE(LEFT($B$34,10),"*"),Input!$D$2:$D$999,$C$34)*IND_Mult!AI34</f>
        <v>0.25</v>
      </c>
      <c r="AI34" s="69">
        <f>SUMIFS(Input!AN$2:AN$999,Input!$C$2:$C$999,CONCATENATE(LEFT($B$34,10),"*"),Input!$D$2:$D$999,$C$34)*IND_Mult!AJ34</f>
        <v>0.108</v>
      </c>
      <c r="AJ34" s="69">
        <f>SUMIFS(Input!AO$2:AO$999,Input!$C$2:$C$999,CONCATENATE(LEFT($B$34,10),"*"),Input!$D$2:$D$999,$C$34)*IND_Mult!AK34</f>
        <v>0.108</v>
      </c>
      <c r="AK34" s="69">
        <f>SUMIFS(Input!AP$2:AP$999,Input!$C$2:$C$999,CONCATENATE(LEFT($B$34,10),"*"),Input!$D$2:$D$999,$C$34)*IND_Mult!AL34</f>
        <v>0.108</v>
      </c>
      <c r="AL34" s="69">
        <f>SUMIFS(Input!AQ$2:AQ$999,Input!$C$2:$C$999,CONCATENATE(LEFT($B$34,10),"*"),Input!$D$2:$D$999,$C$34)*IND_Mult!AM34</f>
        <v>0.108</v>
      </c>
      <c r="AM34" s="69">
        <f>SUMIFS(Input!AR$2:AR$999,Input!$C$2:$C$999,CONCATENATE(LEFT($B$34,10),"*"),Input!$D$2:$D$999,$C$34)*IND_Mult!AN34</f>
        <v>0.108</v>
      </c>
      <c r="AN34" s="69">
        <f>SUMIFS(Input!AS$2:AS$999,Input!$C$2:$C$999,CONCATENATE(LEFT($B$34,10),"*"),Input!$D$2:$D$999,$C$34)*IND_Mult!AO34</f>
        <v>0.108</v>
      </c>
      <c r="AO34" s="69">
        <f>SUMIFS(Input!AT$2:AT$999,Input!$C$2:$C$999,CONCATENATE(LEFT($B$34,10),"*"),Input!$D$2:$D$999,$C$34)*IND_Mult!AP34</f>
        <v>0.108</v>
      </c>
      <c r="AP34" s="69">
        <f>SUMIFS(Input!AU$2:AU$999,Input!$C$2:$C$999,CONCATENATE(LEFT($B$34,10),"*"),Input!$D$2:$D$999,$C$34)*IND_Mult!AQ34</f>
        <v>0.108</v>
      </c>
      <c r="AQ34" s="69">
        <f>SUMIFS(Input!AV$2:AV$999,Input!$C$2:$C$999,CONCATENATE(LEFT($B$34,10),"*"),Input!$D$2:$D$999,$C$34)*IND_Mult!AR34</f>
        <v>0.108</v>
      </c>
    </row>
    <row r="35" spans="1:43" ht="12.75">
      <c r="A35" s="6"/>
      <c r="B35" s="17" t="s">
        <v>262</v>
      </c>
      <c r="C35" s="18" t="s">
        <v>41</v>
      </c>
      <c r="D35" s="26"/>
      <c r="E35" s="16" t="s">
        <v>104</v>
      </c>
      <c r="F35" s="31"/>
      <c r="G35" s="72">
        <f>SUMIFS(Output!L$2:L$999,Output!$C$2:$C$999,CONCATENATE(LEFT($B$35,10),"*"),Output!$D$2:$D$999,$C$35)*IND_Mult!H38</f>
        <v>1</v>
      </c>
      <c r="H35" s="72">
        <f>SUMIFS(Output!M$2:M$999,Output!$C$2:$C$999,CONCATENATE(LEFT($B$35,10),"*"),Output!$D$2:$D$999,$C$35)*IND_Mult!I38</f>
        <v>1</v>
      </c>
      <c r="I35" s="72">
        <f>SUMIFS(Output!N$2:N$999,Output!$C$2:$C$999,CONCATENATE(LEFT($B$35,10),"*"),Output!$D$2:$D$999,$C$35)*IND_Mult!J38</f>
        <v>1</v>
      </c>
      <c r="J35" s="72">
        <f>SUMIFS(Output!O$2:O$999,Output!$C$2:$C$999,CONCATENATE(LEFT($B$35,10),"*"),Output!$D$2:$D$999,$C$35)*IND_Mult!K38</f>
        <v>1</v>
      </c>
      <c r="K35" s="72">
        <f>SUMIFS(Output!P$2:P$999,Output!$C$2:$C$999,CONCATENATE(LEFT($B$35,10),"*"),Output!$D$2:$D$999,$C$35)*IND_Mult!L38</f>
        <v>1</v>
      </c>
      <c r="L35" s="72">
        <f>SUMIFS(Output!Q$2:Q$999,Output!$C$2:$C$999,CONCATENATE(LEFT($B$35,10),"*"),Output!$D$2:$D$999,$C$35)*IND_Mult!M38</f>
        <v>1</v>
      </c>
      <c r="M35" s="72">
        <f>SUMIFS(Output!R$2:R$999,Output!$C$2:$C$999,CONCATENATE(LEFT($B$35,10),"*"),Output!$D$2:$D$999,$C$35)*IND_Mult!N38</f>
        <v>1</v>
      </c>
      <c r="N35" s="72">
        <f>SUMIFS(Output!S$2:S$999,Output!$C$2:$C$999,CONCATENATE(LEFT($B$35,10),"*"),Output!$D$2:$D$999,$C$35)*IND_Mult!O38</f>
        <v>1</v>
      </c>
      <c r="O35" s="72">
        <f>SUMIFS(Output!T$2:T$999,Output!$C$2:$C$999,CONCATENATE(LEFT($B$35,10),"*"),Output!$D$2:$D$999,$C$35)*IND_Mult!P38</f>
        <v>1</v>
      </c>
      <c r="P35" s="72">
        <f>SUMIFS(Output!U$2:U$999,Output!$C$2:$C$999,CONCATENATE(LEFT($B$35,10),"*"),Output!$D$2:$D$999,$C$35)*IND_Mult!Q38</f>
        <v>1</v>
      </c>
      <c r="Q35" s="72">
        <f>SUMIFS(Output!V$2:V$999,Output!$C$2:$C$999,CONCATENATE(LEFT($B$35,10),"*"),Output!$D$2:$D$999,$C$35)*IND_Mult!R38</f>
        <v>1</v>
      </c>
      <c r="R35" s="72">
        <f>SUMIFS(Output!W$2:W$999,Output!$C$2:$C$999,CONCATENATE(LEFT($B$35,10),"*"),Output!$D$2:$D$999,$C$35)*IND_Mult!S38</f>
        <v>1</v>
      </c>
      <c r="S35" s="72">
        <f>SUMIFS(Output!X$2:X$999,Output!$C$2:$C$999,CONCATENATE(LEFT($B$35,10),"*"),Output!$D$2:$D$999,$C$35)*IND_Mult!T38</f>
        <v>1</v>
      </c>
      <c r="T35" s="72">
        <f>SUMIFS(Output!Y$2:Y$999,Output!$C$2:$C$999,CONCATENATE(LEFT($B$35,10),"*"),Output!$D$2:$D$999,$C$35)*IND_Mult!U38</f>
        <v>1</v>
      </c>
      <c r="U35" s="72">
        <f>SUMIFS(Output!Z$2:Z$999,Output!$C$2:$C$999,CONCATENATE(LEFT($B$35,10),"*"),Output!$D$2:$D$999,$C$35)*IND_Mult!V38</f>
        <v>1</v>
      </c>
      <c r="V35" s="72">
        <f>SUMIFS(Output!AA$2:AA$999,Output!$C$2:$C$999,CONCATENATE(LEFT($B$35,10),"*"),Output!$D$2:$D$999,$C$35)*IND_Mult!W38</f>
        <v>1</v>
      </c>
      <c r="W35" s="72">
        <f>SUMIFS(Output!AB$2:AB$999,Output!$C$2:$C$999,CONCATENATE(LEFT($B$35,10),"*"),Output!$D$2:$D$999,$C$35)*IND_Mult!X38</f>
        <v>1</v>
      </c>
      <c r="X35" s="72">
        <f>SUMIFS(Output!AC$2:AC$999,Output!$C$2:$C$999,CONCATENATE(LEFT($B$35,10),"*"),Output!$D$2:$D$999,$C$35)*IND_Mult!Y38</f>
        <v>1</v>
      </c>
      <c r="Y35" s="72">
        <f>SUMIFS(Output!AD$2:AD$999,Output!$C$2:$C$999,CONCATENATE(LEFT($B$35,10),"*"),Output!$D$2:$D$999,$C$35)*IND_Mult!Z38</f>
        <v>1</v>
      </c>
      <c r="Z35" s="72">
        <f>SUMIFS(Output!AE$2:AE$999,Output!$C$2:$C$999,CONCATENATE(LEFT($B$35,10),"*"),Output!$D$2:$D$999,$C$35)*IND_Mult!AA38</f>
        <v>1</v>
      </c>
      <c r="AA35" s="72">
        <f>SUMIFS(Output!AF$2:AF$999,Output!$C$2:$C$999,CONCATENATE(LEFT($B$35,10),"*"),Output!$D$2:$D$999,$C$35)*IND_Mult!AB38</f>
        <v>1</v>
      </c>
      <c r="AB35" s="72">
        <f>SUMIFS(Output!AG$2:AG$999,Output!$C$2:$C$999,CONCATENATE(LEFT($B$35,10),"*"),Output!$D$2:$D$999,$C$35)*IND_Mult!AC38</f>
        <v>1</v>
      </c>
      <c r="AC35" s="72">
        <f>SUMIFS(Output!AH$2:AH$999,Output!$C$2:$C$999,CONCATENATE(LEFT($B$35,10),"*"),Output!$D$2:$D$999,$C$35)*IND_Mult!AD38</f>
        <v>1</v>
      </c>
      <c r="AD35" s="72">
        <f>SUMIFS(Output!AI$2:AI$999,Output!$C$2:$C$999,CONCATENATE(LEFT($B$35,10),"*"),Output!$D$2:$D$999,$C$35)*IND_Mult!AE38</f>
        <v>1</v>
      </c>
      <c r="AE35" s="72">
        <f>SUMIFS(Output!AJ$2:AJ$999,Output!$C$2:$C$999,CONCATENATE(LEFT($B$35,10),"*"),Output!$D$2:$D$999,$C$35)*IND_Mult!AF38</f>
        <v>1</v>
      </c>
      <c r="AF35" s="72">
        <f>SUMIFS(Output!AK$2:AK$999,Output!$C$2:$C$999,CONCATENATE(LEFT($B$35,10),"*"),Output!$D$2:$D$999,$C$35)*IND_Mult!AG38</f>
        <v>1</v>
      </c>
      <c r="AG35" s="72">
        <f>SUMIFS(Output!AL$2:AL$999,Output!$C$2:$C$999,CONCATENATE(LEFT($B$35,10),"*"),Output!$D$2:$D$999,$C$35)*IND_Mult!AH38</f>
        <v>1</v>
      </c>
      <c r="AH35" s="72">
        <f>SUMIFS(Output!AM$2:AM$999,Output!$C$2:$C$999,CONCATENATE(LEFT($B$35,10),"*"),Output!$D$2:$D$999,$C$35)*IND_Mult!AI38</f>
        <v>1</v>
      </c>
      <c r="AI35" s="72">
        <f>SUMIFS(Output!AN$2:AN$999,Output!$C$2:$C$999,CONCATENATE(LEFT($B$35,10),"*"),Output!$D$2:$D$999,$C$35)*IND_Mult!AJ38</f>
        <v>1</v>
      </c>
      <c r="AJ35" s="72">
        <f>SUMIFS(Output!AO$2:AO$999,Output!$C$2:$C$999,CONCATENATE(LEFT($B$35,10),"*"),Output!$D$2:$D$999,$C$35)*IND_Mult!AK38</f>
        <v>1</v>
      </c>
      <c r="AK35" s="72">
        <f>SUMIFS(Output!AP$2:AP$999,Output!$C$2:$C$999,CONCATENATE(LEFT($B$35,10),"*"),Output!$D$2:$D$999,$C$35)*IND_Mult!AL38</f>
        <v>1</v>
      </c>
      <c r="AL35" s="72">
        <f>SUMIFS(Output!AQ$2:AQ$999,Output!$C$2:$C$999,CONCATENATE(LEFT($B$35,10),"*"),Output!$D$2:$D$999,$C$35)*IND_Mult!AM38</f>
        <v>1</v>
      </c>
      <c r="AM35" s="72">
        <f>SUMIFS(Output!AR$2:AR$999,Output!$C$2:$C$999,CONCATENATE(LEFT($B$35,10),"*"),Output!$D$2:$D$999,$C$35)*IND_Mult!AN38</f>
        <v>1</v>
      </c>
      <c r="AN35" s="72">
        <f>SUMIFS(Output!AS$2:AS$999,Output!$C$2:$C$999,CONCATENATE(LEFT($B$35,10),"*"),Output!$D$2:$D$999,$C$35)*IND_Mult!AO38</f>
        <v>1</v>
      </c>
      <c r="AO35" s="72">
        <f>SUMIFS(Output!AT$2:AT$999,Output!$C$2:$C$999,CONCATENATE(LEFT($B$35,10),"*"),Output!$D$2:$D$999,$C$35)*IND_Mult!AP38</f>
        <v>1</v>
      </c>
      <c r="AP35" s="72">
        <f>SUMIFS(Output!AU$2:AU$999,Output!$C$2:$C$999,CONCATENATE(LEFT($B$35,10),"*"),Output!$D$2:$D$999,$C$35)*IND_Mult!AQ38</f>
        <v>1</v>
      </c>
      <c r="AQ35" s="72">
        <f>SUMIFS(Output!AV$2:AV$999,Output!$C$2:$C$999,CONCATENATE(LEFT($B$35,10),"*"),Output!$D$2:$D$999,$C$35)*IND_Mult!AR38</f>
        <v>1</v>
      </c>
    </row>
    <row r="36" spans="1:43" ht="12.75">
      <c r="A36" s="6"/>
      <c r="B36" s="63" t="s">
        <v>276</v>
      </c>
      <c r="C36" s="63" t="s">
        <v>38</v>
      </c>
      <c r="D36" s="22" t="s">
        <v>287</v>
      </c>
      <c r="E36" t="s">
        <v>286</v>
      </c>
      <c r="F36" s="63"/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</row>
    <row r="37" spans="1:43" ht="12.75">
      <c r="A37" s="6"/>
      <c r="B37" s="63" t="s">
        <v>276</v>
      </c>
      <c r="C37" s="63" t="s">
        <v>49</v>
      </c>
      <c r="D37" s="22" t="s">
        <v>287</v>
      </c>
      <c r="E37" t="s">
        <v>286</v>
      </c>
      <c r="F37" s="63"/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>
        <v>0</v>
      </c>
      <c r="AA37" s="64">
        <v>0</v>
      </c>
      <c r="AB37" s="64">
        <v>0</v>
      </c>
      <c r="AC37" s="64">
        <v>0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>
        <v>0</v>
      </c>
      <c r="AJ37" s="64">
        <v>0</v>
      </c>
      <c r="AK37" s="64">
        <v>0</v>
      </c>
      <c r="AL37" s="64">
        <v>0</v>
      </c>
      <c r="AM37" s="64">
        <v>0</v>
      </c>
      <c r="AN37" s="64">
        <v>0</v>
      </c>
      <c r="AO37" s="64">
        <v>0</v>
      </c>
      <c r="AP37" s="64">
        <v>0</v>
      </c>
      <c r="AQ37" s="64">
        <v>0</v>
      </c>
    </row>
    <row r="38" spans="1:43" ht="12.75">
      <c r="A38" s="6"/>
      <c r="B38" s="63" t="s">
        <v>276</v>
      </c>
      <c r="C38" s="63" t="s">
        <v>102</v>
      </c>
      <c r="D38" s="22" t="s">
        <v>287</v>
      </c>
      <c r="E38" t="s">
        <v>286</v>
      </c>
      <c r="F38" s="63"/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0</v>
      </c>
      <c r="AI38" s="64">
        <v>0</v>
      </c>
      <c r="AJ38" s="64">
        <v>0</v>
      </c>
      <c r="AK38" s="64">
        <v>0</v>
      </c>
      <c r="AL38" s="64">
        <v>0</v>
      </c>
      <c r="AM38" s="64">
        <v>0</v>
      </c>
      <c r="AN38" s="64">
        <v>0</v>
      </c>
      <c r="AO38" s="64">
        <v>0</v>
      </c>
      <c r="AP38" s="64">
        <v>0</v>
      </c>
      <c r="AQ38" s="64">
        <v>0</v>
      </c>
    </row>
    <row r="39" spans="1:43" ht="12.75">
      <c r="A39" s="6"/>
      <c r="B39" s="63" t="s">
        <v>276</v>
      </c>
      <c r="C39" s="63" t="s">
        <v>37</v>
      </c>
      <c r="D39" s="22" t="s">
        <v>287</v>
      </c>
      <c r="E39" t="s">
        <v>286</v>
      </c>
      <c r="F39" s="63"/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>
        <v>0</v>
      </c>
      <c r="AJ39" s="64">
        <v>0</v>
      </c>
      <c r="AK39" s="64">
        <v>0</v>
      </c>
      <c r="AL39" s="64">
        <v>0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</row>
    <row r="40" spans="1:43" ht="12.75">
      <c r="A40" s="6"/>
      <c r="B40" s="63" t="s">
        <v>276</v>
      </c>
      <c r="C40" s="20" t="s">
        <v>277</v>
      </c>
      <c r="D40" s="22" t="s">
        <v>287</v>
      </c>
      <c r="E40" t="s">
        <v>286</v>
      </c>
      <c r="F40" s="63"/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0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>
        <v>0</v>
      </c>
      <c r="AJ40" s="64">
        <v>0</v>
      </c>
      <c r="AK40" s="64">
        <v>0</v>
      </c>
      <c r="AL40" s="64">
        <v>0</v>
      </c>
      <c r="AM40" s="64">
        <v>0</v>
      </c>
      <c r="AN40" s="64">
        <v>0</v>
      </c>
      <c r="AO40" s="64">
        <v>0</v>
      </c>
      <c r="AP40" s="64">
        <v>0</v>
      </c>
      <c r="AQ40" s="64">
        <v>0</v>
      </c>
    </row>
    <row r="41" spans="1:43" ht="12.75">
      <c r="A41" s="6"/>
      <c r="B41" s="63" t="s">
        <v>276</v>
      </c>
      <c r="C41" s="63"/>
      <c r="D41" s="63"/>
      <c r="E41" s="64" t="s">
        <v>278</v>
      </c>
      <c r="F41" s="20"/>
      <c r="G41" s="65">
        <f>0.159043269450185*(AVERAGE(IND_Mult!H36:H37))</f>
        <v>0.15904326945018499</v>
      </c>
      <c r="H41" s="65">
        <f>0.159043269450185*(AVERAGE(IND_Mult!I36:I37))</f>
        <v>0.15904326945018499</v>
      </c>
      <c r="I41" s="65">
        <f>0.159043269450185*(AVERAGE(IND_Mult!J36:J37))</f>
        <v>0.15904326945018499</v>
      </c>
      <c r="J41" s="65">
        <f>0.159043269450185*(AVERAGE(IND_Mult!K36:K37))</f>
        <v>0.15904326945018499</v>
      </c>
      <c r="K41" s="65">
        <f>0.159043269450185*(AVERAGE(IND_Mult!L36:L37))</f>
        <v>0.15904326945018499</v>
      </c>
      <c r="L41" s="65">
        <f>0.159043269450185*(AVERAGE(IND_Mult!M36:M37))</f>
        <v>0.15904326945018499</v>
      </c>
      <c r="M41" s="65">
        <f>0.159043269450185*(AVERAGE(IND_Mult!N36:N37))</f>
        <v>0.15904326945018499</v>
      </c>
      <c r="N41" s="65">
        <f>0.159043269450185*(AVERAGE(IND_Mult!O36:O37))</f>
        <v>0.15904326945018499</v>
      </c>
      <c r="O41" s="65">
        <f>0.159043269450185*(AVERAGE(IND_Mult!P36:P37))</f>
        <v>0.13518677903265724</v>
      </c>
      <c r="P41" s="65">
        <f>0.159043269450185*(AVERAGE(IND_Mult!Q36:Q37))</f>
        <v>0.15904326945018499</v>
      </c>
      <c r="Q41" s="65">
        <f>0.159043269450185*(AVERAGE(IND_Mult!R36:R37))</f>
        <v>0.15904326945018499</v>
      </c>
      <c r="R41" s="65">
        <f>0.159043269450185*(AVERAGE(IND_Mult!S36:S37))</f>
        <v>0.15904326945018499</v>
      </c>
      <c r="S41" s="65">
        <f>0.159043269450185*(AVERAGE(IND_Mult!T36:T37))</f>
        <v>0.15904326945018499</v>
      </c>
      <c r="T41" s="65">
        <f>0.159043269450185*(AVERAGE(IND_Mult!U36:U37))</f>
        <v>0.15904326945018499</v>
      </c>
      <c r="U41" s="65">
        <f>0.159043269450185*(AVERAGE(IND_Mult!V36:V37))</f>
        <v>0.15904326945018499</v>
      </c>
      <c r="V41" s="65">
        <f>0.159043269450185*(AVERAGE(IND_Mult!W36:W37))</f>
        <v>0.15904326945018499</v>
      </c>
      <c r="W41" s="65">
        <f>0.159043269450185*(AVERAGE(IND_Mult!X36:X37))</f>
        <v>0.15904326945018499</v>
      </c>
      <c r="X41" s="65">
        <f>0.159043269450185*(AVERAGE(IND_Mult!Y36:Y37))</f>
        <v>0.15904326945018499</v>
      </c>
      <c r="Y41" s="65">
        <f>0.159043269450185*(AVERAGE(IND_Mult!Z36:Z37))</f>
        <v>0.15904326945018499</v>
      </c>
      <c r="Z41" s="65">
        <f>0.159043269450185*(AVERAGE(IND_Mult!AA36:AA37))</f>
        <v>0.15904326945018499</v>
      </c>
      <c r="AA41" s="65">
        <f>0.159043269450185*(AVERAGE(IND_Mult!AB36:AB37))</f>
        <v>0.15904326945018499</v>
      </c>
      <c r="AB41" s="65">
        <f>0.159043269450185*(AVERAGE(IND_Mult!AC36:AC37))</f>
        <v>0.15904326945018499</v>
      </c>
      <c r="AC41" s="65">
        <f>0.159043269450185*(AVERAGE(IND_Mult!AD36:AD37))</f>
        <v>0.15904326945018499</v>
      </c>
      <c r="AD41" s="65">
        <f>0.159043269450185*(AVERAGE(IND_Mult!AE36:AE37))</f>
        <v>0.15904326945018499</v>
      </c>
      <c r="AE41" s="65">
        <f>0.159043269450185*(AVERAGE(IND_Mult!AF36:AF37))</f>
        <v>0.15904326945018499</v>
      </c>
      <c r="AF41" s="65">
        <f>0.159043269450185*(AVERAGE(IND_Mult!AG36:AG37))</f>
        <v>0.15904326945018499</v>
      </c>
      <c r="AG41" s="65">
        <f>0.159043269450185*(AVERAGE(IND_Mult!AH36:AH37))</f>
        <v>0.15904326945018499</v>
      </c>
      <c r="AH41" s="65">
        <f>0.159043269450185*(AVERAGE(IND_Mult!AI36:AI37))</f>
        <v>0.15904326945018499</v>
      </c>
      <c r="AI41" s="65">
        <f>0.159043269450185*(AVERAGE(IND_Mult!AJ36:AJ37))</f>
        <v>0.15904326945018499</v>
      </c>
      <c r="AJ41" s="65">
        <f>0.159043269450185*(AVERAGE(IND_Mult!AK36:AK37))</f>
        <v>0.15904326945018499</v>
      </c>
      <c r="AK41" s="65">
        <f>0.159043269450185*(AVERAGE(IND_Mult!AL36:AL37))</f>
        <v>0.15904326945018499</v>
      </c>
      <c r="AL41" s="65">
        <f>0.159043269450185*(AVERAGE(IND_Mult!AM36:AM37))</f>
        <v>0.15904326945018499</v>
      </c>
      <c r="AM41" s="65">
        <f>0.159043269450185*(AVERAGE(IND_Mult!AN36:AN37))</f>
        <v>0.15904326945018499</v>
      </c>
      <c r="AN41" s="65">
        <f>0.159043269450185*(AVERAGE(IND_Mult!AO36:AO37))</f>
        <v>0.15904326945018499</v>
      </c>
      <c r="AO41" s="65">
        <f>0.159043269450185*(AVERAGE(IND_Mult!AP36:AP37))</f>
        <v>0.15904326945018499</v>
      </c>
      <c r="AP41" s="65">
        <f>0.159043269450185*(AVERAGE(IND_Mult!AQ36:AQ37))</f>
        <v>0.15904326945018499</v>
      </c>
      <c r="AQ41" s="65">
        <f>0.159043269450185*(AVERAGE(IND_Mult!AR36:AR37))</f>
        <v>0.15904326945018499</v>
      </c>
    </row>
    <row r="42" spans="1:43" ht="12.75">
      <c r="A42" s="6"/>
      <c r="B42" s="17" t="s">
        <v>263</v>
      </c>
      <c r="C42" s="18" t="s">
        <v>37</v>
      </c>
      <c r="D42" s="26"/>
      <c r="E42" s="16" t="s">
        <v>103</v>
      </c>
      <c r="F42" s="31"/>
      <c r="G42" s="69">
        <f>SUMIFS(Input!L$2:L$999,Input!$C$2:$C$999,CONCATENATE(LEFT($B$42,10),"*"),Input!$D$2:$D$999,$C$42)*IND_Mult!H42</f>
        <v>0.23801652892562</v>
      </c>
      <c r="H42" s="69">
        <f>SUMIFS(Input!M$2:M$999,Input!$C$2:$C$999,CONCATENATE(LEFT($B$42,10),"*"),Input!$D$2:$D$999,$C$42)*IND_Mult!I42</f>
        <v>1.4786535677655701</v>
      </c>
      <c r="I42" s="69">
        <f>SUMIFS(Input!N$2:N$999,Input!$C$2:$C$999,CONCATENATE(LEFT($B$42,10),"*"),Input!$D$2:$D$999,$C$42)*IND_Mult!J42</f>
        <v>0</v>
      </c>
      <c r="J42" s="69">
        <f>SUMIFS(Input!O$2:O$999,Input!$C$2:$C$999,CONCATENATE(LEFT($B$42,10),"*"),Input!$D$2:$D$999,$C$42)*IND_Mult!K42</f>
        <v>0</v>
      </c>
      <c r="K42" s="69">
        <f>SUMIFS(Input!P$2:P$999,Input!$C$2:$C$999,CONCATENATE(LEFT($B$42,10),"*"),Input!$D$2:$D$999,$C$42)*IND_Mult!L42</f>
        <v>0.96248719999999999</v>
      </c>
      <c r="L42" s="69">
        <f>SUMIFS(Input!Q$2:Q$999,Input!$C$2:$C$999,CONCATENATE(LEFT($B$42,10),"*"),Input!$D$2:$D$999,$C$42)*IND_Mult!M42</f>
        <v>1</v>
      </c>
      <c r="M42" s="69">
        <f>SUMIFS(Input!R$2:R$999,Input!$C$2:$C$999,CONCATENATE(LEFT($B$42,10),"*"),Input!$D$2:$D$999,$C$42)*IND_Mult!N42</f>
        <v>0.17651072961373401</v>
      </c>
      <c r="N42" s="69">
        <f>SUMIFS(Input!S$2:S$999,Input!$C$2:$C$999,CONCATENATE(LEFT($B$42,10),"*"),Input!$D$2:$D$999,$C$42)*IND_Mult!O42</f>
        <v>0.84664979386626404</v>
      </c>
      <c r="O42" s="69">
        <f>SUMIFS(Input!T$2:T$999,Input!$C$2:$C$999,CONCATENATE(LEFT($B$42,10),"*"),Input!$D$2:$D$999,$C$42)*IND_Mult!P42</f>
        <v>0.62509000000000003</v>
      </c>
      <c r="P42" s="69">
        <f>SUMIFS(Input!U$2:U$999,Input!$C$2:$C$999,CONCATENATE(LEFT($B$42,10),"*"),Input!$D$2:$D$999,$C$42)*IND_Mult!Q42</f>
        <v>0.89981568611347396</v>
      </c>
      <c r="Q42" s="69">
        <f>SUMIFS(Input!V$2:V$999,Input!$C$2:$C$999,CONCATENATE(LEFT($B$42,10),"*"),Input!$D$2:$D$999,$C$42)*IND_Mult!R42</f>
        <v>1</v>
      </c>
      <c r="R42" s="69">
        <f>SUMIFS(Input!W$2:W$999,Input!$C$2:$C$999,CONCATENATE(LEFT($B$42,10),"*"),Input!$D$2:$D$999,$C$42)*IND_Mult!S42</f>
        <v>0.121951414408024</v>
      </c>
      <c r="S42" s="69">
        <f>SUMIFS(Input!X$2:X$999,Input!$C$2:$C$999,CONCATENATE(LEFT($B$42,10),"*"),Input!$D$2:$D$999,$C$42)*IND_Mult!T42</f>
        <v>0.16500000000000001</v>
      </c>
      <c r="T42" s="69">
        <f>SUMIFS(Input!Y$2:Y$999,Input!$C$2:$C$999,CONCATENATE(LEFT($B$42,10),"*"),Input!$D$2:$D$999,$C$42)*IND_Mult!U42</f>
        <v>2.3107824472573801</v>
      </c>
      <c r="U42" s="69">
        <f>SUMIFS(Input!Z$2:Z$999,Input!$C$2:$C$999,CONCATENATE(LEFT($B$42,10),"*"),Input!$D$2:$D$999,$C$42)*IND_Mult!V42</f>
        <v>0.75328215349908301</v>
      </c>
      <c r="V42" s="69">
        <f>SUMIFS(Input!AA$2:AA$999,Input!$C$2:$C$999,CONCATENATE(LEFT($B$42,10),"*"),Input!$D$2:$D$999,$C$42)*IND_Mult!W42</f>
        <v>0.17000000000000001</v>
      </c>
      <c r="W42" s="69">
        <f>SUMIFS(Input!AB$2:AB$999,Input!$C$2:$C$999,CONCATENATE(LEFT($B$42,10),"*"),Input!$D$2:$D$999,$C$42)*IND_Mult!X42</f>
        <v>0.67049056139823604</v>
      </c>
      <c r="X42" s="69">
        <f>SUMIFS(Input!AC$2:AC$999,Input!$C$2:$C$999,CONCATENATE(LEFT($B$42,10),"*"),Input!$D$2:$D$999,$C$42)*IND_Mult!Y42</f>
        <v>0.34200000000000003</v>
      </c>
      <c r="Y42" s="69">
        <f>SUMIFS(Input!AD$2:AD$999,Input!$C$2:$C$999,CONCATENATE(LEFT($B$42,10),"*"),Input!$D$2:$D$999,$C$42)*IND_Mult!Z42</f>
        <v>0</v>
      </c>
      <c r="Z42" s="69">
        <f>SUMIFS(Input!AE$2:AE$999,Input!$C$2:$C$999,CONCATENATE(LEFT($B$42,10),"*"),Input!$D$2:$D$999,$C$42)*IND_Mult!AA42</f>
        <v>0</v>
      </c>
      <c r="AA42" s="69">
        <f>SUMIFS(Input!AF$2:AF$999,Input!$C$2:$C$999,CONCATENATE(LEFT($B$42,10),"*"),Input!$D$2:$D$999,$C$42)*IND_Mult!AB42</f>
        <v>0</v>
      </c>
      <c r="AB42" s="69">
        <f>SUMIFS(Input!AG$2:AG$999,Input!$C$2:$C$999,CONCATENATE(LEFT($B$42,10),"*"),Input!$D$2:$D$999,$C$42)*IND_Mult!AC42</f>
        <v>0</v>
      </c>
      <c r="AC42" s="69">
        <f>SUMIFS(Input!AH$2:AH$999,Input!$C$2:$C$999,CONCATENATE(LEFT($B$42,10),"*"),Input!$D$2:$D$999,$C$42)*IND_Mult!AD42</f>
        <v>0</v>
      </c>
      <c r="AD42" s="69">
        <f>SUMIFS(Input!AI$2:AI$999,Input!$C$2:$C$999,CONCATENATE(LEFT($B$42,10),"*"),Input!$D$2:$D$999,$C$42)*IND_Mult!AE42</f>
        <v>0</v>
      </c>
      <c r="AE42" s="69">
        <f>SUMIFS(Input!AJ$2:AJ$999,Input!$C$2:$C$999,CONCATENATE(LEFT($B$42,10),"*"),Input!$D$2:$D$999,$C$42)*IND_Mult!AF42</f>
        <v>0</v>
      </c>
      <c r="AF42" s="69">
        <f>SUMIFS(Input!AK$2:AK$999,Input!$C$2:$C$999,CONCATENATE(LEFT($B$42,10),"*"),Input!$D$2:$D$999,$C$42)*IND_Mult!AG42</f>
        <v>0.42499999999999999</v>
      </c>
      <c r="AG42" s="69">
        <f>SUMIFS(Input!AL$2:AL$999,Input!$C$2:$C$999,CONCATENATE(LEFT($B$42,10),"*"),Input!$D$2:$D$999,$C$42)*IND_Mult!AH42</f>
        <v>0</v>
      </c>
      <c r="AH42" s="69">
        <f>SUMIFS(Input!AM$2:AM$999,Input!$C$2:$C$999,CONCATENATE(LEFT($B$42,10),"*"),Input!$D$2:$D$999,$C$42)*IND_Mult!AI42</f>
        <v>0</v>
      </c>
      <c r="AI42" s="69">
        <f>SUMIFS(Input!AN$2:AN$999,Input!$C$2:$C$999,CONCATENATE(LEFT($B$42,10),"*"),Input!$D$2:$D$999,$C$42)*IND_Mult!AJ42</f>
        <v>1.5</v>
      </c>
      <c r="AJ42" s="69">
        <f>SUMIFS(Input!AO$2:AO$999,Input!$C$2:$C$999,CONCATENATE(LEFT($B$42,10),"*"),Input!$D$2:$D$999,$C$42)*IND_Mult!AK42</f>
        <v>0</v>
      </c>
      <c r="AK42" s="69">
        <f>SUMIFS(Input!AP$2:AP$999,Input!$C$2:$C$999,CONCATENATE(LEFT($B$42,10),"*"),Input!$D$2:$D$999,$C$42)*IND_Mult!AL42</f>
        <v>0.23400000000000001</v>
      </c>
      <c r="AL42" s="69">
        <f>SUMIFS(Input!AQ$2:AQ$999,Input!$C$2:$C$999,CONCATENATE(LEFT($B$42,10),"*"),Input!$D$2:$D$999,$C$42)*IND_Mult!AM42</f>
        <v>0.814469</v>
      </c>
      <c r="AM42" s="69">
        <f>SUMIFS(Input!AR$2:AR$999,Input!$C$2:$C$999,CONCATENATE(LEFT($B$42,10),"*"),Input!$D$2:$D$999,$C$42)*IND_Mult!AN42</f>
        <v>0</v>
      </c>
      <c r="AN42" s="69">
        <f>SUMIFS(Input!AS$2:AS$999,Input!$C$2:$C$999,CONCATENATE(LEFT($B$42,10),"*"),Input!$D$2:$D$999,$C$42)*IND_Mult!AO42</f>
        <v>0</v>
      </c>
      <c r="AO42" s="69">
        <f>SUMIFS(Input!AT$2:AT$999,Input!$C$2:$C$999,CONCATENATE(LEFT($B$42,10),"*"),Input!$D$2:$D$999,$C$42)*IND_Mult!AP42</f>
        <v>3.3999999999999999</v>
      </c>
      <c r="AP42" s="69">
        <f>SUMIFS(Input!AU$2:AU$999,Input!$C$2:$C$999,CONCATENATE(LEFT($B$42,10),"*"),Input!$D$2:$D$999,$C$42)*IND_Mult!AQ42</f>
        <v>0.53939018110355297</v>
      </c>
      <c r="AQ42" s="69">
        <f>SUMIFS(Input!AV$2:AV$999,Input!$C$2:$C$999,CONCATENATE(LEFT($B$42,10),"*"),Input!$D$2:$D$999,$C$42)*IND_Mult!AR42</f>
        <v>0.358648578901482</v>
      </c>
    </row>
    <row r="43" spans="1:43" ht="12.75">
      <c r="A43" s="6"/>
      <c r="B43" s="17" t="s">
        <v>263</v>
      </c>
      <c r="C43" s="18" t="s">
        <v>39</v>
      </c>
      <c r="D43" s="26"/>
      <c r="E43" s="16" t="s">
        <v>103</v>
      </c>
      <c r="F43" s="31"/>
      <c r="G43" s="69">
        <f>SUMIFS(Input!L$2:L$999,Input!$C$2:$C$999,CONCATENATE(LEFT($B$43,10),"*"),Input!$D$2:$D$999,$C$43)*IND_Mult!H43</f>
        <v>0</v>
      </c>
      <c r="H43" s="69">
        <f>SUMIFS(Input!M$2:M$999,Input!$C$2:$C$999,CONCATENATE(LEFT($B$43,10),"*"),Input!$D$2:$D$999,$C$43)*IND_Mult!I43</f>
        <v>0</v>
      </c>
      <c r="I43" s="69">
        <f>SUMIFS(Input!N$2:N$999,Input!$C$2:$C$999,CONCATENATE(LEFT($B$43,10),"*"),Input!$D$2:$D$999,$C$43)*IND_Mult!J43</f>
        <v>0</v>
      </c>
      <c r="J43" s="69">
        <f>SUMIFS(Input!O$2:O$999,Input!$C$2:$C$999,CONCATENATE(LEFT($B$43,10),"*"),Input!$D$2:$D$999,$C$43)*IND_Mult!K43</f>
        <v>0</v>
      </c>
      <c r="K43" s="69">
        <f>SUMIFS(Input!P$2:P$999,Input!$C$2:$C$999,CONCATENATE(LEFT($B$43,10),"*"),Input!$D$2:$D$999,$C$43)*IND_Mult!L43</f>
        <v>0</v>
      </c>
      <c r="L43" s="69">
        <f>SUMIFS(Input!Q$2:Q$999,Input!$C$2:$C$999,CONCATENATE(LEFT($B$43,10),"*"),Input!$D$2:$D$999,$C$43)*IND_Mult!M43</f>
        <v>0</v>
      </c>
      <c r="M43" s="69">
        <f>SUMIFS(Input!R$2:R$999,Input!$C$2:$C$999,CONCATENATE(LEFT($B$43,10),"*"),Input!$D$2:$D$999,$C$43)*IND_Mult!N43</f>
        <v>0</v>
      </c>
      <c r="N43" s="69">
        <f>SUMIFS(Input!S$2:S$999,Input!$C$2:$C$999,CONCATENATE(LEFT($B$43,10),"*"),Input!$D$2:$D$999,$C$43)*IND_Mult!O43</f>
        <v>0.047</v>
      </c>
      <c r="O43" s="69">
        <f>SUMIFS(Input!T$2:T$999,Input!$C$2:$C$999,CONCATENATE(LEFT($B$43,10),"*"),Input!$D$2:$D$999,$C$43)*IND_Mult!P43</f>
        <v>0</v>
      </c>
      <c r="P43" s="69">
        <f>SUMIFS(Input!U$2:U$999,Input!$C$2:$C$999,CONCATENATE(LEFT($B$43,10),"*"),Input!$D$2:$D$999,$C$43)*IND_Mult!Q43</f>
        <v>0.047577272727272697</v>
      </c>
      <c r="Q43" s="69">
        <f>SUMIFS(Input!V$2:V$999,Input!$C$2:$C$999,CONCATENATE(LEFT($B$43,10),"*"),Input!$D$2:$D$999,$C$43)*IND_Mult!R43</f>
        <v>0</v>
      </c>
      <c r="R43" s="69">
        <f>SUMIFS(Input!W$2:W$999,Input!$C$2:$C$999,CONCATENATE(LEFT($B$43,10),"*"),Input!$D$2:$D$999,$C$43)*IND_Mult!S43</f>
        <v>0.010048319999999999</v>
      </c>
      <c r="S43" s="69">
        <f>SUMIFS(Input!X$2:X$999,Input!$C$2:$C$999,CONCATENATE(LEFT($B$43,10),"*"),Input!$D$2:$D$999,$C$43)*IND_Mult!T43</f>
        <v>0</v>
      </c>
      <c r="T43" s="69">
        <f>SUMIFS(Input!Y$2:Y$999,Input!$C$2:$C$999,CONCATENATE(LEFT($B$43,10),"*"),Input!$D$2:$D$999,$C$43)*IND_Mult!U43</f>
        <v>0</v>
      </c>
      <c r="U43" s="69">
        <f>SUMIFS(Input!Z$2:Z$999,Input!$C$2:$C$999,CONCATENATE(LEFT($B$43,10),"*"),Input!$D$2:$D$999,$C$43)*IND_Mult!V43</f>
        <v>0</v>
      </c>
      <c r="V43" s="69">
        <f>SUMIFS(Input!AA$2:AA$999,Input!$C$2:$C$999,CONCATENATE(LEFT($B$43,10),"*"),Input!$D$2:$D$999,$C$43)*IND_Mult!W43</f>
        <v>0</v>
      </c>
      <c r="W43" s="69">
        <f>SUMIFS(Input!AB$2:AB$999,Input!$C$2:$C$999,CONCATENATE(LEFT($B$43,10),"*"),Input!$D$2:$D$999,$C$43)*IND_Mult!X43</f>
        <v>0.059811428571428599</v>
      </c>
      <c r="X43" s="69">
        <f>SUMIFS(Input!AC$2:AC$999,Input!$C$2:$C$999,CONCATENATE(LEFT($B$43,10),"*"),Input!$D$2:$D$999,$C$43)*IND_Mult!Y43</f>
        <v>0.014276987999999999</v>
      </c>
      <c r="Y43" s="69">
        <f>SUMIFS(Input!AD$2:AD$999,Input!$C$2:$C$999,CONCATENATE(LEFT($B$43,10),"*"),Input!$D$2:$D$999,$C$43)*IND_Mult!Z43</f>
        <v>0</v>
      </c>
      <c r="Z43" s="69">
        <f>SUMIFS(Input!AE$2:AE$999,Input!$C$2:$C$999,CONCATENATE(LEFT($B$43,10),"*"),Input!$D$2:$D$999,$C$43)*IND_Mult!AA43</f>
        <v>0</v>
      </c>
      <c r="AA43" s="69">
        <f>SUMIFS(Input!AF$2:AF$999,Input!$C$2:$C$999,CONCATENATE(LEFT($B$43,10),"*"),Input!$D$2:$D$999,$C$43)*IND_Mult!AB43</f>
        <v>0</v>
      </c>
      <c r="AB43" s="69">
        <f>SUMIFS(Input!AG$2:AG$999,Input!$C$2:$C$999,CONCATENATE(LEFT($B$43,10),"*"),Input!$D$2:$D$999,$C$43)*IND_Mult!AC43</f>
        <v>0</v>
      </c>
      <c r="AC43" s="69">
        <f>SUMIFS(Input!AH$2:AH$999,Input!$C$2:$C$999,CONCATENATE(LEFT($B$43,10),"*"),Input!$D$2:$D$999,$C$43)*IND_Mult!AD43</f>
        <v>0</v>
      </c>
      <c r="AD43" s="69">
        <f>SUMIFS(Input!AI$2:AI$999,Input!$C$2:$C$999,CONCATENATE(LEFT($B$43,10),"*"),Input!$D$2:$D$999,$C$43)*IND_Mult!AE43</f>
        <v>0</v>
      </c>
      <c r="AE43" s="69">
        <f>SUMIFS(Input!AJ$2:AJ$999,Input!$C$2:$C$999,CONCATENATE(LEFT($B$43,10),"*"),Input!$D$2:$D$999,$C$43)*IND_Mult!AF43</f>
        <v>0</v>
      </c>
      <c r="AF43" s="69">
        <f>SUMIFS(Input!AK$2:AK$999,Input!$C$2:$C$999,CONCATENATE(LEFT($B$43,10),"*"),Input!$D$2:$D$999,$C$43)*IND_Mult!AG43</f>
        <v>0.097000000000000003</v>
      </c>
      <c r="AG43" s="69">
        <f>SUMIFS(Input!AL$2:AL$999,Input!$C$2:$C$999,CONCATENATE(LEFT($B$43,10),"*"),Input!$D$2:$D$999,$C$43)*IND_Mult!AH43</f>
        <v>0</v>
      </c>
      <c r="AH43" s="69">
        <f>SUMIFS(Input!AM$2:AM$999,Input!$C$2:$C$999,CONCATENATE(LEFT($B$43,10),"*"),Input!$D$2:$D$999,$C$43)*IND_Mult!AI43</f>
        <v>0.083333333333333301</v>
      </c>
      <c r="AI43" s="69">
        <f>SUMIFS(Input!AN$2:AN$999,Input!$C$2:$C$999,CONCATENATE(LEFT($B$43,10),"*"),Input!$D$2:$D$999,$C$43)*IND_Mult!AJ43</f>
        <v>0.5</v>
      </c>
      <c r="AJ43" s="69">
        <f>SUMIFS(Input!AO$2:AO$999,Input!$C$2:$C$999,CONCATENATE(LEFT($B$43,10),"*"),Input!$D$2:$D$999,$C$43)*IND_Mult!AK43</f>
        <v>0</v>
      </c>
      <c r="AK43" s="69">
        <f>SUMIFS(Input!AP$2:AP$999,Input!$C$2:$C$999,CONCATENATE(LEFT($B$43,10),"*"),Input!$D$2:$D$999,$C$43)*IND_Mult!AL43</f>
        <v>0.13700000000000001</v>
      </c>
      <c r="AL43" s="69">
        <f>SUMIFS(Input!AQ$2:AQ$999,Input!$C$2:$C$999,CONCATENATE(LEFT($B$43,10),"*"),Input!$D$2:$D$999,$C$43)*IND_Mult!AM43</f>
        <v>0.049834351535836201</v>
      </c>
      <c r="AM43" s="69">
        <f>SUMIFS(Input!AR$2:AR$999,Input!$C$2:$C$999,CONCATENATE(LEFT($B$43,10),"*"),Input!$D$2:$D$999,$C$43)*IND_Mult!AN43</f>
        <v>0</v>
      </c>
      <c r="AN43" s="69">
        <f>SUMIFS(Input!AS$2:AS$999,Input!$C$2:$C$999,CONCATENATE(LEFT($B$43,10),"*"),Input!$D$2:$D$999,$C$43)*IND_Mult!AO43</f>
        <v>0</v>
      </c>
      <c r="AO43" s="69">
        <f>SUMIFS(Input!AT$2:AT$999,Input!$C$2:$C$999,CONCATENATE(LEFT($B$43,10),"*"),Input!$D$2:$D$999,$C$43)*IND_Mult!AP43</f>
        <v>0</v>
      </c>
      <c r="AP43" s="69">
        <f>SUMIFS(Input!AU$2:AU$999,Input!$C$2:$C$999,CONCATENATE(LEFT($B$43,10),"*"),Input!$D$2:$D$999,$C$43)*IND_Mult!AQ43</f>
        <v>0</v>
      </c>
      <c r="AQ43" s="69">
        <f>SUMIFS(Input!AV$2:AV$999,Input!$C$2:$C$999,CONCATENATE(LEFT($B$43,10),"*"),Input!$D$2:$D$999,$C$43)*IND_Mult!AR43</f>
        <v>0.65375403661726195</v>
      </c>
    </row>
    <row r="44" spans="1:43" ht="12.75">
      <c r="A44" s="6"/>
      <c r="B44" s="17" t="s">
        <v>263</v>
      </c>
      <c r="C44" s="18" t="s">
        <v>41</v>
      </c>
      <c r="D44" s="26"/>
      <c r="E44" s="16" t="s">
        <v>103</v>
      </c>
      <c r="F44" s="31"/>
      <c r="G44" s="69">
        <f>SUMIFS(Input!L$2:L$999,Input!$C$2:$C$999,CONCATENATE(LEFT($B$44,10),"*"),Input!$D$2:$D$999,$C$44)*IND_Mult!H44</f>
        <v>0.91632231404958697</v>
      </c>
      <c r="H44" s="69">
        <f>SUMIFS(Input!M$2:M$999,Input!$C$2:$C$999,CONCATENATE(LEFT($B$44,10),"*"),Input!$D$2:$D$999,$C$44)*IND_Mult!I44</f>
        <v>0.38807120879120899</v>
      </c>
      <c r="I44" s="69">
        <f>SUMIFS(Input!N$2:N$999,Input!$C$2:$C$999,CONCATENATE(LEFT($B$44,10),"*"),Input!$D$2:$D$999,$C$44)*IND_Mult!J44</f>
        <v>0</v>
      </c>
      <c r="J44" s="69">
        <f>SUMIFS(Input!O$2:O$999,Input!$C$2:$C$999,CONCATENATE(LEFT($B$44,10),"*"),Input!$D$2:$D$999,$C$44)*IND_Mult!K44</f>
        <v>0</v>
      </c>
      <c r="K44" s="69">
        <f>SUMIFS(Input!P$2:P$999,Input!$C$2:$C$999,CONCATENATE(LEFT($B$44,10),"*"),Input!$D$2:$D$999,$C$44)*IND_Mult!L44</f>
        <v>0.76685124163516605</v>
      </c>
      <c r="L44" s="69">
        <f>SUMIFS(Input!Q$2:Q$999,Input!$C$2:$C$999,CONCATENATE(LEFT($B$44,10),"*"),Input!$D$2:$D$999,$C$44)*IND_Mult!M44</f>
        <v>0.76685124163516605</v>
      </c>
      <c r="M44" s="69">
        <f>SUMIFS(Input!R$2:R$999,Input!$C$2:$C$999,CONCATENATE(LEFT($B$44,10),"*"),Input!$D$2:$D$999,$C$44)*IND_Mult!N44</f>
        <v>0.76685124163516605</v>
      </c>
      <c r="N44" s="69">
        <f>SUMIFS(Input!S$2:S$999,Input!$C$2:$C$999,CONCATENATE(LEFT($B$44,10),"*"),Input!$D$2:$D$999,$C$44)*IND_Mult!O44</f>
        <v>0.72374473532307704</v>
      </c>
      <c r="O44" s="69">
        <f>SUMIFS(Input!T$2:T$999,Input!$C$2:$C$999,CONCATENATE(LEFT($B$44,10),"*"),Input!$D$2:$D$999,$C$44)*IND_Mult!P44</f>
        <v>0.65595676587727425</v>
      </c>
      <c r="P44" s="69">
        <f>SUMIFS(Input!U$2:U$999,Input!$C$2:$C$999,CONCATENATE(LEFT($B$44,10),"*"),Input!$D$2:$D$999,$C$44)*IND_Mult!Q44</f>
        <v>0.76685124163516605</v>
      </c>
      <c r="Q44" s="69">
        <f>SUMIFS(Input!V$2:V$999,Input!$C$2:$C$999,CONCATENATE(LEFT($B$44,10),"*"),Input!$D$2:$D$999,$C$44)*IND_Mult!R44</f>
        <v>0.76685124163516605</v>
      </c>
      <c r="R44" s="69">
        <f>SUMIFS(Input!W$2:W$999,Input!$C$2:$C$999,CONCATENATE(LEFT($B$44,10),"*"),Input!$D$2:$D$999,$C$44)*IND_Mult!S44</f>
        <v>0.76685124163516605</v>
      </c>
      <c r="S44" s="69">
        <f>SUMIFS(Input!X$2:X$999,Input!$C$2:$C$999,CONCATENATE(LEFT($B$44,10),"*"),Input!$D$2:$D$999,$C$44)*IND_Mult!T44</f>
        <v>0.76685124163516605</v>
      </c>
      <c r="T44" s="69">
        <f>SUMIFS(Input!Y$2:Y$999,Input!$C$2:$C$999,CONCATENATE(LEFT($B$44,10),"*"),Input!$D$2:$D$999,$C$44)*IND_Mult!U44</f>
        <v>0.51906860050729298</v>
      </c>
      <c r="U44" s="69">
        <f>SUMIFS(Input!Z$2:Z$999,Input!$C$2:$C$999,CONCATENATE(LEFT($B$44,10),"*"),Input!$D$2:$D$999,$C$44)*IND_Mult!V44</f>
        <v>0.76685124163516605</v>
      </c>
      <c r="V44" s="69">
        <f>SUMIFS(Input!AA$2:AA$999,Input!$C$2:$C$999,CONCATENATE(LEFT($B$44,10),"*"),Input!$D$2:$D$999,$C$44)*IND_Mult!W44</f>
        <v>0.76685124163516605</v>
      </c>
      <c r="W44" s="69">
        <f>SUMIFS(Input!AB$2:AB$999,Input!$C$2:$C$999,CONCATENATE(LEFT($B$44,10),"*"),Input!$D$2:$D$999,$C$44)*IND_Mult!X44</f>
        <v>0.90983417499999997</v>
      </c>
      <c r="X44" s="69">
        <f>SUMIFS(Input!AC$2:AC$999,Input!$C$2:$C$999,CONCATENATE(LEFT($B$44,10),"*"),Input!$D$2:$D$999,$C$44)*IND_Mult!Y44</f>
        <v>0.76685124163516605</v>
      </c>
      <c r="Y44" s="69">
        <f>SUMIFS(Input!AD$2:AD$999,Input!$C$2:$C$999,CONCATENATE(LEFT($B$44,10),"*"),Input!$D$2:$D$999,$C$44)*IND_Mult!Z44</f>
        <v>0</v>
      </c>
      <c r="Z44" s="69">
        <f>SUMIFS(Input!AE$2:AE$999,Input!$C$2:$C$999,CONCATENATE(LEFT($B$44,10),"*"),Input!$D$2:$D$999,$C$44)*IND_Mult!AA44</f>
        <v>0</v>
      </c>
      <c r="AA44" s="69">
        <f>SUMIFS(Input!AF$2:AF$999,Input!$C$2:$C$999,CONCATENATE(LEFT($B$44,10),"*"),Input!$D$2:$D$999,$C$44)*IND_Mult!AB44</f>
        <v>0</v>
      </c>
      <c r="AB44" s="69">
        <f>SUMIFS(Input!AG$2:AG$999,Input!$C$2:$C$999,CONCATENATE(LEFT($B$44,10),"*"),Input!$D$2:$D$999,$C$44)*IND_Mult!AC44</f>
        <v>0</v>
      </c>
      <c r="AC44" s="69">
        <f>SUMIFS(Input!AH$2:AH$999,Input!$C$2:$C$999,CONCATENATE(LEFT($B$44,10),"*"),Input!$D$2:$D$999,$C$44)*IND_Mult!AD44</f>
        <v>0</v>
      </c>
      <c r="AD44" s="69">
        <f>SUMIFS(Input!AI$2:AI$999,Input!$C$2:$C$999,CONCATENATE(LEFT($B$44,10),"*"),Input!$D$2:$D$999,$C$44)*IND_Mult!AE44</f>
        <v>0</v>
      </c>
      <c r="AE44" s="69">
        <f>SUMIFS(Input!AJ$2:AJ$999,Input!$C$2:$C$999,CONCATENATE(LEFT($B$44,10),"*"),Input!$D$2:$D$999,$C$44)*IND_Mult!AF44</f>
        <v>0</v>
      </c>
      <c r="AF44" s="69">
        <f>SUMIFS(Input!AK$2:AK$999,Input!$C$2:$C$999,CONCATENATE(LEFT($B$44,10),"*"),Input!$D$2:$D$999,$C$44)*IND_Mult!AG44</f>
        <v>0.76685124163516605</v>
      </c>
      <c r="AG44" s="69">
        <f>SUMIFS(Input!AL$2:AL$999,Input!$C$2:$C$999,CONCATENATE(LEFT($B$44,10),"*"),Input!$D$2:$D$999,$C$44)*IND_Mult!AH44</f>
        <v>0</v>
      </c>
      <c r="AH44" s="69">
        <f>SUMIFS(Input!AM$2:AM$999,Input!$C$2:$C$999,CONCATENATE(LEFT($B$44,10),"*"),Input!$D$2:$D$999,$C$44)*IND_Mult!AI44</f>
        <v>0.48295334892340303</v>
      </c>
      <c r="AI44" s="69">
        <f>SUMIFS(Input!AN$2:AN$999,Input!$C$2:$C$999,CONCATENATE(LEFT($B$44,10),"*"),Input!$D$2:$D$999,$C$44)*IND_Mult!AJ44</f>
        <v>0.76685124163516605</v>
      </c>
      <c r="AJ44" s="69">
        <f>SUMIFS(Input!AO$2:AO$999,Input!$C$2:$C$999,CONCATENATE(LEFT($B$44,10),"*"),Input!$D$2:$D$999,$C$44)*IND_Mult!AK44</f>
        <v>0</v>
      </c>
      <c r="AK44" s="69">
        <f>SUMIFS(Input!AP$2:AP$999,Input!$C$2:$C$999,CONCATENATE(LEFT($B$44,10),"*"),Input!$D$2:$D$999,$C$44)*IND_Mult!AL44</f>
        <v>0.79494009760995898</v>
      </c>
      <c r="AL44" s="69">
        <f>SUMIFS(Input!AQ$2:AQ$999,Input!$C$2:$C$999,CONCATENATE(LEFT($B$44,10),"*"),Input!$D$2:$D$999,$C$44)*IND_Mult!AM44</f>
        <v>0.828999015625</v>
      </c>
      <c r="AM44" s="69">
        <f>SUMIFS(Input!AR$2:AR$999,Input!$C$2:$C$999,CONCATENATE(LEFT($B$44,10),"*"),Input!$D$2:$D$999,$C$44)*IND_Mult!AN44</f>
        <v>0</v>
      </c>
      <c r="AN44" s="69">
        <f>SUMIFS(Input!AS$2:AS$999,Input!$C$2:$C$999,CONCATENATE(LEFT($B$44,10),"*"),Input!$D$2:$D$999,$C$44)*IND_Mult!AO44</f>
        <v>0</v>
      </c>
      <c r="AO44" s="69">
        <f>SUMIFS(Input!AT$2:AT$999,Input!$C$2:$C$999,CONCATENATE(LEFT($B$44,10),"*"),Input!$D$2:$D$999,$C$44)*IND_Mult!AP44</f>
        <v>0.76685124163516605</v>
      </c>
      <c r="AP44" s="69">
        <f>SUMIFS(Input!AU$2:AU$999,Input!$C$2:$C$999,CONCATENATE(LEFT($B$44,10),"*"),Input!$D$2:$D$999,$C$44)*IND_Mult!AQ44</f>
        <v>0.67243897551020404</v>
      </c>
      <c r="AQ44" s="69">
        <f>SUMIFS(Input!AV$2:AV$999,Input!$C$2:$C$999,CONCATENATE(LEFT($B$44,10),"*"),Input!$D$2:$D$999,$C$44)*IND_Mult!AR44</f>
        <v>0.82711066020650204</v>
      </c>
    </row>
    <row r="45" spans="1:43" ht="12.75">
      <c r="A45" s="6"/>
      <c r="B45" s="17" t="s">
        <v>263</v>
      </c>
      <c r="C45" s="18" t="s">
        <v>42</v>
      </c>
      <c r="D45" s="26"/>
      <c r="E45" s="16" t="s">
        <v>103</v>
      </c>
      <c r="F45" s="31"/>
      <c r="G45" s="69">
        <f>SUMIFS(Input!L$2:L$999,Input!$C$2:$C$999,CONCATENATE(LEFT($B$45,10),"*"),Input!$D$2:$D$999,$C$45)*IND_Mult!H45</f>
        <v>0.083677685950413194</v>
      </c>
      <c r="H45" s="69">
        <f>SUMIFS(Input!M$2:M$999,Input!$C$2:$C$999,CONCATENATE(LEFT($B$45,10),"*"),Input!$D$2:$D$999,$C$45)*IND_Mult!I45</f>
        <v>0.61192879120879096</v>
      </c>
      <c r="I45" s="69">
        <f>SUMIFS(Input!N$2:N$999,Input!$C$2:$C$999,CONCATENATE(LEFT($B$45,10),"*"),Input!$D$2:$D$999,$C$45)*IND_Mult!J45</f>
        <v>0</v>
      </c>
      <c r="J45" s="69">
        <f>SUMIFS(Input!O$2:O$999,Input!$C$2:$C$999,CONCATENATE(LEFT($B$45,10),"*"),Input!$D$2:$D$999,$C$45)*IND_Mult!K45</f>
        <v>0</v>
      </c>
      <c r="K45" s="69">
        <f>SUMIFS(Input!P$2:P$999,Input!$C$2:$C$999,CONCATENATE(LEFT($B$45,10),"*"),Input!$D$2:$D$999,$C$45)*IND_Mult!L45</f>
        <v>0.23314875836483401</v>
      </c>
      <c r="L45" s="69">
        <f>SUMIFS(Input!Q$2:Q$999,Input!$C$2:$C$999,CONCATENATE(LEFT($B$45,10),"*"),Input!$D$2:$D$999,$C$45)*IND_Mult!M45</f>
        <v>0.23314875836483401</v>
      </c>
      <c r="M45" s="69">
        <f>SUMIFS(Input!R$2:R$999,Input!$C$2:$C$999,CONCATENATE(LEFT($B$45,10),"*"),Input!$D$2:$D$999,$C$45)*IND_Mult!N45</f>
        <v>0.23314875836483401</v>
      </c>
      <c r="N45" s="69">
        <f>SUMIFS(Input!S$2:S$999,Input!$C$2:$C$999,CONCATENATE(LEFT($B$45,10),"*"),Input!$D$2:$D$999,$C$45)*IND_Mult!O45</f>
        <v>0.27625526467692302</v>
      </c>
      <c r="O45" s="69">
        <f>SUMIFS(Input!T$2:T$999,Input!$C$2:$C$999,CONCATENATE(LEFT($B$45,10),"*"),Input!$D$2:$D$999,$C$45)*IND_Mult!P45</f>
        <v>0.1940432341227257</v>
      </c>
      <c r="P45" s="69">
        <f>SUMIFS(Input!U$2:U$999,Input!$C$2:$C$999,CONCATENATE(LEFT($B$45,10),"*"),Input!$D$2:$D$999,$C$45)*IND_Mult!Q45</f>
        <v>0.23314875836483401</v>
      </c>
      <c r="Q45" s="69">
        <f>SUMIFS(Input!V$2:V$999,Input!$C$2:$C$999,CONCATENATE(LEFT($B$45,10),"*"),Input!$D$2:$D$999,$C$45)*IND_Mult!R45</f>
        <v>0.23314875836483401</v>
      </c>
      <c r="R45" s="69">
        <f>SUMIFS(Input!W$2:W$999,Input!$C$2:$C$999,CONCATENATE(LEFT($B$45,10),"*"),Input!$D$2:$D$999,$C$45)*IND_Mult!S45</f>
        <v>0.23314875836483401</v>
      </c>
      <c r="S45" s="69">
        <f>SUMIFS(Input!X$2:X$999,Input!$C$2:$C$999,CONCATENATE(LEFT($B$45,10),"*"),Input!$D$2:$D$999,$C$45)*IND_Mult!T45</f>
        <v>0.0154552758069855</v>
      </c>
      <c r="T45" s="69">
        <f>SUMIFS(Input!Y$2:Y$999,Input!$C$2:$C$999,CONCATENATE(LEFT($B$45,10),"*"),Input!$D$2:$D$999,$C$45)*IND_Mult!U45</f>
        <v>0.48093139949270702</v>
      </c>
      <c r="U45" s="69">
        <f>SUMIFS(Input!Z$2:Z$999,Input!$C$2:$C$999,CONCATENATE(LEFT($B$45,10),"*"),Input!$D$2:$D$999,$C$45)*IND_Mult!V45</f>
        <v>0.0081646922934941104</v>
      </c>
      <c r="V45" s="69">
        <f>SUMIFS(Input!AA$2:AA$999,Input!$C$2:$C$999,CONCATENATE(LEFT($B$45,10),"*"),Input!$D$2:$D$999,$C$45)*IND_Mult!W45</f>
        <v>0.23314875836483401</v>
      </c>
      <c r="W45" s="69">
        <f>SUMIFS(Input!AB$2:AB$999,Input!$C$2:$C$999,CONCATENATE(LEFT($B$45,10),"*"),Input!$D$2:$D$999,$C$45)*IND_Mult!X45</f>
        <v>0.090165825000000005</v>
      </c>
      <c r="X45" s="69">
        <f>SUMIFS(Input!AC$2:AC$999,Input!$C$2:$C$999,CONCATENATE(LEFT($B$45,10),"*"),Input!$D$2:$D$999,$C$45)*IND_Mult!Y45</f>
        <v>0.23314875836483401</v>
      </c>
      <c r="Y45" s="69">
        <f>SUMIFS(Input!AD$2:AD$999,Input!$C$2:$C$999,CONCATENATE(LEFT($B$45,10),"*"),Input!$D$2:$D$999,$C$45)*IND_Mult!Z45</f>
        <v>0</v>
      </c>
      <c r="Z45" s="69">
        <f>SUMIFS(Input!AE$2:AE$999,Input!$C$2:$C$999,CONCATENATE(LEFT($B$45,10),"*"),Input!$D$2:$D$999,$C$45)*IND_Mult!AA45</f>
        <v>0</v>
      </c>
      <c r="AA45" s="69">
        <f>SUMIFS(Input!AF$2:AF$999,Input!$C$2:$C$999,CONCATENATE(LEFT($B$45,10),"*"),Input!$D$2:$D$999,$C$45)*IND_Mult!AB45</f>
        <v>0</v>
      </c>
      <c r="AB45" s="69">
        <f>SUMIFS(Input!AG$2:AG$999,Input!$C$2:$C$999,CONCATENATE(LEFT($B$45,10),"*"),Input!$D$2:$D$999,$C$45)*IND_Mult!AC45</f>
        <v>0</v>
      </c>
      <c r="AC45" s="69">
        <f>SUMIFS(Input!AH$2:AH$999,Input!$C$2:$C$999,CONCATENATE(LEFT($B$45,10),"*"),Input!$D$2:$D$999,$C$45)*IND_Mult!AD45</f>
        <v>0</v>
      </c>
      <c r="AD45" s="69">
        <f>SUMIFS(Input!AI$2:AI$999,Input!$C$2:$C$999,CONCATENATE(LEFT($B$45,10),"*"),Input!$D$2:$D$999,$C$45)*IND_Mult!AE45</f>
        <v>0</v>
      </c>
      <c r="AE45" s="69">
        <f>SUMIFS(Input!AJ$2:AJ$999,Input!$C$2:$C$999,CONCATENATE(LEFT($B$45,10),"*"),Input!$D$2:$D$999,$C$45)*IND_Mult!AF45</f>
        <v>0</v>
      </c>
      <c r="AF45" s="69">
        <f>SUMIFS(Input!AK$2:AK$999,Input!$C$2:$C$999,CONCATENATE(LEFT($B$45,10),"*"),Input!$D$2:$D$999,$C$45)*IND_Mult!AG45</f>
        <v>0.23314875836483401</v>
      </c>
      <c r="AG45" s="69">
        <f>SUMIFS(Input!AL$2:AL$999,Input!$C$2:$C$999,CONCATENATE(LEFT($B$45,10),"*"),Input!$D$2:$D$999,$C$45)*IND_Mult!AH45</f>
        <v>0</v>
      </c>
      <c r="AH45" s="69">
        <f>SUMIFS(Input!AM$2:AM$999,Input!$C$2:$C$999,CONCATENATE(LEFT($B$45,10),"*"),Input!$D$2:$D$999,$C$45)*IND_Mult!AI45</f>
        <v>0.51704665107659697</v>
      </c>
      <c r="AI45" s="69">
        <f>SUMIFS(Input!AN$2:AN$999,Input!$C$2:$C$999,CONCATENATE(LEFT($B$45,10),"*"),Input!$D$2:$D$999,$C$45)*IND_Mult!AJ45</f>
        <v>0.034749000000000002</v>
      </c>
      <c r="AJ45" s="69">
        <f>SUMIFS(Input!AO$2:AO$999,Input!$C$2:$C$999,CONCATENATE(LEFT($B$45,10),"*"),Input!$D$2:$D$999,$C$45)*IND_Mult!AK45</f>
        <v>0</v>
      </c>
      <c r="AK45" s="69">
        <f>SUMIFS(Input!AP$2:AP$999,Input!$C$2:$C$999,CONCATENATE(LEFT($B$45,10),"*"),Input!$D$2:$D$999,$C$45)*IND_Mult!AL45</f>
        <v>0.23314875836483401</v>
      </c>
      <c r="AL45" s="69">
        <f>SUMIFS(Input!AQ$2:AQ$999,Input!$C$2:$C$999,CONCATENATE(LEFT($B$45,10),"*"),Input!$D$2:$D$999,$C$45)*IND_Mult!AM45</f>
        <v>0.171000984375</v>
      </c>
      <c r="AM45" s="69">
        <f>SUMIFS(Input!AR$2:AR$999,Input!$C$2:$C$999,CONCATENATE(LEFT($B$45,10),"*"),Input!$D$2:$D$999,$C$45)*IND_Mult!AN45</f>
        <v>0</v>
      </c>
      <c r="AN45" s="69">
        <f>SUMIFS(Input!AS$2:AS$999,Input!$C$2:$C$999,CONCATENATE(LEFT($B$45,10),"*"),Input!$D$2:$D$999,$C$45)*IND_Mult!AO45</f>
        <v>0</v>
      </c>
      <c r="AO45" s="69">
        <f>SUMIFS(Input!AT$2:AT$999,Input!$C$2:$C$999,CONCATENATE(LEFT($B$45,10),"*"),Input!$D$2:$D$999,$C$45)*IND_Mult!AP45</f>
        <v>0.23314875836483401</v>
      </c>
      <c r="AP45" s="69">
        <f>SUMIFS(Input!AU$2:AU$999,Input!$C$2:$C$999,CONCATENATE(LEFT($B$45,10),"*"),Input!$D$2:$D$999,$C$45)*IND_Mult!AQ45</f>
        <v>0.32756102448979602</v>
      </c>
      <c r="AQ45" s="69">
        <f>SUMIFS(Input!AV$2:AV$999,Input!$C$2:$C$999,CONCATENATE(LEFT($B$45,10),"*"),Input!$D$2:$D$999,$C$45)*IND_Mult!AR45</f>
        <v>0.17288933979349799</v>
      </c>
    </row>
    <row r="46" spans="1:43" ht="12.75">
      <c r="A46" s="6"/>
      <c r="B46" s="17" t="s">
        <v>264</v>
      </c>
      <c r="C46" s="18" t="s">
        <v>102</v>
      </c>
      <c r="D46" s="26"/>
      <c r="E46" s="16" t="s">
        <v>285</v>
      </c>
      <c r="F46" s="31"/>
      <c r="G46" s="69">
        <f>SUMIFS(Input!L$2:L$999,Input!$C$2:$C$999,CONCATENATE(LEFT($B$46,10),"*"),Input!$D$2:$D$999,$C$46)*IND_Mult!H46</f>
        <v>0</v>
      </c>
      <c r="H46" s="69">
        <f>SUMIFS(Input!M$2:M$999,Input!$C$2:$C$999,CONCATENATE(LEFT($B$46,10),"*"),Input!$D$2:$D$999,$C$46)*IND_Mult!I46</f>
        <v>0</v>
      </c>
      <c r="I46" s="69">
        <f>SUMIFS(Input!N$2:N$999,Input!$C$2:$C$999,CONCATENATE(LEFT($B$46,10),"*"),Input!$D$2:$D$999,$C$46)*IND_Mult!J46</f>
        <v>0</v>
      </c>
      <c r="J46" s="69">
        <f>SUMIFS(Input!O$2:O$999,Input!$C$2:$C$999,CONCATENATE(LEFT($B$46,10),"*"),Input!$D$2:$D$999,$C$46)*IND_Mult!K46</f>
        <v>0</v>
      </c>
      <c r="K46" s="69">
        <f>SUMIFS(Input!P$2:P$999,Input!$C$2:$C$999,CONCATENATE(LEFT($B$46,10),"*"),Input!$D$2:$D$999,$C$46)*IND_Mult!L46</f>
        <v>0</v>
      </c>
      <c r="L46" s="69">
        <f>SUMIFS(Input!Q$2:Q$999,Input!$C$2:$C$999,CONCATENATE(LEFT($B$46,10),"*"),Input!$D$2:$D$999,$C$46)*IND_Mult!M46</f>
        <v>0</v>
      </c>
      <c r="M46" s="69">
        <f>SUMIFS(Input!R$2:R$999,Input!$C$2:$C$999,CONCATENATE(LEFT($B$46,10),"*"),Input!$D$2:$D$999,$C$46)*IND_Mult!N46</f>
        <v>0</v>
      </c>
      <c r="N46" s="69">
        <f>SUMIFS(Input!S$2:S$999,Input!$C$2:$C$999,CONCATENATE(LEFT($B$46,10),"*"),Input!$D$2:$D$999,$C$46)*IND_Mult!O46</f>
        <v>0</v>
      </c>
      <c r="O46" s="69">
        <f>SUMIFS(Input!T$2:T$999,Input!$C$2:$C$999,CONCATENATE(LEFT($B$46,10),"*"),Input!$D$2:$D$999,$C$46)*IND_Mult!P46</f>
        <v>0</v>
      </c>
      <c r="P46" s="69">
        <f>SUMIFS(Input!U$2:U$999,Input!$C$2:$C$999,CONCATENATE(LEFT($B$46,10),"*"),Input!$D$2:$D$999,$C$46)*IND_Mult!Q46</f>
        <v>0</v>
      </c>
      <c r="Q46" s="69">
        <f>SUMIFS(Input!V$2:V$999,Input!$C$2:$C$999,CONCATENATE(LEFT($B$46,10),"*"),Input!$D$2:$D$999,$C$46)*IND_Mult!R46</f>
        <v>0</v>
      </c>
      <c r="R46" s="69">
        <f>SUMIFS(Input!W$2:W$999,Input!$C$2:$C$999,CONCATENATE(LEFT($B$46,10),"*"),Input!$D$2:$D$999,$C$46)*IND_Mult!S46</f>
        <v>0</v>
      </c>
      <c r="S46" s="69">
        <f>SUMIFS(Input!X$2:X$999,Input!$C$2:$C$999,CONCATENATE(LEFT($B$46,10),"*"),Input!$D$2:$D$999,$C$46)*IND_Mult!T46</f>
        <v>0</v>
      </c>
      <c r="T46" s="69">
        <f>SUMIFS(Input!Y$2:Y$999,Input!$C$2:$C$999,CONCATENATE(LEFT($B$46,10),"*"),Input!$D$2:$D$999,$C$46)*IND_Mult!U46</f>
        <v>0</v>
      </c>
      <c r="U46" s="69">
        <f>SUMIFS(Input!Z$2:Z$999,Input!$C$2:$C$999,CONCATENATE(LEFT($B$46,10),"*"),Input!$D$2:$D$999,$C$46)*IND_Mult!V46</f>
        <v>0</v>
      </c>
      <c r="V46" s="69">
        <f>SUMIFS(Input!AA$2:AA$999,Input!$C$2:$C$999,CONCATENATE(LEFT($B$46,10),"*"),Input!$D$2:$D$999,$C$46)*IND_Mult!W46</f>
        <v>0</v>
      </c>
      <c r="W46" s="69">
        <f>SUMIFS(Input!AB$2:AB$999,Input!$C$2:$C$999,CONCATENATE(LEFT($B$46,10),"*"),Input!$D$2:$D$999,$C$46)*IND_Mult!X46</f>
        <v>0</v>
      </c>
      <c r="X46" s="69">
        <f>SUMIFS(Input!AC$2:AC$999,Input!$C$2:$C$999,CONCATENATE(LEFT($B$46,10),"*"),Input!$D$2:$D$999,$C$46)*IND_Mult!Y46</f>
        <v>0</v>
      </c>
      <c r="Y46" s="69">
        <f>SUMIFS(Input!AD$2:AD$999,Input!$C$2:$C$999,CONCATENATE(LEFT($B$46,10),"*"),Input!$D$2:$D$999,$C$46)*IND_Mult!Z46</f>
        <v>0</v>
      </c>
      <c r="Z46" s="69">
        <f>SUMIFS(Input!AE$2:AE$999,Input!$C$2:$C$999,CONCATENATE(LEFT($B$46,10),"*"),Input!$D$2:$D$999,$C$46)*IND_Mult!AA46</f>
        <v>0</v>
      </c>
      <c r="AA46" s="69">
        <f>SUMIFS(Input!AF$2:AF$999,Input!$C$2:$C$999,CONCATENATE(LEFT($B$46,10),"*"),Input!$D$2:$D$999,$C$46)*IND_Mult!AB46</f>
        <v>0</v>
      </c>
      <c r="AB46" s="69">
        <f>SUMIFS(Input!AG$2:AG$999,Input!$C$2:$C$999,CONCATENATE(LEFT($B$46,10),"*"),Input!$D$2:$D$999,$C$46)*IND_Mult!AC46</f>
        <v>0</v>
      </c>
      <c r="AC46" s="69">
        <f>SUMIFS(Input!AH$2:AH$999,Input!$C$2:$C$999,CONCATENATE(LEFT($B$46,10),"*"),Input!$D$2:$D$999,$C$46)*IND_Mult!AD46</f>
        <v>0</v>
      </c>
      <c r="AD46" s="69">
        <f>SUMIFS(Input!AI$2:AI$999,Input!$C$2:$C$999,CONCATENATE(LEFT($B$46,10),"*"),Input!$D$2:$D$999,$C$46)*IND_Mult!AE46</f>
        <v>0</v>
      </c>
      <c r="AE46" s="69">
        <f>SUMIFS(Input!AJ$2:AJ$999,Input!$C$2:$C$999,CONCATENATE(LEFT($B$46,10),"*"),Input!$D$2:$D$999,$C$46)*IND_Mult!AF46</f>
        <v>0</v>
      </c>
      <c r="AF46" s="69">
        <f>SUMIFS(Input!AK$2:AK$999,Input!$C$2:$C$999,CONCATENATE(LEFT($B$46,10),"*"),Input!$D$2:$D$999,$C$46)*IND_Mult!AG46</f>
        <v>0</v>
      </c>
      <c r="AG46" s="69">
        <f>SUMIFS(Input!AL$2:AL$999,Input!$C$2:$C$999,CONCATENATE(LEFT($B$46,10),"*"),Input!$D$2:$D$999,$C$46)*IND_Mult!AH46</f>
        <v>0</v>
      </c>
      <c r="AH46" s="69">
        <f>SUMIFS(Input!AM$2:AM$999,Input!$C$2:$C$999,CONCATENATE(LEFT($B$46,10),"*"),Input!$D$2:$D$999,$C$46)*IND_Mult!AI46</f>
        <v>0</v>
      </c>
      <c r="AI46" s="69">
        <f>SUMIFS(Input!AN$2:AN$999,Input!$C$2:$C$999,CONCATENATE(LEFT($B$46,10),"*"),Input!$D$2:$D$999,$C$46)*IND_Mult!AJ46</f>
        <v>0</v>
      </c>
      <c r="AJ46" s="69">
        <f>SUMIFS(Input!AO$2:AO$999,Input!$C$2:$C$999,CONCATENATE(LEFT($B$46,10),"*"),Input!$D$2:$D$999,$C$46)*IND_Mult!AK46</f>
        <v>0</v>
      </c>
      <c r="AK46" s="69">
        <f>SUMIFS(Input!AP$2:AP$999,Input!$C$2:$C$999,CONCATENATE(LEFT($B$46,10),"*"),Input!$D$2:$D$999,$C$46)*IND_Mult!AL46</f>
        <v>0</v>
      </c>
      <c r="AL46" s="69">
        <f>SUMIFS(Input!AQ$2:AQ$999,Input!$C$2:$C$999,CONCATENATE(LEFT($B$46,10),"*"),Input!$D$2:$D$999,$C$46)*IND_Mult!AM46</f>
        <v>0</v>
      </c>
      <c r="AM46" s="69">
        <f>SUMIFS(Input!AR$2:AR$999,Input!$C$2:$C$999,CONCATENATE(LEFT($B$46,10),"*"),Input!$D$2:$D$999,$C$46)*IND_Mult!AN46</f>
        <v>0</v>
      </c>
      <c r="AN46" s="69">
        <f>SUMIFS(Input!AS$2:AS$999,Input!$C$2:$C$999,CONCATENATE(LEFT($B$46,10),"*"),Input!$D$2:$D$999,$C$46)*IND_Mult!AO46</f>
        <v>0</v>
      </c>
      <c r="AO46" s="69">
        <f>SUMIFS(Input!AT$2:AT$999,Input!$C$2:$C$999,CONCATENATE(LEFT($B$46,10),"*"),Input!$D$2:$D$999,$C$46)*IND_Mult!AP46</f>
        <v>0</v>
      </c>
      <c r="AP46" s="69">
        <f>SUMIFS(Input!AU$2:AU$999,Input!$C$2:$C$999,CONCATENATE(LEFT($B$46,10),"*"),Input!$D$2:$D$999,$C$46)*IND_Mult!AQ46</f>
        <v>0</v>
      </c>
      <c r="AQ46" s="69">
        <f>SUMIFS(Input!AV$2:AV$999,Input!$C$2:$C$999,CONCATENATE(LEFT($B$46,10),"*"),Input!$D$2:$D$999,$C$46)*IND_Mult!AR46</f>
        <v>0</v>
      </c>
    </row>
    <row r="47" spans="1:43" ht="12.75">
      <c r="A47" s="6"/>
      <c r="B47" s="17" t="s">
        <v>264</v>
      </c>
      <c r="C47" s="18" t="s">
        <v>37</v>
      </c>
      <c r="D47" s="26"/>
      <c r="E47" s="16" t="s">
        <v>103</v>
      </c>
      <c r="F47" s="31"/>
      <c r="G47" s="69">
        <f>SUMIFS(Input!L$2:L$999,Input!$C$2:$C$999,CONCATENATE(LEFT($B$47,10),"*"),Input!$D$2:$D$999,$C$47)*IND_Mult!H47</f>
        <v>0.29999999999999999</v>
      </c>
      <c r="H47" s="69">
        <f>SUMIFS(Input!M$2:M$999,Input!$C$2:$C$999,CONCATENATE(LEFT($B$47,10),"*"),Input!$D$2:$D$999,$C$47)*IND_Mult!I47</f>
        <v>0.29999999999999999</v>
      </c>
      <c r="I47" s="69">
        <f>SUMIFS(Input!N$2:N$999,Input!$C$2:$C$999,CONCATENATE(LEFT($B$47,10),"*"),Input!$D$2:$D$999,$C$47)*IND_Mult!J47</f>
        <v>0.29999999999999999</v>
      </c>
      <c r="J47" s="69">
        <f>SUMIFS(Input!O$2:O$999,Input!$C$2:$C$999,CONCATENATE(LEFT($B$47,10),"*"),Input!$D$2:$D$999,$C$47)*IND_Mult!K47</f>
        <v>0.23999999999999999</v>
      </c>
      <c r="K47" s="69">
        <f>SUMIFS(Input!P$2:P$999,Input!$C$2:$C$999,CONCATENATE(LEFT($B$47,10),"*"),Input!$D$2:$D$999,$C$47)*IND_Mult!L47</f>
        <v>0.29999999999999999</v>
      </c>
      <c r="L47" s="69">
        <f>SUMIFS(Input!Q$2:Q$999,Input!$C$2:$C$999,CONCATENATE(LEFT($B$47,10),"*"),Input!$D$2:$D$999,$C$47)*IND_Mult!M47</f>
        <v>0.29999999999999999</v>
      </c>
      <c r="M47" s="69">
        <f>SUMIFS(Input!R$2:R$999,Input!$C$2:$C$999,CONCATENATE(LEFT($B$47,10),"*"),Input!$D$2:$D$999,$C$47)*IND_Mult!N47</f>
        <v>0.29999999999999999</v>
      </c>
      <c r="N47" s="69">
        <f>SUMIFS(Input!S$2:S$999,Input!$C$2:$C$999,CONCATENATE(LEFT($B$47,10),"*"),Input!$D$2:$D$999,$C$47)*IND_Mult!O47</f>
        <v>0.29999999999999999</v>
      </c>
      <c r="O47" s="69">
        <f>SUMIFS(Input!T$2:T$999,Input!$C$2:$C$999,CONCATENATE(LEFT($B$47,10),"*"),Input!$D$2:$D$999,$C$47)*IND_Mult!P47</f>
        <v>0.29999999999999999</v>
      </c>
      <c r="P47" s="69">
        <f>SUMIFS(Input!U$2:U$999,Input!$C$2:$C$999,CONCATENATE(LEFT($B$47,10),"*"),Input!$D$2:$D$999,$C$47)*IND_Mult!Q47</f>
        <v>0.29999999999999999</v>
      </c>
      <c r="Q47" s="69">
        <f>SUMIFS(Input!V$2:V$999,Input!$C$2:$C$999,CONCATENATE(LEFT($B$47,10),"*"),Input!$D$2:$D$999,$C$47)*IND_Mult!R47</f>
        <v>0.29999999999999999</v>
      </c>
      <c r="R47" s="69">
        <f>SUMIFS(Input!W$2:W$999,Input!$C$2:$C$999,CONCATENATE(LEFT($B$47,10),"*"),Input!$D$2:$D$999,$C$47)*IND_Mult!S47</f>
        <v>0.29999999999999999</v>
      </c>
      <c r="S47" s="69">
        <f>SUMIFS(Input!X$2:X$999,Input!$C$2:$C$999,CONCATENATE(LEFT($B$47,10),"*"),Input!$D$2:$D$999,$C$47)*IND_Mult!T47</f>
        <v>0.29999999999999999</v>
      </c>
      <c r="T47" s="69">
        <f>SUMIFS(Input!Y$2:Y$999,Input!$C$2:$C$999,CONCATENATE(LEFT($B$47,10),"*"),Input!$D$2:$D$999,$C$47)*IND_Mult!U47</f>
        <v>0.29999999999999999</v>
      </c>
      <c r="U47" s="69">
        <f>SUMIFS(Input!Z$2:Z$999,Input!$C$2:$C$999,CONCATENATE(LEFT($B$47,10),"*"),Input!$D$2:$D$999,$C$47)*IND_Mult!V47</f>
        <v>0.29999999999999999</v>
      </c>
      <c r="V47" s="69">
        <f>SUMIFS(Input!AA$2:AA$999,Input!$C$2:$C$999,CONCATENATE(LEFT($B$47,10),"*"),Input!$D$2:$D$999,$C$47)*IND_Mult!W47</f>
        <v>0.29999999999999999</v>
      </c>
      <c r="W47" s="69">
        <f>SUMIFS(Input!AB$2:AB$999,Input!$C$2:$C$999,CONCATENATE(LEFT($B$47,10),"*"),Input!$D$2:$D$999,$C$47)*IND_Mult!X47</f>
        <v>0.29999999999999999</v>
      </c>
      <c r="X47" s="69">
        <f>SUMIFS(Input!AC$2:AC$999,Input!$C$2:$C$999,CONCATENATE(LEFT($B$47,10),"*"),Input!$D$2:$D$999,$C$47)*IND_Mult!Y47</f>
        <v>0.29999999999999999</v>
      </c>
      <c r="Y47" s="69">
        <f>SUMIFS(Input!AD$2:AD$999,Input!$C$2:$C$999,CONCATENATE(LEFT($B$47,10),"*"),Input!$D$2:$D$999,$C$47)*IND_Mult!Z47</f>
        <v>0.29999999999999999</v>
      </c>
      <c r="Z47" s="69">
        <f>SUMIFS(Input!AE$2:AE$999,Input!$C$2:$C$999,CONCATENATE(LEFT($B$47,10),"*"),Input!$D$2:$D$999,$C$47)*IND_Mult!AA47</f>
        <v>0.29999999999999999</v>
      </c>
      <c r="AA47" s="69">
        <f>SUMIFS(Input!AF$2:AF$999,Input!$C$2:$C$999,CONCATENATE(LEFT($B$47,10),"*"),Input!$D$2:$D$999,$C$47)*IND_Mult!AB47</f>
        <v>0.29999999999999999</v>
      </c>
      <c r="AB47" s="69">
        <f>SUMIFS(Input!AG$2:AG$999,Input!$C$2:$C$999,CONCATENATE(LEFT($B$47,10),"*"),Input!$D$2:$D$999,$C$47)*IND_Mult!AC47</f>
        <v>0.29999999999999999</v>
      </c>
      <c r="AC47" s="69">
        <f>SUMIFS(Input!AH$2:AH$999,Input!$C$2:$C$999,CONCATENATE(LEFT($B$47,10),"*"),Input!$D$2:$D$999,$C$47)*IND_Mult!AD47</f>
        <v>0.29999999999999999</v>
      </c>
      <c r="AD47" s="69">
        <f>SUMIFS(Input!AI$2:AI$999,Input!$C$2:$C$999,CONCATENATE(LEFT($B$47,10),"*"),Input!$D$2:$D$999,$C$47)*IND_Mult!AE47</f>
        <v>0.29999999999999999</v>
      </c>
      <c r="AE47" s="69">
        <f>SUMIFS(Input!AJ$2:AJ$999,Input!$C$2:$C$999,CONCATENATE(LEFT($B$47,10),"*"),Input!$D$2:$D$999,$C$47)*IND_Mult!AF47</f>
        <v>0.29999999999999999</v>
      </c>
      <c r="AF47" s="69">
        <f>SUMIFS(Input!AK$2:AK$999,Input!$C$2:$C$999,CONCATENATE(LEFT($B$47,10),"*"),Input!$D$2:$D$999,$C$47)*IND_Mult!AG47</f>
        <v>0.29999999999999999</v>
      </c>
      <c r="AG47" s="69">
        <f>SUMIFS(Input!AL$2:AL$999,Input!$C$2:$C$999,CONCATENATE(LEFT($B$47,10),"*"),Input!$D$2:$D$999,$C$47)*IND_Mult!AH47</f>
        <v>0.29999999999999999</v>
      </c>
      <c r="AH47" s="69">
        <f>SUMIFS(Input!AM$2:AM$999,Input!$C$2:$C$999,CONCATENATE(LEFT($B$47,10),"*"),Input!$D$2:$D$999,$C$47)*IND_Mult!AI47</f>
        <v>0.29999999999999999</v>
      </c>
      <c r="AI47" s="69">
        <f>SUMIFS(Input!AN$2:AN$999,Input!$C$2:$C$999,CONCATENATE(LEFT($B$47,10),"*"),Input!$D$2:$D$999,$C$47)*IND_Mult!AJ47</f>
        <v>0.29999999999999999</v>
      </c>
      <c r="AJ47" s="69">
        <f>SUMIFS(Input!AO$2:AO$999,Input!$C$2:$C$999,CONCATENATE(LEFT($B$47,10),"*"),Input!$D$2:$D$999,$C$47)*IND_Mult!AK47</f>
        <v>0.29999999999999999</v>
      </c>
      <c r="AK47" s="69">
        <f>SUMIFS(Input!AP$2:AP$999,Input!$C$2:$C$999,CONCATENATE(LEFT($B$47,10),"*"),Input!$D$2:$D$999,$C$47)*IND_Mult!AL47</f>
        <v>0.29999999999999999</v>
      </c>
      <c r="AL47" s="69">
        <f>SUMIFS(Input!AQ$2:AQ$999,Input!$C$2:$C$999,CONCATENATE(LEFT($B$47,10),"*"),Input!$D$2:$D$999,$C$47)*IND_Mult!AM47</f>
        <v>0.29999999999999999</v>
      </c>
      <c r="AM47" s="69">
        <f>SUMIFS(Input!AR$2:AR$999,Input!$C$2:$C$999,CONCATENATE(LEFT($B$47,10),"*"),Input!$D$2:$D$999,$C$47)*IND_Mult!AN47</f>
        <v>0.29999999999999999</v>
      </c>
      <c r="AN47" s="69">
        <f>SUMIFS(Input!AS$2:AS$999,Input!$C$2:$C$999,CONCATENATE(LEFT($B$47,10),"*"),Input!$D$2:$D$999,$C$47)*IND_Mult!AO47</f>
        <v>0.29999999999999999</v>
      </c>
      <c r="AO47" s="69">
        <f>SUMIFS(Input!AT$2:AT$999,Input!$C$2:$C$999,CONCATENATE(LEFT($B$47,10),"*"),Input!$D$2:$D$999,$C$47)*IND_Mult!AP47</f>
        <v>0.29999999999999999</v>
      </c>
      <c r="AP47" s="69">
        <f>SUMIFS(Input!AU$2:AU$999,Input!$C$2:$C$999,CONCATENATE(LEFT($B$47,10),"*"),Input!$D$2:$D$999,$C$47)*IND_Mult!AQ47</f>
        <v>0.29999999999999999</v>
      </c>
      <c r="AQ47" s="69">
        <f>SUMIFS(Input!AV$2:AV$999,Input!$C$2:$C$999,CONCATENATE(LEFT($B$47,10),"*"),Input!$D$2:$D$999,$C$47)*IND_Mult!AR47</f>
        <v>0.29999999999999999</v>
      </c>
    </row>
    <row r="48" spans="1:43" ht="12.75">
      <c r="A48" s="6"/>
      <c r="B48" s="17" t="s">
        <v>264</v>
      </c>
      <c r="C48" s="18" t="s">
        <v>38</v>
      </c>
      <c r="D48" s="26"/>
      <c r="E48" s="16" t="s">
        <v>103</v>
      </c>
      <c r="F48" s="31"/>
      <c r="G48" s="69">
        <f>SUMIFS(Input!L$2:L$999,Input!$C$2:$C$999,CONCATENATE(LEFT($B$48,10),"*"),Input!$D$2:$D$999,$C$48)*IND_Mult!H48</f>
        <v>0</v>
      </c>
      <c r="H48" s="69">
        <f>SUMIFS(Input!M$2:M$999,Input!$C$2:$C$999,CONCATENATE(LEFT($B$48,10),"*"),Input!$D$2:$D$999,$C$48)*IND_Mult!I48</f>
        <v>0</v>
      </c>
      <c r="I48" s="69">
        <f>SUMIFS(Input!N$2:N$999,Input!$C$2:$C$999,CONCATENATE(LEFT($B$48,10),"*"),Input!$D$2:$D$999,$C$48)*IND_Mult!J48</f>
        <v>0</v>
      </c>
      <c r="J48" s="69">
        <f>SUMIFS(Input!O$2:O$999,Input!$C$2:$C$999,CONCATENATE(LEFT($B$48,10),"*"),Input!$D$2:$D$999,$C$48)*IND_Mult!K48</f>
        <v>0</v>
      </c>
      <c r="K48" s="69">
        <f>SUMIFS(Input!P$2:P$999,Input!$C$2:$C$999,CONCATENATE(LEFT($B$48,10),"*"),Input!$D$2:$D$999,$C$48)*IND_Mult!L48</f>
        <v>0</v>
      </c>
      <c r="L48" s="69">
        <f>SUMIFS(Input!Q$2:Q$999,Input!$C$2:$C$999,CONCATENATE(LEFT($B$48,10),"*"),Input!$D$2:$D$999,$C$48)*IND_Mult!M48</f>
        <v>0</v>
      </c>
      <c r="M48" s="69">
        <f>SUMIFS(Input!R$2:R$999,Input!$C$2:$C$999,CONCATENATE(LEFT($B$48,10),"*"),Input!$D$2:$D$999,$C$48)*IND_Mult!N48</f>
        <v>0</v>
      </c>
      <c r="N48" s="69">
        <f>SUMIFS(Input!S$2:S$999,Input!$C$2:$C$999,CONCATENATE(LEFT($B$48,10),"*"),Input!$D$2:$D$999,$C$48)*IND_Mult!O48</f>
        <v>0</v>
      </c>
      <c r="O48" s="69">
        <f>SUMIFS(Input!T$2:T$999,Input!$C$2:$C$999,CONCATENATE(LEFT($B$48,10),"*"),Input!$D$2:$D$999,$C$48)*IND_Mult!P48</f>
        <v>0</v>
      </c>
      <c r="P48" s="69">
        <f>SUMIFS(Input!U$2:U$999,Input!$C$2:$C$999,CONCATENATE(LEFT($B$48,10),"*"),Input!$D$2:$D$999,$C$48)*IND_Mult!Q48</f>
        <v>0</v>
      </c>
      <c r="Q48" s="69">
        <f>SUMIFS(Input!V$2:V$999,Input!$C$2:$C$999,CONCATENATE(LEFT($B$48,10),"*"),Input!$D$2:$D$999,$C$48)*IND_Mult!R48</f>
        <v>0</v>
      </c>
      <c r="R48" s="69">
        <f>SUMIFS(Input!W$2:W$999,Input!$C$2:$C$999,CONCATENATE(LEFT($B$48,10),"*"),Input!$D$2:$D$999,$C$48)*IND_Mult!S48</f>
        <v>0</v>
      </c>
      <c r="S48" s="69">
        <f>SUMIFS(Input!X$2:X$999,Input!$C$2:$C$999,CONCATENATE(LEFT($B$48,10),"*"),Input!$D$2:$D$999,$C$48)*IND_Mult!T48</f>
        <v>0</v>
      </c>
      <c r="T48" s="69">
        <f>SUMIFS(Input!Y$2:Y$999,Input!$C$2:$C$999,CONCATENATE(LEFT($B$48,10),"*"),Input!$D$2:$D$999,$C$48)*IND_Mult!U48</f>
        <v>0</v>
      </c>
      <c r="U48" s="69">
        <f>SUMIFS(Input!Z$2:Z$999,Input!$C$2:$C$999,CONCATENATE(LEFT($B$48,10),"*"),Input!$D$2:$D$999,$C$48)*IND_Mult!V48</f>
        <v>0</v>
      </c>
      <c r="V48" s="69">
        <f>SUMIFS(Input!AA$2:AA$999,Input!$C$2:$C$999,CONCATENATE(LEFT($B$48,10),"*"),Input!$D$2:$D$999,$C$48)*IND_Mult!W48</f>
        <v>0</v>
      </c>
      <c r="W48" s="69">
        <f>SUMIFS(Input!AB$2:AB$999,Input!$C$2:$C$999,CONCATENATE(LEFT($B$48,10),"*"),Input!$D$2:$D$999,$C$48)*IND_Mult!X48</f>
        <v>0</v>
      </c>
      <c r="X48" s="69">
        <f>SUMIFS(Input!AC$2:AC$999,Input!$C$2:$C$999,CONCATENATE(LEFT($B$48,10),"*"),Input!$D$2:$D$999,$C$48)*IND_Mult!Y48</f>
        <v>0</v>
      </c>
      <c r="Y48" s="69">
        <f>SUMIFS(Input!AD$2:AD$999,Input!$C$2:$C$999,CONCATENATE(LEFT($B$48,10),"*"),Input!$D$2:$D$999,$C$48)*IND_Mult!Z48</f>
        <v>0</v>
      </c>
      <c r="Z48" s="69">
        <f>SUMIFS(Input!AE$2:AE$999,Input!$C$2:$C$999,CONCATENATE(LEFT($B$48,10),"*"),Input!$D$2:$D$999,$C$48)*IND_Mult!AA48</f>
        <v>0</v>
      </c>
      <c r="AA48" s="69">
        <f>SUMIFS(Input!AF$2:AF$999,Input!$C$2:$C$999,CONCATENATE(LEFT($B$48,10),"*"),Input!$D$2:$D$999,$C$48)*IND_Mult!AB48</f>
        <v>0</v>
      </c>
      <c r="AB48" s="69">
        <f>SUMIFS(Input!AG$2:AG$999,Input!$C$2:$C$999,CONCATENATE(LEFT($B$48,10),"*"),Input!$D$2:$D$999,$C$48)*IND_Mult!AC48</f>
        <v>0</v>
      </c>
      <c r="AC48" s="69">
        <f>SUMIFS(Input!AH$2:AH$999,Input!$C$2:$C$999,CONCATENATE(LEFT($B$48,10),"*"),Input!$D$2:$D$999,$C$48)*IND_Mult!AD48</f>
        <v>0</v>
      </c>
      <c r="AD48" s="69">
        <f>SUMIFS(Input!AI$2:AI$999,Input!$C$2:$C$999,CONCATENATE(LEFT($B$48,10),"*"),Input!$D$2:$D$999,$C$48)*IND_Mult!AE48</f>
        <v>0</v>
      </c>
      <c r="AE48" s="69">
        <f>SUMIFS(Input!AJ$2:AJ$999,Input!$C$2:$C$999,CONCATENATE(LEFT($B$48,10),"*"),Input!$D$2:$D$999,$C$48)*IND_Mult!AF48</f>
        <v>0</v>
      </c>
      <c r="AF48" s="69">
        <f>SUMIFS(Input!AK$2:AK$999,Input!$C$2:$C$999,CONCATENATE(LEFT($B$48,10),"*"),Input!$D$2:$D$999,$C$48)*IND_Mult!AG48</f>
        <v>0</v>
      </c>
      <c r="AG48" s="69">
        <f>SUMIFS(Input!AL$2:AL$999,Input!$C$2:$C$999,CONCATENATE(LEFT($B$48,10),"*"),Input!$D$2:$D$999,$C$48)*IND_Mult!AH48</f>
        <v>0</v>
      </c>
      <c r="AH48" s="69">
        <f>SUMIFS(Input!AM$2:AM$999,Input!$C$2:$C$999,CONCATENATE(LEFT($B$48,10),"*"),Input!$D$2:$D$999,$C$48)*IND_Mult!AI48</f>
        <v>0</v>
      </c>
      <c r="AI48" s="69">
        <f>SUMIFS(Input!AN$2:AN$999,Input!$C$2:$C$999,CONCATENATE(LEFT($B$48,10),"*"),Input!$D$2:$D$999,$C$48)*IND_Mult!AJ48</f>
        <v>0</v>
      </c>
      <c r="AJ48" s="69">
        <f>SUMIFS(Input!AO$2:AO$999,Input!$C$2:$C$999,CONCATENATE(LEFT($B$48,10),"*"),Input!$D$2:$D$999,$C$48)*IND_Mult!AK48</f>
        <v>0</v>
      </c>
      <c r="AK48" s="69">
        <f>SUMIFS(Input!AP$2:AP$999,Input!$C$2:$C$999,CONCATENATE(LEFT($B$48,10),"*"),Input!$D$2:$D$999,$C$48)*IND_Mult!AL48</f>
        <v>0</v>
      </c>
      <c r="AL48" s="69">
        <f>SUMIFS(Input!AQ$2:AQ$999,Input!$C$2:$C$999,CONCATENATE(LEFT($B$48,10),"*"),Input!$D$2:$D$999,$C$48)*IND_Mult!AM48</f>
        <v>0</v>
      </c>
      <c r="AM48" s="69">
        <f>SUMIFS(Input!AR$2:AR$999,Input!$C$2:$C$999,CONCATENATE(LEFT($B$48,10),"*"),Input!$D$2:$D$999,$C$48)*IND_Mult!AN48</f>
        <v>0</v>
      </c>
      <c r="AN48" s="69">
        <f>SUMIFS(Input!AS$2:AS$999,Input!$C$2:$C$999,CONCATENATE(LEFT($B$48,10),"*"),Input!$D$2:$D$999,$C$48)*IND_Mult!AO48</f>
        <v>0</v>
      </c>
      <c r="AO48" s="69">
        <f>SUMIFS(Input!AT$2:AT$999,Input!$C$2:$C$999,CONCATENATE(LEFT($B$48,10),"*"),Input!$D$2:$D$999,$C$48)*IND_Mult!AP48</f>
        <v>0</v>
      </c>
      <c r="AP48" s="69">
        <f>SUMIFS(Input!AU$2:AU$999,Input!$C$2:$C$999,CONCATENATE(LEFT($B$48,10),"*"),Input!$D$2:$D$999,$C$48)*IND_Mult!AQ48</f>
        <v>0</v>
      </c>
      <c r="AQ48" s="69">
        <f>SUMIFS(Input!AV$2:AV$999,Input!$C$2:$C$999,CONCATENATE(LEFT($B$48,10),"*"),Input!$D$2:$D$999,$C$48)*IND_Mult!AR48</f>
        <v>0</v>
      </c>
    </row>
    <row r="49" spans="1:43" ht="12.75">
      <c r="A49" s="6"/>
      <c r="B49" s="17" t="s">
        <v>264</v>
      </c>
      <c r="C49" s="18" t="s">
        <v>43</v>
      </c>
      <c r="D49" s="26"/>
      <c r="E49" s="16" t="s">
        <v>103</v>
      </c>
      <c r="F49" s="31"/>
      <c r="G49" s="69">
        <f>SUMIFS(Input!L$2:L$999,Input!$C$2:$C$999,CONCATENATE(LEFT($B$49,10),"*"),Input!$D$2:$D$999,$C$49)*IND_Mult!H49</f>
        <v>6</v>
      </c>
      <c r="H49" s="69">
        <f>SUMIFS(Input!M$2:M$999,Input!$C$2:$C$999,CONCATENATE(LEFT($B$49,10),"*"),Input!$D$2:$D$999,$C$49)*IND_Mult!I49</f>
        <v>6</v>
      </c>
      <c r="I49" s="69">
        <f>SUMIFS(Input!N$2:N$999,Input!$C$2:$C$999,CONCATENATE(LEFT($B$49,10),"*"),Input!$D$2:$D$999,$C$49)*IND_Mult!J49</f>
        <v>6</v>
      </c>
      <c r="J49" s="69">
        <f>SUMIFS(Input!O$2:O$999,Input!$C$2:$C$999,CONCATENATE(LEFT($B$49,10),"*"),Input!$D$2:$D$999,$C$49)*IND_Mult!K49</f>
        <v>4.7999999999999998</v>
      </c>
      <c r="K49" s="69">
        <f>SUMIFS(Input!P$2:P$999,Input!$C$2:$C$999,CONCATENATE(LEFT($B$49,10),"*"),Input!$D$2:$D$999,$C$49)*IND_Mult!L49</f>
        <v>6</v>
      </c>
      <c r="L49" s="69">
        <f>SUMIFS(Input!Q$2:Q$999,Input!$C$2:$C$999,CONCATENATE(LEFT($B$49,10),"*"),Input!$D$2:$D$999,$C$49)*IND_Mult!M49</f>
        <v>6</v>
      </c>
      <c r="M49" s="69">
        <f>SUMIFS(Input!R$2:R$999,Input!$C$2:$C$999,CONCATENATE(LEFT($B$49,10),"*"),Input!$D$2:$D$999,$C$49)*IND_Mult!N49</f>
        <v>6</v>
      </c>
      <c r="N49" s="69">
        <f>SUMIFS(Input!S$2:S$999,Input!$C$2:$C$999,CONCATENATE(LEFT($B$49,10),"*"),Input!$D$2:$D$999,$C$49)*IND_Mult!O49</f>
        <v>6</v>
      </c>
      <c r="O49" s="69">
        <f>SUMIFS(Input!T$2:T$999,Input!$C$2:$C$999,CONCATENATE(LEFT($B$49,10),"*"),Input!$D$2:$D$999,$C$49)*IND_Mult!P49</f>
        <v>5.0999999999999996</v>
      </c>
      <c r="P49" s="69">
        <f>SUMIFS(Input!U$2:U$999,Input!$C$2:$C$999,CONCATENATE(LEFT($B$49,10),"*"),Input!$D$2:$D$999,$C$49)*IND_Mult!Q49</f>
        <v>6</v>
      </c>
      <c r="Q49" s="69">
        <f>SUMIFS(Input!V$2:V$999,Input!$C$2:$C$999,CONCATENATE(LEFT($B$49,10),"*"),Input!$D$2:$D$999,$C$49)*IND_Mult!R49</f>
        <v>6</v>
      </c>
      <c r="R49" s="69">
        <f>SUMIFS(Input!W$2:W$999,Input!$C$2:$C$999,CONCATENATE(LEFT($B$49,10),"*"),Input!$D$2:$D$999,$C$49)*IND_Mult!S49</f>
        <v>6</v>
      </c>
      <c r="S49" s="69">
        <f>SUMIFS(Input!X$2:X$999,Input!$C$2:$C$999,CONCATENATE(LEFT($B$49,10),"*"),Input!$D$2:$D$999,$C$49)*IND_Mult!T49</f>
        <v>6</v>
      </c>
      <c r="T49" s="69">
        <f>SUMIFS(Input!Y$2:Y$999,Input!$C$2:$C$999,CONCATENATE(LEFT($B$49,10),"*"),Input!$D$2:$D$999,$C$49)*IND_Mult!U49</f>
        <v>6</v>
      </c>
      <c r="U49" s="69">
        <f>SUMIFS(Input!Z$2:Z$999,Input!$C$2:$C$999,CONCATENATE(LEFT($B$49,10),"*"),Input!$D$2:$D$999,$C$49)*IND_Mult!V49</f>
        <v>6</v>
      </c>
      <c r="V49" s="69">
        <f>SUMIFS(Input!AA$2:AA$999,Input!$C$2:$C$999,CONCATENATE(LEFT($B$49,10),"*"),Input!$D$2:$D$999,$C$49)*IND_Mult!W49</f>
        <v>6</v>
      </c>
      <c r="W49" s="69">
        <f>SUMIFS(Input!AB$2:AB$999,Input!$C$2:$C$999,CONCATENATE(LEFT($B$49,10),"*"),Input!$D$2:$D$999,$C$49)*IND_Mult!X49</f>
        <v>6</v>
      </c>
      <c r="X49" s="69">
        <f>SUMIFS(Input!AC$2:AC$999,Input!$C$2:$C$999,CONCATENATE(LEFT($B$49,10),"*"),Input!$D$2:$D$999,$C$49)*IND_Mult!Y49</f>
        <v>6</v>
      </c>
      <c r="Y49" s="69">
        <f>SUMIFS(Input!AD$2:AD$999,Input!$C$2:$C$999,CONCATENATE(LEFT($B$49,10),"*"),Input!$D$2:$D$999,$C$49)*IND_Mult!Z49</f>
        <v>6</v>
      </c>
      <c r="Z49" s="69">
        <f>SUMIFS(Input!AE$2:AE$999,Input!$C$2:$C$999,CONCATENATE(LEFT($B$49,10),"*"),Input!$D$2:$D$999,$C$49)*IND_Mult!AA49</f>
        <v>6</v>
      </c>
      <c r="AA49" s="69">
        <f>SUMIFS(Input!AF$2:AF$999,Input!$C$2:$C$999,CONCATENATE(LEFT($B$49,10),"*"),Input!$D$2:$D$999,$C$49)*IND_Mult!AB49</f>
        <v>6</v>
      </c>
      <c r="AB49" s="69">
        <f>SUMIFS(Input!AG$2:AG$999,Input!$C$2:$C$999,CONCATENATE(LEFT($B$49,10),"*"),Input!$D$2:$D$999,$C$49)*IND_Mult!AC49</f>
        <v>6</v>
      </c>
      <c r="AC49" s="69">
        <f>SUMIFS(Input!AH$2:AH$999,Input!$C$2:$C$999,CONCATENATE(LEFT($B$49,10),"*"),Input!$D$2:$D$999,$C$49)*IND_Mult!AD49</f>
        <v>6</v>
      </c>
      <c r="AD49" s="69">
        <f>SUMIFS(Input!AI$2:AI$999,Input!$C$2:$C$999,CONCATENATE(LEFT($B$49,10),"*"),Input!$D$2:$D$999,$C$49)*IND_Mult!AE49</f>
        <v>6</v>
      </c>
      <c r="AE49" s="69">
        <f>SUMIFS(Input!AJ$2:AJ$999,Input!$C$2:$C$999,CONCATENATE(LEFT($B$49,10),"*"),Input!$D$2:$D$999,$C$49)*IND_Mult!AF49</f>
        <v>6</v>
      </c>
      <c r="AF49" s="69">
        <f>SUMIFS(Input!AK$2:AK$999,Input!$C$2:$C$999,CONCATENATE(LEFT($B$49,10),"*"),Input!$D$2:$D$999,$C$49)*IND_Mult!AG49</f>
        <v>6</v>
      </c>
      <c r="AG49" s="69">
        <f>SUMIFS(Input!AL$2:AL$999,Input!$C$2:$C$999,CONCATENATE(LEFT($B$49,10),"*"),Input!$D$2:$D$999,$C$49)*IND_Mult!AH49</f>
        <v>6</v>
      </c>
      <c r="AH49" s="69">
        <f>SUMIFS(Input!AM$2:AM$999,Input!$C$2:$C$999,CONCATENATE(LEFT($B$49,10),"*"),Input!$D$2:$D$999,$C$49)*IND_Mult!AI49</f>
        <v>6</v>
      </c>
      <c r="AI49" s="69">
        <f>SUMIFS(Input!AN$2:AN$999,Input!$C$2:$C$999,CONCATENATE(LEFT($B$49,10),"*"),Input!$D$2:$D$999,$C$49)*IND_Mult!AJ49</f>
        <v>6</v>
      </c>
      <c r="AJ49" s="69">
        <f>SUMIFS(Input!AO$2:AO$999,Input!$C$2:$C$999,CONCATENATE(LEFT($B$49,10),"*"),Input!$D$2:$D$999,$C$49)*IND_Mult!AK49</f>
        <v>6</v>
      </c>
      <c r="AK49" s="69">
        <f>SUMIFS(Input!AP$2:AP$999,Input!$C$2:$C$999,CONCATENATE(LEFT($B$49,10),"*"),Input!$D$2:$D$999,$C$49)*IND_Mult!AL49</f>
        <v>6</v>
      </c>
      <c r="AL49" s="69">
        <f>SUMIFS(Input!AQ$2:AQ$999,Input!$C$2:$C$999,CONCATENATE(LEFT($B$49,10),"*"),Input!$D$2:$D$999,$C$49)*IND_Mult!AM49</f>
        <v>6</v>
      </c>
      <c r="AM49" s="69">
        <f>SUMIFS(Input!AR$2:AR$999,Input!$C$2:$C$999,CONCATENATE(LEFT($B$49,10),"*"),Input!$D$2:$D$999,$C$49)*IND_Mult!AN49</f>
        <v>6</v>
      </c>
      <c r="AN49" s="69">
        <f>SUMIFS(Input!AS$2:AS$999,Input!$C$2:$C$999,CONCATENATE(LEFT($B$49,10),"*"),Input!$D$2:$D$999,$C$49)*IND_Mult!AO49</f>
        <v>6</v>
      </c>
      <c r="AO49" s="69">
        <f>SUMIFS(Input!AT$2:AT$999,Input!$C$2:$C$999,CONCATENATE(LEFT($B$49,10),"*"),Input!$D$2:$D$999,$C$49)*IND_Mult!AP49</f>
        <v>6</v>
      </c>
      <c r="AP49" s="69">
        <f>SUMIFS(Input!AU$2:AU$999,Input!$C$2:$C$999,CONCATENATE(LEFT($B$49,10),"*"),Input!$D$2:$D$999,$C$49)*IND_Mult!AQ49</f>
        <v>6</v>
      </c>
      <c r="AQ49" s="69">
        <f>SUMIFS(Input!AV$2:AV$999,Input!$C$2:$C$999,CONCATENATE(LEFT($B$49,10),"*"),Input!$D$2:$D$999,$C$49)*IND_Mult!AR49</f>
        <v>6</v>
      </c>
    </row>
    <row r="50" spans="1:43" ht="12.75">
      <c r="A50" s="6"/>
      <c r="B50" s="17" t="s">
        <v>264</v>
      </c>
      <c r="C50" s="18" t="s">
        <v>41</v>
      </c>
      <c r="D50" s="26"/>
      <c r="E50" s="16" t="s">
        <v>104</v>
      </c>
      <c r="F50" s="31"/>
      <c r="G50" s="72">
        <f>SUMIFS(Output!L$2:L$999,Output!$C$2:$C$999,CONCATENATE(LEFT($B$50,10),"*"),Output!$D$2:$D$999,$C$50)*IND_Mult!H47</f>
        <v>1</v>
      </c>
      <c r="H50" s="72">
        <f>SUMIFS(Output!M$2:M$999,Output!$C$2:$C$999,CONCATENATE(LEFT($B$50,10),"*"),Output!$D$2:$D$999,$C$50)*IND_Mult!I47</f>
        <v>1</v>
      </c>
      <c r="I50" s="72">
        <f>SUMIFS(Output!N$2:N$999,Output!$C$2:$C$999,CONCATENATE(LEFT($B$50,10),"*"),Output!$D$2:$D$999,$C$50)*IND_Mult!J47</f>
        <v>1</v>
      </c>
      <c r="J50" s="72">
        <f>SUMIFS(Output!O$2:O$999,Output!$C$2:$C$999,CONCATENATE(LEFT($B$50,10),"*"),Output!$D$2:$D$999,$C$50)*IND_Mult!K47</f>
        <v>1</v>
      </c>
      <c r="K50" s="72">
        <f>SUMIFS(Output!P$2:P$999,Output!$C$2:$C$999,CONCATENATE(LEFT($B$50,10),"*"),Output!$D$2:$D$999,$C$50)*IND_Mult!L47</f>
        <v>1</v>
      </c>
      <c r="L50" s="72">
        <f>SUMIFS(Output!Q$2:Q$999,Output!$C$2:$C$999,CONCATENATE(LEFT($B$50,10),"*"),Output!$D$2:$D$999,$C$50)*IND_Mult!M47</f>
        <v>1</v>
      </c>
      <c r="M50" s="72">
        <f>SUMIFS(Output!R$2:R$999,Output!$C$2:$C$999,CONCATENATE(LEFT($B$50,10),"*"),Output!$D$2:$D$999,$C$50)*IND_Mult!N47</f>
        <v>1</v>
      </c>
      <c r="N50" s="72">
        <f>SUMIFS(Output!S$2:S$999,Output!$C$2:$C$999,CONCATENATE(LEFT($B$50,10),"*"),Output!$D$2:$D$999,$C$50)*IND_Mult!O47</f>
        <v>1</v>
      </c>
      <c r="O50" s="72">
        <f>SUMIFS(Output!T$2:T$999,Output!$C$2:$C$999,CONCATENATE(LEFT($B$50,10),"*"),Output!$D$2:$D$999,$C$50)*IND_Mult!P47</f>
        <v>1</v>
      </c>
      <c r="P50" s="72">
        <f>SUMIFS(Output!U$2:U$999,Output!$C$2:$C$999,CONCATENATE(LEFT($B$50,10),"*"),Output!$D$2:$D$999,$C$50)*IND_Mult!Q47</f>
        <v>1</v>
      </c>
      <c r="Q50" s="72">
        <f>SUMIFS(Output!V$2:V$999,Output!$C$2:$C$999,CONCATENATE(LEFT($B$50,10),"*"),Output!$D$2:$D$999,$C$50)*IND_Mult!R47</f>
        <v>1</v>
      </c>
      <c r="R50" s="72">
        <f>SUMIFS(Output!W$2:W$999,Output!$C$2:$C$999,CONCATENATE(LEFT($B$50,10),"*"),Output!$D$2:$D$999,$C$50)*IND_Mult!S47</f>
        <v>1</v>
      </c>
      <c r="S50" s="72">
        <f>SUMIFS(Output!X$2:X$999,Output!$C$2:$C$999,CONCATENATE(LEFT($B$50,10),"*"),Output!$D$2:$D$999,$C$50)*IND_Mult!T47</f>
        <v>1</v>
      </c>
      <c r="T50" s="72">
        <f>SUMIFS(Output!Y$2:Y$999,Output!$C$2:$C$999,CONCATENATE(LEFT($B$50,10),"*"),Output!$D$2:$D$999,$C$50)*IND_Mult!U47</f>
        <v>1</v>
      </c>
      <c r="U50" s="72">
        <f>SUMIFS(Output!Z$2:Z$999,Output!$C$2:$C$999,CONCATENATE(LEFT($B$50,10),"*"),Output!$D$2:$D$999,$C$50)*IND_Mult!V47</f>
        <v>1</v>
      </c>
      <c r="V50" s="72">
        <f>SUMIFS(Output!AA$2:AA$999,Output!$C$2:$C$999,CONCATENATE(LEFT($B$50,10),"*"),Output!$D$2:$D$999,$C$50)*IND_Mult!W47</f>
        <v>1</v>
      </c>
      <c r="W50" s="72">
        <f>SUMIFS(Output!AB$2:AB$999,Output!$C$2:$C$999,CONCATENATE(LEFT($B$50,10),"*"),Output!$D$2:$D$999,$C$50)*IND_Mult!X47</f>
        <v>1</v>
      </c>
      <c r="X50" s="72">
        <f>SUMIFS(Output!AC$2:AC$999,Output!$C$2:$C$999,CONCATENATE(LEFT($B$50,10),"*"),Output!$D$2:$D$999,$C$50)*IND_Mult!Y47</f>
        <v>1</v>
      </c>
      <c r="Y50" s="72">
        <f>SUMIFS(Output!AD$2:AD$999,Output!$C$2:$C$999,CONCATENATE(LEFT($B$50,10),"*"),Output!$D$2:$D$999,$C$50)*IND_Mult!Z47</f>
        <v>1</v>
      </c>
      <c r="Z50" s="72">
        <f>SUMIFS(Output!AE$2:AE$999,Output!$C$2:$C$999,CONCATENATE(LEFT($B$50,10),"*"),Output!$D$2:$D$999,$C$50)*IND_Mult!AA47</f>
        <v>1</v>
      </c>
      <c r="AA50" s="72">
        <f>SUMIFS(Output!AF$2:AF$999,Output!$C$2:$C$999,CONCATENATE(LEFT($B$50,10),"*"),Output!$D$2:$D$999,$C$50)*IND_Mult!AB47</f>
        <v>1</v>
      </c>
      <c r="AB50" s="72">
        <f>SUMIFS(Output!AG$2:AG$999,Output!$C$2:$C$999,CONCATENATE(LEFT($B$50,10),"*"),Output!$D$2:$D$999,$C$50)*IND_Mult!AC47</f>
        <v>1</v>
      </c>
      <c r="AC50" s="72">
        <f>SUMIFS(Output!AH$2:AH$999,Output!$C$2:$C$999,CONCATENATE(LEFT($B$50,10),"*"),Output!$D$2:$D$999,$C$50)*IND_Mult!AD47</f>
        <v>1</v>
      </c>
      <c r="AD50" s="72">
        <f>SUMIFS(Output!AI$2:AI$999,Output!$C$2:$C$999,CONCATENATE(LEFT($B$50,10),"*"),Output!$D$2:$D$999,$C$50)*IND_Mult!AE47</f>
        <v>1</v>
      </c>
      <c r="AE50" s="72">
        <f>SUMIFS(Output!AJ$2:AJ$999,Output!$C$2:$C$999,CONCATENATE(LEFT($B$50,10),"*"),Output!$D$2:$D$999,$C$50)*IND_Mult!AF47</f>
        <v>1</v>
      </c>
      <c r="AF50" s="72">
        <f>SUMIFS(Output!AK$2:AK$999,Output!$C$2:$C$999,CONCATENATE(LEFT($B$50,10),"*"),Output!$D$2:$D$999,$C$50)*IND_Mult!AG47</f>
        <v>1</v>
      </c>
      <c r="AG50" s="72">
        <f>SUMIFS(Output!AL$2:AL$999,Output!$C$2:$C$999,CONCATENATE(LEFT($B$50,10),"*"),Output!$D$2:$D$999,$C$50)*IND_Mult!AH47</f>
        <v>1</v>
      </c>
      <c r="AH50" s="72">
        <f>SUMIFS(Output!AM$2:AM$999,Output!$C$2:$C$999,CONCATENATE(LEFT($B$50,10),"*"),Output!$D$2:$D$999,$C$50)*IND_Mult!AI47</f>
        <v>1</v>
      </c>
      <c r="AI50" s="72">
        <f>SUMIFS(Output!AN$2:AN$999,Output!$C$2:$C$999,CONCATENATE(LEFT($B$50,10),"*"),Output!$D$2:$D$999,$C$50)*IND_Mult!AJ47</f>
        <v>1</v>
      </c>
      <c r="AJ50" s="72">
        <f>SUMIFS(Output!AO$2:AO$999,Output!$C$2:$C$999,CONCATENATE(LEFT($B$50,10),"*"),Output!$D$2:$D$999,$C$50)*IND_Mult!AK47</f>
        <v>1</v>
      </c>
      <c r="AK50" s="72">
        <f>SUMIFS(Output!AP$2:AP$999,Output!$C$2:$C$999,CONCATENATE(LEFT($B$50,10),"*"),Output!$D$2:$D$999,$C$50)*IND_Mult!AL47</f>
        <v>1</v>
      </c>
      <c r="AL50" s="72">
        <f>SUMIFS(Output!AQ$2:AQ$999,Output!$C$2:$C$999,CONCATENATE(LEFT($B$50,10),"*"),Output!$D$2:$D$999,$C$50)*IND_Mult!AM47</f>
        <v>1</v>
      </c>
      <c r="AM50" s="72">
        <f>SUMIFS(Output!AR$2:AR$999,Output!$C$2:$C$999,CONCATENATE(LEFT($B$50,10),"*"),Output!$D$2:$D$999,$C$50)*IND_Mult!AN47</f>
        <v>1</v>
      </c>
      <c r="AN50" s="72">
        <f>SUMIFS(Output!AS$2:AS$999,Output!$C$2:$C$999,CONCATENATE(LEFT($B$50,10),"*"),Output!$D$2:$D$999,$C$50)*IND_Mult!AO47</f>
        <v>1</v>
      </c>
      <c r="AO50" s="72">
        <f>SUMIFS(Output!AT$2:AT$999,Output!$C$2:$C$999,CONCATENATE(LEFT($B$50,10),"*"),Output!$D$2:$D$999,$C$50)*IND_Mult!AP47</f>
        <v>1</v>
      </c>
      <c r="AP50" s="72">
        <f>SUMIFS(Output!AU$2:AU$999,Output!$C$2:$C$999,CONCATENATE(LEFT($B$50,10),"*"),Output!$D$2:$D$999,$C$50)*IND_Mult!AQ47</f>
        <v>1</v>
      </c>
      <c r="AQ50" s="72">
        <f>SUMIFS(Output!AV$2:AV$999,Output!$C$2:$C$999,CONCATENATE(LEFT($B$50,10),"*"),Output!$D$2:$D$999,$C$50)*IND_Mult!AR47</f>
        <v>1</v>
      </c>
    </row>
    <row r="51" spans="1:43" ht="12.75">
      <c r="A51" s="6"/>
      <c r="B51" s="17" t="s">
        <v>265</v>
      </c>
      <c r="C51" s="18" t="s">
        <v>37</v>
      </c>
      <c r="D51" s="26"/>
      <c r="E51" s="16" t="s">
        <v>103</v>
      </c>
      <c r="F51" s="31"/>
      <c r="G51" s="69">
        <f>SUMIFS(Input!L$2:L$999,Input!$C$2:$C$999,CONCATENATE(LEFT($B$51,10),"*"),Input!$D$2:$D$999,$C$51)*IND_Mult!H51</f>
        <v>1.6000000000000001</v>
      </c>
      <c r="H51" s="69">
        <f>SUMIFS(Input!M$2:M$999,Input!$C$2:$C$999,CONCATENATE(LEFT($B$51,10),"*"),Input!$D$2:$D$999,$C$51)*IND_Mult!I51</f>
        <v>1.6000000000000001</v>
      </c>
      <c r="I51" s="69">
        <f>SUMIFS(Input!N$2:N$999,Input!$C$2:$C$999,CONCATENATE(LEFT($B$51,10),"*"),Input!$D$2:$D$999,$C$51)*IND_Mult!J51</f>
        <v>0</v>
      </c>
      <c r="J51" s="69">
        <f>SUMIFS(Input!O$2:O$999,Input!$C$2:$C$999,CONCATENATE(LEFT($B$51,10),"*"),Input!$D$2:$D$999,$C$51)*IND_Mult!K51</f>
        <v>1.6000000000000001</v>
      </c>
      <c r="K51" s="69">
        <f>SUMIFS(Input!P$2:P$999,Input!$C$2:$C$999,CONCATENATE(LEFT($B$51,10),"*"),Input!$D$2:$D$999,$C$51)*IND_Mult!L51</f>
        <v>1.6000000000000001</v>
      </c>
      <c r="L51" s="69">
        <f>SUMIFS(Input!Q$2:Q$999,Input!$C$2:$C$999,CONCATENATE(LEFT($B$51,10),"*"),Input!$D$2:$D$999,$C$51)*IND_Mult!M51</f>
        <v>1.6000000000000001</v>
      </c>
      <c r="M51" s="69">
        <f>SUMIFS(Input!R$2:R$999,Input!$C$2:$C$999,CONCATENATE(LEFT($B$51,10),"*"),Input!$D$2:$D$999,$C$51)*IND_Mult!N51</f>
        <v>1.6000000000000001</v>
      </c>
      <c r="N51" s="69">
        <f>SUMIFS(Input!S$2:S$999,Input!$C$2:$C$999,CONCATENATE(LEFT($B$51,10),"*"),Input!$D$2:$D$999,$C$51)*IND_Mult!O51</f>
        <v>1.6000000000000001</v>
      </c>
      <c r="O51" s="69">
        <f>SUMIFS(Input!T$2:T$999,Input!$C$2:$C$999,CONCATENATE(LEFT($B$51,10),"*"),Input!$D$2:$D$999,$C$51)*IND_Mult!P51</f>
        <v>1.3600000000000001</v>
      </c>
      <c r="P51" s="69">
        <f>SUMIFS(Input!U$2:U$999,Input!$C$2:$C$999,CONCATENATE(LEFT($B$51,10),"*"),Input!$D$2:$D$999,$C$51)*IND_Mult!Q51</f>
        <v>1.6000000000000001</v>
      </c>
      <c r="Q51" s="69">
        <f>SUMIFS(Input!V$2:V$999,Input!$C$2:$C$999,CONCATENATE(LEFT($B$51,10),"*"),Input!$D$2:$D$999,$C$51)*IND_Mult!R51</f>
        <v>1.6000000000000001</v>
      </c>
      <c r="R51" s="69">
        <f>SUMIFS(Input!W$2:W$999,Input!$C$2:$C$999,CONCATENATE(LEFT($B$51,10),"*"),Input!$D$2:$D$999,$C$51)*IND_Mult!S51</f>
        <v>1.6000000000000001</v>
      </c>
      <c r="S51" s="69">
        <f>SUMIFS(Input!X$2:X$999,Input!$C$2:$C$999,CONCATENATE(LEFT($B$51,10),"*"),Input!$D$2:$D$999,$C$51)*IND_Mult!T51</f>
        <v>1.6000000000000001</v>
      </c>
      <c r="T51" s="69">
        <f>SUMIFS(Input!Y$2:Y$999,Input!$C$2:$C$999,CONCATENATE(LEFT($B$51,10),"*"),Input!$D$2:$D$999,$C$51)*IND_Mult!U51</f>
        <v>1.6000000000000001</v>
      </c>
      <c r="U51" s="69">
        <f>SUMIFS(Input!Z$2:Z$999,Input!$C$2:$C$999,CONCATENATE(LEFT($B$51,10),"*"),Input!$D$2:$D$999,$C$51)*IND_Mult!V51</f>
        <v>1.6000000000000001</v>
      </c>
      <c r="V51" s="69">
        <f>SUMIFS(Input!AA$2:AA$999,Input!$C$2:$C$999,CONCATENATE(LEFT($B$51,10),"*"),Input!$D$2:$D$999,$C$51)*IND_Mult!W51</f>
        <v>1.6000000000000001</v>
      </c>
      <c r="W51" s="69">
        <f>SUMIFS(Input!AB$2:AB$999,Input!$C$2:$C$999,CONCATENATE(LEFT($B$51,10),"*"),Input!$D$2:$D$999,$C$51)*IND_Mult!X51</f>
        <v>1.6000000000000001</v>
      </c>
      <c r="X51" s="69">
        <f>SUMIFS(Input!AC$2:AC$999,Input!$C$2:$C$999,CONCATENATE(LEFT($B$51,10),"*"),Input!$D$2:$D$999,$C$51)*IND_Mult!Y51</f>
        <v>1.6000000000000001</v>
      </c>
      <c r="Y51" s="69">
        <f>SUMIFS(Input!AD$2:AD$999,Input!$C$2:$C$999,CONCATENATE(LEFT($B$51,10),"*"),Input!$D$2:$D$999,$C$51)*IND_Mult!Z51</f>
        <v>1.6000000000000001</v>
      </c>
      <c r="Z51" s="69">
        <f>SUMIFS(Input!AE$2:AE$999,Input!$C$2:$C$999,CONCATENATE(LEFT($B$51,10),"*"),Input!$D$2:$D$999,$C$51)*IND_Mult!AA51</f>
        <v>1.6000000000000001</v>
      </c>
      <c r="AA51" s="69">
        <f>SUMIFS(Input!AF$2:AF$999,Input!$C$2:$C$999,CONCATENATE(LEFT($B$51,10),"*"),Input!$D$2:$D$999,$C$51)*IND_Mult!AB51</f>
        <v>1.6000000000000001</v>
      </c>
      <c r="AB51" s="69">
        <f>SUMIFS(Input!AG$2:AG$999,Input!$C$2:$C$999,CONCATENATE(LEFT($B$51,10),"*"),Input!$D$2:$D$999,$C$51)*IND_Mult!AC51</f>
        <v>1.6000000000000001</v>
      </c>
      <c r="AC51" s="69">
        <f>SUMIFS(Input!AH$2:AH$999,Input!$C$2:$C$999,CONCATENATE(LEFT($B$51,10),"*"),Input!$D$2:$D$999,$C$51)*IND_Mult!AD51</f>
        <v>1.6000000000000001</v>
      </c>
      <c r="AD51" s="69">
        <f>SUMIFS(Input!AI$2:AI$999,Input!$C$2:$C$999,CONCATENATE(LEFT($B$51,10),"*"),Input!$D$2:$D$999,$C$51)*IND_Mult!AE51</f>
        <v>1.6000000000000001</v>
      </c>
      <c r="AE51" s="69">
        <f>SUMIFS(Input!AJ$2:AJ$999,Input!$C$2:$C$999,CONCATENATE(LEFT($B$51,10),"*"),Input!$D$2:$D$999,$C$51)*IND_Mult!AF51</f>
        <v>1.6000000000000001</v>
      </c>
      <c r="AF51" s="69">
        <f>SUMIFS(Input!AK$2:AK$999,Input!$C$2:$C$999,CONCATENATE(LEFT($B$51,10),"*"),Input!$D$2:$D$999,$C$51)*IND_Mult!AG51</f>
        <v>1.6000000000000001</v>
      </c>
      <c r="AG51" s="69">
        <f>SUMIFS(Input!AL$2:AL$999,Input!$C$2:$C$999,CONCATENATE(LEFT($B$51,10),"*"),Input!$D$2:$D$999,$C$51)*IND_Mult!AH51</f>
        <v>1.6000000000000001</v>
      </c>
      <c r="AH51" s="69">
        <f>SUMIFS(Input!AM$2:AM$999,Input!$C$2:$C$999,CONCATENATE(LEFT($B$51,10),"*"),Input!$D$2:$D$999,$C$51)*IND_Mult!AI51</f>
        <v>1.6000000000000001</v>
      </c>
      <c r="AI51" s="69">
        <f>SUMIFS(Input!AN$2:AN$999,Input!$C$2:$C$999,CONCATENATE(LEFT($B$51,10),"*"),Input!$D$2:$D$999,$C$51)*IND_Mult!AJ51</f>
        <v>0</v>
      </c>
      <c r="AJ51" s="69">
        <f>SUMIFS(Input!AO$2:AO$999,Input!$C$2:$C$999,CONCATENATE(LEFT($B$51,10),"*"),Input!$D$2:$D$999,$C$51)*IND_Mult!AK51</f>
        <v>1.6000000000000001</v>
      </c>
      <c r="AK51" s="69">
        <f>SUMIFS(Input!AP$2:AP$999,Input!$C$2:$C$999,CONCATENATE(LEFT($B$51,10),"*"),Input!$D$2:$D$999,$C$51)*IND_Mult!AL51</f>
        <v>1.6000000000000001</v>
      </c>
      <c r="AL51" s="69">
        <f>SUMIFS(Input!AQ$2:AQ$999,Input!$C$2:$C$999,CONCATENATE(LEFT($B$51,10),"*"),Input!$D$2:$D$999,$C$51)*IND_Mult!AM51</f>
        <v>1.6000000000000001</v>
      </c>
      <c r="AM51" s="69">
        <f>SUMIFS(Input!AR$2:AR$999,Input!$C$2:$C$999,CONCATENATE(LEFT($B$51,10),"*"),Input!$D$2:$D$999,$C$51)*IND_Mult!AN51</f>
        <v>1.6000000000000001</v>
      </c>
      <c r="AN51" s="69">
        <f>SUMIFS(Input!AS$2:AS$999,Input!$C$2:$C$999,CONCATENATE(LEFT($B$51,10),"*"),Input!$D$2:$D$999,$C$51)*IND_Mult!AO51</f>
        <v>1.6000000000000001</v>
      </c>
      <c r="AO51" s="69">
        <f>SUMIFS(Input!AT$2:AT$999,Input!$C$2:$C$999,CONCATENATE(LEFT($B$51,10),"*"),Input!$D$2:$D$999,$C$51)*IND_Mult!AP51</f>
        <v>1.6000000000000001</v>
      </c>
      <c r="AP51" s="69">
        <f>SUMIFS(Input!AU$2:AU$999,Input!$C$2:$C$999,CONCATENATE(LEFT($B$51,10),"*"),Input!$D$2:$D$999,$C$51)*IND_Mult!AQ51</f>
        <v>1.6000000000000001</v>
      </c>
      <c r="AQ51" s="69">
        <f>SUMIFS(Input!AV$2:AV$999,Input!$C$2:$C$999,CONCATENATE(LEFT($B$51,10),"*"),Input!$D$2:$D$999,$C$51)*IND_Mult!AR51</f>
        <v>1.6000000000000001</v>
      </c>
    </row>
    <row r="52" spans="1:43" ht="12.75">
      <c r="A52" s="6"/>
      <c r="B52" s="17" t="s">
        <v>265</v>
      </c>
      <c r="C52" s="18" t="s">
        <v>38</v>
      </c>
      <c r="D52" s="26"/>
      <c r="E52" s="16" t="s">
        <v>285</v>
      </c>
      <c r="F52" s="31"/>
      <c r="G52" s="69">
        <f>SUMIFS(Input!L$2:L$999,Input!$C$2:$C$999,CONCATENATE(LEFT($B$52,10),"*"),Input!$D$2:$D$999,$C$52)*IND_Mult!H52</f>
        <v>0</v>
      </c>
      <c r="H52" s="69">
        <f>SUMIFS(Input!M$2:M$999,Input!$C$2:$C$999,CONCATENATE(LEFT($B$52,10),"*"),Input!$D$2:$D$999,$C$52)*IND_Mult!I52</f>
        <v>0</v>
      </c>
      <c r="I52" s="69">
        <f>SUMIFS(Input!N$2:N$999,Input!$C$2:$C$999,CONCATENATE(LEFT($B$52,10),"*"),Input!$D$2:$D$999,$C$52)*IND_Mult!J52</f>
        <v>0</v>
      </c>
      <c r="J52" s="69">
        <f>SUMIFS(Input!O$2:O$999,Input!$C$2:$C$999,CONCATENATE(LEFT($B$52,10),"*"),Input!$D$2:$D$999,$C$52)*IND_Mult!K52</f>
        <v>0</v>
      </c>
      <c r="K52" s="69">
        <f>SUMIFS(Input!P$2:P$999,Input!$C$2:$C$999,CONCATENATE(LEFT($B$52,10),"*"),Input!$D$2:$D$999,$C$52)*IND_Mult!L52</f>
        <v>0</v>
      </c>
      <c r="L52" s="69">
        <f>SUMIFS(Input!Q$2:Q$999,Input!$C$2:$C$999,CONCATENATE(LEFT($B$52,10),"*"),Input!$D$2:$D$999,$C$52)*IND_Mult!M52</f>
        <v>0</v>
      </c>
      <c r="M52" s="69">
        <f>SUMIFS(Input!R$2:R$999,Input!$C$2:$C$999,CONCATENATE(LEFT($B$52,10),"*"),Input!$D$2:$D$999,$C$52)*IND_Mult!N52</f>
        <v>0</v>
      </c>
      <c r="N52" s="69">
        <f>SUMIFS(Input!S$2:S$999,Input!$C$2:$C$999,CONCATENATE(LEFT($B$52,10),"*"),Input!$D$2:$D$999,$C$52)*IND_Mult!O52</f>
        <v>0</v>
      </c>
      <c r="O52" s="69">
        <f>SUMIFS(Input!T$2:T$999,Input!$C$2:$C$999,CONCATENATE(LEFT($B$52,10),"*"),Input!$D$2:$D$999,$C$52)*IND_Mult!P52</f>
        <v>0</v>
      </c>
      <c r="P52" s="69">
        <f>SUMIFS(Input!U$2:U$999,Input!$C$2:$C$999,CONCATENATE(LEFT($B$52,10),"*"),Input!$D$2:$D$999,$C$52)*IND_Mult!Q52</f>
        <v>0</v>
      </c>
      <c r="Q52" s="69">
        <f>SUMIFS(Input!V$2:V$999,Input!$C$2:$C$999,CONCATENATE(LEFT($B$52,10),"*"),Input!$D$2:$D$999,$C$52)*IND_Mult!R52</f>
        <v>0</v>
      </c>
      <c r="R52" s="69">
        <f>SUMIFS(Input!W$2:W$999,Input!$C$2:$C$999,CONCATENATE(LEFT($B$52,10),"*"),Input!$D$2:$D$999,$C$52)*IND_Mult!S52</f>
        <v>0</v>
      </c>
      <c r="S52" s="69">
        <f>SUMIFS(Input!X$2:X$999,Input!$C$2:$C$999,CONCATENATE(LEFT($B$52,10),"*"),Input!$D$2:$D$999,$C$52)*IND_Mult!T52</f>
        <v>0</v>
      </c>
      <c r="T52" s="69">
        <f>SUMIFS(Input!Y$2:Y$999,Input!$C$2:$C$999,CONCATENATE(LEFT($B$52,10),"*"),Input!$D$2:$D$999,$C$52)*IND_Mult!U52</f>
        <v>0</v>
      </c>
      <c r="U52" s="69">
        <f>SUMIFS(Input!Z$2:Z$999,Input!$C$2:$C$999,CONCATENATE(LEFT($B$52,10),"*"),Input!$D$2:$D$999,$C$52)*IND_Mult!V52</f>
        <v>0</v>
      </c>
      <c r="V52" s="69">
        <f>SUMIFS(Input!AA$2:AA$999,Input!$C$2:$C$999,CONCATENATE(LEFT($B$52,10),"*"),Input!$D$2:$D$999,$C$52)*IND_Mult!W52</f>
        <v>0</v>
      </c>
      <c r="W52" s="69">
        <f>SUMIFS(Input!AB$2:AB$999,Input!$C$2:$C$999,CONCATENATE(LEFT($B$52,10),"*"),Input!$D$2:$D$999,$C$52)*IND_Mult!X52</f>
        <v>0</v>
      </c>
      <c r="X52" s="69">
        <f>SUMIFS(Input!AC$2:AC$999,Input!$C$2:$C$999,CONCATENATE(LEFT($B$52,10),"*"),Input!$D$2:$D$999,$C$52)*IND_Mult!Y52</f>
        <v>0</v>
      </c>
      <c r="Y52" s="69">
        <f>SUMIFS(Input!AD$2:AD$999,Input!$C$2:$C$999,CONCATENATE(LEFT($B$52,10),"*"),Input!$D$2:$D$999,$C$52)*IND_Mult!Z52</f>
        <v>0</v>
      </c>
      <c r="Z52" s="69">
        <f>SUMIFS(Input!AE$2:AE$999,Input!$C$2:$C$999,CONCATENATE(LEFT($B$52,10),"*"),Input!$D$2:$D$999,$C$52)*IND_Mult!AA52</f>
        <v>0</v>
      </c>
      <c r="AA52" s="69">
        <f>SUMIFS(Input!AF$2:AF$999,Input!$C$2:$C$999,CONCATENATE(LEFT($B$52,10),"*"),Input!$D$2:$D$999,$C$52)*IND_Mult!AB52</f>
        <v>0</v>
      </c>
      <c r="AB52" s="69">
        <f>SUMIFS(Input!AG$2:AG$999,Input!$C$2:$C$999,CONCATENATE(LEFT($B$52,10),"*"),Input!$D$2:$D$999,$C$52)*IND_Mult!AC52</f>
        <v>0</v>
      </c>
      <c r="AC52" s="69">
        <f>SUMIFS(Input!AH$2:AH$999,Input!$C$2:$C$999,CONCATENATE(LEFT($B$52,10),"*"),Input!$D$2:$D$999,$C$52)*IND_Mult!AD52</f>
        <v>0</v>
      </c>
      <c r="AD52" s="69">
        <f>SUMIFS(Input!AI$2:AI$999,Input!$C$2:$C$999,CONCATENATE(LEFT($B$52,10),"*"),Input!$D$2:$D$999,$C$52)*IND_Mult!AE52</f>
        <v>0</v>
      </c>
      <c r="AE52" s="69">
        <f>SUMIFS(Input!AJ$2:AJ$999,Input!$C$2:$C$999,CONCATENATE(LEFT($B$52,10),"*"),Input!$D$2:$D$999,$C$52)*IND_Mult!AF52</f>
        <v>0</v>
      </c>
      <c r="AF52" s="69">
        <f>SUMIFS(Input!AK$2:AK$999,Input!$C$2:$C$999,CONCATENATE(LEFT($B$52,10),"*"),Input!$D$2:$D$999,$C$52)*IND_Mult!AG52</f>
        <v>0</v>
      </c>
      <c r="AG52" s="69">
        <f>SUMIFS(Input!AL$2:AL$999,Input!$C$2:$C$999,CONCATENATE(LEFT($B$52,10),"*"),Input!$D$2:$D$999,$C$52)*IND_Mult!AH52</f>
        <v>0</v>
      </c>
      <c r="AH52" s="69">
        <f>SUMIFS(Input!AM$2:AM$999,Input!$C$2:$C$999,CONCATENATE(LEFT($B$52,10),"*"),Input!$D$2:$D$999,$C$52)*IND_Mult!AI52</f>
        <v>0</v>
      </c>
      <c r="AI52" s="69">
        <f>SUMIFS(Input!AN$2:AN$999,Input!$C$2:$C$999,CONCATENATE(LEFT($B$52,10),"*"),Input!$D$2:$D$999,$C$52)*IND_Mult!AJ52</f>
        <v>0</v>
      </c>
      <c r="AJ52" s="69">
        <f>SUMIFS(Input!AO$2:AO$999,Input!$C$2:$C$999,CONCATENATE(LEFT($B$52,10),"*"),Input!$D$2:$D$999,$C$52)*IND_Mult!AK52</f>
        <v>0</v>
      </c>
      <c r="AK52" s="69">
        <f>SUMIFS(Input!AP$2:AP$999,Input!$C$2:$C$999,CONCATENATE(LEFT($B$52,10),"*"),Input!$D$2:$D$999,$C$52)*IND_Mult!AL52</f>
        <v>0</v>
      </c>
      <c r="AL52" s="69">
        <f>SUMIFS(Input!AQ$2:AQ$999,Input!$C$2:$C$999,CONCATENATE(LEFT($B$52,10),"*"),Input!$D$2:$D$999,$C$52)*IND_Mult!AM52</f>
        <v>0</v>
      </c>
      <c r="AM52" s="69">
        <f>SUMIFS(Input!AR$2:AR$999,Input!$C$2:$C$999,CONCATENATE(LEFT($B$52,10),"*"),Input!$D$2:$D$999,$C$52)*IND_Mult!AN52</f>
        <v>0</v>
      </c>
      <c r="AN52" s="69">
        <f>SUMIFS(Input!AS$2:AS$999,Input!$C$2:$C$999,CONCATENATE(LEFT($B$52,10),"*"),Input!$D$2:$D$999,$C$52)*IND_Mult!AO52</f>
        <v>0</v>
      </c>
      <c r="AO52" s="69">
        <f>SUMIFS(Input!AT$2:AT$999,Input!$C$2:$C$999,CONCATENATE(LEFT($B$52,10),"*"),Input!$D$2:$D$999,$C$52)*IND_Mult!AP52</f>
        <v>0</v>
      </c>
      <c r="AP52" s="69">
        <f>SUMIFS(Input!AU$2:AU$999,Input!$C$2:$C$999,CONCATENATE(LEFT($B$52,10),"*"),Input!$D$2:$D$999,$C$52)*IND_Mult!AQ52</f>
        <v>0</v>
      </c>
      <c r="AQ52" s="69">
        <f>SUMIFS(Input!AV$2:AV$999,Input!$C$2:$C$999,CONCATENATE(LEFT($B$52,10),"*"),Input!$D$2:$D$999,$C$52)*IND_Mult!AR52</f>
        <v>0</v>
      </c>
    </row>
    <row r="53" spans="1:43" ht="12.75">
      <c r="A53" s="6"/>
      <c r="B53" s="17" t="s">
        <v>265</v>
      </c>
      <c r="C53" s="18" t="s">
        <v>43</v>
      </c>
      <c r="D53" s="26"/>
      <c r="E53" s="16" t="s">
        <v>103</v>
      </c>
      <c r="F53" s="31"/>
      <c r="G53" s="69">
        <f>SUMIFS(Input!L$2:L$999,Input!$C$2:$C$999,CONCATENATE(LEFT($B$53,10),"*"),Input!$D$2:$D$999,$C$53)*IND_Mult!H53</f>
        <v>2.7999999999999998</v>
      </c>
      <c r="H53" s="69">
        <f>SUMIFS(Input!M$2:M$999,Input!$C$2:$C$999,CONCATENATE(LEFT($B$53,10),"*"),Input!$D$2:$D$999,$C$53)*IND_Mult!I53</f>
        <v>2.7999999999999998</v>
      </c>
      <c r="I53" s="69">
        <f>SUMIFS(Input!N$2:N$999,Input!$C$2:$C$999,CONCATENATE(LEFT($B$53,10),"*"),Input!$D$2:$D$999,$C$53)*IND_Mult!J53</f>
        <v>2.7999999999999998</v>
      </c>
      <c r="J53" s="69">
        <f>SUMIFS(Input!O$2:O$999,Input!$C$2:$C$999,CONCATENATE(LEFT($B$53,10),"*"),Input!$D$2:$D$999,$C$53)*IND_Mult!K53</f>
        <v>2.7999999999999998</v>
      </c>
      <c r="K53" s="69">
        <f>SUMIFS(Input!P$2:P$999,Input!$C$2:$C$999,CONCATENATE(LEFT($B$53,10),"*"),Input!$D$2:$D$999,$C$53)*IND_Mult!L53</f>
        <v>2.7999999999999998</v>
      </c>
      <c r="L53" s="69">
        <f>SUMIFS(Input!Q$2:Q$999,Input!$C$2:$C$999,CONCATENATE(LEFT($B$53,10),"*"),Input!$D$2:$D$999,$C$53)*IND_Mult!M53</f>
        <v>2.7999999999999998</v>
      </c>
      <c r="M53" s="69">
        <f>SUMIFS(Input!R$2:R$999,Input!$C$2:$C$999,CONCATENATE(LEFT($B$53,10),"*"),Input!$D$2:$D$999,$C$53)*IND_Mult!N53</f>
        <v>2.7999999999999998</v>
      </c>
      <c r="N53" s="69">
        <f>SUMIFS(Input!S$2:S$999,Input!$C$2:$C$999,CONCATENATE(LEFT($B$53,10),"*"),Input!$D$2:$D$999,$C$53)*IND_Mult!O53</f>
        <v>2.7999999999999998</v>
      </c>
      <c r="O53" s="69">
        <f>SUMIFS(Input!T$2:T$999,Input!$C$2:$C$999,CONCATENATE(LEFT($B$53,10),"*"),Input!$D$2:$D$999,$C$53)*IND_Mult!P53</f>
        <v>2.7999999999999998</v>
      </c>
      <c r="P53" s="69">
        <f>SUMIFS(Input!U$2:U$999,Input!$C$2:$C$999,CONCATENATE(LEFT($B$53,10),"*"),Input!$D$2:$D$999,$C$53)*IND_Mult!Q53</f>
        <v>2.7999999999999998</v>
      </c>
      <c r="Q53" s="69">
        <f>SUMIFS(Input!V$2:V$999,Input!$C$2:$C$999,CONCATENATE(LEFT($B$53,10),"*"),Input!$D$2:$D$999,$C$53)*IND_Mult!R53</f>
        <v>2.7999999999999998</v>
      </c>
      <c r="R53" s="69">
        <f>SUMIFS(Input!W$2:W$999,Input!$C$2:$C$999,CONCATENATE(LEFT($B$53,10),"*"),Input!$D$2:$D$999,$C$53)*IND_Mult!S53</f>
        <v>2.7999999999999998</v>
      </c>
      <c r="S53" s="69">
        <f>SUMIFS(Input!X$2:X$999,Input!$C$2:$C$999,CONCATENATE(LEFT($B$53,10),"*"),Input!$D$2:$D$999,$C$53)*IND_Mult!T53</f>
        <v>2.7999999999999998</v>
      </c>
      <c r="T53" s="69">
        <f>SUMIFS(Input!Y$2:Y$999,Input!$C$2:$C$999,CONCATENATE(LEFT($B$53,10),"*"),Input!$D$2:$D$999,$C$53)*IND_Mult!U53</f>
        <v>2.7999999999999998</v>
      </c>
      <c r="U53" s="69">
        <f>SUMIFS(Input!Z$2:Z$999,Input!$C$2:$C$999,CONCATENATE(LEFT($B$53,10),"*"),Input!$D$2:$D$999,$C$53)*IND_Mult!V53</f>
        <v>2.7999999999999998</v>
      </c>
      <c r="V53" s="69">
        <f>SUMIFS(Input!AA$2:AA$999,Input!$C$2:$C$999,CONCATENATE(LEFT($B$53,10),"*"),Input!$D$2:$D$999,$C$53)*IND_Mult!W53</f>
        <v>2.7999999999999998</v>
      </c>
      <c r="W53" s="69">
        <f>SUMIFS(Input!AB$2:AB$999,Input!$C$2:$C$999,CONCATENATE(LEFT($B$53,10),"*"),Input!$D$2:$D$999,$C$53)*IND_Mult!X53</f>
        <v>2.7999999999999998</v>
      </c>
      <c r="X53" s="69">
        <f>SUMIFS(Input!AC$2:AC$999,Input!$C$2:$C$999,CONCATENATE(LEFT($B$53,10),"*"),Input!$D$2:$D$999,$C$53)*IND_Mult!Y53</f>
        <v>2.7999999999999998</v>
      </c>
      <c r="Y53" s="69">
        <f>SUMIFS(Input!AD$2:AD$999,Input!$C$2:$C$999,CONCATENATE(LEFT($B$53,10),"*"),Input!$D$2:$D$999,$C$53)*IND_Mult!Z53</f>
        <v>2.7999999999999998</v>
      </c>
      <c r="Z53" s="69">
        <f>SUMIFS(Input!AE$2:AE$999,Input!$C$2:$C$999,CONCATENATE(LEFT($B$53,10),"*"),Input!$D$2:$D$999,$C$53)*IND_Mult!AA53</f>
        <v>2.7999999999999998</v>
      </c>
      <c r="AA53" s="69">
        <f>SUMIFS(Input!AF$2:AF$999,Input!$C$2:$C$999,CONCATENATE(LEFT($B$53,10),"*"),Input!$D$2:$D$999,$C$53)*IND_Mult!AB53</f>
        <v>2.7999999999999998</v>
      </c>
      <c r="AB53" s="69">
        <f>SUMIFS(Input!AG$2:AG$999,Input!$C$2:$C$999,CONCATENATE(LEFT($B$53,10),"*"),Input!$D$2:$D$999,$C$53)*IND_Mult!AC53</f>
        <v>2.7999999999999998</v>
      </c>
      <c r="AC53" s="69">
        <f>SUMIFS(Input!AH$2:AH$999,Input!$C$2:$C$999,CONCATENATE(LEFT($B$53,10),"*"),Input!$D$2:$D$999,$C$53)*IND_Mult!AD53</f>
        <v>2.7999999999999998</v>
      </c>
      <c r="AD53" s="69">
        <f>SUMIFS(Input!AI$2:AI$999,Input!$C$2:$C$999,CONCATENATE(LEFT($B$53,10),"*"),Input!$D$2:$D$999,$C$53)*IND_Mult!AE53</f>
        <v>2.7999999999999998</v>
      </c>
      <c r="AE53" s="69">
        <f>SUMIFS(Input!AJ$2:AJ$999,Input!$C$2:$C$999,CONCATENATE(LEFT($B$53,10),"*"),Input!$D$2:$D$999,$C$53)*IND_Mult!AF53</f>
        <v>2.7999999999999998</v>
      </c>
      <c r="AF53" s="69">
        <f>SUMIFS(Input!AK$2:AK$999,Input!$C$2:$C$999,CONCATENATE(LEFT($B$53,10),"*"),Input!$D$2:$D$999,$C$53)*IND_Mult!AG53</f>
        <v>2.7999999999999998</v>
      </c>
      <c r="AG53" s="69">
        <f>SUMIFS(Input!AL$2:AL$999,Input!$C$2:$C$999,CONCATENATE(LEFT($B$53,10),"*"),Input!$D$2:$D$999,$C$53)*IND_Mult!AH53</f>
        <v>2.7999999999999998</v>
      </c>
      <c r="AH53" s="69">
        <f>SUMIFS(Input!AM$2:AM$999,Input!$C$2:$C$999,CONCATENATE(LEFT($B$53,10),"*"),Input!$D$2:$D$999,$C$53)*IND_Mult!AI53</f>
        <v>2.7999999999999998</v>
      </c>
      <c r="AI53" s="69">
        <f>SUMIFS(Input!AN$2:AN$999,Input!$C$2:$C$999,CONCATENATE(LEFT($B$53,10),"*"),Input!$D$2:$D$999,$C$53)*IND_Mult!AJ53</f>
        <v>2.7999999999999998</v>
      </c>
      <c r="AJ53" s="69">
        <f>SUMIFS(Input!AO$2:AO$999,Input!$C$2:$C$999,CONCATENATE(LEFT($B$53,10),"*"),Input!$D$2:$D$999,$C$53)*IND_Mult!AK53</f>
        <v>2.52</v>
      </c>
      <c r="AK53" s="69">
        <f>SUMIFS(Input!AP$2:AP$999,Input!$C$2:$C$999,CONCATENATE(LEFT($B$53,10),"*"),Input!$D$2:$D$999,$C$53)*IND_Mult!AL53</f>
        <v>2.7999999999999998</v>
      </c>
      <c r="AL53" s="69">
        <f>SUMIFS(Input!AQ$2:AQ$999,Input!$C$2:$C$999,CONCATENATE(LEFT($B$53,10),"*"),Input!$D$2:$D$999,$C$53)*IND_Mult!AM53</f>
        <v>2.7999999999999998</v>
      </c>
      <c r="AM53" s="69">
        <f>SUMIFS(Input!AR$2:AR$999,Input!$C$2:$C$999,CONCATENATE(LEFT($B$53,10),"*"),Input!$D$2:$D$999,$C$53)*IND_Mult!AN53</f>
        <v>2.7999999999999998</v>
      </c>
      <c r="AN53" s="69">
        <f>SUMIFS(Input!AS$2:AS$999,Input!$C$2:$C$999,CONCATENATE(LEFT($B$53,10),"*"),Input!$D$2:$D$999,$C$53)*IND_Mult!AO53</f>
        <v>2.7999999999999998</v>
      </c>
      <c r="AO53" s="69">
        <f>SUMIFS(Input!AT$2:AT$999,Input!$C$2:$C$999,CONCATENATE(LEFT($B$53,10),"*"),Input!$D$2:$D$999,$C$53)*IND_Mult!AP53</f>
        <v>2.7999999999999998</v>
      </c>
      <c r="AP53" s="69">
        <f>SUMIFS(Input!AU$2:AU$999,Input!$C$2:$C$999,CONCATENATE(LEFT($B$53,10),"*"),Input!$D$2:$D$999,$C$53)*IND_Mult!AQ53</f>
        <v>2.7999999999999998</v>
      </c>
      <c r="AQ53" s="69">
        <f>SUMIFS(Input!AV$2:AV$999,Input!$C$2:$C$999,CONCATENATE(LEFT($B$53,10),"*"),Input!$D$2:$D$999,$C$53)*IND_Mult!AR53</f>
        <v>2.7999999999999998</v>
      </c>
    </row>
    <row r="54" spans="1:43" ht="12.75">
      <c r="A54" s="6"/>
      <c r="B54" s="17" t="s">
        <v>265</v>
      </c>
      <c r="C54" s="18" t="s">
        <v>44</v>
      </c>
      <c r="D54" s="26"/>
      <c r="E54" s="16" t="s">
        <v>103</v>
      </c>
      <c r="F54" s="31"/>
      <c r="G54" s="69">
        <f>SUMIFS(Input!L$2:L$999,Input!$C$2:$C$999,CONCATENATE(LEFT($B$54,10),"*"),Input!$D$2:$D$999,$C$54)*IND_Mult!H54</f>
        <v>2.7999999999999998</v>
      </c>
      <c r="H54" s="69">
        <f>SUMIFS(Input!M$2:M$999,Input!$C$2:$C$999,CONCATENATE(LEFT($B$54,10),"*"),Input!$D$2:$D$999,$C$54)*IND_Mult!I54</f>
        <v>2.7999999999999998</v>
      </c>
      <c r="I54" s="69">
        <f>SUMIFS(Input!N$2:N$999,Input!$C$2:$C$999,CONCATENATE(LEFT($B$54,10),"*"),Input!$D$2:$D$999,$C$54)*IND_Mult!J54</f>
        <v>2.7999999999999998</v>
      </c>
      <c r="J54" s="69">
        <f>SUMIFS(Input!O$2:O$999,Input!$C$2:$C$999,CONCATENATE(LEFT($B$54,10),"*"),Input!$D$2:$D$999,$C$54)*IND_Mult!K54</f>
        <v>2.7999999999999998</v>
      </c>
      <c r="K54" s="69">
        <f>SUMIFS(Input!P$2:P$999,Input!$C$2:$C$999,CONCATENATE(LEFT($B$54,10),"*"),Input!$D$2:$D$999,$C$54)*IND_Mult!L54</f>
        <v>2.7999999999999998</v>
      </c>
      <c r="L54" s="69">
        <f>SUMIFS(Input!Q$2:Q$999,Input!$C$2:$C$999,CONCATENATE(LEFT($B$54,10),"*"),Input!$D$2:$D$999,$C$54)*IND_Mult!M54</f>
        <v>2.7999999999999998</v>
      </c>
      <c r="M54" s="69">
        <f>SUMIFS(Input!R$2:R$999,Input!$C$2:$C$999,CONCATENATE(LEFT($B$54,10),"*"),Input!$D$2:$D$999,$C$54)*IND_Mult!N54</f>
        <v>2.7999999999999998</v>
      </c>
      <c r="N54" s="69">
        <f>SUMIFS(Input!S$2:S$999,Input!$C$2:$C$999,CONCATENATE(LEFT($B$54,10),"*"),Input!$D$2:$D$999,$C$54)*IND_Mult!O54</f>
        <v>2.7999999999999998</v>
      </c>
      <c r="O54" s="69">
        <f>SUMIFS(Input!T$2:T$999,Input!$C$2:$C$999,CONCATENATE(LEFT($B$54,10),"*"),Input!$D$2:$D$999,$C$54)*IND_Mult!P54</f>
        <v>2.3799999999999999</v>
      </c>
      <c r="P54" s="69">
        <f>SUMIFS(Input!U$2:U$999,Input!$C$2:$C$999,CONCATENATE(LEFT($B$54,10),"*"),Input!$D$2:$D$999,$C$54)*IND_Mult!Q54</f>
        <v>2.7999999999999998</v>
      </c>
      <c r="Q54" s="69">
        <f>SUMIFS(Input!V$2:V$999,Input!$C$2:$C$999,CONCATENATE(LEFT($B$54,10),"*"),Input!$D$2:$D$999,$C$54)*IND_Mult!R54</f>
        <v>2.7999999999999998</v>
      </c>
      <c r="R54" s="69">
        <f>SUMIFS(Input!W$2:W$999,Input!$C$2:$C$999,CONCATENATE(LEFT($B$54,10),"*"),Input!$D$2:$D$999,$C$54)*IND_Mult!S54</f>
        <v>2.7999999999999998</v>
      </c>
      <c r="S54" s="69">
        <f>SUMIFS(Input!X$2:X$999,Input!$C$2:$C$999,CONCATENATE(LEFT($B$54,10),"*"),Input!$D$2:$D$999,$C$54)*IND_Mult!T54</f>
        <v>2.7999999999999998</v>
      </c>
      <c r="T54" s="69">
        <f>SUMIFS(Input!Y$2:Y$999,Input!$C$2:$C$999,CONCATENATE(LEFT($B$54,10),"*"),Input!$D$2:$D$999,$C$54)*IND_Mult!U54</f>
        <v>2.7999999999999998</v>
      </c>
      <c r="U54" s="69">
        <f>SUMIFS(Input!Z$2:Z$999,Input!$C$2:$C$999,CONCATENATE(LEFT($B$54,10),"*"),Input!$D$2:$D$999,$C$54)*IND_Mult!V54</f>
        <v>2.7999999999999998</v>
      </c>
      <c r="V54" s="69">
        <f>SUMIFS(Input!AA$2:AA$999,Input!$C$2:$C$999,CONCATENATE(LEFT($B$54,10),"*"),Input!$D$2:$D$999,$C$54)*IND_Mult!W54</f>
        <v>2.7999999999999998</v>
      </c>
      <c r="W54" s="69">
        <f>SUMIFS(Input!AB$2:AB$999,Input!$C$2:$C$999,CONCATENATE(LEFT($B$54,10),"*"),Input!$D$2:$D$999,$C$54)*IND_Mult!X54</f>
        <v>2.7999999999999998</v>
      </c>
      <c r="X54" s="69">
        <f>SUMIFS(Input!AC$2:AC$999,Input!$C$2:$C$999,CONCATENATE(LEFT($B$54,10),"*"),Input!$D$2:$D$999,$C$54)*IND_Mult!Y54</f>
        <v>2.7999999999999998</v>
      </c>
      <c r="Y54" s="69">
        <f>SUMIFS(Input!AD$2:AD$999,Input!$C$2:$C$999,CONCATENATE(LEFT($B$54,10),"*"),Input!$D$2:$D$999,$C$54)*IND_Mult!Z54</f>
        <v>2.7999999999999998</v>
      </c>
      <c r="Z54" s="69">
        <f>SUMIFS(Input!AE$2:AE$999,Input!$C$2:$C$999,CONCATENATE(LEFT($B$54,10),"*"),Input!$D$2:$D$999,$C$54)*IND_Mult!AA54</f>
        <v>2.7999999999999998</v>
      </c>
      <c r="AA54" s="69">
        <f>SUMIFS(Input!AF$2:AF$999,Input!$C$2:$C$999,CONCATENATE(LEFT($B$54,10),"*"),Input!$D$2:$D$999,$C$54)*IND_Mult!AB54</f>
        <v>2.7999999999999998</v>
      </c>
      <c r="AB54" s="69">
        <f>SUMIFS(Input!AG$2:AG$999,Input!$C$2:$C$999,CONCATENATE(LEFT($B$54,10),"*"),Input!$D$2:$D$999,$C$54)*IND_Mult!AC54</f>
        <v>2.7999999999999998</v>
      </c>
      <c r="AC54" s="69">
        <f>SUMIFS(Input!AH$2:AH$999,Input!$C$2:$C$999,CONCATENATE(LEFT($B$54,10),"*"),Input!$D$2:$D$999,$C$54)*IND_Mult!AD54</f>
        <v>2.7999999999999998</v>
      </c>
      <c r="AD54" s="69">
        <f>SUMIFS(Input!AI$2:AI$999,Input!$C$2:$C$999,CONCATENATE(LEFT($B$54,10),"*"),Input!$D$2:$D$999,$C$54)*IND_Mult!AE54</f>
        <v>2.7999999999999998</v>
      </c>
      <c r="AE54" s="69">
        <f>SUMIFS(Input!AJ$2:AJ$999,Input!$C$2:$C$999,CONCATENATE(LEFT($B$54,10),"*"),Input!$D$2:$D$999,$C$54)*IND_Mult!AF54</f>
        <v>2.7999999999999998</v>
      </c>
      <c r="AF54" s="69">
        <f>SUMIFS(Input!AK$2:AK$999,Input!$C$2:$C$999,CONCATENATE(LEFT($B$54,10),"*"),Input!$D$2:$D$999,$C$54)*IND_Mult!AG54</f>
        <v>2.7999999999999998</v>
      </c>
      <c r="AG54" s="69">
        <f>SUMIFS(Input!AL$2:AL$999,Input!$C$2:$C$999,CONCATENATE(LEFT($B$54,10),"*"),Input!$D$2:$D$999,$C$54)*IND_Mult!AH54</f>
        <v>2.7999999999999998</v>
      </c>
      <c r="AH54" s="69">
        <f>SUMIFS(Input!AM$2:AM$999,Input!$C$2:$C$999,CONCATENATE(LEFT($B$54,10),"*"),Input!$D$2:$D$999,$C$54)*IND_Mult!AI54</f>
        <v>2.7999999999999998</v>
      </c>
      <c r="AI54" s="69">
        <f>SUMIFS(Input!AN$2:AN$999,Input!$C$2:$C$999,CONCATENATE(LEFT($B$54,10),"*"),Input!$D$2:$D$999,$C$54)*IND_Mult!AJ54</f>
        <v>2.7999999999999998</v>
      </c>
      <c r="AJ54" s="69">
        <f>SUMIFS(Input!AO$2:AO$999,Input!$C$2:$C$999,CONCATENATE(LEFT($B$54,10),"*"),Input!$D$2:$D$999,$C$54)*IND_Mult!AK54</f>
        <v>2.7999999999999998</v>
      </c>
      <c r="AK54" s="69">
        <f>SUMIFS(Input!AP$2:AP$999,Input!$C$2:$C$999,CONCATENATE(LEFT($B$54,10),"*"),Input!$D$2:$D$999,$C$54)*IND_Mult!AL54</f>
        <v>2.7999999999999998</v>
      </c>
      <c r="AL54" s="69">
        <f>SUMIFS(Input!AQ$2:AQ$999,Input!$C$2:$C$999,CONCATENATE(LEFT($B$54,10),"*"),Input!$D$2:$D$999,$C$54)*IND_Mult!AM54</f>
        <v>2.7999999999999998</v>
      </c>
      <c r="AM54" s="69">
        <f>SUMIFS(Input!AR$2:AR$999,Input!$C$2:$C$999,CONCATENATE(LEFT($B$54,10),"*"),Input!$D$2:$D$999,$C$54)*IND_Mult!AN54</f>
        <v>2.7999999999999998</v>
      </c>
      <c r="AN54" s="69">
        <f>SUMIFS(Input!AS$2:AS$999,Input!$C$2:$C$999,CONCATENATE(LEFT($B$54,10),"*"),Input!$D$2:$D$999,$C$54)*IND_Mult!AO54</f>
        <v>2.7999999999999998</v>
      </c>
      <c r="AO54" s="69">
        <f>SUMIFS(Input!AT$2:AT$999,Input!$C$2:$C$999,CONCATENATE(LEFT($B$54,10),"*"),Input!$D$2:$D$999,$C$54)*IND_Mult!AP54</f>
        <v>2.7999999999999998</v>
      </c>
      <c r="AP54" s="69">
        <f>SUMIFS(Input!AU$2:AU$999,Input!$C$2:$C$999,CONCATENATE(LEFT($B$54,10),"*"),Input!$D$2:$D$999,$C$54)*IND_Mult!AQ54</f>
        <v>2.7999999999999998</v>
      </c>
      <c r="AQ54" s="69">
        <f>SUMIFS(Input!AV$2:AV$999,Input!$C$2:$C$999,CONCATENATE(LEFT($B$54,10),"*"),Input!$D$2:$D$999,$C$54)*IND_Mult!AR54</f>
        <v>2.7999999999999998</v>
      </c>
    </row>
    <row r="55" spans="1:43" ht="12.75">
      <c r="A55" s="6"/>
      <c r="B55" s="17" t="s">
        <v>265</v>
      </c>
      <c r="C55" s="18" t="s">
        <v>46</v>
      </c>
      <c r="D55" s="26"/>
      <c r="E55" s="16" t="s">
        <v>103</v>
      </c>
      <c r="F55" s="31"/>
      <c r="G55" s="69">
        <f>SUMIFS(Input!L$2:L$999,Input!$C$2:$C$999,CONCATENATE(LEFT($B$55,10),"*"),Input!$D$2:$D$999,$C$55)*IND_Mult!H55</f>
        <v>0.83199999999999996</v>
      </c>
      <c r="H55" s="69">
        <f>SUMIFS(Input!M$2:M$999,Input!$C$2:$C$999,CONCATENATE(LEFT($B$55,10),"*"),Input!$D$2:$D$999,$C$55)*IND_Mult!I55</f>
        <v>0.83199999999999996</v>
      </c>
      <c r="I55" s="69">
        <f>SUMIFS(Input!N$2:N$999,Input!$C$2:$C$999,CONCATENATE(LEFT($B$55,10),"*"),Input!$D$2:$D$999,$C$55)*IND_Mult!J55</f>
        <v>0.83199999999999996</v>
      </c>
      <c r="J55" s="69">
        <f>SUMIFS(Input!O$2:O$999,Input!$C$2:$C$999,CONCATENATE(LEFT($B$55,10),"*"),Input!$D$2:$D$999,$C$55)*IND_Mult!K55</f>
        <v>0.83199999999999996</v>
      </c>
      <c r="K55" s="69">
        <f>SUMIFS(Input!P$2:P$999,Input!$C$2:$C$999,CONCATENATE(LEFT($B$55,10),"*"),Input!$D$2:$D$999,$C$55)*IND_Mult!L55</f>
        <v>0.83199999999999996</v>
      </c>
      <c r="L55" s="69">
        <f>SUMIFS(Input!Q$2:Q$999,Input!$C$2:$C$999,CONCATENATE(LEFT($B$55,10),"*"),Input!$D$2:$D$999,$C$55)*IND_Mult!M55</f>
        <v>0.83199999999999996</v>
      </c>
      <c r="M55" s="69">
        <f>SUMIFS(Input!R$2:R$999,Input!$C$2:$C$999,CONCATENATE(LEFT($B$55,10),"*"),Input!$D$2:$D$999,$C$55)*IND_Mult!N55</f>
        <v>0.83199999999999996</v>
      </c>
      <c r="N55" s="69">
        <f>SUMIFS(Input!S$2:S$999,Input!$C$2:$C$999,CONCATENATE(LEFT($B$55,10),"*"),Input!$D$2:$D$999,$C$55)*IND_Mult!O55</f>
        <v>0.83199999999999996</v>
      </c>
      <c r="O55" s="69">
        <f>SUMIFS(Input!T$2:T$999,Input!$C$2:$C$999,CONCATENATE(LEFT($B$55,10),"*"),Input!$D$2:$D$999,$C$55)*IND_Mult!P55</f>
        <v>0.70719999999999994</v>
      </c>
      <c r="P55" s="69">
        <f>SUMIFS(Input!U$2:U$999,Input!$C$2:$C$999,CONCATENATE(LEFT($B$55,10),"*"),Input!$D$2:$D$999,$C$55)*IND_Mult!Q55</f>
        <v>0.83199999999999996</v>
      </c>
      <c r="Q55" s="69">
        <f>SUMIFS(Input!V$2:V$999,Input!$C$2:$C$999,CONCATENATE(LEFT($B$55,10),"*"),Input!$D$2:$D$999,$C$55)*IND_Mult!R55</f>
        <v>0.83199999999999996</v>
      </c>
      <c r="R55" s="69">
        <f>SUMIFS(Input!W$2:W$999,Input!$C$2:$C$999,CONCATENATE(LEFT($B$55,10),"*"),Input!$D$2:$D$999,$C$55)*IND_Mult!S55</f>
        <v>0.83199999999999996</v>
      </c>
      <c r="S55" s="69">
        <f>SUMIFS(Input!X$2:X$999,Input!$C$2:$C$999,CONCATENATE(LEFT($B$55,10),"*"),Input!$D$2:$D$999,$C$55)*IND_Mult!T55</f>
        <v>0.83199999999999996</v>
      </c>
      <c r="T55" s="69">
        <f>SUMIFS(Input!Y$2:Y$999,Input!$C$2:$C$999,CONCATENATE(LEFT($B$55,10),"*"),Input!$D$2:$D$999,$C$55)*IND_Mult!U55</f>
        <v>0.83199999999999996</v>
      </c>
      <c r="U55" s="69">
        <f>SUMIFS(Input!Z$2:Z$999,Input!$C$2:$C$999,CONCATENATE(LEFT($B$55,10),"*"),Input!$D$2:$D$999,$C$55)*IND_Mult!V55</f>
        <v>0.83199999999999996</v>
      </c>
      <c r="V55" s="69">
        <f>SUMIFS(Input!AA$2:AA$999,Input!$C$2:$C$999,CONCATENATE(LEFT($B$55,10),"*"),Input!$D$2:$D$999,$C$55)*IND_Mult!W55</f>
        <v>0.83199999999999996</v>
      </c>
      <c r="W55" s="69">
        <f>SUMIFS(Input!AB$2:AB$999,Input!$C$2:$C$999,CONCATENATE(LEFT($B$55,10),"*"),Input!$D$2:$D$999,$C$55)*IND_Mult!X55</f>
        <v>0.83199999999999996</v>
      </c>
      <c r="X55" s="69">
        <f>SUMIFS(Input!AC$2:AC$999,Input!$C$2:$C$999,CONCATENATE(LEFT($B$55,10),"*"),Input!$D$2:$D$999,$C$55)*IND_Mult!Y55</f>
        <v>0.83199999999999996</v>
      </c>
      <c r="Y55" s="69">
        <f>SUMIFS(Input!AD$2:AD$999,Input!$C$2:$C$999,CONCATENATE(LEFT($B$55,10),"*"),Input!$D$2:$D$999,$C$55)*IND_Mult!Z55</f>
        <v>0.83199999999999996</v>
      </c>
      <c r="Z55" s="69">
        <f>SUMIFS(Input!AE$2:AE$999,Input!$C$2:$C$999,CONCATENATE(LEFT($B$55,10),"*"),Input!$D$2:$D$999,$C$55)*IND_Mult!AA55</f>
        <v>0.83199999999999996</v>
      </c>
      <c r="AA55" s="69">
        <f>SUMIFS(Input!AF$2:AF$999,Input!$C$2:$C$999,CONCATENATE(LEFT($B$55,10),"*"),Input!$D$2:$D$999,$C$55)*IND_Mult!AB55</f>
        <v>0.83199999999999996</v>
      </c>
      <c r="AB55" s="69">
        <f>SUMIFS(Input!AG$2:AG$999,Input!$C$2:$C$999,CONCATENATE(LEFT($B$55,10),"*"),Input!$D$2:$D$999,$C$55)*IND_Mult!AC55</f>
        <v>0.83199999999999996</v>
      </c>
      <c r="AC55" s="69">
        <f>SUMIFS(Input!AH$2:AH$999,Input!$C$2:$C$999,CONCATENATE(LEFT($B$55,10),"*"),Input!$D$2:$D$999,$C$55)*IND_Mult!AD55</f>
        <v>0.83199999999999996</v>
      </c>
      <c r="AD55" s="69">
        <f>SUMIFS(Input!AI$2:AI$999,Input!$C$2:$C$999,CONCATENATE(LEFT($B$55,10),"*"),Input!$D$2:$D$999,$C$55)*IND_Mult!AE55</f>
        <v>0.83199999999999996</v>
      </c>
      <c r="AE55" s="69">
        <f>SUMIFS(Input!AJ$2:AJ$999,Input!$C$2:$C$999,CONCATENATE(LEFT($B$55,10),"*"),Input!$D$2:$D$999,$C$55)*IND_Mult!AF55</f>
        <v>0.83199999999999996</v>
      </c>
      <c r="AF55" s="69">
        <f>SUMIFS(Input!AK$2:AK$999,Input!$C$2:$C$999,CONCATENATE(LEFT($B$55,10),"*"),Input!$D$2:$D$999,$C$55)*IND_Mult!AG55</f>
        <v>0.83199999999999996</v>
      </c>
      <c r="AG55" s="69">
        <f>SUMIFS(Input!AL$2:AL$999,Input!$C$2:$C$999,CONCATENATE(LEFT($B$55,10),"*"),Input!$D$2:$D$999,$C$55)*IND_Mult!AH55</f>
        <v>0.83199999999999996</v>
      </c>
      <c r="AH55" s="69">
        <f>SUMIFS(Input!AM$2:AM$999,Input!$C$2:$C$999,CONCATENATE(LEFT($B$55,10),"*"),Input!$D$2:$D$999,$C$55)*IND_Mult!AI55</f>
        <v>0.83199999999999996</v>
      </c>
      <c r="AI55" s="69">
        <f>SUMIFS(Input!AN$2:AN$999,Input!$C$2:$C$999,CONCATENATE(LEFT($B$55,10),"*"),Input!$D$2:$D$999,$C$55)*IND_Mult!AJ55</f>
        <v>0.83199999999999996</v>
      </c>
      <c r="AJ55" s="69">
        <f>SUMIFS(Input!AO$2:AO$999,Input!$C$2:$C$999,CONCATENATE(LEFT($B$55,10),"*"),Input!$D$2:$D$999,$C$55)*IND_Mult!AK55</f>
        <v>0.83199999999999996</v>
      </c>
      <c r="AK55" s="69">
        <f>SUMIFS(Input!AP$2:AP$999,Input!$C$2:$C$999,CONCATENATE(LEFT($B$55,10),"*"),Input!$D$2:$D$999,$C$55)*IND_Mult!AL55</f>
        <v>0.83199999999999996</v>
      </c>
      <c r="AL55" s="69">
        <f>SUMIFS(Input!AQ$2:AQ$999,Input!$C$2:$C$999,CONCATENATE(LEFT($B$55,10),"*"),Input!$D$2:$D$999,$C$55)*IND_Mult!AM55</f>
        <v>0.83199999999999996</v>
      </c>
      <c r="AM55" s="69">
        <f>SUMIFS(Input!AR$2:AR$999,Input!$C$2:$C$999,CONCATENATE(LEFT($B$55,10),"*"),Input!$D$2:$D$999,$C$55)*IND_Mult!AN55</f>
        <v>0.83199999999999996</v>
      </c>
      <c r="AN55" s="69">
        <f>SUMIFS(Input!AS$2:AS$999,Input!$C$2:$C$999,CONCATENATE(LEFT($B$55,10),"*"),Input!$D$2:$D$999,$C$55)*IND_Mult!AO55</f>
        <v>0.83199999999999996</v>
      </c>
      <c r="AO55" s="69">
        <f>SUMIFS(Input!AT$2:AT$999,Input!$C$2:$C$999,CONCATENATE(LEFT($B$55,10),"*"),Input!$D$2:$D$999,$C$55)*IND_Mult!AP55</f>
        <v>0.83199999999999996</v>
      </c>
      <c r="AP55" s="69">
        <f>SUMIFS(Input!AU$2:AU$999,Input!$C$2:$C$999,CONCATENATE(LEFT($B$55,10),"*"),Input!$D$2:$D$999,$C$55)*IND_Mult!AQ55</f>
        <v>0.83199999999999996</v>
      </c>
      <c r="AQ55" s="69">
        <f>SUMIFS(Input!AV$2:AV$999,Input!$C$2:$C$999,CONCATENATE(LEFT($B$55,10),"*"),Input!$D$2:$D$999,$C$55)*IND_Mult!AR55</f>
        <v>0.83199999999999996</v>
      </c>
    </row>
    <row r="56" spans="1:43" ht="12.75">
      <c r="A56" s="6"/>
      <c r="B56" s="17" t="s">
        <v>265</v>
      </c>
      <c r="C56" s="18" t="s">
        <v>45</v>
      </c>
      <c r="D56" s="26"/>
      <c r="E56" s="16" t="s">
        <v>104</v>
      </c>
      <c r="F56" s="31"/>
      <c r="G56" s="72">
        <f>SUMIFS(Output!L$2:L$999,Output!$C$2:$C$999,CONCATENATE(LEFT($B$56,10),"*"),Output!$D$2:$D$999,$C$56)*IND_Mult!H53</f>
        <v>0.040000000000000001</v>
      </c>
      <c r="H56" s="72">
        <f>SUMIFS(Output!M$2:M$999,Output!$C$2:$C$999,CONCATENATE(LEFT($B$56,10),"*"),Output!$D$2:$D$999,$C$56)*IND_Mult!I53</f>
        <v>0.040000000000000001</v>
      </c>
      <c r="I56" s="72">
        <f>SUMIFS(Output!N$2:N$999,Output!$C$2:$C$999,CONCATENATE(LEFT($B$56,10),"*"),Output!$D$2:$D$999,$C$56)*IND_Mult!J53</f>
        <v>0.040000000000000001</v>
      </c>
      <c r="J56" s="72">
        <f>SUMIFS(Output!O$2:O$999,Output!$C$2:$C$999,CONCATENATE(LEFT($B$56,10),"*"),Output!$D$2:$D$999,$C$56)*IND_Mult!K53</f>
        <v>0.040000000000000001</v>
      </c>
      <c r="K56" s="72">
        <f>SUMIFS(Output!P$2:P$999,Output!$C$2:$C$999,CONCATENATE(LEFT($B$56,10),"*"),Output!$D$2:$D$999,$C$56)*IND_Mult!L53</f>
        <v>0.040000000000000001</v>
      </c>
      <c r="L56" s="72">
        <f>SUMIFS(Output!Q$2:Q$999,Output!$C$2:$C$999,CONCATENATE(LEFT($B$56,10),"*"),Output!$D$2:$D$999,$C$56)*IND_Mult!M53</f>
        <v>0.040000000000000001</v>
      </c>
      <c r="M56" s="72">
        <f>SUMIFS(Output!R$2:R$999,Output!$C$2:$C$999,CONCATENATE(LEFT($B$56,10),"*"),Output!$D$2:$D$999,$C$56)*IND_Mult!N53</f>
        <v>0.040000000000000001</v>
      </c>
      <c r="N56" s="72">
        <f>SUMIFS(Output!S$2:S$999,Output!$C$2:$C$999,CONCATENATE(LEFT($B$56,10),"*"),Output!$D$2:$D$999,$C$56)*IND_Mult!O53</f>
        <v>0.040000000000000001</v>
      </c>
      <c r="O56" s="72">
        <f>SUMIFS(Output!T$2:T$999,Output!$C$2:$C$999,CONCATENATE(LEFT($B$56,10),"*"),Output!$D$2:$D$999,$C$56)*IND_Mult!P53</f>
        <v>0.040000000000000001</v>
      </c>
      <c r="P56" s="72">
        <f>SUMIFS(Output!U$2:U$999,Output!$C$2:$C$999,CONCATENATE(LEFT($B$56,10),"*"),Output!$D$2:$D$999,$C$56)*IND_Mult!Q53</f>
        <v>0.040000000000000001</v>
      </c>
      <c r="Q56" s="72">
        <f>SUMIFS(Output!V$2:V$999,Output!$C$2:$C$999,CONCATENATE(LEFT($B$56,10),"*"),Output!$D$2:$D$999,$C$56)*IND_Mult!R53</f>
        <v>0.040000000000000001</v>
      </c>
      <c r="R56" s="72">
        <f>SUMIFS(Output!W$2:W$999,Output!$C$2:$C$999,CONCATENATE(LEFT($B$56,10),"*"),Output!$D$2:$D$999,$C$56)*IND_Mult!S53</f>
        <v>0.040000000000000001</v>
      </c>
      <c r="S56" s="72">
        <f>SUMIFS(Output!X$2:X$999,Output!$C$2:$C$999,CONCATENATE(LEFT($B$56,10),"*"),Output!$D$2:$D$999,$C$56)*IND_Mult!T53</f>
        <v>0.040000000000000001</v>
      </c>
      <c r="T56" s="72">
        <f>SUMIFS(Output!Y$2:Y$999,Output!$C$2:$C$999,CONCATENATE(LEFT($B$56,10),"*"),Output!$D$2:$D$999,$C$56)*IND_Mult!U53</f>
        <v>0.040000000000000001</v>
      </c>
      <c r="U56" s="72">
        <f>SUMIFS(Output!Z$2:Z$999,Output!$C$2:$C$999,CONCATENATE(LEFT($B$56,10),"*"),Output!$D$2:$D$999,$C$56)*IND_Mult!V53</f>
        <v>0.040000000000000001</v>
      </c>
      <c r="V56" s="72">
        <f>SUMIFS(Output!AA$2:AA$999,Output!$C$2:$C$999,CONCATENATE(LEFT($B$56,10),"*"),Output!$D$2:$D$999,$C$56)*IND_Mult!W53</f>
        <v>0.040000000000000001</v>
      </c>
      <c r="W56" s="72">
        <f>SUMIFS(Output!AB$2:AB$999,Output!$C$2:$C$999,CONCATENATE(LEFT($B$56,10),"*"),Output!$D$2:$D$999,$C$56)*IND_Mult!X53</f>
        <v>0.040000000000000001</v>
      </c>
      <c r="X56" s="72">
        <f>SUMIFS(Output!AC$2:AC$999,Output!$C$2:$C$999,CONCATENATE(LEFT($B$56,10),"*"),Output!$D$2:$D$999,$C$56)*IND_Mult!Y53</f>
        <v>0.040000000000000001</v>
      </c>
      <c r="Y56" s="72">
        <f>SUMIFS(Output!AD$2:AD$999,Output!$C$2:$C$999,CONCATENATE(LEFT($B$56,10),"*"),Output!$D$2:$D$999,$C$56)*IND_Mult!Z53</f>
        <v>0.040000000000000001</v>
      </c>
      <c r="Z56" s="72">
        <f>SUMIFS(Output!AE$2:AE$999,Output!$C$2:$C$999,CONCATENATE(LEFT($B$56,10),"*"),Output!$D$2:$D$999,$C$56)*IND_Mult!AA53</f>
        <v>0.040000000000000001</v>
      </c>
      <c r="AA56" s="72">
        <f>SUMIFS(Output!AF$2:AF$999,Output!$C$2:$C$999,CONCATENATE(LEFT($B$56,10),"*"),Output!$D$2:$D$999,$C$56)*IND_Mult!AB53</f>
        <v>0.040000000000000001</v>
      </c>
      <c r="AB56" s="72">
        <f>SUMIFS(Output!AG$2:AG$999,Output!$C$2:$C$999,CONCATENATE(LEFT($B$56,10),"*"),Output!$D$2:$D$999,$C$56)*IND_Mult!AC53</f>
        <v>0.040000000000000001</v>
      </c>
      <c r="AC56" s="72">
        <f>SUMIFS(Output!AH$2:AH$999,Output!$C$2:$C$999,CONCATENATE(LEFT($B$56,10),"*"),Output!$D$2:$D$999,$C$56)*IND_Mult!AD53</f>
        <v>0.040000000000000001</v>
      </c>
      <c r="AD56" s="72">
        <f>SUMIFS(Output!AI$2:AI$999,Output!$C$2:$C$999,CONCATENATE(LEFT($B$56,10),"*"),Output!$D$2:$D$999,$C$56)*IND_Mult!AE53</f>
        <v>0.040000000000000001</v>
      </c>
      <c r="AE56" s="72">
        <f>SUMIFS(Output!AJ$2:AJ$999,Output!$C$2:$C$999,CONCATENATE(LEFT($B$56,10),"*"),Output!$D$2:$D$999,$C$56)*IND_Mult!AF53</f>
        <v>0.040000000000000001</v>
      </c>
      <c r="AF56" s="72">
        <f>SUMIFS(Output!AK$2:AK$999,Output!$C$2:$C$999,CONCATENATE(LEFT($B$56,10),"*"),Output!$D$2:$D$999,$C$56)*IND_Mult!AG53</f>
        <v>0.040000000000000001</v>
      </c>
      <c r="AG56" s="72">
        <f>SUMIFS(Output!AL$2:AL$999,Output!$C$2:$C$999,CONCATENATE(LEFT($B$56,10),"*"),Output!$D$2:$D$999,$C$56)*IND_Mult!AH53</f>
        <v>0.040000000000000001</v>
      </c>
      <c r="AH56" s="72">
        <f>SUMIFS(Output!AM$2:AM$999,Output!$C$2:$C$999,CONCATENATE(LEFT($B$56,10),"*"),Output!$D$2:$D$999,$C$56)*IND_Mult!AI53</f>
        <v>0.040000000000000001</v>
      </c>
      <c r="AI56" s="72">
        <f>SUMIFS(Output!AN$2:AN$999,Output!$C$2:$C$999,CONCATENATE(LEFT($B$56,10),"*"),Output!$D$2:$D$999,$C$56)*IND_Mult!AJ53</f>
        <v>0.040000000000000001</v>
      </c>
      <c r="AJ56" s="72">
        <f>SUMIFS(Output!AO$2:AO$999,Output!$C$2:$C$999,CONCATENATE(LEFT($B$56,10),"*"),Output!$D$2:$D$999,$C$56)*IND_Mult!AK53</f>
        <v>0.040000000000000001</v>
      </c>
      <c r="AK56" s="72">
        <f>SUMIFS(Output!AP$2:AP$999,Output!$C$2:$C$999,CONCATENATE(LEFT($B$56,10),"*"),Output!$D$2:$D$999,$C$56)*IND_Mult!AL53</f>
        <v>0.040000000000000001</v>
      </c>
      <c r="AL56" s="72">
        <f>SUMIFS(Output!AQ$2:AQ$999,Output!$C$2:$C$999,CONCATENATE(LEFT($B$56,10),"*"),Output!$D$2:$D$999,$C$56)*IND_Mult!AM53</f>
        <v>0.040000000000000001</v>
      </c>
      <c r="AM56" s="72">
        <f>SUMIFS(Output!AR$2:AR$999,Output!$C$2:$C$999,CONCATENATE(LEFT($B$56,10),"*"),Output!$D$2:$D$999,$C$56)*IND_Mult!AN53</f>
        <v>0.040000000000000001</v>
      </c>
      <c r="AN56" s="72">
        <f>SUMIFS(Output!AS$2:AS$999,Output!$C$2:$C$999,CONCATENATE(LEFT($B$56,10),"*"),Output!$D$2:$D$999,$C$56)*IND_Mult!AO53</f>
        <v>0.040000000000000001</v>
      </c>
      <c r="AO56" s="72">
        <f>SUMIFS(Output!AT$2:AT$999,Output!$C$2:$C$999,CONCATENATE(LEFT($B$56,10),"*"),Output!$D$2:$D$999,$C$56)*IND_Mult!AP53</f>
        <v>0.040000000000000001</v>
      </c>
      <c r="AP56" s="72">
        <f>SUMIFS(Output!AU$2:AU$999,Output!$C$2:$C$999,CONCATENATE(LEFT($B$56,10),"*"),Output!$D$2:$D$999,$C$56)*IND_Mult!AQ53</f>
        <v>0.040000000000000001</v>
      </c>
      <c r="AQ56" s="72">
        <f>SUMIFS(Output!AV$2:AV$999,Output!$C$2:$C$999,CONCATENATE(LEFT($B$56,10),"*"),Output!$D$2:$D$999,$C$56)*IND_Mult!AR53</f>
        <v>0.040000000000000001</v>
      </c>
    </row>
    <row r="57" spans="1:43" ht="12.75">
      <c r="A57" s="6"/>
      <c r="B57" s="17" t="s">
        <v>266</v>
      </c>
      <c r="C57" s="18" t="s">
        <v>58</v>
      </c>
      <c r="D57" s="26"/>
      <c r="E57" s="16" t="s">
        <v>103</v>
      </c>
      <c r="F57" s="31"/>
      <c r="G57" s="69">
        <f>SUMIFS(Input!L$2:L$999,Input!$C$2:$C$999,CONCATENATE(LEFT($B$57,10),"*"),Input!$D$2:$D$999,$C$57)*IND_Mult!H57</f>
        <v>0.80000000000000004</v>
      </c>
      <c r="H57" s="69">
        <f>SUMIFS(Input!M$2:M$999,Input!$C$2:$C$999,CONCATENATE(LEFT($B$57,10),"*"),Input!$D$2:$D$999,$C$57)*IND_Mult!I57</f>
        <v>0.80000000000000004</v>
      </c>
      <c r="I57" s="69">
        <f>SUMIFS(Input!N$2:N$999,Input!$C$2:$C$999,CONCATENATE(LEFT($B$57,10),"*"),Input!$D$2:$D$999,$C$57)*IND_Mult!J57</f>
        <v>0.80000000000000004</v>
      </c>
      <c r="J57" s="69">
        <f>SUMIFS(Input!O$2:O$999,Input!$C$2:$C$999,CONCATENATE(LEFT($B$57,10),"*"),Input!$D$2:$D$999,$C$57)*IND_Mult!K57</f>
        <v>0.80000000000000004</v>
      </c>
      <c r="K57" s="69">
        <f>SUMIFS(Input!P$2:P$999,Input!$C$2:$C$999,CONCATENATE(LEFT($B$57,10),"*"),Input!$D$2:$D$999,$C$57)*IND_Mult!L57</f>
        <v>0.80000000000000004</v>
      </c>
      <c r="L57" s="69">
        <f>SUMIFS(Input!Q$2:Q$999,Input!$C$2:$C$999,CONCATENATE(LEFT($B$57,10),"*"),Input!$D$2:$D$999,$C$57)*IND_Mult!M57</f>
        <v>0.80000000000000004</v>
      </c>
      <c r="M57" s="69">
        <f>SUMIFS(Input!R$2:R$999,Input!$C$2:$C$999,CONCATENATE(LEFT($B$57,10),"*"),Input!$D$2:$D$999,$C$57)*IND_Mult!N57</f>
        <v>0</v>
      </c>
      <c r="N57" s="69">
        <f>SUMIFS(Input!S$2:S$999,Input!$C$2:$C$999,CONCATENATE(LEFT($B$57,10),"*"),Input!$D$2:$D$999,$C$57)*IND_Mult!O57</f>
        <v>0.80000000000000004</v>
      </c>
      <c r="O57" s="69">
        <f>SUMIFS(Input!T$2:T$999,Input!$C$2:$C$999,CONCATENATE(LEFT($B$57,10),"*"),Input!$D$2:$D$999,$C$57)*IND_Mult!P57</f>
        <v>0.68000000000000005</v>
      </c>
      <c r="P57" s="69">
        <f>SUMIFS(Input!U$2:U$999,Input!$C$2:$C$999,CONCATENATE(LEFT($B$57,10),"*"),Input!$D$2:$D$999,$C$57)*IND_Mult!Q57</f>
        <v>0.80000000000000004</v>
      </c>
      <c r="Q57" s="69">
        <f>SUMIFS(Input!V$2:V$999,Input!$C$2:$C$999,CONCATENATE(LEFT($B$57,10),"*"),Input!$D$2:$D$999,$C$57)*IND_Mult!R57</f>
        <v>0.80000000000000004</v>
      </c>
      <c r="R57" s="69">
        <f>SUMIFS(Input!W$2:W$999,Input!$C$2:$C$999,CONCATENATE(LEFT($B$57,10),"*"),Input!$D$2:$D$999,$C$57)*IND_Mult!S57</f>
        <v>0.80000000000000004</v>
      </c>
      <c r="S57" s="69">
        <f>SUMIFS(Input!X$2:X$999,Input!$C$2:$C$999,CONCATENATE(LEFT($B$57,10),"*"),Input!$D$2:$D$999,$C$57)*IND_Mult!T57</f>
        <v>0</v>
      </c>
      <c r="T57" s="69">
        <f>SUMIFS(Input!Y$2:Y$999,Input!$C$2:$C$999,CONCATENATE(LEFT($B$57,10),"*"),Input!$D$2:$D$999,$C$57)*IND_Mult!U57</f>
        <v>0.80000000000000004</v>
      </c>
      <c r="U57" s="69">
        <f>SUMIFS(Input!Z$2:Z$999,Input!$C$2:$C$999,CONCATENATE(LEFT($B$57,10),"*"),Input!$D$2:$D$999,$C$57)*IND_Mult!V57</f>
        <v>0.80000000000000004</v>
      </c>
      <c r="V57" s="69">
        <f>SUMIFS(Input!AA$2:AA$999,Input!$C$2:$C$999,CONCATENATE(LEFT($B$57,10),"*"),Input!$D$2:$D$999,$C$57)*IND_Mult!W57</f>
        <v>0.80000000000000004</v>
      </c>
      <c r="W57" s="69">
        <f>SUMIFS(Input!AB$2:AB$999,Input!$C$2:$C$999,CONCATENATE(LEFT($B$57,10),"*"),Input!$D$2:$D$999,$C$57)*IND_Mult!X57</f>
        <v>0.80000000000000004</v>
      </c>
      <c r="X57" s="69">
        <f>SUMIFS(Input!AC$2:AC$999,Input!$C$2:$C$999,CONCATENATE(LEFT($B$57,10),"*"),Input!$D$2:$D$999,$C$57)*IND_Mult!Y57</f>
        <v>0.80000000000000004</v>
      </c>
      <c r="Y57" s="69">
        <f>SUMIFS(Input!AD$2:AD$999,Input!$C$2:$C$999,CONCATENATE(LEFT($B$57,10),"*"),Input!$D$2:$D$999,$C$57)*IND_Mult!Z57</f>
        <v>0.80000000000000004</v>
      </c>
      <c r="Z57" s="69">
        <f>SUMIFS(Input!AE$2:AE$999,Input!$C$2:$C$999,CONCATENATE(LEFT($B$57,10),"*"),Input!$D$2:$D$999,$C$57)*IND_Mult!AA57</f>
        <v>0.80000000000000004</v>
      </c>
      <c r="AA57" s="69">
        <f>SUMIFS(Input!AF$2:AF$999,Input!$C$2:$C$999,CONCATENATE(LEFT($B$57,10),"*"),Input!$D$2:$D$999,$C$57)*IND_Mult!AB57</f>
        <v>0.80000000000000004</v>
      </c>
      <c r="AB57" s="69">
        <f>SUMIFS(Input!AG$2:AG$999,Input!$C$2:$C$999,CONCATENATE(LEFT($B$57,10),"*"),Input!$D$2:$D$999,$C$57)*IND_Mult!AC57</f>
        <v>0.80000000000000004</v>
      </c>
      <c r="AC57" s="69">
        <f>SUMIFS(Input!AH$2:AH$999,Input!$C$2:$C$999,CONCATENATE(LEFT($B$57,10),"*"),Input!$D$2:$D$999,$C$57)*IND_Mult!AD57</f>
        <v>0.80000000000000004</v>
      </c>
      <c r="AD57" s="69">
        <f>SUMIFS(Input!AI$2:AI$999,Input!$C$2:$C$999,CONCATENATE(LEFT($B$57,10),"*"),Input!$D$2:$D$999,$C$57)*IND_Mult!AE57</f>
        <v>0.80000000000000004</v>
      </c>
      <c r="AE57" s="69">
        <f>SUMIFS(Input!AJ$2:AJ$999,Input!$C$2:$C$999,CONCATENATE(LEFT($B$57,10),"*"),Input!$D$2:$D$999,$C$57)*IND_Mult!AF57</f>
        <v>0.80000000000000004</v>
      </c>
      <c r="AF57" s="69">
        <f>SUMIFS(Input!AK$2:AK$999,Input!$C$2:$C$999,CONCATENATE(LEFT($B$57,10),"*"),Input!$D$2:$D$999,$C$57)*IND_Mult!AG57</f>
        <v>0.80000000000000004</v>
      </c>
      <c r="AG57" s="69">
        <f>SUMIFS(Input!AL$2:AL$999,Input!$C$2:$C$999,CONCATENATE(LEFT($B$57,10),"*"),Input!$D$2:$D$999,$C$57)*IND_Mult!AH57</f>
        <v>0.80000000000000004</v>
      </c>
      <c r="AH57" s="69">
        <f>SUMIFS(Input!AM$2:AM$999,Input!$C$2:$C$999,CONCATENATE(LEFT($B$57,10),"*"),Input!$D$2:$D$999,$C$57)*IND_Mult!AI57</f>
        <v>0.80000000000000004</v>
      </c>
      <c r="AI57" s="69">
        <f>SUMIFS(Input!AN$2:AN$999,Input!$C$2:$C$999,CONCATENATE(LEFT($B$57,10),"*"),Input!$D$2:$D$999,$C$57)*IND_Mult!AJ57</f>
        <v>0</v>
      </c>
      <c r="AJ57" s="69">
        <f>SUMIFS(Input!AO$2:AO$999,Input!$C$2:$C$999,CONCATENATE(LEFT($B$57,10),"*"),Input!$D$2:$D$999,$C$57)*IND_Mult!AK57</f>
        <v>0.80000000000000004</v>
      </c>
      <c r="AK57" s="69">
        <f>SUMIFS(Input!AP$2:AP$999,Input!$C$2:$C$999,CONCATENATE(LEFT($B$57,10),"*"),Input!$D$2:$D$999,$C$57)*IND_Mult!AL57</f>
        <v>0.80000000000000004</v>
      </c>
      <c r="AL57" s="69">
        <f>SUMIFS(Input!AQ$2:AQ$999,Input!$C$2:$C$999,CONCATENATE(LEFT($B$57,10),"*"),Input!$D$2:$D$999,$C$57)*IND_Mult!AM57</f>
        <v>0.80000000000000004</v>
      </c>
      <c r="AM57" s="69">
        <f>SUMIFS(Input!AR$2:AR$999,Input!$C$2:$C$999,CONCATENATE(LEFT($B$57,10),"*"),Input!$D$2:$D$999,$C$57)*IND_Mult!AN57</f>
        <v>0.80000000000000004</v>
      </c>
      <c r="AN57" s="69">
        <f>SUMIFS(Input!AS$2:AS$999,Input!$C$2:$C$999,CONCATENATE(LEFT($B$57,10),"*"),Input!$D$2:$D$999,$C$57)*IND_Mult!AO57</f>
        <v>0.80000000000000004</v>
      </c>
      <c r="AO57" s="69">
        <f>SUMIFS(Input!AT$2:AT$999,Input!$C$2:$C$999,CONCATENATE(LEFT($B$57,10),"*"),Input!$D$2:$D$999,$C$57)*IND_Mult!AP57</f>
        <v>0.80000000000000004</v>
      </c>
      <c r="AP57" s="69">
        <f>SUMIFS(Input!AU$2:AU$999,Input!$C$2:$C$999,CONCATENATE(LEFT($B$57,10),"*"),Input!$D$2:$D$999,$C$57)*IND_Mult!AQ57</f>
        <v>0.80000000000000004</v>
      </c>
      <c r="AQ57" s="69">
        <f>SUMIFS(Input!AV$2:AV$999,Input!$C$2:$C$999,CONCATENATE(LEFT($B$57,10),"*"),Input!$D$2:$D$999,$C$57)*IND_Mult!AR57</f>
        <v>0.80000000000000004</v>
      </c>
    </row>
    <row r="58" spans="1:43" ht="12.75">
      <c r="A58" s="6"/>
      <c r="B58" s="17" t="s">
        <v>266</v>
      </c>
      <c r="C58" s="18" t="s">
        <v>49</v>
      </c>
      <c r="D58" s="26"/>
      <c r="E58" s="16" t="s">
        <v>103</v>
      </c>
      <c r="F58" s="31"/>
      <c r="G58" s="69">
        <f>SUMIFS(Input!L$2:L$999,Input!$C$2:$C$999,CONCATENATE(LEFT($B$58,10),"*"),Input!$D$2:$D$999,$C$58)*IND_Mult!H58</f>
        <v>1.28</v>
      </c>
      <c r="H58" s="69">
        <f>SUMIFS(Input!M$2:M$999,Input!$C$2:$C$999,CONCATENATE(LEFT($B$58,10),"*"),Input!$D$2:$D$999,$C$58)*IND_Mult!I58</f>
        <v>1.28</v>
      </c>
      <c r="I58" s="69">
        <f>SUMIFS(Input!N$2:N$999,Input!$C$2:$C$999,CONCATENATE(LEFT($B$58,10),"*"),Input!$D$2:$D$999,$C$58)*IND_Mult!J58</f>
        <v>1.28</v>
      </c>
      <c r="J58" s="69">
        <f>SUMIFS(Input!O$2:O$999,Input!$C$2:$C$999,CONCATENATE(LEFT($B$58,10),"*"),Input!$D$2:$D$999,$C$58)*IND_Mult!K58</f>
        <v>0</v>
      </c>
      <c r="K58" s="69">
        <f>SUMIFS(Input!P$2:P$999,Input!$C$2:$C$999,CONCATENATE(LEFT($B$58,10),"*"),Input!$D$2:$D$999,$C$58)*IND_Mult!L58</f>
        <v>1.28</v>
      </c>
      <c r="L58" s="69">
        <f>SUMIFS(Input!Q$2:Q$999,Input!$C$2:$C$999,CONCATENATE(LEFT($B$58,10),"*"),Input!$D$2:$D$999,$C$58)*IND_Mult!M58</f>
        <v>1.28</v>
      </c>
      <c r="M58" s="69">
        <f>SUMIFS(Input!R$2:R$999,Input!$C$2:$C$999,CONCATENATE(LEFT($B$58,10),"*"),Input!$D$2:$D$999,$C$58)*IND_Mult!N58</f>
        <v>1.28</v>
      </c>
      <c r="N58" s="69">
        <f>SUMIFS(Input!S$2:S$999,Input!$C$2:$C$999,CONCATENATE(LEFT($B$58,10),"*"),Input!$D$2:$D$999,$C$58)*IND_Mult!O58</f>
        <v>1.28</v>
      </c>
      <c r="O58" s="69">
        <f>SUMIFS(Input!T$2:T$999,Input!$C$2:$C$999,CONCATENATE(LEFT($B$58,10),"*"),Input!$D$2:$D$999,$C$58)*IND_Mult!P58</f>
        <v>1.0880000000000001</v>
      </c>
      <c r="P58" s="69">
        <f>SUMIFS(Input!U$2:U$999,Input!$C$2:$C$999,CONCATENATE(LEFT($B$58,10),"*"),Input!$D$2:$D$999,$C$58)*IND_Mult!Q58</f>
        <v>1.28</v>
      </c>
      <c r="Q58" s="69">
        <f>SUMIFS(Input!V$2:V$999,Input!$C$2:$C$999,CONCATENATE(LEFT($B$58,10),"*"),Input!$D$2:$D$999,$C$58)*IND_Mult!R58</f>
        <v>1.28</v>
      </c>
      <c r="R58" s="69">
        <f>SUMIFS(Input!W$2:W$999,Input!$C$2:$C$999,CONCATENATE(LEFT($B$58,10),"*"),Input!$D$2:$D$999,$C$58)*IND_Mult!S58</f>
        <v>1.28</v>
      </c>
      <c r="S58" s="69">
        <f>SUMIFS(Input!X$2:X$999,Input!$C$2:$C$999,CONCATENATE(LEFT($B$58,10),"*"),Input!$D$2:$D$999,$C$58)*IND_Mult!T58</f>
        <v>0</v>
      </c>
      <c r="T58" s="69">
        <f>SUMIFS(Input!Y$2:Y$999,Input!$C$2:$C$999,CONCATENATE(LEFT($B$58,10),"*"),Input!$D$2:$D$999,$C$58)*IND_Mult!U58</f>
        <v>1.28</v>
      </c>
      <c r="U58" s="69">
        <f>SUMIFS(Input!Z$2:Z$999,Input!$C$2:$C$999,CONCATENATE(LEFT($B$58,10),"*"),Input!$D$2:$D$999,$C$58)*IND_Mult!V58</f>
        <v>1.28</v>
      </c>
      <c r="V58" s="69">
        <f>SUMIFS(Input!AA$2:AA$999,Input!$C$2:$C$999,CONCATENATE(LEFT($B$58,10),"*"),Input!$D$2:$D$999,$C$58)*IND_Mult!W58</f>
        <v>1.28</v>
      </c>
      <c r="W58" s="69">
        <f>SUMIFS(Input!AB$2:AB$999,Input!$C$2:$C$999,CONCATENATE(LEFT($B$58,10),"*"),Input!$D$2:$D$999,$C$58)*IND_Mult!X58</f>
        <v>1.28</v>
      </c>
      <c r="X58" s="69">
        <f>SUMIFS(Input!AC$2:AC$999,Input!$C$2:$C$999,CONCATENATE(LEFT($B$58,10),"*"),Input!$D$2:$D$999,$C$58)*IND_Mult!Y58</f>
        <v>1.28</v>
      </c>
      <c r="Y58" s="69">
        <f>SUMIFS(Input!AD$2:AD$999,Input!$C$2:$C$999,CONCATENATE(LEFT($B$58,10),"*"),Input!$D$2:$D$999,$C$58)*IND_Mult!Z58</f>
        <v>1.28</v>
      </c>
      <c r="Z58" s="69">
        <f>SUMIFS(Input!AE$2:AE$999,Input!$C$2:$C$999,CONCATENATE(LEFT($B$58,10),"*"),Input!$D$2:$D$999,$C$58)*IND_Mult!AA58</f>
        <v>1.28</v>
      </c>
      <c r="AA58" s="69">
        <f>SUMIFS(Input!AF$2:AF$999,Input!$C$2:$C$999,CONCATENATE(LEFT($B$58,10),"*"),Input!$D$2:$D$999,$C$58)*IND_Mult!AB58</f>
        <v>1.28</v>
      </c>
      <c r="AB58" s="69">
        <f>SUMIFS(Input!AG$2:AG$999,Input!$C$2:$C$999,CONCATENATE(LEFT($B$58,10),"*"),Input!$D$2:$D$999,$C$58)*IND_Mult!AC58</f>
        <v>1.28</v>
      </c>
      <c r="AC58" s="69">
        <f>SUMIFS(Input!AH$2:AH$999,Input!$C$2:$C$999,CONCATENATE(LEFT($B$58,10),"*"),Input!$D$2:$D$999,$C$58)*IND_Mult!AD58</f>
        <v>1.28</v>
      </c>
      <c r="AD58" s="69">
        <f>SUMIFS(Input!AI$2:AI$999,Input!$C$2:$C$999,CONCATENATE(LEFT($B$58,10),"*"),Input!$D$2:$D$999,$C$58)*IND_Mult!AE58</f>
        <v>1.28</v>
      </c>
      <c r="AE58" s="69">
        <f>SUMIFS(Input!AJ$2:AJ$999,Input!$C$2:$C$999,CONCATENATE(LEFT($B$58,10),"*"),Input!$D$2:$D$999,$C$58)*IND_Mult!AF58</f>
        <v>1.28</v>
      </c>
      <c r="AF58" s="69">
        <f>SUMIFS(Input!AK$2:AK$999,Input!$C$2:$C$999,CONCATENATE(LEFT($B$58,10),"*"),Input!$D$2:$D$999,$C$58)*IND_Mult!AG58</f>
        <v>1.28</v>
      </c>
      <c r="AG58" s="69">
        <f>SUMIFS(Input!AL$2:AL$999,Input!$C$2:$C$999,CONCATENATE(LEFT($B$58,10),"*"),Input!$D$2:$D$999,$C$58)*IND_Mult!AH58</f>
        <v>1.28</v>
      </c>
      <c r="AH58" s="69">
        <f>SUMIFS(Input!AM$2:AM$999,Input!$C$2:$C$999,CONCATENATE(LEFT($B$58,10),"*"),Input!$D$2:$D$999,$C$58)*IND_Mult!AI58</f>
        <v>1.28</v>
      </c>
      <c r="AI58" s="69">
        <f>SUMIFS(Input!AN$2:AN$999,Input!$C$2:$C$999,CONCATENATE(LEFT($B$58,10),"*"),Input!$D$2:$D$999,$C$58)*IND_Mult!AJ58</f>
        <v>0</v>
      </c>
      <c r="AJ58" s="69">
        <f>SUMIFS(Input!AO$2:AO$999,Input!$C$2:$C$999,CONCATENATE(LEFT($B$58,10),"*"),Input!$D$2:$D$999,$C$58)*IND_Mult!AK58</f>
        <v>1.28</v>
      </c>
      <c r="AK58" s="69">
        <f>SUMIFS(Input!AP$2:AP$999,Input!$C$2:$C$999,CONCATENATE(LEFT($B$58,10),"*"),Input!$D$2:$D$999,$C$58)*IND_Mult!AL58</f>
        <v>1.28</v>
      </c>
      <c r="AL58" s="69">
        <f>SUMIFS(Input!AQ$2:AQ$999,Input!$C$2:$C$999,CONCATENATE(LEFT($B$58,10),"*"),Input!$D$2:$D$999,$C$58)*IND_Mult!AM58</f>
        <v>1.28</v>
      </c>
      <c r="AM58" s="69">
        <f>SUMIFS(Input!AR$2:AR$999,Input!$C$2:$C$999,CONCATENATE(LEFT($B$58,10),"*"),Input!$D$2:$D$999,$C$58)*IND_Mult!AN58</f>
        <v>1.28</v>
      </c>
      <c r="AN58" s="69">
        <f>SUMIFS(Input!AS$2:AS$999,Input!$C$2:$C$999,CONCATENATE(LEFT($B$58,10),"*"),Input!$D$2:$D$999,$C$58)*IND_Mult!AO58</f>
        <v>1.28</v>
      </c>
      <c r="AO58" s="69">
        <f>SUMIFS(Input!AT$2:AT$999,Input!$C$2:$C$999,CONCATENATE(LEFT($B$58,10),"*"),Input!$D$2:$D$999,$C$58)*IND_Mult!AP58</f>
        <v>1.28</v>
      </c>
      <c r="AP58" s="69">
        <f>SUMIFS(Input!AU$2:AU$999,Input!$C$2:$C$999,CONCATENATE(LEFT($B$58,10),"*"),Input!$D$2:$D$999,$C$58)*IND_Mult!AQ58</f>
        <v>1.28</v>
      </c>
      <c r="AQ58" s="69">
        <f>SUMIFS(Input!AV$2:AV$999,Input!$C$2:$C$999,CONCATENATE(LEFT($B$58,10),"*"),Input!$D$2:$D$999,$C$58)*IND_Mult!AR58</f>
        <v>1.28</v>
      </c>
    </row>
    <row r="59" spans="1:43" ht="12.75">
      <c r="A59" s="6"/>
      <c r="B59" s="17" t="s">
        <v>266</v>
      </c>
      <c r="C59" s="18" t="s">
        <v>37</v>
      </c>
      <c r="D59" s="26"/>
      <c r="E59" s="16" t="s">
        <v>103</v>
      </c>
      <c r="F59" s="31"/>
      <c r="G59" s="69">
        <f>SUMIFS(Input!L$2:L$999,Input!$C$2:$C$999,CONCATENATE(LEFT($B$59,10),"*"),Input!$D$2:$D$999,$C$59)*IND_Mult!H59</f>
        <v>1.0800000000000001</v>
      </c>
      <c r="H59" s="69">
        <f>SUMIFS(Input!M$2:M$999,Input!$C$2:$C$999,CONCATENATE(LEFT($B$59,10),"*"),Input!$D$2:$D$999,$C$59)*IND_Mult!I59</f>
        <v>1.0800000000000001</v>
      </c>
      <c r="I59" s="69">
        <f>SUMIFS(Input!N$2:N$999,Input!$C$2:$C$999,CONCATENATE(LEFT($B$59,10),"*"),Input!$D$2:$D$999,$C$59)*IND_Mult!J59</f>
        <v>1.0800000000000001</v>
      </c>
      <c r="J59" s="69">
        <f>SUMIFS(Input!O$2:O$999,Input!$C$2:$C$999,CONCATENATE(LEFT($B$59,10),"*"),Input!$D$2:$D$999,$C$59)*IND_Mult!K59</f>
        <v>1.0800000000000001</v>
      </c>
      <c r="K59" s="69">
        <f>SUMIFS(Input!P$2:P$999,Input!$C$2:$C$999,CONCATENATE(LEFT($B$59,10),"*"),Input!$D$2:$D$999,$C$59)*IND_Mult!L59</f>
        <v>1.0800000000000001</v>
      </c>
      <c r="L59" s="69">
        <f>SUMIFS(Input!Q$2:Q$999,Input!$C$2:$C$999,CONCATENATE(LEFT($B$59,10),"*"),Input!$D$2:$D$999,$C$59)*IND_Mult!M59</f>
        <v>1.0800000000000001</v>
      </c>
      <c r="M59" s="69">
        <f>SUMIFS(Input!R$2:R$999,Input!$C$2:$C$999,CONCATENATE(LEFT($B$59,10),"*"),Input!$D$2:$D$999,$C$59)*IND_Mult!N59</f>
        <v>1.0800000000000001</v>
      </c>
      <c r="N59" s="69">
        <f>SUMIFS(Input!S$2:S$999,Input!$C$2:$C$999,CONCATENATE(LEFT($B$59,10),"*"),Input!$D$2:$D$999,$C$59)*IND_Mult!O59</f>
        <v>1.0800000000000001</v>
      </c>
      <c r="O59" s="69">
        <f>SUMIFS(Input!T$2:T$999,Input!$C$2:$C$999,CONCATENATE(LEFT($B$59,10),"*"),Input!$D$2:$D$999,$C$59)*IND_Mult!P59</f>
        <v>0.91800000000000004</v>
      </c>
      <c r="P59" s="69">
        <f>SUMIFS(Input!U$2:U$999,Input!$C$2:$C$999,CONCATENATE(LEFT($B$59,10),"*"),Input!$D$2:$D$999,$C$59)*IND_Mult!Q59</f>
        <v>1.0800000000000001</v>
      </c>
      <c r="Q59" s="69">
        <f>SUMIFS(Input!V$2:V$999,Input!$C$2:$C$999,CONCATENATE(LEFT($B$59,10),"*"),Input!$D$2:$D$999,$C$59)*IND_Mult!R59</f>
        <v>1.0800000000000001</v>
      </c>
      <c r="R59" s="69">
        <f>SUMIFS(Input!W$2:W$999,Input!$C$2:$C$999,CONCATENATE(LEFT($B$59,10),"*"),Input!$D$2:$D$999,$C$59)*IND_Mult!S59</f>
        <v>1.0800000000000001</v>
      </c>
      <c r="S59" s="69">
        <f>SUMIFS(Input!X$2:X$999,Input!$C$2:$C$999,CONCATENATE(LEFT($B$59,10),"*"),Input!$D$2:$D$999,$C$59)*IND_Mult!T59</f>
        <v>1.0800000000000001</v>
      </c>
      <c r="T59" s="69">
        <f>SUMIFS(Input!Y$2:Y$999,Input!$C$2:$C$999,CONCATENATE(LEFT($B$59,10),"*"),Input!$D$2:$D$999,$C$59)*IND_Mult!U59</f>
        <v>1.0800000000000001</v>
      </c>
      <c r="U59" s="69">
        <f>SUMIFS(Input!Z$2:Z$999,Input!$C$2:$C$999,CONCATENATE(LEFT($B$59,10),"*"),Input!$D$2:$D$999,$C$59)*IND_Mult!V59</f>
        <v>1.0800000000000001</v>
      </c>
      <c r="V59" s="69">
        <f>SUMIFS(Input!AA$2:AA$999,Input!$C$2:$C$999,CONCATENATE(LEFT($B$59,10),"*"),Input!$D$2:$D$999,$C$59)*IND_Mult!W59</f>
        <v>1.0800000000000001</v>
      </c>
      <c r="W59" s="69">
        <f>SUMIFS(Input!AB$2:AB$999,Input!$C$2:$C$999,CONCATENATE(LEFT($B$59,10),"*"),Input!$D$2:$D$999,$C$59)*IND_Mult!X59</f>
        <v>1.0800000000000001</v>
      </c>
      <c r="X59" s="69">
        <f>SUMIFS(Input!AC$2:AC$999,Input!$C$2:$C$999,CONCATENATE(LEFT($B$59,10),"*"),Input!$D$2:$D$999,$C$59)*IND_Mult!Y59</f>
        <v>1.0800000000000001</v>
      </c>
      <c r="Y59" s="69">
        <f>SUMIFS(Input!AD$2:AD$999,Input!$C$2:$C$999,CONCATENATE(LEFT($B$59,10),"*"),Input!$D$2:$D$999,$C$59)*IND_Mult!Z59</f>
        <v>1.0800000000000001</v>
      </c>
      <c r="Z59" s="69">
        <f>SUMIFS(Input!AE$2:AE$999,Input!$C$2:$C$999,CONCATENATE(LEFT($B$59,10),"*"),Input!$D$2:$D$999,$C$59)*IND_Mult!AA59</f>
        <v>1.0800000000000001</v>
      </c>
      <c r="AA59" s="69">
        <f>SUMIFS(Input!AF$2:AF$999,Input!$C$2:$C$999,CONCATENATE(LEFT($B$59,10),"*"),Input!$D$2:$D$999,$C$59)*IND_Mult!AB59</f>
        <v>1.0800000000000001</v>
      </c>
      <c r="AB59" s="69">
        <f>SUMIFS(Input!AG$2:AG$999,Input!$C$2:$C$999,CONCATENATE(LEFT($B$59,10),"*"),Input!$D$2:$D$999,$C$59)*IND_Mult!AC59</f>
        <v>1.0800000000000001</v>
      </c>
      <c r="AC59" s="69">
        <f>SUMIFS(Input!AH$2:AH$999,Input!$C$2:$C$999,CONCATENATE(LEFT($B$59,10),"*"),Input!$D$2:$D$999,$C$59)*IND_Mult!AD59</f>
        <v>1.0800000000000001</v>
      </c>
      <c r="AD59" s="69">
        <f>SUMIFS(Input!AI$2:AI$999,Input!$C$2:$C$999,CONCATENATE(LEFT($B$59,10),"*"),Input!$D$2:$D$999,$C$59)*IND_Mult!AE59</f>
        <v>1.0800000000000001</v>
      </c>
      <c r="AE59" s="69">
        <f>SUMIFS(Input!AJ$2:AJ$999,Input!$C$2:$C$999,CONCATENATE(LEFT($B$59,10),"*"),Input!$D$2:$D$999,$C$59)*IND_Mult!AF59</f>
        <v>1.0800000000000001</v>
      </c>
      <c r="AF59" s="69">
        <f>SUMIFS(Input!AK$2:AK$999,Input!$C$2:$C$999,CONCATENATE(LEFT($B$59,10),"*"),Input!$D$2:$D$999,$C$59)*IND_Mult!AG59</f>
        <v>1.0800000000000001</v>
      </c>
      <c r="AG59" s="69">
        <f>SUMIFS(Input!AL$2:AL$999,Input!$C$2:$C$999,CONCATENATE(LEFT($B$59,10),"*"),Input!$D$2:$D$999,$C$59)*IND_Mult!AH59</f>
        <v>1.0800000000000001</v>
      </c>
      <c r="AH59" s="69">
        <f>SUMIFS(Input!AM$2:AM$999,Input!$C$2:$C$999,CONCATENATE(LEFT($B$59,10),"*"),Input!$D$2:$D$999,$C$59)*IND_Mult!AI59</f>
        <v>1.0800000000000001</v>
      </c>
      <c r="AI59" s="69">
        <f>SUMIFS(Input!AN$2:AN$999,Input!$C$2:$C$999,CONCATENATE(LEFT($B$59,10),"*"),Input!$D$2:$D$999,$C$59)*IND_Mult!AJ59</f>
        <v>1.0800000000000001</v>
      </c>
      <c r="AJ59" s="69">
        <f>SUMIFS(Input!AO$2:AO$999,Input!$C$2:$C$999,CONCATENATE(LEFT($B$59,10),"*"),Input!$D$2:$D$999,$C$59)*IND_Mult!AK59</f>
        <v>1.0800000000000001</v>
      </c>
      <c r="AK59" s="69">
        <f>SUMIFS(Input!AP$2:AP$999,Input!$C$2:$C$999,CONCATENATE(LEFT($B$59,10),"*"),Input!$D$2:$D$999,$C$59)*IND_Mult!AL59</f>
        <v>1.0800000000000001</v>
      </c>
      <c r="AL59" s="69">
        <f>SUMIFS(Input!AQ$2:AQ$999,Input!$C$2:$C$999,CONCATENATE(LEFT($B$59,10),"*"),Input!$D$2:$D$999,$C$59)*IND_Mult!AM59</f>
        <v>1.0800000000000001</v>
      </c>
      <c r="AM59" s="69">
        <f>SUMIFS(Input!AR$2:AR$999,Input!$C$2:$C$999,CONCATENATE(LEFT($B$59,10),"*"),Input!$D$2:$D$999,$C$59)*IND_Mult!AN59</f>
        <v>1.0800000000000001</v>
      </c>
      <c r="AN59" s="69">
        <f>SUMIFS(Input!AS$2:AS$999,Input!$C$2:$C$999,CONCATENATE(LEFT($B$59,10),"*"),Input!$D$2:$D$999,$C$59)*IND_Mult!AO59</f>
        <v>1.0800000000000001</v>
      </c>
      <c r="AO59" s="69">
        <f>SUMIFS(Input!AT$2:AT$999,Input!$C$2:$C$999,CONCATENATE(LEFT($B$59,10),"*"),Input!$D$2:$D$999,$C$59)*IND_Mult!AP59</f>
        <v>1.0800000000000001</v>
      </c>
      <c r="AP59" s="69">
        <f>SUMIFS(Input!AU$2:AU$999,Input!$C$2:$C$999,CONCATENATE(LEFT($B$59,10),"*"),Input!$D$2:$D$999,$C$59)*IND_Mult!AQ59</f>
        <v>1.0800000000000001</v>
      </c>
      <c r="AQ59" s="69">
        <f>SUMIFS(Input!AV$2:AV$999,Input!$C$2:$C$999,CONCATENATE(LEFT($B$59,10),"*"),Input!$D$2:$D$999,$C$59)*IND_Mult!AR59</f>
        <v>1.0800000000000001</v>
      </c>
    </row>
    <row r="60" spans="1:43" ht="12.75">
      <c r="A60" s="6"/>
      <c r="B60" s="17" t="s">
        <v>266</v>
      </c>
      <c r="C60" s="18" t="s">
        <v>38</v>
      </c>
      <c r="D60" s="26"/>
      <c r="E60" s="16" t="s">
        <v>103</v>
      </c>
      <c r="F60" s="31"/>
      <c r="G60" s="69">
        <f>SUMIFS(Input!L$2:L$999,Input!$C$2:$C$999,CONCATENATE(LEFT($B$60,10),"*"),Input!$D$2:$D$999,$C$60)*IND_Mult!H60</f>
        <v>1.4399999999999999</v>
      </c>
      <c r="H60" s="69">
        <f>SUMIFS(Input!M$2:M$999,Input!$C$2:$C$999,CONCATENATE(LEFT($B$60,10),"*"),Input!$D$2:$D$999,$C$60)*IND_Mult!I60</f>
        <v>1.4399999999999999</v>
      </c>
      <c r="I60" s="69">
        <f>SUMIFS(Input!N$2:N$999,Input!$C$2:$C$999,CONCATENATE(LEFT($B$60,10),"*"),Input!$D$2:$D$999,$C$60)*IND_Mult!J60</f>
        <v>1.4399999999999999</v>
      </c>
      <c r="J60" s="69">
        <f>SUMIFS(Input!O$2:O$999,Input!$C$2:$C$999,CONCATENATE(LEFT($B$60,10),"*"),Input!$D$2:$D$999,$C$60)*IND_Mult!K60</f>
        <v>2.7200000000000002</v>
      </c>
      <c r="K60" s="69">
        <f>SUMIFS(Input!P$2:P$999,Input!$C$2:$C$999,CONCATENATE(LEFT($B$60,10),"*"),Input!$D$2:$D$999,$C$60)*IND_Mult!L60</f>
        <v>1.4399999999999999</v>
      </c>
      <c r="L60" s="69">
        <f>SUMIFS(Input!Q$2:Q$999,Input!$C$2:$C$999,CONCATENATE(LEFT($B$60,10),"*"),Input!$D$2:$D$999,$C$60)*IND_Mult!M60</f>
        <v>1.4399999999999999</v>
      </c>
      <c r="M60" s="69">
        <f>SUMIFS(Input!R$2:R$999,Input!$C$2:$C$999,CONCATENATE(LEFT($B$60,10),"*"),Input!$D$2:$D$999,$C$60)*IND_Mult!N60</f>
        <v>1.4399999999999999</v>
      </c>
      <c r="N60" s="69">
        <f>SUMIFS(Input!S$2:S$999,Input!$C$2:$C$999,CONCATENATE(LEFT($B$60,10),"*"),Input!$D$2:$D$999,$C$60)*IND_Mult!O60</f>
        <v>1.4399999999999999</v>
      </c>
      <c r="O60" s="69">
        <f>SUMIFS(Input!T$2:T$999,Input!$C$2:$C$999,CONCATENATE(LEFT($B$60,10),"*"),Input!$D$2:$D$999,$C$60)*IND_Mult!P60</f>
        <v>1.224</v>
      </c>
      <c r="P60" s="69">
        <f>SUMIFS(Input!U$2:U$999,Input!$C$2:$C$999,CONCATENATE(LEFT($B$60,10),"*"),Input!$D$2:$D$999,$C$60)*IND_Mult!Q60</f>
        <v>1.4399999999999999</v>
      </c>
      <c r="Q60" s="69">
        <f>SUMIFS(Input!V$2:V$999,Input!$C$2:$C$999,CONCATENATE(LEFT($B$60,10),"*"),Input!$D$2:$D$999,$C$60)*IND_Mult!R60</f>
        <v>1.4399999999999999</v>
      </c>
      <c r="R60" s="69">
        <f>SUMIFS(Input!W$2:W$999,Input!$C$2:$C$999,CONCATENATE(LEFT($B$60,10),"*"),Input!$D$2:$D$999,$C$60)*IND_Mult!S60</f>
        <v>1.4399999999999999</v>
      </c>
      <c r="S60" s="69">
        <f>SUMIFS(Input!X$2:X$999,Input!$C$2:$C$999,CONCATENATE(LEFT($B$60,10),"*"),Input!$D$2:$D$999,$C$60)*IND_Mult!T60</f>
        <v>3.52</v>
      </c>
      <c r="T60" s="69">
        <f>SUMIFS(Input!Y$2:Y$999,Input!$C$2:$C$999,CONCATENATE(LEFT($B$60,10),"*"),Input!$D$2:$D$999,$C$60)*IND_Mult!U60</f>
        <v>1.4399999999999999</v>
      </c>
      <c r="U60" s="69">
        <f>SUMIFS(Input!Z$2:Z$999,Input!$C$2:$C$999,CONCATENATE(LEFT($B$60,10),"*"),Input!$D$2:$D$999,$C$60)*IND_Mult!V60</f>
        <v>1.4399999999999999</v>
      </c>
      <c r="V60" s="69">
        <f>SUMIFS(Input!AA$2:AA$999,Input!$C$2:$C$999,CONCATENATE(LEFT($B$60,10),"*"),Input!$D$2:$D$999,$C$60)*IND_Mult!W60</f>
        <v>1.4399999999999999</v>
      </c>
      <c r="W60" s="69">
        <f>SUMIFS(Input!AB$2:AB$999,Input!$C$2:$C$999,CONCATENATE(LEFT($B$60,10),"*"),Input!$D$2:$D$999,$C$60)*IND_Mult!X60</f>
        <v>1.4399999999999999</v>
      </c>
      <c r="X60" s="69">
        <f>SUMIFS(Input!AC$2:AC$999,Input!$C$2:$C$999,CONCATENATE(LEFT($B$60,10),"*"),Input!$D$2:$D$999,$C$60)*IND_Mult!Y60</f>
        <v>1.4399999999999999</v>
      </c>
      <c r="Y60" s="69">
        <f>SUMIFS(Input!AD$2:AD$999,Input!$C$2:$C$999,CONCATENATE(LEFT($B$60,10),"*"),Input!$D$2:$D$999,$C$60)*IND_Mult!Z60</f>
        <v>1.4399999999999999</v>
      </c>
      <c r="Z60" s="69">
        <f>SUMIFS(Input!AE$2:AE$999,Input!$C$2:$C$999,CONCATENATE(LEFT($B$60,10),"*"),Input!$D$2:$D$999,$C$60)*IND_Mult!AA60</f>
        <v>1.4399999999999999</v>
      </c>
      <c r="AA60" s="69">
        <f>SUMIFS(Input!AF$2:AF$999,Input!$C$2:$C$999,CONCATENATE(LEFT($B$60,10),"*"),Input!$D$2:$D$999,$C$60)*IND_Mult!AB60</f>
        <v>1.4399999999999999</v>
      </c>
      <c r="AB60" s="69">
        <f>SUMIFS(Input!AG$2:AG$999,Input!$C$2:$C$999,CONCATENATE(LEFT($B$60,10),"*"),Input!$D$2:$D$999,$C$60)*IND_Mult!AC60</f>
        <v>1.4399999999999999</v>
      </c>
      <c r="AC60" s="69">
        <f>SUMIFS(Input!AH$2:AH$999,Input!$C$2:$C$999,CONCATENATE(LEFT($B$60,10),"*"),Input!$D$2:$D$999,$C$60)*IND_Mult!AD60</f>
        <v>1.4399999999999999</v>
      </c>
      <c r="AD60" s="69">
        <f>SUMIFS(Input!AI$2:AI$999,Input!$C$2:$C$999,CONCATENATE(LEFT($B$60,10),"*"),Input!$D$2:$D$999,$C$60)*IND_Mult!AE60</f>
        <v>1.4399999999999999</v>
      </c>
      <c r="AE60" s="69">
        <f>SUMIFS(Input!AJ$2:AJ$999,Input!$C$2:$C$999,CONCATENATE(LEFT($B$60,10),"*"),Input!$D$2:$D$999,$C$60)*IND_Mult!AF60</f>
        <v>1.4399999999999999</v>
      </c>
      <c r="AF60" s="69">
        <f>SUMIFS(Input!AK$2:AK$999,Input!$C$2:$C$999,CONCATENATE(LEFT($B$60,10),"*"),Input!$D$2:$D$999,$C$60)*IND_Mult!AG60</f>
        <v>1.4399999999999999</v>
      </c>
      <c r="AG60" s="69">
        <f>SUMIFS(Input!AL$2:AL$999,Input!$C$2:$C$999,CONCATENATE(LEFT($B$60,10),"*"),Input!$D$2:$D$999,$C$60)*IND_Mult!AH60</f>
        <v>1.4399999999999999</v>
      </c>
      <c r="AH60" s="69">
        <f>SUMIFS(Input!AM$2:AM$999,Input!$C$2:$C$999,CONCATENATE(LEFT($B$60,10),"*"),Input!$D$2:$D$999,$C$60)*IND_Mult!AI60</f>
        <v>1.4399999999999999</v>
      </c>
      <c r="AI60" s="69">
        <f>SUMIFS(Input!AN$2:AN$999,Input!$C$2:$C$999,CONCATENATE(LEFT($B$60,10),"*"),Input!$D$2:$D$999,$C$60)*IND_Mult!AJ60</f>
        <v>3.6088888888888899</v>
      </c>
      <c r="AJ60" s="69">
        <f>SUMIFS(Input!AO$2:AO$999,Input!$C$2:$C$999,CONCATENATE(LEFT($B$60,10),"*"),Input!$D$2:$D$999,$C$60)*IND_Mult!AK60</f>
        <v>1.4399999999999999</v>
      </c>
      <c r="AK60" s="69">
        <f>SUMIFS(Input!AP$2:AP$999,Input!$C$2:$C$999,CONCATENATE(LEFT($B$60,10),"*"),Input!$D$2:$D$999,$C$60)*IND_Mult!AL60</f>
        <v>1.4399999999999999</v>
      </c>
      <c r="AL60" s="69">
        <f>SUMIFS(Input!AQ$2:AQ$999,Input!$C$2:$C$999,CONCATENATE(LEFT($B$60,10),"*"),Input!$D$2:$D$999,$C$60)*IND_Mult!AM60</f>
        <v>1.4399999999999999</v>
      </c>
      <c r="AM60" s="69">
        <f>SUMIFS(Input!AR$2:AR$999,Input!$C$2:$C$999,CONCATENATE(LEFT($B$60,10),"*"),Input!$D$2:$D$999,$C$60)*IND_Mult!AN60</f>
        <v>1.4399999999999999</v>
      </c>
      <c r="AN60" s="69">
        <f>SUMIFS(Input!AS$2:AS$999,Input!$C$2:$C$999,CONCATENATE(LEFT($B$60,10),"*"),Input!$D$2:$D$999,$C$60)*IND_Mult!AO60</f>
        <v>1.4399999999999999</v>
      </c>
      <c r="AO60" s="69">
        <f>SUMIFS(Input!AT$2:AT$999,Input!$C$2:$C$999,CONCATENATE(LEFT($B$60,10),"*"),Input!$D$2:$D$999,$C$60)*IND_Mult!AP60</f>
        <v>1.4399999999999999</v>
      </c>
      <c r="AP60" s="69">
        <f>SUMIFS(Input!AU$2:AU$999,Input!$C$2:$C$999,CONCATENATE(LEFT($B$60,10),"*"),Input!$D$2:$D$999,$C$60)*IND_Mult!AQ60</f>
        <v>1.4399999999999999</v>
      </c>
      <c r="AQ60" s="69">
        <f>SUMIFS(Input!AV$2:AV$999,Input!$C$2:$C$999,CONCATENATE(LEFT($B$60,10),"*"),Input!$D$2:$D$999,$C$60)*IND_Mult!AR60</f>
        <v>1.4399999999999999</v>
      </c>
    </row>
    <row r="61" spans="1:43" ht="12.75">
      <c r="A61" s="6"/>
      <c r="B61" s="17" t="s">
        <v>266</v>
      </c>
      <c r="C61" s="18" t="s">
        <v>43</v>
      </c>
      <c r="D61" s="26"/>
      <c r="E61" s="16" t="s">
        <v>103</v>
      </c>
      <c r="F61" s="31"/>
      <c r="G61" s="69">
        <f>SUMIFS(Input!L$2:L$999,Input!$C$2:$C$999,CONCATENATE(LEFT($B$61,10),"*"),Input!$D$2:$D$999,$C$61)*IND_Mult!H61</f>
        <v>2.7999999999999998</v>
      </c>
      <c r="H61" s="69">
        <f>SUMIFS(Input!M$2:M$999,Input!$C$2:$C$999,CONCATENATE(LEFT($B$61,10),"*"),Input!$D$2:$D$999,$C$61)*IND_Mult!I61</f>
        <v>2.7999999999999998</v>
      </c>
      <c r="I61" s="69">
        <f>SUMIFS(Input!N$2:N$999,Input!$C$2:$C$999,CONCATENATE(LEFT($B$61,10),"*"),Input!$D$2:$D$999,$C$61)*IND_Mult!J61</f>
        <v>2.7999999999999998</v>
      </c>
      <c r="J61" s="69">
        <f>SUMIFS(Input!O$2:O$999,Input!$C$2:$C$999,CONCATENATE(LEFT($B$61,10),"*"),Input!$D$2:$D$999,$C$61)*IND_Mult!K61</f>
        <v>2.7999999999999998</v>
      </c>
      <c r="K61" s="69">
        <f>SUMIFS(Input!P$2:P$999,Input!$C$2:$C$999,CONCATENATE(LEFT($B$61,10),"*"),Input!$D$2:$D$999,$C$61)*IND_Mult!L61</f>
        <v>2.7999999999999998</v>
      </c>
      <c r="L61" s="69">
        <f>SUMIFS(Input!Q$2:Q$999,Input!$C$2:$C$999,CONCATENATE(LEFT($B$61,10),"*"),Input!$D$2:$D$999,$C$61)*IND_Mult!M61</f>
        <v>2.7999999999999998</v>
      </c>
      <c r="M61" s="69">
        <f>SUMIFS(Input!R$2:R$999,Input!$C$2:$C$999,CONCATENATE(LEFT($B$61,10),"*"),Input!$D$2:$D$999,$C$61)*IND_Mult!N61</f>
        <v>3.68888888888889</v>
      </c>
      <c r="N61" s="69">
        <f>SUMIFS(Input!S$2:S$999,Input!$C$2:$C$999,CONCATENATE(LEFT($B$61,10),"*"),Input!$D$2:$D$999,$C$61)*IND_Mult!O61</f>
        <v>2.7999999999999998</v>
      </c>
      <c r="O61" s="69">
        <f>SUMIFS(Input!T$2:T$999,Input!$C$2:$C$999,CONCATENATE(LEFT($B$61,10),"*"),Input!$D$2:$D$999,$C$61)*IND_Mult!P61</f>
        <v>2.7999999999999998</v>
      </c>
      <c r="P61" s="69">
        <f>SUMIFS(Input!U$2:U$999,Input!$C$2:$C$999,CONCATENATE(LEFT($B$61,10),"*"),Input!$D$2:$D$999,$C$61)*IND_Mult!Q61</f>
        <v>2.7999999999999998</v>
      </c>
      <c r="Q61" s="69">
        <f>SUMIFS(Input!V$2:V$999,Input!$C$2:$C$999,CONCATENATE(LEFT($B$61,10),"*"),Input!$D$2:$D$999,$C$61)*IND_Mult!R61</f>
        <v>2.7999999999999998</v>
      </c>
      <c r="R61" s="69">
        <f>SUMIFS(Input!W$2:W$999,Input!$C$2:$C$999,CONCATENATE(LEFT($B$61,10),"*"),Input!$D$2:$D$999,$C$61)*IND_Mult!S61</f>
        <v>2.7999999999999998</v>
      </c>
      <c r="S61" s="69">
        <f>SUMIFS(Input!X$2:X$999,Input!$C$2:$C$999,CONCATENATE(LEFT($B$61,10),"*"),Input!$D$2:$D$999,$C$61)*IND_Mult!T61</f>
        <v>2.7999999999999998</v>
      </c>
      <c r="T61" s="69">
        <f>SUMIFS(Input!Y$2:Y$999,Input!$C$2:$C$999,CONCATENATE(LEFT($B$61,10),"*"),Input!$D$2:$D$999,$C$61)*IND_Mult!U61</f>
        <v>2.7999999999999998</v>
      </c>
      <c r="U61" s="69">
        <f>SUMIFS(Input!Z$2:Z$999,Input!$C$2:$C$999,CONCATENATE(LEFT($B$61,10),"*"),Input!$D$2:$D$999,$C$61)*IND_Mult!V61</f>
        <v>2.7999999999999998</v>
      </c>
      <c r="V61" s="69">
        <f>SUMIFS(Input!AA$2:AA$999,Input!$C$2:$C$999,CONCATENATE(LEFT($B$61,10),"*"),Input!$D$2:$D$999,$C$61)*IND_Mult!W61</f>
        <v>2.7999999999999998</v>
      </c>
      <c r="W61" s="69">
        <f>SUMIFS(Input!AB$2:AB$999,Input!$C$2:$C$999,CONCATENATE(LEFT($B$61,10),"*"),Input!$D$2:$D$999,$C$61)*IND_Mult!X61</f>
        <v>2.7999999999999998</v>
      </c>
      <c r="X61" s="69">
        <f>SUMIFS(Input!AC$2:AC$999,Input!$C$2:$C$999,CONCATENATE(LEFT($B$61,10),"*"),Input!$D$2:$D$999,$C$61)*IND_Mult!Y61</f>
        <v>2.7999999999999998</v>
      </c>
      <c r="Y61" s="69">
        <f>SUMIFS(Input!AD$2:AD$999,Input!$C$2:$C$999,CONCATENATE(LEFT($B$61,10),"*"),Input!$D$2:$D$999,$C$61)*IND_Mult!Z61</f>
        <v>2.7999999999999998</v>
      </c>
      <c r="Z61" s="69">
        <f>SUMIFS(Input!AE$2:AE$999,Input!$C$2:$C$999,CONCATENATE(LEFT($B$61,10),"*"),Input!$D$2:$D$999,$C$61)*IND_Mult!AA61</f>
        <v>2.7999999999999998</v>
      </c>
      <c r="AA61" s="69">
        <f>SUMIFS(Input!AF$2:AF$999,Input!$C$2:$C$999,CONCATENATE(LEFT($B$61,10),"*"),Input!$D$2:$D$999,$C$61)*IND_Mult!AB61</f>
        <v>2.7999999999999998</v>
      </c>
      <c r="AB61" s="69">
        <f>SUMIFS(Input!AG$2:AG$999,Input!$C$2:$C$999,CONCATENATE(LEFT($B$61,10),"*"),Input!$D$2:$D$999,$C$61)*IND_Mult!AC61</f>
        <v>2.7999999999999998</v>
      </c>
      <c r="AC61" s="69">
        <f>SUMIFS(Input!AH$2:AH$999,Input!$C$2:$C$999,CONCATENATE(LEFT($B$61,10),"*"),Input!$D$2:$D$999,$C$61)*IND_Mult!AD61</f>
        <v>2.7999999999999998</v>
      </c>
      <c r="AD61" s="69">
        <f>SUMIFS(Input!AI$2:AI$999,Input!$C$2:$C$999,CONCATENATE(LEFT($B$61,10),"*"),Input!$D$2:$D$999,$C$61)*IND_Mult!AE61</f>
        <v>2.7999999999999998</v>
      </c>
      <c r="AE61" s="69">
        <f>SUMIFS(Input!AJ$2:AJ$999,Input!$C$2:$C$999,CONCATENATE(LEFT($B$61,10),"*"),Input!$D$2:$D$999,$C$61)*IND_Mult!AF61</f>
        <v>2.7999999999999998</v>
      </c>
      <c r="AF61" s="69">
        <f>SUMIFS(Input!AK$2:AK$999,Input!$C$2:$C$999,CONCATENATE(LEFT($B$61,10),"*"),Input!$D$2:$D$999,$C$61)*IND_Mult!AG61</f>
        <v>2.7999999999999998</v>
      </c>
      <c r="AG61" s="69">
        <f>SUMIFS(Input!AL$2:AL$999,Input!$C$2:$C$999,CONCATENATE(LEFT($B$61,10),"*"),Input!$D$2:$D$999,$C$61)*IND_Mult!AH61</f>
        <v>2.7999999999999998</v>
      </c>
      <c r="AH61" s="69">
        <f>SUMIFS(Input!AM$2:AM$999,Input!$C$2:$C$999,CONCATENATE(LEFT($B$61,10),"*"),Input!$D$2:$D$999,$C$61)*IND_Mult!AI61</f>
        <v>2.7999999999999998</v>
      </c>
      <c r="AI61" s="69">
        <f>SUMIFS(Input!AN$2:AN$999,Input!$C$2:$C$999,CONCATENATE(LEFT($B$61,10),"*"),Input!$D$2:$D$999,$C$61)*IND_Mult!AJ61</f>
        <v>2.7999999999999998</v>
      </c>
      <c r="AJ61" s="69">
        <f>SUMIFS(Input!AO$2:AO$999,Input!$C$2:$C$999,CONCATENATE(LEFT($B$61,10),"*"),Input!$D$2:$D$999,$C$61)*IND_Mult!AK61</f>
        <v>2.52</v>
      </c>
      <c r="AK61" s="69">
        <f>SUMIFS(Input!AP$2:AP$999,Input!$C$2:$C$999,CONCATENATE(LEFT($B$61,10),"*"),Input!$D$2:$D$999,$C$61)*IND_Mult!AL61</f>
        <v>2.7999999999999998</v>
      </c>
      <c r="AL61" s="69">
        <f>SUMIFS(Input!AQ$2:AQ$999,Input!$C$2:$C$999,CONCATENATE(LEFT($B$61,10),"*"),Input!$D$2:$D$999,$C$61)*IND_Mult!AM61</f>
        <v>2.7999999999999998</v>
      </c>
      <c r="AM61" s="69">
        <f>SUMIFS(Input!AR$2:AR$999,Input!$C$2:$C$999,CONCATENATE(LEFT($B$61,10),"*"),Input!$D$2:$D$999,$C$61)*IND_Mult!AN61</f>
        <v>2.7999999999999998</v>
      </c>
      <c r="AN61" s="69">
        <f>SUMIFS(Input!AS$2:AS$999,Input!$C$2:$C$999,CONCATENATE(LEFT($B$61,10),"*"),Input!$D$2:$D$999,$C$61)*IND_Mult!AO61</f>
        <v>2.7999999999999998</v>
      </c>
      <c r="AO61" s="69">
        <f>SUMIFS(Input!AT$2:AT$999,Input!$C$2:$C$999,CONCATENATE(LEFT($B$61,10),"*"),Input!$D$2:$D$999,$C$61)*IND_Mult!AP61</f>
        <v>2.7999999999999998</v>
      </c>
      <c r="AP61" s="69">
        <f>SUMIFS(Input!AU$2:AU$999,Input!$C$2:$C$999,CONCATENATE(LEFT($B$61,10),"*"),Input!$D$2:$D$999,$C$61)*IND_Mult!AQ61</f>
        <v>2.7999999999999998</v>
      </c>
      <c r="AQ61" s="69">
        <f>SUMIFS(Input!AV$2:AV$999,Input!$C$2:$C$999,CONCATENATE(LEFT($B$61,10),"*"),Input!$D$2:$D$999,$C$61)*IND_Mult!AR61</f>
        <v>2.7999999999999998</v>
      </c>
    </row>
    <row r="62" spans="1:43" ht="12.75">
      <c r="A62" s="6"/>
      <c r="B62" s="17" t="s">
        <v>266</v>
      </c>
      <c r="C62" s="18" t="s">
        <v>45</v>
      </c>
      <c r="D62" s="26"/>
      <c r="E62" s="16" t="s">
        <v>103</v>
      </c>
      <c r="F62" s="31"/>
      <c r="G62" s="69">
        <f>SUMIFS(Input!L$2:L$999,Input!$C$2:$C$999,CONCATENATE(LEFT($B$62,10),"*"),Input!$D$2:$D$999,$C$62)*IND_Mult!H62</f>
        <v>0.83199999999999996</v>
      </c>
      <c r="H62" s="69">
        <f>SUMIFS(Input!M$2:M$999,Input!$C$2:$C$999,CONCATENATE(LEFT($B$62,10),"*"),Input!$D$2:$D$999,$C$62)*IND_Mult!I62</f>
        <v>0.83199999999999996</v>
      </c>
      <c r="I62" s="69">
        <f>SUMIFS(Input!N$2:N$999,Input!$C$2:$C$999,CONCATENATE(LEFT($B$62,10),"*"),Input!$D$2:$D$999,$C$62)*IND_Mult!J62</f>
        <v>0.83199999999999996</v>
      </c>
      <c r="J62" s="69">
        <f>SUMIFS(Input!O$2:O$999,Input!$C$2:$C$999,CONCATENATE(LEFT($B$62,10),"*"),Input!$D$2:$D$999,$C$62)*IND_Mult!K62</f>
        <v>0.83199999999999996</v>
      </c>
      <c r="K62" s="69">
        <f>SUMIFS(Input!P$2:P$999,Input!$C$2:$C$999,CONCATENATE(LEFT($B$62,10),"*"),Input!$D$2:$D$999,$C$62)*IND_Mult!L62</f>
        <v>0.83199999999999996</v>
      </c>
      <c r="L62" s="69">
        <f>SUMIFS(Input!Q$2:Q$999,Input!$C$2:$C$999,CONCATENATE(LEFT($B$62,10),"*"),Input!$D$2:$D$999,$C$62)*IND_Mult!M62</f>
        <v>0.83199999999999996</v>
      </c>
      <c r="M62" s="69">
        <f>SUMIFS(Input!R$2:R$999,Input!$C$2:$C$999,CONCATENATE(LEFT($B$62,10),"*"),Input!$D$2:$D$999,$C$62)*IND_Mult!N62</f>
        <v>0.83199999999999996</v>
      </c>
      <c r="N62" s="69">
        <f>SUMIFS(Input!S$2:S$999,Input!$C$2:$C$999,CONCATENATE(LEFT($B$62,10),"*"),Input!$D$2:$D$999,$C$62)*IND_Mult!O62</f>
        <v>0.83199999999999996</v>
      </c>
      <c r="O62" s="69">
        <f>SUMIFS(Input!T$2:T$999,Input!$C$2:$C$999,CONCATENATE(LEFT($B$62,10),"*"),Input!$D$2:$D$999,$C$62)*IND_Mult!P62</f>
        <v>0.70719999999999994</v>
      </c>
      <c r="P62" s="69">
        <f>SUMIFS(Input!U$2:U$999,Input!$C$2:$C$999,CONCATENATE(LEFT($B$62,10),"*"),Input!$D$2:$D$999,$C$62)*IND_Mult!Q62</f>
        <v>0.83199999999999996</v>
      </c>
      <c r="Q62" s="69">
        <f>SUMIFS(Input!V$2:V$999,Input!$C$2:$C$999,CONCATENATE(LEFT($B$62,10),"*"),Input!$D$2:$D$999,$C$62)*IND_Mult!R62</f>
        <v>0.83199999999999996</v>
      </c>
      <c r="R62" s="69">
        <f>SUMIFS(Input!W$2:W$999,Input!$C$2:$C$999,CONCATENATE(LEFT($B$62,10),"*"),Input!$D$2:$D$999,$C$62)*IND_Mult!S62</f>
        <v>0.83199999999999996</v>
      </c>
      <c r="S62" s="69">
        <f>SUMIFS(Input!X$2:X$999,Input!$C$2:$C$999,CONCATENATE(LEFT($B$62,10),"*"),Input!$D$2:$D$999,$C$62)*IND_Mult!T62</f>
        <v>0.83199999999999996</v>
      </c>
      <c r="T62" s="69">
        <f>SUMIFS(Input!Y$2:Y$999,Input!$C$2:$C$999,CONCATENATE(LEFT($B$62,10),"*"),Input!$D$2:$D$999,$C$62)*IND_Mult!U62</f>
        <v>0.83199999999999996</v>
      </c>
      <c r="U62" s="69">
        <f>SUMIFS(Input!Z$2:Z$999,Input!$C$2:$C$999,CONCATENATE(LEFT($B$62,10),"*"),Input!$D$2:$D$999,$C$62)*IND_Mult!V62</f>
        <v>0.83199999999999996</v>
      </c>
      <c r="V62" s="69">
        <f>SUMIFS(Input!AA$2:AA$999,Input!$C$2:$C$999,CONCATENATE(LEFT($B$62,10),"*"),Input!$D$2:$D$999,$C$62)*IND_Mult!W62</f>
        <v>0.83199999999999996</v>
      </c>
      <c r="W62" s="69">
        <f>SUMIFS(Input!AB$2:AB$999,Input!$C$2:$C$999,CONCATENATE(LEFT($B$62,10),"*"),Input!$D$2:$D$999,$C$62)*IND_Mult!X62</f>
        <v>0.83199999999999996</v>
      </c>
      <c r="X62" s="69">
        <f>SUMIFS(Input!AC$2:AC$999,Input!$C$2:$C$999,CONCATENATE(LEFT($B$62,10),"*"),Input!$D$2:$D$999,$C$62)*IND_Mult!Y62</f>
        <v>0.83199999999999996</v>
      </c>
      <c r="Y62" s="69">
        <f>SUMIFS(Input!AD$2:AD$999,Input!$C$2:$C$999,CONCATENATE(LEFT($B$62,10),"*"),Input!$D$2:$D$999,$C$62)*IND_Mult!Z62</f>
        <v>0.83199999999999996</v>
      </c>
      <c r="Z62" s="69">
        <f>SUMIFS(Input!AE$2:AE$999,Input!$C$2:$C$999,CONCATENATE(LEFT($B$62,10),"*"),Input!$D$2:$D$999,$C$62)*IND_Mult!AA62</f>
        <v>0.83199999999999996</v>
      </c>
      <c r="AA62" s="69">
        <f>SUMIFS(Input!AF$2:AF$999,Input!$C$2:$C$999,CONCATENATE(LEFT($B$62,10),"*"),Input!$D$2:$D$999,$C$62)*IND_Mult!AB62</f>
        <v>0.83199999999999996</v>
      </c>
      <c r="AB62" s="69">
        <f>SUMIFS(Input!AG$2:AG$999,Input!$C$2:$C$999,CONCATENATE(LEFT($B$62,10),"*"),Input!$D$2:$D$999,$C$62)*IND_Mult!AC62</f>
        <v>0.83199999999999996</v>
      </c>
      <c r="AC62" s="69">
        <f>SUMIFS(Input!AH$2:AH$999,Input!$C$2:$C$999,CONCATENATE(LEFT($B$62,10),"*"),Input!$D$2:$D$999,$C$62)*IND_Mult!AD62</f>
        <v>0.83199999999999996</v>
      </c>
      <c r="AD62" s="69">
        <f>SUMIFS(Input!AI$2:AI$999,Input!$C$2:$C$999,CONCATENATE(LEFT($B$62,10),"*"),Input!$D$2:$D$999,$C$62)*IND_Mult!AE62</f>
        <v>0.83199999999999996</v>
      </c>
      <c r="AE62" s="69">
        <f>SUMIFS(Input!AJ$2:AJ$999,Input!$C$2:$C$999,CONCATENATE(LEFT($B$62,10),"*"),Input!$D$2:$D$999,$C$62)*IND_Mult!AF62</f>
        <v>0.83199999999999996</v>
      </c>
      <c r="AF62" s="69">
        <f>SUMIFS(Input!AK$2:AK$999,Input!$C$2:$C$999,CONCATENATE(LEFT($B$62,10),"*"),Input!$D$2:$D$999,$C$62)*IND_Mult!AG62</f>
        <v>0.83199999999999996</v>
      </c>
      <c r="AG62" s="69">
        <f>SUMIFS(Input!AL$2:AL$999,Input!$C$2:$C$999,CONCATENATE(LEFT($B$62,10),"*"),Input!$D$2:$D$999,$C$62)*IND_Mult!AH62</f>
        <v>0.83199999999999996</v>
      </c>
      <c r="AH62" s="69">
        <f>SUMIFS(Input!AM$2:AM$999,Input!$C$2:$C$999,CONCATENATE(LEFT($B$62,10),"*"),Input!$D$2:$D$999,$C$62)*IND_Mult!AI62</f>
        <v>0.83199999999999996</v>
      </c>
      <c r="AI62" s="69">
        <f>SUMIFS(Input!AN$2:AN$999,Input!$C$2:$C$999,CONCATENATE(LEFT($B$62,10),"*"),Input!$D$2:$D$999,$C$62)*IND_Mult!AJ62</f>
        <v>0.83199999999999996</v>
      </c>
      <c r="AJ62" s="69">
        <f>SUMIFS(Input!AO$2:AO$999,Input!$C$2:$C$999,CONCATENATE(LEFT($B$62,10),"*"),Input!$D$2:$D$999,$C$62)*IND_Mult!AK62</f>
        <v>0.83199999999999996</v>
      </c>
      <c r="AK62" s="69">
        <f>SUMIFS(Input!AP$2:AP$999,Input!$C$2:$C$999,CONCATENATE(LEFT($B$62,10),"*"),Input!$D$2:$D$999,$C$62)*IND_Mult!AL62</f>
        <v>0.83199999999999996</v>
      </c>
      <c r="AL62" s="69">
        <f>SUMIFS(Input!AQ$2:AQ$999,Input!$C$2:$C$999,CONCATENATE(LEFT($B$62,10),"*"),Input!$D$2:$D$999,$C$62)*IND_Mult!AM62</f>
        <v>0.83199999999999996</v>
      </c>
      <c r="AM62" s="69">
        <f>SUMIFS(Input!AR$2:AR$999,Input!$C$2:$C$999,CONCATENATE(LEFT($B$62,10),"*"),Input!$D$2:$D$999,$C$62)*IND_Mult!AN62</f>
        <v>0.83199999999999996</v>
      </c>
      <c r="AN62" s="69">
        <f>SUMIFS(Input!AS$2:AS$999,Input!$C$2:$C$999,CONCATENATE(LEFT($B$62,10),"*"),Input!$D$2:$D$999,$C$62)*IND_Mult!AO62</f>
        <v>0.83199999999999996</v>
      </c>
      <c r="AO62" s="69">
        <f>SUMIFS(Input!AT$2:AT$999,Input!$C$2:$C$999,CONCATENATE(LEFT($B$62,10),"*"),Input!$D$2:$D$999,$C$62)*IND_Mult!AP62</f>
        <v>0.83199999999999996</v>
      </c>
      <c r="AP62" s="69">
        <f>SUMIFS(Input!AU$2:AU$999,Input!$C$2:$C$999,CONCATENATE(LEFT($B$62,10),"*"),Input!$D$2:$D$999,$C$62)*IND_Mult!AQ62</f>
        <v>0.83199999999999996</v>
      </c>
      <c r="AQ62" s="69">
        <f>SUMIFS(Input!AV$2:AV$999,Input!$C$2:$C$999,CONCATENATE(LEFT($B$62,10),"*"),Input!$D$2:$D$999,$C$62)*IND_Mult!AR62</f>
        <v>0.83199999999999996</v>
      </c>
    </row>
    <row r="63" spans="1:43" ht="12.75">
      <c r="A63" s="6"/>
      <c r="B63" s="17" t="s">
        <v>266</v>
      </c>
      <c r="C63" s="18" t="s">
        <v>46</v>
      </c>
      <c r="D63" s="26"/>
      <c r="E63" s="16" t="s">
        <v>104</v>
      </c>
      <c r="F63" s="31"/>
      <c r="G63" s="72">
        <f>SUMIFS(Output!L$2:L$999,Output!$C$2:$C$999,CONCATENATE(LEFT($B$63,10),"*"),Output!$D$2:$D$999,$C$63)*IND_Mult!H68</f>
        <v>1</v>
      </c>
      <c r="H63" s="72">
        <f>SUMIFS(Output!M$2:M$999,Output!$C$2:$C$999,CONCATENATE(LEFT($B$63,10),"*"),Output!$D$2:$D$999,$C$63)*IND_Mult!I68</f>
        <v>1</v>
      </c>
      <c r="I63" s="72">
        <f>SUMIFS(Output!N$2:N$999,Output!$C$2:$C$999,CONCATENATE(LEFT($B$63,10),"*"),Output!$D$2:$D$999,$C$63)*IND_Mult!J68</f>
        <v>1</v>
      </c>
      <c r="J63" s="72">
        <f>SUMIFS(Output!O$2:O$999,Output!$C$2:$C$999,CONCATENATE(LEFT($B$63,10),"*"),Output!$D$2:$D$999,$C$63)*IND_Mult!K68</f>
        <v>1</v>
      </c>
      <c r="K63" s="72">
        <f>SUMIFS(Output!P$2:P$999,Output!$C$2:$C$999,CONCATENATE(LEFT($B$63,10),"*"),Output!$D$2:$D$999,$C$63)*IND_Mult!L68</f>
        <v>1</v>
      </c>
      <c r="L63" s="72">
        <f>SUMIFS(Output!Q$2:Q$999,Output!$C$2:$C$999,CONCATENATE(LEFT($B$63,10),"*"),Output!$D$2:$D$999,$C$63)*IND_Mult!M68</f>
        <v>1</v>
      </c>
      <c r="M63" s="72">
        <f>SUMIFS(Output!R$2:R$999,Output!$C$2:$C$999,CONCATENATE(LEFT($B$63,10),"*"),Output!$D$2:$D$999,$C$63)*IND_Mult!N68</f>
        <v>1</v>
      </c>
      <c r="N63" s="72">
        <f>SUMIFS(Output!S$2:S$999,Output!$C$2:$C$999,CONCATENATE(LEFT($B$63,10),"*"),Output!$D$2:$D$999,$C$63)*IND_Mult!O68</f>
        <v>1</v>
      </c>
      <c r="O63" s="72">
        <f>SUMIFS(Output!T$2:T$999,Output!$C$2:$C$999,CONCATENATE(LEFT($B$63,10),"*"),Output!$D$2:$D$999,$C$63)*IND_Mult!P68</f>
        <v>1</v>
      </c>
      <c r="P63" s="72">
        <f>SUMIFS(Output!U$2:U$999,Output!$C$2:$C$999,CONCATENATE(LEFT($B$63,10),"*"),Output!$D$2:$D$999,$C$63)*IND_Mult!Q68</f>
        <v>1</v>
      </c>
      <c r="Q63" s="72">
        <f>SUMIFS(Output!V$2:V$999,Output!$C$2:$C$999,CONCATENATE(LEFT($B$63,10),"*"),Output!$D$2:$D$999,$C$63)*IND_Mult!R68</f>
        <v>1</v>
      </c>
      <c r="R63" s="72">
        <f>SUMIFS(Output!W$2:W$999,Output!$C$2:$C$999,CONCATENATE(LEFT($B$63,10),"*"),Output!$D$2:$D$999,$C$63)*IND_Mult!S68</f>
        <v>1</v>
      </c>
      <c r="S63" s="72">
        <f>SUMIFS(Output!X$2:X$999,Output!$C$2:$C$999,CONCATENATE(LEFT($B$63,10),"*"),Output!$D$2:$D$999,$C$63)*IND_Mult!T68</f>
        <v>1</v>
      </c>
      <c r="T63" s="72">
        <f>SUMIFS(Output!Y$2:Y$999,Output!$C$2:$C$999,CONCATENATE(LEFT($B$63,10),"*"),Output!$D$2:$D$999,$C$63)*IND_Mult!U68</f>
        <v>1</v>
      </c>
      <c r="U63" s="72">
        <f>SUMIFS(Output!Z$2:Z$999,Output!$C$2:$C$999,CONCATENATE(LEFT($B$63,10),"*"),Output!$D$2:$D$999,$C$63)*IND_Mult!V68</f>
        <v>1</v>
      </c>
      <c r="V63" s="72">
        <f>SUMIFS(Output!AA$2:AA$999,Output!$C$2:$C$999,CONCATENATE(LEFT($B$63,10),"*"),Output!$D$2:$D$999,$C$63)*IND_Mult!W68</f>
        <v>1</v>
      </c>
      <c r="W63" s="72">
        <f>SUMIFS(Output!AB$2:AB$999,Output!$C$2:$C$999,CONCATENATE(LEFT($B$63,10),"*"),Output!$D$2:$D$999,$C$63)*IND_Mult!X68</f>
        <v>1</v>
      </c>
      <c r="X63" s="72">
        <f>SUMIFS(Output!AC$2:AC$999,Output!$C$2:$C$999,CONCATENATE(LEFT($B$63,10),"*"),Output!$D$2:$D$999,$C$63)*IND_Mult!Y68</f>
        <v>1</v>
      </c>
      <c r="Y63" s="72">
        <f>SUMIFS(Output!AD$2:AD$999,Output!$C$2:$C$999,CONCATENATE(LEFT($B$63,10),"*"),Output!$D$2:$D$999,$C$63)*IND_Mult!Z68</f>
        <v>1</v>
      </c>
      <c r="Z63" s="72">
        <f>SUMIFS(Output!AE$2:AE$999,Output!$C$2:$C$999,CONCATENATE(LEFT($B$63,10),"*"),Output!$D$2:$D$999,$C$63)*IND_Mult!AA68</f>
        <v>1</v>
      </c>
      <c r="AA63" s="72">
        <f>SUMIFS(Output!AF$2:AF$999,Output!$C$2:$C$999,CONCATENATE(LEFT($B$63,10),"*"),Output!$D$2:$D$999,$C$63)*IND_Mult!AB68</f>
        <v>1</v>
      </c>
      <c r="AB63" s="72">
        <f>SUMIFS(Output!AG$2:AG$999,Output!$C$2:$C$999,CONCATENATE(LEFT($B$63,10),"*"),Output!$D$2:$D$999,$C$63)*IND_Mult!AC68</f>
        <v>1</v>
      </c>
      <c r="AC63" s="72">
        <f>SUMIFS(Output!AH$2:AH$999,Output!$C$2:$C$999,CONCATENATE(LEFT($B$63,10),"*"),Output!$D$2:$D$999,$C$63)*IND_Mult!AD68</f>
        <v>1</v>
      </c>
      <c r="AD63" s="72">
        <f>SUMIFS(Output!AI$2:AI$999,Output!$C$2:$C$999,CONCATENATE(LEFT($B$63,10),"*"),Output!$D$2:$D$999,$C$63)*IND_Mult!AE68</f>
        <v>1</v>
      </c>
      <c r="AE63" s="72">
        <f>SUMIFS(Output!AJ$2:AJ$999,Output!$C$2:$C$999,CONCATENATE(LEFT($B$63,10),"*"),Output!$D$2:$D$999,$C$63)*IND_Mult!AF68</f>
        <v>1</v>
      </c>
      <c r="AF63" s="72">
        <f>SUMIFS(Output!AK$2:AK$999,Output!$C$2:$C$999,CONCATENATE(LEFT($B$63,10),"*"),Output!$D$2:$D$999,$C$63)*IND_Mult!AG68</f>
        <v>1</v>
      </c>
      <c r="AG63" s="72">
        <f>SUMIFS(Output!AL$2:AL$999,Output!$C$2:$C$999,CONCATENATE(LEFT($B$63,10),"*"),Output!$D$2:$D$999,$C$63)*IND_Mult!AH68</f>
        <v>1</v>
      </c>
      <c r="AH63" s="72">
        <f>SUMIFS(Output!AM$2:AM$999,Output!$C$2:$C$999,CONCATENATE(LEFT($B$63,10),"*"),Output!$D$2:$D$999,$C$63)*IND_Mult!AI68</f>
        <v>1</v>
      </c>
      <c r="AI63" s="72">
        <f>SUMIFS(Output!AN$2:AN$999,Output!$C$2:$C$999,CONCATENATE(LEFT($B$63,10),"*"),Output!$D$2:$D$999,$C$63)*IND_Mult!AJ68</f>
        <v>1</v>
      </c>
      <c r="AJ63" s="72">
        <f>SUMIFS(Output!AO$2:AO$999,Output!$C$2:$C$999,CONCATENATE(LEFT($B$63,10),"*"),Output!$D$2:$D$999,$C$63)*IND_Mult!AK68</f>
        <v>1</v>
      </c>
      <c r="AK63" s="72">
        <f>SUMIFS(Output!AP$2:AP$999,Output!$C$2:$C$999,CONCATENATE(LEFT($B$63,10),"*"),Output!$D$2:$D$999,$C$63)*IND_Mult!AL68</f>
        <v>1</v>
      </c>
      <c r="AL63" s="72">
        <f>SUMIFS(Output!AQ$2:AQ$999,Output!$C$2:$C$999,CONCATENATE(LEFT($B$63,10),"*"),Output!$D$2:$D$999,$C$63)*IND_Mult!AM68</f>
        <v>1</v>
      </c>
      <c r="AM63" s="72">
        <f>SUMIFS(Output!AR$2:AR$999,Output!$C$2:$C$999,CONCATENATE(LEFT($B$63,10),"*"),Output!$D$2:$D$999,$C$63)*IND_Mult!AN68</f>
        <v>1</v>
      </c>
      <c r="AN63" s="72">
        <f>SUMIFS(Output!AS$2:AS$999,Output!$C$2:$C$999,CONCATENATE(LEFT($B$63,10),"*"),Output!$D$2:$D$999,$C$63)*IND_Mult!AO68</f>
        <v>1</v>
      </c>
      <c r="AO63" s="72">
        <f>SUMIFS(Output!AT$2:AT$999,Output!$C$2:$C$999,CONCATENATE(LEFT($B$63,10),"*"),Output!$D$2:$D$999,$C$63)*IND_Mult!AP68</f>
        <v>1</v>
      </c>
      <c r="AP63" s="72">
        <f>SUMIFS(Output!AU$2:AU$999,Output!$C$2:$C$999,CONCATENATE(LEFT($B$63,10),"*"),Output!$D$2:$D$999,$C$63)*IND_Mult!AQ68</f>
        <v>1</v>
      </c>
      <c r="AQ63" s="72">
        <f>SUMIFS(Output!AV$2:AV$999,Output!$C$2:$C$999,CONCATENATE(LEFT($B$63,10),"*"),Output!$D$2:$D$999,$C$63)*IND_Mult!AR68</f>
        <v>1</v>
      </c>
    </row>
    <row r="64" spans="1:43" ht="12.75">
      <c r="A64" s="6"/>
      <c r="B64" s="17" t="s">
        <v>267</v>
      </c>
      <c r="C64" s="18" t="s">
        <v>37</v>
      </c>
      <c r="D64" s="26"/>
      <c r="E64" s="16" t="s">
        <v>103</v>
      </c>
      <c r="F64" s="31"/>
      <c r="G64" s="69">
        <f>SUMIFS(Input!L$2:L$999,Input!$C$2:$C$999,CONCATENATE(LEFT($B$64,10),"*"),Input!$D$2:$D$999,$C$64)*IND_Mult!H64</f>
        <v>5</v>
      </c>
      <c r="H64" s="69">
        <f>SUMIFS(Input!M$2:M$999,Input!$C$2:$C$999,CONCATENATE(LEFT($B$64,10),"*"),Input!$D$2:$D$999,$C$64)*IND_Mult!I64</f>
        <v>5</v>
      </c>
      <c r="I64" s="69">
        <f>SUMIFS(Input!N$2:N$999,Input!$C$2:$C$999,CONCATENATE(LEFT($B$64,10),"*"),Input!$D$2:$D$999,$C$64)*IND_Mult!J64</f>
        <v>5</v>
      </c>
      <c r="J64" s="69">
        <f>SUMIFS(Input!O$2:O$999,Input!$C$2:$C$999,CONCATENATE(LEFT($B$64,10),"*"),Input!$D$2:$D$999,$C$64)*IND_Mult!K64</f>
        <v>4</v>
      </c>
      <c r="K64" s="69">
        <f>SUMIFS(Input!P$2:P$999,Input!$C$2:$C$999,CONCATENATE(LEFT($B$64,10),"*"),Input!$D$2:$D$999,$C$64)*IND_Mult!L64</f>
        <v>5</v>
      </c>
      <c r="L64" s="69">
        <f>SUMIFS(Input!Q$2:Q$999,Input!$C$2:$C$999,CONCATENATE(LEFT($B$64,10),"*"),Input!$D$2:$D$999,$C$64)*IND_Mult!M64</f>
        <v>5</v>
      </c>
      <c r="M64" s="69">
        <f>SUMIFS(Input!R$2:R$999,Input!$C$2:$C$999,CONCATENATE(LEFT($B$64,10),"*"),Input!$D$2:$D$999,$C$64)*IND_Mult!N64</f>
        <v>5</v>
      </c>
      <c r="N64" s="69">
        <f>SUMIFS(Input!S$2:S$999,Input!$C$2:$C$999,CONCATENATE(LEFT($B$64,10),"*"),Input!$D$2:$D$999,$C$64)*IND_Mult!O64</f>
        <v>5</v>
      </c>
      <c r="O64" s="69">
        <f>SUMIFS(Input!T$2:T$999,Input!$C$2:$C$999,CONCATENATE(LEFT($B$64,10),"*"),Input!$D$2:$D$999,$C$64)*IND_Mult!P64</f>
        <v>4.25</v>
      </c>
      <c r="P64" s="69">
        <f>SUMIFS(Input!U$2:U$999,Input!$C$2:$C$999,CONCATENATE(LEFT($B$64,10),"*"),Input!$D$2:$D$999,$C$64)*IND_Mult!Q64</f>
        <v>5</v>
      </c>
      <c r="Q64" s="69">
        <f>SUMIFS(Input!V$2:V$999,Input!$C$2:$C$999,CONCATENATE(LEFT($B$64,10),"*"),Input!$D$2:$D$999,$C$64)*IND_Mult!R64</f>
        <v>5</v>
      </c>
      <c r="R64" s="69">
        <f>SUMIFS(Input!W$2:W$999,Input!$C$2:$C$999,CONCATENATE(LEFT($B$64,10),"*"),Input!$D$2:$D$999,$C$64)*IND_Mult!S64</f>
        <v>5</v>
      </c>
      <c r="S64" s="69">
        <f>SUMIFS(Input!X$2:X$999,Input!$C$2:$C$999,CONCATENATE(LEFT($B$64,10),"*"),Input!$D$2:$D$999,$C$64)*IND_Mult!T64</f>
        <v>5</v>
      </c>
      <c r="T64" s="69">
        <f>SUMIFS(Input!Y$2:Y$999,Input!$C$2:$C$999,CONCATENATE(LEFT($B$64,10),"*"),Input!$D$2:$D$999,$C$64)*IND_Mult!U64</f>
        <v>5</v>
      </c>
      <c r="U64" s="69">
        <f>SUMIFS(Input!Z$2:Z$999,Input!$C$2:$C$999,CONCATENATE(LEFT($B$64,10),"*"),Input!$D$2:$D$999,$C$64)*IND_Mult!V64</f>
        <v>5</v>
      </c>
      <c r="V64" s="69">
        <f>SUMIFS(Input!AA$2:AA$999,Input!$C$2:$C$999,CONCATENATE(LEFT($B$64,10),"*"),Input!$D$2:$D$999,$C$64)*IND_Mult!W64</f>
        <v>5</v>
      </c>
      <c r="W64" s="69">
        <f>SUMIFS(Input!AB$2:AB$999,Input!$C$2:$C$999,CONCATENATE(LEFT($B$64,10),"*"),Input!$D$2:$D$999,$C$64)*IND_Mult!X64</f>
        <v>5</v>
      </c>
      <c r="X64" s="69">
        <f>SUMIFS(Input!AC$2:AC$999,Input!$C$2:$C$999,CONCATENATE(LEFT($B$64,10),"*"),Input!$D$2:$D$999,$C$64)*IND_Mult!Y64</f>
        <v>5</v>
      </c>
      <c r="Y64" s="69">
        <f>SUMIFS(Input!AD$2:AD$999,Input!$C$2:$C$999,CONCATENATE(LEFT($B$64,10),"*"),Input!$D$2:$D$999,$C$64)*IND_Mult!Z64</f>
        <v>5</v>
      </c>
      <c r="Z64" s="69">
        <f>SUMIFS(Input!AE$2:AE$999,Input!$C$2:$C$999,CONCATENATE(LEFT($B$64,10),"*"),Input!$D$2:$D$999,$C$64)*IND_Mult!AA64</f>
        <v>5</v>
      </c>
      <c r="AA64" s="69">
        <f>SUMIFS(Input!AF$2:AF$999,Input!$C$2:$C$999,CONCATENATE(LEFT($B$64,10),"*"),Input!$D$2:$D$999,$C$64)*IND_Mult!AB64</f>
        <v>5</v>
      </c>
      <c r="AB64" s="69">
        <f>SUMIFS(Input!AG$2:AG$999,Input!$C$2:$C$999,CONCATENATE(LEFT($B$64,10),"*"),Input!$D$2:$D$999,$C$64)*IND_Mult!AC64</f>
        <v>5</v>
      </c>
      <c r="AC64" s="69">
        <f>SUMIFS(Input!AH$2:AH$999,Input!$C$2:$C$999,CONCATENATE(LEFT($B$64,10),"*"),Input!$D$2:$D$999,$C$64)*IND_Mult!AD64</f>
        <v>4</v>
      </c>
      <c r="AD64" s="69">
        <f>SUMIFS(Input!AI$2:AI$999,Input!$C$2:$C$999,CONCATENATE(LEFT($B$64,10),"*"),Input!$D$2:$D$999,$C$64)*IND_Mult!AE64</f>
        <v>5</v>
      </c>
      <c r="AE64" s="69">
        <f>SUMIFS(Input!AJ$2:AJ$999,Input!$C$2:$C$999,CONCATENATE(LEFT($B$64,10),"*"),Input!$D$2:$D$999,$C$64)*IND_Mult!AF64</f>
        <v>5</v>
      </c>
      <c r="AF64" s="69">
        <f>SUMIFS(Input!AK$2:AK$999,Input!$C$2:$C$999,CONCATENATE(LEFT($B$64,10),"*"),Input!$D$2:$D$999,$C$64)*IND_Mult!AG64</f>
        <v>5</v>
      </c>
      <c r="AG64" s="69">
        <f>SUMIFS(Input!AL$2:AL$999,Input!$C$2:$C$999,CONCATENATE(LEFT($B$64,10),"*"),Input!$D$2:$D$999,$C$64)*IND_Mult!AH64</f>
        <v>5</v>
      </c>
      <c r="AH64" s="69">
        <f>SUMIFS(Input!AM$2:AM$999,Input!$C$2:$C$999,CONCATENATE(LEFT($B$64,10),"*"),Input!$D$2:$D$999,$C$64)*IND_Mult!AI64</f>
        <v>2.5</v>
      </c>
      <c r="AI64" s="69">
        <f>SUMIFS(Input!AN$2:AN$999,Input!$C$2:$C$999,CONCATENATE(LEFT($B$64,10),"*"),Input!$D$2:$D$999,$C$64)*IND_Mult!AJ64</f>
        <v>5</v>
      </c>
      <c r="AJ64" s="69">
        <f>SUMIFS(Input!AO$2:AO$999,Input!$C$2:$C$999,CONCATENATE(LEFT($B$64,10),"*"),Input!$D$2:$D$999,$C$64)*IND_Mult!AK64</f>
        <v>5</v>
      </c>
      <c r="AK64" s="69">
        <f>SUMIFS(Input!AP$2:AP$999,Input!$C$2:$C$999,CONCATENATE(LEFT($B$64,10),"*"),Input!$D$2:$D$999,$C$64)*IND_Mult!AL64</f>
        <v>1.1259999999999999</v>
      </c>
      <c r="AL64" s="69">
        <f>SUMIFS(Input!AQ$2:AQ$999,Input!$C$2:$C$999,CONCATENATE(LEFT($B$64,10),"*"),Input!$D$2:$D$999,$C$64)*IND_Mult!AM64</f>
        <v>5</v>
      </c>
      <c r="AM64" s="69">
        <f>SUMIFS(Input!AR$2:AR$999,Input!$C$2:$C$999,CONCATENATE(LEFT($B$64,10),"*"),Input!$D$2:$D$999,$C$64)*IND_Mult!AN64</f>
        <v>5</v>
      </c>
      <c r="AN64" s="69">
        <f>SUMIFS(Input!AS$2:AS$999,Input!$C$2:$C$999,CONCATENATE(LEFT($B$64,10),"*"),Input!$D$2:$D$999,$C$64)*IND_Mult!AO64</f>
        <v>5</v>
      </c>
      <c r="AO64" s="69">
        <f>SUMIFS(Input!AT$2:AT$999,Input!$C$2:$C$999,CONCATENATE(LEFT($B$64,10),"*"),Input!$D$2:$D$999,$C$64)*IND_Mult!AP64</f>
        <v>5</v>
      </c>
      <c r="AP64" s="69">
        <f>SUMIFS(Input!AU$2:AU$999,Input!$C$2:$C$999,CONCATENATE(LEFT($B$64,10),"*"),Input!$D$2:$D$999,$C$64)*IND_Mult!AQ64</f>
        <v>5</v>
      </c>
      <c r="AQ64" s="69">
        <f>SUMIFS(Input!AV$2:AV$999,Input!$C$2:$C$999,CONCATENATE(LEFT($B$64,10),"*"),Input!$D$2:$D$999,$C$64)*IND_Mult!AR64</f>
        <v>5</v>
      </c>
    </row>
    <row r="65" spans="1:43" ht="12.75">
      <c r="A65" s="6"/>
      <c r="B65" s="17" t="s">
        <v>267</v>
      </c>
      <c r="C65" s="18" t="s">
        <v>38</v>
      </c>
      <c r="D65" s="26"/>
      <c r="E65" s="16" t="s">
        <v>103</v>
      </c>
      <c r="F65" s="31"/>
      <c r="G65" s="69">
        <f>SUMIFS(Input!L$2:L$999,Input!$C$2:$C$999,CONCATENATE(LEFT($B$65,10),"*"),Input!$D$2:$D$999,$C$65)*IND_Mult!H65</f>
        <v>0.41999999999999998</v>
      </c>
      <c r="H65" s="69">
        <f>SUMIFS(Input!M$2:M$999,Input!$C$2:$C$999,CONCATENATE(LEFT($B$65,10),"*"),Input!$D$2:$D$999,$C$65)*IND_Mult!I65</f>
        <v>0.41999999999999998</v>
      </c>
      <c r="I65" s="69">
        <f>SUMIFS(Input!N$2:N$999,Input!$C$2:$C$999,CONCATENATE(LEFT($B$65,10),"*"),Input!$D$2:$D$999,$C$65)*IND_Mult!J65</f>
        <v>0.41999999999999998</v>
      </c>
      <c r="J65" s="69">
        <f>SUMIFS(Input!O$2:O$999,Input!$C$2:$C$999,CONCATENATE(LEFT($B$65,10),"*"),Input!$D$2:$D$999,$C$65)*IND_Mult!K65</f>
        <v>0.33600000000000002</v>
      </c>
      <c r="K65" s="69">
        <f>SUMIFS(Input!P$2:P$999,Input!$C$2:$C$999,CONCATENATE(LEFT($B$65,10),"*"),Input!$D$2:$D$999,$C$65)*IND_Mult!L65</f>
        <v>0.41999999999999998</v>
      </c>
      <c r="L65" s="69">
        <f>SUMIFS(Input!Q$2:Q$999,Input!$C$2:$C$999,CONCATENATE(LEFT($B$65,10),"*"),Input!$D$2:$D$999,$C$65)*IND_Mult!M65</f>
        <v>0.41999999999999998</v>
      </c>
      <c r="M65" s="69">
        <f>SUMIFS(Input!R$2:R$999,Input!$C$2:$C$999,CONCATENATE(LEFT($B$65,10),"*"),Input!$D$2:$D$999,$C$65)*IND_Mult!N65</f>
        <v>0.41999999999999998</v>
      </c>
      <c r="N65" s="69">
        <f>SUMIFS(Input!S$2:S$999,Input!$C$2:$C$999,CONCATENATE(LEFT($B$65,10),"*"),Input!$D$2:$D$999,$C$65)*IND_Mult!O65</f>
        <v>0.41999999999999998</v>
      </c>
      <c r="O65" s="69">
        <f>SUMIFS(Input!T$2:T$999,Input!$C$2:$C$999,CONCATENATE(LEFT($B$65,10),"*"),Input!$D$2:$D$999,$C$65)*IND_Mult!P65</f>
        <v>0.35699999999999998</v>
      </c>
      <c r="P65" s="69">
        <f>SUMIFS(Input!U$2:U$999,Input!$C$2:$C$999,CONCATENATE(LEFT($B$65,10),"*"),Input!$D$2:$D$999,$C$65)*IND_Mult!Q65</f>
        <v>0.41999999999999998</v>
      </c>
      <c r="Q65" s="69">
        <f>SUMIFS(Input!V$2:V$999,Input!$C$2:$C$999,CONCATENATE(LEFT($B$65,10),"*"),Input!$D$2:$D$999,$C$65)*IND_Mult!R65</f>
        <v>0.41999999999999998</v>
      </c>
      <c r="R65" s="69">
        <f>SUMIFS(Input!W$2:W$999,Input!$C$2:$C$999,CONCATENATE(LEFT($B$65,10),"*"),Input!$D$2:$D$999,$C$65)*IND_Mult!S65</f>
        <v>0.41999999999999998</v>
      </c>
      <c r="S65" s="69">
        <f>SUMIFS(Input!X$2:X$999,Input!$C$2:$C$999,CONCATENATE(LEFT($B$65,10),"*"),Input!$D$2:$D$999,$C$65)*IND_Mult!T65</f>
        <v>0.41999999999999998</v>
      </c>
      <c r="T65" s="69">
        <f>SUMIFS(Input!Y$2:Y$999,Input!$C$2:$C$999,CONCATENATE(LEFT($B$65,10),"*"),Input!$D$2:$D$999,$C$65)*IND_Mult!U65</f>
        <v>0.41999999999999998</v>
      </c>
      <c r="U65" s="69">
        <f>SUMIFS(Input!Z$2:Z$999,Input!$C$2:$C$999,CONCATENATE(LEFT($B$65,10),"*"),Input!$D$2:$D$999,$C$65)*IND_Mult!V65</f>
        <v>0.41999999999999998</v>
      </c>
      <c r="V65" s="69">
        <f>SUMIFS(Input!AA$2:AA$999,Input!$C$2:$C$999,CONCATENATE(LEFT($B$65,10),"*"),Input!$D$2:$D$999,$C$65)*IND_Mult!W65</f>
        <v>0.41999999999999998</v>
      </c>
      <c r="W65" s="69">
        <f>SUMIFS(Input!AB$2:AB$999,Input!$C$2:$C$999,CONCATENATE(LEFT($B$65,10),"*"),Input!$D$2:$D$999,$C$65)*IND_Mult!X65</f>
        <v>0.41999999999999998</v>
      </c>
      <c r="X65" s="69">
        <f>SUMIFS(Input!AC$2:AC$999,Input!$C$2:$C$999,CONCATENATE(LEFT($B$65,10),"*"),Input!$D$2:$D$999,$C$65)*IND_Mult!Y65</f>
        <v>0.41999999999999998</v>
      </c>
      <c r="Y65" s="69">
        <f>SUMIFS(Input!AD$2:AD$999,Input!$C$2:$C$999,CONCATENATE(LEFT($B$65,10),"*"),Input!$D$2:$D$999,$C$65)*IND_Mult!Z65</f>
        <v>0.41999999999999998</v>
      </c>
      <c r="Z65" s="69">
        <f>SUMIFS(Input!AE$2:AE$999,Input!$C$2:$C$999,CONCATENATE(LEFT($B$65,10),"*"),Input!$D$2:$D$999,$C$65)*IND_Mult!AA65</f>
        <v>0.41999999999999998</v>
      </c>
      <c r="AA65" s="69">
        <f>SUMIFS(Input!AF$2:AF$999,Input!$C$2:$C$999,CONCATENATE(LEFT($B$65,10),"*"),Input!$D$2:$D$999,$C$65)*IND_Mult!AB65</f>
        <v>0.41999999999999998</v>
      </c>
      <c r="AB65" s="69">
        <f>SUMIFS(Input!AG$2:AG$999,Input!$C$2:$C$999,CONCATENATE(LEFT($B$65,10),"*"),Input!$D$2:$D$999,$C$65)*IND_Mult!AC65</f>
        <v>0.41999999999999998</v>
      </c>
      <c r="AC65" s="69">
        <f>SUMIFS(Input!AH$2:AH$999,Input!$C$2:$C$999,CONCATENATE(LEFT($B$65,10),"*"),Input!$D$2:$D$999,$C$65)*IND_Mult!AD65</f>
        <v>1.3999999999999999</v>
      </c>
      <c r="AD65" s="69">
        <f>SUMIFS(Input!AI$2:AI$999,Input!$C$2:$C$999,CONCATENATE(LEFT($B$65,10),"*"),Input!$D$2:$D$999,$C$65)*IND_Mult!AE65</f>
        <v>0.41999999999999998</v>
      </c>
      <c r="AE65" s="69">
        <f>SUMIFS(Input!AJ$2:AJ$999,Input!$C$2:$C$999,CONCATENATE(LEFT($B$65,10),"*"),Input!$D$2:$D$999,$C$65)*IND_Mult!AF65</f>
        <v>0.41999999999999998</v>
      </c>
      <c r="AF65" s="69">
        <f>SUMIFS(Input!AK$2:AK$999,Input!$C$2:$C$999,CONCATENATE(LEFT($B$65,10),"*"),Input!$D$2:$D$999,$C$65)*IND_Mult!AG65</f>
        <v>0.41999999999999998</v>
      </c>
      <c r="AG65" s="69">
        <f>SUMIFS(Input!AL$2:AL$999,Input!$C$2:$C$999,CONCATENATE(LEFT($B$65,10),"*"),Input!$D$2:$D$999,$C$65)*IND_Mult!AH65</f>
        <v>0.41999999999999998</v>
      </c>
      <c r="AH65" s="69">
        <f>SUMIFS(Input!AM$2:AM$999,Input!$C$2:$C$999,CONCATENATE(LEFT($B$65,10),"*"),Input!$D$2:$D$999,$C$65)*IND_Mult!AI65</f>
        <v>3</v>
      </c>
      <c r="AI65" s="69">
        <f>SUMIFS(Input!AN$2:AN$999,Input!$C$2:$C$999,CONCATENATE(LEFT($B$65,10),"*"),Input!$D$2:$D$999,$C$65)*IND_Mult!AJ65</f>
        <v>0.41999999999999998</v>
      </c>
      <c r="AJ65" s="69">
        <f>SUMIFS(Input!AO$2:AO$999,Input!$C$2:$C$999,CONCATENATE(LEFT($B$65,10),"*"),Input!$D$2:$D$999,$C$65)*IND_Mult!AK65</f>
        <v>0.41999999999999998</v>
      </c>
      <c r="AK65" s="69">
        <f>SUMIFS(Input!AP$2:AP$999,Input!$C$2:$C$999,CONCATENATE(LEFT($B$65,10),"*"),Input!$D$2:$D$999,$C$65)*IND_Mult!AL65</f>
        <v>0.71999999999999997</v>
      </c>
      <c r="AL65" s="69">
        <f>SUMIFS(Input!AQ$2:AQ$999,Input!$C$2:$C$999,CONCATENATE(LEFT($B$65,10),"*"),Input!$D$2:$D$999,$C$65)*IND_Mult!AM65</f>
        <v>0.41999999999999998</v>
      </c>
      <c r="AM65" s="69">
        <f>SUMIFS(Input!AR$2:AR$999,Input!$C$2:$C$999,CONCATENATE(LEFT($B$65,10),"*"),Input!$D$2:$D$999,$C$65)*IND_Mult!AN65</f>
        <v>0.41999999999999998</v>
      </c>
      <c r="AN65" s="69">
        <f>SUMIFS(Input!AS$2:AS$999,Input!$C$2:$C$999,CONCATENATE(LEFT($B$65,10),"*"),Input!$D$2:$D$999,$C$65)*IND_Mult!AO65</f>
        <v>0.41999999999999998</v>
      </c>
      <c r="AO65" s="69">
        <f>SUMIFS(Input!AT$2:AT$999,Input!$C$2:$C$999,CONCATENATE(LEFT($B$65,10),"*"),Input!$D$2:$D$999,$C$65)*IND_Mult!AP65</f>
        <v>0.41999999999999998</v>
      </c>
      <c r="AP65" s="69">
        <f>SUMIFS(Input!AU$2:AU$999,Input!$C$2:$C$999,CONCATENATE(LEFT($B$65,10),"*"),Input!$D$2:$D$999,$C$65)*IND_Mult!AQ65</f>
        <v>0.41999999999999998</v>
      </c>
      <c r="AQ65" s="69">
        <f>SUMIFS(Input!AV$2:AV$999,Input!$C$2:$C$999,CONCATENATE(LEFT($B$65,10),"*"),Input!$D$2:$D$999,$C$65)*IND_Mult!AR65</f>
        <v>0.41999999999999998</v>
      </c>
    </row>
    <row r="66" spans="1:43" ht="12.75">
      <c r="A66" s="6"/>
      <c r="B66" s="17" t="s">
        <v>267</v>
      </c>
      <c r="C66" s="18" t="s">
        <v>43</v>
      </c>
      <c r="D66" s="26"/>
      <c r="E66" s="16" t="s">
        <v>285</v>
      </c>
      <c r="F66" s="31"/>
      <c r="G66" s="69">
        <f>SUMIFS(Input!L$2:L$999,Input!$C$2:$C$999,CONCATENATE(LEFT($B$66,10),"*"),Input!$D$2:$D$999,$C$66)*IND_Mult!H66</f>
        <v>0</v>
      </c>
      <c r="H66" s="69">
        <f>SUMIFS(Input!M$2:M$999,Input!$C$2:$C$999,CONCATENATE(LEFT($B$66,10),"*"),Input!$D$2:$D$999,$C$66)*IND_Mult!I66</f>
        <v>0</v>
      </c>
      <c r="I66" s="69">
        <f>SUMIFS(Input!N$2:N$999,Input!$C$2:$C$999,CONCATENATE(LEFT($B$66,10),"*"),Input!$D$2:$D$999,$C$66)*IND_Mult!J66</f>
        <v>0</v>
      </c>
      <c r="J66" s="69">
        <f>SUMIFS(Input!O$2:O$999,Input!$C$2:$C$999,CONCATENATE(LEFT($B$66,10),"*"),Input!$D$2:$D$999,$C$66)*IND_Mult!K66</f>
        <v>0</v>
      </c>
      <c r="K66" s="69">
        <f>SUMIFS(Input!P$2:P$999,Input!$C$2:$C$999,CONCATENATE(LEFT($B$66,10),"*"),Input!$D$2:$D$999,$C$66)*IND_Mult!L66</f>
        <v>0</v>
      </c>
      <c r="L66" s="69">
        <f>SUMIFS(Input!Q$2:Q$999,Input!$C$2:$C$999,CONCATENATE(LEFT($B$66,10),"*"),Input!$D$2:$D$999,$C$66)*IND_Mult!M66</f>
        <v>0</v>
      </c>
      <c r="M66" s="69">
        <f>SUMIFS(Input!R$2:R$999,Input!$C$2:$C$999,CONCATENATE(LEFT($B$66,10),"*"),Input!$D$2:$D$999,$C$66)*IND_Mult!N66</f>
        <v>0</v>
      </c>
      <c r="N66" s="69">
        <f>SUMIFS(Input!S$2:S$999,Input!$C$2:$C$999,CONCATENATE(LEFT($B$66,10),"*"),Input!$D$2:$D$999,$C$66)*IND_Mult!O66</f>
        <v>0</v>
      </c>
      <c r="O66" s="69">
        <f>SUMIFS(Input!T$2:T$999,Input!$C$2:$C$999,CONCATENATE(LEFT($B$66,10),"*"),Input!$D$2:$D$999,$C$66)*IND_Mult!P66</f>
        <v>0</v>
      </c>
      <c r="P66" s="69">
        <f>SUMIFS(Input!U$2:U$999,Input!$C$2:$C$999,CONCATENATE(LEFT($B$66,10),"*"),Input!$D$2:$D$999,$C$66)*IND_Mult!Q66</f>
        <v>0</v>
      </c>
      <c r="Q66" s="69">
        <f>SUMIFS(Input!V$2:V$999,Input!$C$2:$C$999,CONCATENATE(LEFT($B$66,10),"*"),Input!$D$2:$D$999,$C$66)*IND_Mult!R66</f>
        <v>0</v>
      </c>
      <c r="R66" s="69">
        <f>SUMIFS(Input!W$2:W$999,Input!$C$2:$C$999,CONCATENATE(LEFT($B$66,10),"*"),Input!$D$2:$D$999,$C$66)*IND_Mult!S66</f>
        <v>0</v>
      </c>
      <c r="S66" s="69">
        <f>SUMIFS(Input!X$2:X$999,Input!$C$2:$C$999,CONCATENATE(LEFT($B$66,10),"*"),Input!$D$2:$D$999,$C$66)*IND_Mult!T66</f>
        <v>0</v>
      </c>
      <c r="T66" s="69">
        <f>SUMIFS(Input!Y$2:Y$999,Input!$C$2:$C$999,CONCATENATE(LEFT($B$66,10),"*"),Input!$D$2:$D$999,$C$66)*IND_Mult!U66</f>
        <v>0</v>
      </c>
      <c r="U66" s="69">
        <f>SUMIFS(Input!Z$2:Z$999,Input!$C$2:$C$999,CONCATENATE(LEFT($B$66,10),"*"),Input!$D$2:$D$999,$C$66)*IND_Mult!V66</f>
        <v>0</v>
      </c>
      <c r="V66" s="69">
        <f>SUMIFS(Input!AA$2:AA$999,Input!$C$2:$C$999,CONCATENATE(LEFT($B$66,10),"*"),Input!$D$2:$D$999,$C$66)*IND_Mult!W66</f>
        <v>0</v>
      </c>
      <c r="W66" s="69">
        <f>SUMIFS(Input!AB$2:AB$999,Input!$C$2:$C$999,CONCATENATE(LEFT($B$66,10),"*"),Input!$D$2:$D$999,$C$66)*IND_Mult!X66</f>
        <v>0</v>
      </c>
      <c r="X66" s="69">
        <f>SUMIFS(Input!AC$2:AC$999,Input!$C$2:$C$999,CONCATENATE(LEFT($B$66,10),"*"),Input!$D$2:$D$999,$C$66)*IND_Mult!Y66</f>
        <v>0</v>
      </c>
      <c r="Y66" s="69">
        <f>SUMIFS(Input!AD$2:AD$999,Input!$C$2:$C$999,CONCATENATE(LEFT($B$66,10),"*"),Input!$D$2:$D$999,$C$66)*IND_Mult!Z66</f>
        <v>0</v>
      </c>
      <c r="Z66" s="69">
        <f>SUMIFS(Input!AE$2:AE$999,Input!$C$2:$C$999,CONCATENATE(LEFT($B$66,10),"*"),Input!$D$2:$D$999,$C$66)*IND_Mult!AA66</f>
        <v>0</v>
      </c>
      <c r="AA66" s="69">
        <f>SUMIFS(Input!AF$2:AF$999,Input!$C$2:$C$999,CONCATENATE(LEFT($B$66,10),"*"),Input!$D$2:$D$999,$C$66)*IND_Mult!AB66</f>
        <v>0</v>
      </c>
      <c r="AB66" s="69">
        <f>SUMIFS(Input!AG$2:AG$999,Input!$C$2:$C$999,CONCATENATE(LEFT($B$66,10),"*"),Input!$D$2:$D$999,$C$66)*IND_Mult!AC66</f>
        <v>0</v>
      </c>
      <c r="AC66" s="69">
        <f>SUMIFS(Input!AH$2:AH$999,Input!$C$2:$C$999,CONCATENATE(LEFT($B$66,10),"*"),Input!$D$2:$D$999,$C$66)*IND_Mult!AD66</f>
        <v>0</v>
      </c>
      <c r="AD66" s="69">
        <f>SUMIFS(Input!AI$2:AI$999,Input!$C$2:$C$999,CONCATENATE(LEFT($B$66,10),"*"),Input!$D$2:$D$999,$C$66)*IND_Mult!AE66</f>
        <v>0</v>
      </c>
      <c r="AE66" s="69">
        <f>SUMIFS(Input!AJ$2:AJ$999,Input!$C$2:$C$999,CONCATENATE(LEFT($B$66,10),"*"),Input!$D$2:$D$999,$C$66)*IND_Mult!AF66</f>
        <v>0</v>
      </c>
      <c r="AF66" s="69">
        <f>SUMIFS(Input!AK$2:AK$999,Input!$C$2:$C$999,CONCATENATE(LEFT($B$66,10),"*"),Input!$D$2:$D$999,$C$66)*IND_Mult!AG66</f>
        <v>0</v>
      </c>
      <c r="AG66" s="69">
        <f>SUMIFS(Input!AL$2:AL$999,Input!$C$2:$C$999,CONCATENATE(LEFT($B$66,10),"*"),Input!$D$2:$D$999,$C$66)*IND_Mult!AH66</f>
        <v>0</v>
      </c>
      <c r="AH66" s="69">
        <f>SUMIFS(Input!AM$2:AM$999,Input!$C$2:$C$999,CONCATENATE(LEFT($B$66,10),"*"),Input!$D$2:$D$999,$C$66)*IND_Mult!AI66</f>
        <v>0</v>
      </c>
      <c r="AI66" s="69">
        <f>SUMIFS(Input!AN$2:AN$999,Input!$C$2:$C$999,CONCATENATE(LEFT($B$66,10),"*"),Input!$D$2:$D$999,$C$66)*IND_Mult!AJ66</f>
        <v>0</v>
      </c>
      <c r="AJ66" s="69">
        <f>SUMIFS(Input!AO$2:AO$999,Input!$C$2:$C$999,CONCATENATE(LEFT($B$66,10),"*"),Input!$D$2:$D$999,$C$66)*IND_Mult!AK66</f>
        <v>0</v>
      </c>
      <c r="AK66" s="69">
        <f>SUMIFS(Input!AP$2:AP$999,Input!$C$2:$C$999,CONCATENATE(LEFT($B$66,10),"*"),Input!$D$2:$D$999,$C$66)*IND_Mult!AL66</f>
        <v>0</v>
      </c>
      <c r="AL66" s="69">
        <f>SUMIFS(Input!AQ$2:AQ$999,Input!$C$2:$C$999,CONCATENATE(LEFT($B$66,10),"*"),Input!$D$2:$D$999,$C$66)*IND_Mult!AM66</f>
        <v>0</v>
      </c>
      <c r="AM66" s="69">
        <f>SUMIFS(Input!AR$2:AR$999,Input!$C$2:$C$999,CONCATENATE(LEFT($B$66,10),"*"),Input!$D$2:$D$999,$C$66)*IND_Mult!AN66</f>
        <v>0</v>
      </c>
      <c r="AN66" s="69">
        <f>SUMIFS(Input!AS$2:AS$999,Input!$C$2:$C$999,CONCATENATE(LEFT($B$66,10),"*"),Input!$D$2:$D$999,$C$66)*IND_Mult!AO66</f>
        <v>0</v>
      </c>
      <c r="AO66" s="69">
        <f>SUMIFS(Input!AT$2:AT$999,Input!$C$2:$C$999,CONCATENATE(LEFT($B$66,10),"*"),Input!$D$2:$D$999,$C$66)*IND_Mult!AP66</f>
        <v>0</v>
      </c>
      <c r="AP66" s="69">
        <f>SUMIFS(Input!AU$2:AU$999,Input!$C$2:$C$999,CONCATENATE(LEFT($B$66,10),"*"),Input!$D$2:$D$999,$C$66)*IND_Mult!AQ66</f>
        <v>0</v>
      </c>
      <c r="AQ66" s="69">
        <f>SUMIFS(Input!AV$2:AV$999,Input!$C$2:$C$999,CONCATENATE(LEFT($B$66,10),"*"),Input!$D$2:$D$999,$C$66)*IND_Mult!AR66</f>
        <v>0</v>
      </c>
    </row>
    <row r="67" spans="1:43" ht="12.75">
      <c r="A67" s="6"/>
      <c r="B67" s="17" t="s">
        <v>267</v>
      </c>
      <c r="C67" s="18" t="s">
        <v>124</v>
      </c>
      <c r="D67" s="26"/>
      <c r="E67" s="16" t="s">
        <v>285</v>
      </c>
      <c r="F67" s="31"/>
      <c r="G67" s="69">
        <f>SUMIFS(Input!L$2:L$999,Input!$C$2:$C$999,CONCATENATE(LEFT($B$67,10),"*"),Input!$D$2:$D$999,$C$67)*IND_Mult!H67</f>
        <v>0</v>
      </c>
      <c r="H67" s="69">
        <f>SUMIFS(Input!M$2:M$999,Input!$C$2:$C$999,CONCATENATE(LEFT($B$67,10),"*"),Input!$D$2:$D$999,$C$67)*IND_Mult!I67</f>
        <v>0</v>
      </c>
      <c r="I67" s="69">
        <f>SUMIFS(Input!N$2:N$999,Input!$C$2:$C$999,CONCATENATE(LEFT($B$67,10),"*"),Input!$D$2:$D$999,$C$67)*IND_Mult!J67</f>
        <v>0</v>
      </c>
      <c r="J67" s="69">
        <f>SUMIFS(Input!O$2:O$999,Input!$C$2:$C$999,CONCATENATE(LEFT($B$67,10),"*"),Input!$D$2:$D$999,$C$67)*IND_Mult!K67</f>
        <v>0</v>
      </c>
      <c r="K67" s="69">
        <f>SUMIFS(Input!P$2:P$999,Input!$C$2:$C$999,CONCATENATE(LEFT($B$67,10),"*"),Input!$D$2:$D$999,$C$67)*IND_Mult!L67</f>
        <v>0</v>
      </c>
      <c r="L67" s="69">
        <f>SUMIFS(Input!Q$2:Q$999,Input!$C$2:$C$999,CONCATENATE(LEFT($B$67,10),"*"),Input!$D$2:$D$999,$C$67)*IND_Mult!M67</f>
        <v>0</v>
      </c>
      <c r="M67" s="69">
        <f>SUMIFS(Input!R$2:R$999,Input!$C$2:$C$999,CONCATENATE(LEFT($B$67,10),"*"),Input!$D$2:$D$999,$C$67)*IND_Mult!N67</f>
        <v>0</v>
      </c>
      <c r="N67" s="69">
        <f>SUMIFS(Input!S$2:S$999,Input!$C$2:$C$999,CONCATENATE(LEFT($B$67,10),"*"),Input!$D$2:$D$999,$C$67)*IND_Mult!O67</f>
        <v>0</v>
      </c>
      <c r="O67" s="69">
        <f>SUMIFS(Input!T$2:T$999,Input!$C$2:$C$999,CONCATENATE(LEFT($B$67,10),"*"),Input!$D$2:$D$999,$C$67)*IND_Mult!P67</f>
        <v>0</v>
      </c>
      <c r="P67" s="69">
        <f>SUMIFS(Input!U$2:U$999,Input!$C$2:$C$999,CONCATENATE(LEFT($B$67,10),"*"),Input!$D$2:$D$999,$C$67)*IND_Mult!Q67</f>
        <v>0</v>
      </c>
      <c r="Q67" s="69">
        <f>SUMIFS(Input!V$2:V$999,Input!$C$2:$C$999,CONCATENATE(LEFT($B$67,10),"*"),Input!$D$2:$D$999,$C$67)*IND_Mult!R67</f>
        <v>0</v>
      </c>
      <c r="R67" s="69">
        <f>SUMIFS(Input!W$2:W$999,Input!$C$2:$C$999,CONCATENATE(LEFT($B$67,10),"*"),Input!$D$2:$D$999,$C$67)*IND_Mult!S67</f>
        <v>0</v>
      </c>
      <c r="S67" s="69">
        <f>SUMIFS(Input!X$2:X$999,Input!$C$2:$C$999,CONCATENATE(LEFT($B$67,10),"*"),Input!$D$2:$D$999,$C$67)*IND_Mult!T67</f>
        <v>0</v>
      </c>
      <c r="T67" s="69">
        <f>SUMIFS(Input!Y$2:Y$999,Input!$C$2:$C$999,CONCATENATE(LEFT($B$67,10),"*"),Input!$D$2:$D$999,$C$67)*IND_Mult!U67</f>
        <v>0</v>
      </c>
      <c r="U67" s="69">
        <f>SUMIFS(Input!Z$2:Z$999,Input!$C$2:$C$999,CONCATENATE(LEFT($B$67,10),"*"),Input!$D$2:$D$999,$C$67)*IND_Mult!V67</f>
        <v>0</v>
      </c>
      <c r="V67" s="69">
        <f>SUMIFS(Input!AA$2:AA$999,Input!$C$2:$C$999,CONCATENATE(LEFT($B$67,10),"*"),Input!$D$2:$D$999,$C$67)*IND_Mult!W67</f>
        <v>0</v>
      </c>
      <c r="W67" s="69">
        <f>SUMIFS(Input!AB$2:AB$999,Input!$C$2:$C$999,CONCATENATE(LEFT($B$67,10),"*"),Input!$D$2:$D$999,$C$67)*IND_Mult!X67</f>
        <v>0</v>
      </c>
      <c r="X67" s="69">
        <f>SUMIFS(Input!AC$2:AC$999,Input!$C$2:$C$999,CONCATENATE(LEFT($B$67,10),"*"),Input!$D$2:$D$999,$C$67)*IND_Mult!Y67</f>
        <v>0</v>
      </c>
      <c r="Y67" s="69">
        <f>SUMIFS(Input!AD$2:AD$999,Input!$C$2:$C$999,CONCATENATE(LEFT($B$67,10),"*"),Input!$D$2:$D$999,$C$67)*IND_Mult!Z67</f>
        <v>0</v>
      </c>
      <c r="Z67" s="69">
        <f>SUMIFS(Input!AE$2:AE$999,Input!$C$2:$C$999,CONCATENATE(LEFT($B$67,10),"*"),Input!$D$2:$D$999,$C$67)*IND_Mult!AA67</f>
        <v>0</v>
      </c>
      <c r="AA67" s="69">
        <f>SUMIFS(Input!AF$2:AF$999,Input!$C$2:$C$999,CONCATENATE(LEFT($B$67,10),"*"),Input!$D$2:$D$999,$C$67)*IND_Mult!AB67</f>
        <v>0</v>
      </c>
      <c r="AB67" s="69">
        <f>SUMIFS(Input!AG$2:AG$999,Input!$C$2:$C$999,CONCATENATE(LEFT($B$67,10),"*"),Input!$D$2:$D$999,$C$67)*IND_Mult!AC67</f>
        <v>0</v>
      </c>
      <c r="AC67" s="69">
        <f>SUMIFS(Input!AH$2:AH$999,Input!$C$2:$C$999,CONCATENATE(LEFT($B$67,10),"*"),Input!$D$2:$D$999,$C$67)*IND_Mult!AD67</f>
        <v>0</v>
      </c>
      <c r="AD67" s="69">
        <f>SUMIFS(Input!AI$2:AI$999,Input!$C$2:$C$999,CONCATENATE(LEFT($B$67,10),"*"),Input!$D$2:$D$999,$C$67)*IND_Mult!AE67</f>
        <v>0</v>
      </c>
      <c r="AE67" s="69">
        <f>SUMIFS(Input!AJ$2:AJ$999,Input!$C$2:$C$999,CONCATENATE(LEFT($B$67,10),"*"),Input!$D$2:$D$999,$C$67)*IND_Mult!AF67</f>
        <v>0</v>
      </c>
      <c r="AF67" s="69">
        <f>SUMIFS(Input!AK$2:AK$999,Input!$C$2:$C$999,CONCATENATE(LEFT($B$67,10),"*"),Input!$D$2:$D$999,$C$67)*IND_Mult!AG67</f>
        <v>0</v>
      </c>
      <c r="AG67" s="69">
        <f>SUMIFS(Input!AL$2:AL$999,Input!$C$2:$C$999,CONCATENATE(LEFT($B$67,10),"*"),Input!$D$2:$D$999,$C$67)*IND_Mult!AH67</f>
        <v>0</v>
      </c>
      <c r="AH67" s="69">
        <f>SUMIFS(Input!AM$2:AM$999,Input!$C$2:$C$999,CONCATENATE(LEFT($B$67,10),"*"),Input!$D$2:$D$999,$C$67)*IND_Mult!AI67</f>
        <v>0</v>
      </c>
      <c r="AI67" s="69">
        <f>SUMIFS(Input!AN$2:AN$999,Input!$C$2:$C$999,CONCATENATE(LEFT($B$67,10),"*"),Input!$D$2:$D$999,$C$67)*IND_Mult!AJ67</f>
        <v>0</v>
      </c>
      <c r="AJ67" s="69">
        <f>SUMIFS(Input!AO$2:AO$999,Input!$C$2:$C$999,CONCATENATE(LEFT($B$67,10),"*"),Input!$D$2:$D$999,$C$67)*IND_Mult!AK67</f>
        <v>0</v>
      </c>
      <c r="AK67" s="69">
        <f>SUMIFS(Input!AP$2:AP$999,Input!$C$2:$C$999,CONCATENATE(LEFT($B$67,10),"*"),Input!$D$2:$D$999,$C$67)*IND_Mult!AL67</f>
        <v>0</v>
      </c>
      <c r="AL67" s="69">
        <f>SUMIFS(Input!AQ$2:AQ$999,Input!$C$2:$C$999,CONCATENATE(LEFT($B$67,10),"*"),Input!$D$2:$D$999,$C$67)*IND_Mult!AM67</f>
        <v>0</v>
      </c>
      <c r="AM67" s="69">
        <f>SUMIFS(Input!AR$2:AR$999,Input!$C$2:$C$999,CONCATENATE(LEFT($B$67,10),"*"),Input!$D$2:$D$999,$C$67)*IND_Mult!AN67</f>
        <v>0</v>
      </c>
      <c r="AN67" s="69">
        <f>SUMIFS(Input!AS$2:AS$999,Input!$C$2:$C$999,CONCATENATE(LEFT($B$67,10),"*"),Input!$D$2:$D$999,$C$67)*IND_Mult!AO67</f>
        <v>0</v>
      </c>
      <c r="AO67" s="69">
        <f>SUMIFS(Input!AT$2:AT$999,Input!$C$2:$C$999,CONCATENATE(LEFT($B$67,10),"*"),Input!$D$2:$D$999,$C$67)*IND_Mult!AP67</f>
        <v>0</v>
      </c>
      <c r="AP67" s="69">
        <f>SUMIFS(Input!AU$2:AU$999,Input!$C$2:$C$999,CONCATENATE(LEFT($B$67,10),"*"),Input!$D$2:$D$999,$C$67)*IND_Mult!AQ67</f>
        <v>0</v>
      </c>
      <c r="AQ67" s="69">
        <f>SUMIFS(Input!AV$2:AV$999,Input!$C$2:$C$999,CONCATENATE(LEFT($B$67,10),"*"),Input!$D$2:$D$999,$C$67)*IND_Mult!AR67</f>
        <v>0</v>
      </c>
    </row>
    <row r="68" spans="1:43" ht="12.75">
      <c r="A68" s="6"/>
      <c r="B68" s="17" t="s">
        <v>267</v>
      </c>
      <c r="C68" s="18" t="s">
        <v>125</v>
      </c>
      <c r="D68" s="26"/>
      <c r="E68" s="16" t="s">
        <v>104</v>
      </c>
      <c r="F68" s="31"/>
      <c r="G68" s="72">
        <f>SUMIFS(Output!L$2:L$999,Output!$C$2:$C$999,CONCATENATE(LEFT($B$68,10),"*"),Output!$D$2:$D$999,$C$68)*IND_Mult!H73</f>
        <v>0</v>
      </c>
      <c r="H68" s="72">
        <f>SUMIFS(Output!M$2:M$999,Output!$C$2:$C$999,CONCATENATE(LEFT($B$68,10),"*"),Output!$D$2:$D$999,$C$68)*IND_Mult!I73</f>
        <v>0</v>
      </c>
      <c r="I68" s="72">
        <f>SUMIFS(Output!N$2:N$999,Output!$C$2:$C$999,CONCATENATE(LEFT($B$68,10),"*"),Output!$D$2:$D$999,$C$68)*IND_Mult!J73</f>
        <v>0</v>
      </c>
      <c r="J68" s="72">
        <f>SUMIFS(Output!O$2:O$999,Output!$C$2:$C$999,CONCATENATE(LEFT($B$68,10),"*"),Output!$D$2:$D$999,$C$68)*IND_Mult!K73</f>
        <v>0</v>
      </c>
      <c r="K68" s="72">
        <f>SUMIFS(Output!P$2:P$999,Output!$C$2:$C$999,CONCATENATE(LEFT($B$68,10),"*"),Output!$D$2:$D$999,$C$68)*IND_Mult!L73</f>
        <v>0</v>
      </c>
      <c r="L68" s="72">
        <f>SUMIFS(Output!Q$2:Q$999,Output!$C$2:$C$999,CONCATENATE(LEFT($B$68,10),"*"),Output!$D$2:$D$999,$C$68)*IND_Mult!M73</f>
        <v>0</v>
      </c>
      <c r="M68" s="72">
        <f>SUMIFS(Output!R$2:R$999,Output!$C$2:$C$999,CONCATENATE(LEFT($B$68,10),"*"),Output!$D$2:$D$999,$C$68)*IND_Mult!N73</f>
        <v>0</v>
      </c>
      <c r="N68" s="72">
        <f>SUMIFS(Output!S$2:S$999,Output!$C$2:$C$999,CONCATENATE(LEFT($B$68,10),"*"),Output!$D$2:$D$999,$C$68)*IND_Mult!O73</f>
        <v>0</v>
      </c>
      <c r="O68" s="72">
        <f>SUMIFS(Output!T$2:T$999,Output!$C$2:$C$999,CONCATENATE(LEFT($B$68,10),"*"),Output!$D$2:$D$999,$C$68)*IND_Mult!P73</f>
        <v>0</v>
      </c>
      <c r="P68" s="72">
        <f>SUMIFS(Output!U$2:U$999,Output!$C$2:$C$999,CONCATENATE(LEFT($B$68,10),"*"),Output!$D$2:$D$999,$C$68)*IND_Mult!Q73</f>
        <v>0</v>
      </c>
      <c r="Q68" s="72">
        <f>SUMIFS(Output!V$2:V$999,Output!$C$2:$C$999,CONCATENATE(LEFT($B$68,10),"*"),Output!$D$2:$D$999,$C$68)*IND_Mult!R73</f>
        <v>0</v>
      </c>
      <c r="R68" s="72">
        <f>SUMIFS(Output!W$2:W$999,Output!$C$2:$C$999,CONCATENATE(LEFT($B$68,10),"*"),Output!$D$2:$D$999,$C$68)*IND_Mult!S73</f>
        <v>0</v>
      </c>
      <c r="S68" s="72">
        <f>SUMIFS(Output!X$2:X$999,Output!$C$2:$C$999,CONCATENATE(LEFT($B$68,10),"*"),Output!$D$2:$D$999,$C$68)*IND_Mult!T73</f>
        <v>0</v>
      </c>
      <c r="T68" s="72">
        <f>SUMIFS(Output!Y$2:Y$999,Output!$C$2:$C$999,CONCATENATE(LEFT($B$68,10),"*"),Output!$D$2:$D$999,$C$68)*IND_Mult!U73</f>
        <v>0</v>
      </c>
      <c r="U68" s="72">
        <f>SUMIFS(Output!Z$2:Z$999,Output!$C$2:$C$999,CONCATENATE(LEFT($B$68,10),"*"),Output!$D$2:$D$999,$C$68)*IND_Mult!V73</f>
        <v>0</v>
      </c>
      <c r="V68" s="72">
        <f>SUMIFS(Output!AA$2:AA$999,Output!$C$2:$C$999,CONCATENATE(LEFT($B$68,10),"*"),Output!$D$2:$D$999,$C$68)*IND_Mult!W73</f>
        <v>0</v>
      </c>
      <c r="W68" s="72">
        <f>SUMIFS(Output!AB$2:AB$999,Output!$C$2:$C$999,CONCATENATE(LEFT($B$68,10),"*"),Output!$D$2:$D$999,$C$68)*IND_Mult!X73</f>
        <v>0</v>
      </c>
      <c r="X68" s="72">
        <f>SUMIFS(Output!AC$2:AC$999,Output!$C$2:$C$999,CONCATENATE(LEFT($B$68,10),"*"),Output!$D$2:$D$999,$C$68)*IND_Mult!Y73</f>
        <v>0</v>
      </c>
      <c r="Y68" s="72">
        <f>SUMIFS(Output!AD$2:AD$999,Output!$C$2:$C$999,CONCATENATE(LEFT($B$68,10),"*"),Output!$D$2:$D$999,$C$68)*IND_Mult!Z73</f>
        <v>0</v>
      </c>
      <c r="Z68" s="72">
        <f>SUMIFS(Output!AE$2:AE$999,Output!$C$2:$C$999,CONCATENATE(LEFT($B$68,10),"*"),Output!$D$2:$D$999,$C$68)*IND_Mult!AA73</f>
        <v>0</v>
      </c>
      <c r="AA68" s="72">
        <f>SUMIFS(Output!AF$2:AF$999,Output!$C$2:$C$999,CONCATENATE(LEFT($B$68,10),"*"),Output!$D$2:$D$999,$C$68)*IND_Mult!AB73</f>
        <v>0</v>
      </c>
      <c r="AB68" s="72">
        <f>SUMIFS(Output!AG$2:AG$999,Output!$C$2:$C$999,CONCATENATE(LEFT($B$68,10),"*"),Output!$D$2:$D$999,$C$68)*IND_Mult!AC73</f>
        <v>0</v>
      </c>
      <c r="AC68" s="72">
        <f>SUMIFS(Output!AH$2:AH$999,Output!$C$2:$C$999,CONCATENATE(LEFT($B$68,10),"*"),Output!$D$2:$D$999,$C$68)*IND_Mult!AD73</f>
        <v>0</v>
      </c>
      <c r="AD68" s="72">
        <f>SUMIFS(Output!AI$2:AI$999,Output!$C$2:$C$999,CONCATENATE(LEFT($B$68,10),"*"),Output!$D$2:$D$999,$C$68)*IND_Mult!AE73</f>
        <v>0</v>
      </c>
      <c r="AE68" s="72">
        <f>SUMIFS(Output!AJ$2:AJ$999,Output!$C$2:$C$999,CONCATENATE(LEFT($B$68,10),"*"),Output!$D$2:$D$999,$C$68)*IND_Mult!AF73</f>
        <v>0</v>
      </c>
      <c r="AF68" s="72">
        <f>SUMIFS(Output!AK$2:AK$999,Output!$C$2:$C$999,CONCATENATE(LEFT($B$68,10),"*"),Output!$D$2:$D$999,$C$68)*IND_Mult!AG73</f>
        <v>0</v>
      </c>
      <c r="AG68" s="72">
        <f>SUMIFS(Output!AL$2:AL$999,Output!$C$2:$C$999,CONCATENATE(LEFT($B$68,10),"*"),Output!$D$2:$D$999,$C$68)*IND_Mult!AH73</f>
        <v>0</v>
      </c>
      <c r="AH68" s="72">
        <f>SUMIFS(Output!AM$2:AM$999,Output!$C$2:$C$999,CONCATENATE(LEFT($B$68,10),"*"),Output!$D$2:$D$999,$C$68)*IND_Mult!AI73</f>
        <v>0</v>
      </c>
      <c r="AI68" s="72">
        <f>SUMIFS(Output!AN$2:AN$999,Output!$C$2:$C$999,CONCATENATE(LEFT($B$68,10),"*"),Output!$D$2:$D$999,$C$68)*IND_Mult!AJ73</f>
        <v>0</v>
      </c>
      <c r="AJ68" s="72">
        <f>SUMIFS(Output!AO$2:AO$999,Output!$C$2:$C$999,CONCATENATE(LEFT($B$68,10),"*"),Output!$D$2:$D$999,$C$68)*IND_Mult!AK73</f>
        <v>0</v>
      </c>
      <c r="AK68" s="72">
        <f>SUMIFS(Output!AP$2:AP$999,Output!$C$2:$C$999,CONCATENATE(LEFT($B$68,10),"*"),Output!$D$2:$D$999,$C$68)*IND_Mult!AL73</f>
        <v>0</v>
      </c>
      <c r="AL68" s="72">
        <f>SUMIFS(Output!AQ$2:AQ$999,Output!$C$2:$C$999,CONCATENATE(LEFT($B$68,10),"*"),Output!$D$2:$D$999,$C$68)*IND_Mult!AM73</f>
        <v>0</v>
      </c>
      <c r="AM68" s="72">
        <f>SUMIFS(Output!AR$2:AR$999,Output!$C$2:$C$999,CONCATENATE(LEFT($B$68,10),"*"),Output!$D$2:$D$999,$C$68)*IND_Mult!AN73</f>
        <v>0</v>
      </c>
      <c r="AN68" s="72">
        <f>SUMIFS(Output!AS$2:AS$999,Output!$C$2:$C$999,CONCATENATE(LEFT($B$68,10),"*"),Output!$D$2:$D$999,$C$68)*IND_Mult!AO73</f>
        <v>0</v>
      </c>
      <c r="AO68" s="72">
        <f>SUMIFS(Output!AT$2:AT$999,Output!$C$2:$C$999,CONCATENATE(LEFT($B$68,10),"*"),Output!$D$2:$D$999,$C$68)*IND_Mult!AP73</f>
        <v>0</v>
      </c>
      <c r="AP68" s="72">
        <f>SUMIFS(Output!AU$2:AU$999,Output!$C$2:$C$999,CONCATENATE(LEFT($B$68,10),"*"),Output!$D$2:$D$999,$C$68)*IND_Mult!AQ73</f>
        <v>0</v>
      </c>
      <c r="AQ68" s="72">
        <f>SUMIFS(Output!AV$2:AV$999,Output!$C$2:$C$999,CONCATENATE(LEFT($B$68,10),"*"),Output!$D$2:$D$999,$C$68)*IND_Mult!AR73</f>
        <v>0</v>
      </c>
    </row>
    <row r="69" spans="1:43" ht="12.75">
      <c r="A69" s="6"/>
      <c r="B69" s="17" t="s">
        <v>268</v>
      </c>
      <c r="C69" s="18" t="s">
        <v>37</v>
      </c>
      <c r="D69" s="26"/>
      <c r="E69" s="16" t="s">
        <v>103</v>
      </c>
      <c r="F69" s="31"/>
      <c r="G69" s="69">
        <f>SUMIFS(Input!L$2:L$999,Input!$C$2:$C$999,CONCATENATE(LEFT($B$69,10),"*"),Input!$D$2:$D$999,$C$69)*IND_Mult!H69</f>
        <v>0.52000000000000002</v>
      </c>
      <c r="H69" s="69">
        <f>SUMIFS(Input!M$2:M$999,Input!$C$2:$C$999,CONCATENATE(LEFT($B$69,10),"*"),Input!$D$2:$D$999,$C$69)*IND_Mult!I69</f>
        <v>0.52000000000000002</v>
      </c>
      <c r="I69" s="69">
        <f>SUMIFS(Input!N$2:N$999,Input!$C$2:$C$999,CONCATENATE(LEFT($B$69,10),"*"),Input!$D$2:$D$999,$C$69)*IND_Mult!J69</f>
        <v>0.52000000000000002</v>
      </c>
      <c r="J69" s="69">
        <f>SUMIFS(Input!O$2:O$999,Input!$C$2:$C$999,CONCATENATE(LEFT($B$69,10),"*"),Input!$D$2:$D$999,$C$69)*IND_Mult!K69</f>
        <v>0.41599999999999998</v>
      </c>
      <c r="K69" s="69">
        <f>SUMIFS(Input!P$2:P$999,Input!$C$2:$C$999,CONCATENATE(LEFT($B$69,10),"*"),Input!$D$2:$D$999,$C$69)*IND_Mult!L69</f>
        <v>0.52000000000000002</v>
      </c>
      <c r="L69" s="69">
        <f>SUMIFS(Input!Q$2:Q$999,Input!$C$2:$C$999,CONCATENATE(LEFT($B$69,10),"*"),Input!$D$2:$D$999,$C$69)*IND_Mult!M69</f>
        <v>0.52000000000000002</v>
      </c>
      <c r="M69" s="69">
        <f>SUMIFS(Input!R$2:R$999,Input!$C$2:$C$999,CONCATENATE(LEFT($B$69,10),"*"),Input!$D$2:$D$999,$C$69)*IND_Mult!N69</f>
        <v>0.52000000000000002</v>
      </c>
      <c r="N69" s="69">
        <f>SUMIFS(Input!S$2:S$999,Input!$C$2:$C$999,CONCATENATE(LEFT($B$69,10),"*"),Input!$D$2:$D$999,$C$69)*IND_Mult!O69</f>
        <v>0.52000000000000002</v>
      </c>
      <c r="O69" s="69">
        <f>SUMIFS(Input!T$2:T$999,Input!$C$2:$C$999,CONCATENATE(LEFT($B$69,10),"*"),Input!$D$2:$D$999,$C$69)*IND_Mult!P69</f>
        <v>0.442</v>
      </c>
      <c r="P69" s="69">
        <f>SUMIFS(Input!U$2:U$999,Input!$C$2:$C$999,CONCATENATE(LEFT($B$69,10),"*"),Input!$D$2:$D$999,$C$69)*IND_Mult!Q69</f>
        <v>0.52000000000000002</v>
      </c>
      <c r="Q69" s="69">
        <f>SUMIFS(Input!V$2:V$999,Input!$C$2:$C$999,CONCATENATE(LEFT($B$69,10),"*"),Input!$D$2:$D$999,$C$69)*IND_Mult!R69</f>
        <v>0.52000000000000002</v>
      </c>
      <c r="R69" s="69">
        <f>SUMIFS(Input!W$2:W$999,Input!$C$2:$C$999,CONCATENATE(LEFT($B$69,10),"*"),Input!$D$2:$D$999,$C$69)*IND_Mult!S69</f>
        <v>0.52000000000000002</v>
      </c>
      <c r="S69" s="69">
        <f>SUMIFS(Input!X$2:X$999,Input!$C$2:$C$999,CONCATENATE(LEFT($B$69,10),"*"),Input!$D$2:$D$999,$C$69)*IND_Mult!T69</f>
        <v>0.52000000000000002</v>
      </c>
      <c r="T69" s="69">
        <f>SUMIFS(Input!Y$2:Y$999,Input!$C$2:$C$999,CONCATENATE(LEFT($B$69,10),"*"),Input!$D$2:$D$999,$C$69)*IND_Mult!U69</f>
        <v>0.52000000000000002</v>
      </c>
      <c r="U69" s="69">
        <f>SUMIFS(Input!Z$2:Z$999,Input!$C$2:$C$999,CONCATENATE(LEFT($B$69,10),"*"),Input!$D$2:$D$999,$C$69)*IND_Mult!V69</f>
        <v>0.52000000000000002</v>
      </c>
      <c r="V69" s="69">
        <f>SUMIFS(Input!AA$2:AA$999,Input!$C$2:$C$999,CONCATENATE(LEFT($B$69,10),"*"),Input!$D$2:$D$999,$C$69)*IND_Mult!W69</f>
        <v>0.52000000000000002</v>
      </c>
      <c r="W69" s="69">
        <f>SUMIFS(Input!AB$2:AB$999,Input!$C$2:$C$999,CONCATENATE(LEFT($B$69,10),"*"),Input!$D$2:$D$999,$C$69)*IND_Mult!X69</f>
        <v>0.52000000000000002</v>
      </c>
      <c r="X69" s="69">
        <f>SUMIFS(Input!AC$2:AC$999,Input!$C$2:$C$999,CONCATENATE(LEFT($B$69,10),"*"),Input!$D$2:$D$999,$C$69)*IND_Mult!Y69</f>
        <v>0.52000000000000002</v>
      </c>
      <c r="Y69" s="69">
        <f>SUMIFS(Input!AD$2:AD$999,Input!$C$2:$C$999,CONCATENATE(LEFT($B$69,10),"*"),Input!$D$2:$D$999,$C$69)*IND_Mult!Z69</f>
        <v>0.52000000000000002</v>
      </c>
      <c r="Z69" s="69">
        <f>SUMIFS(Input!AE$2:AE$999,Input!$C$2:$C$999,CONCATENATE(LEFT($B$69,10),"*"),Input!$D$2:$D$999,$C$69)*IND_Mult!AA69</f>
        <v>0.52000000000000002</v>
      </c>
      <c r="AA69" s="69">
        <f>SUMIFS(Input!AF$2:AF$999,Input!$C$2:$C$999,CONCATENATE(LEFT($B$69,10),"*"),Input!$D$2:$D$999,$C$69)*IND_Mult!AB69</f>
        <v>0.52000000000000002</v>
      </c>
      <c r="AB69" s="69">
        <f>SUMIFS(Input!AG$2:AG$999,Input!$C$2:$C$999,CONCATENATE(LEFT($B$69,10),"*"),Input!$D$2:$D$999,$C$69)*IND_Mult!AC69</f>
        <v>0.52000000000000002</v>
      </c>
      <c r="AC69" s="69">
        <f>SUMIFS(Input!AH$2:AH$999,Input!$C$2:$C$999,CONCATENATE(LEFT($B$69,10),"*"),Input!$D$2:$D$999,$C$69)*IND_Mult!AD69</f>
        <v>0.40000000000000002</v>
      </c>
      <c r="AD69" s="69">
        <f>SUMIFS(Input!AI$2:AI$999,Input!$C$2:$C$999,CONCATENATE(LEFT($B$69,10),"*"),Input!$D$2:$D$999,$C$69)*IND_Mult!AE69</f>
        <v>0.52000000000000002</v>
      </c>
      <c r="AE69" s="69">
        <f>SUMIFS(Input!AJ$2:AJ$999,Input!$C$2:$C$999,CONCATENATE(LEFT($B$69,10),"*"),Input!$D$2:$D$999,$C$69)*IND_Mult!AF69</f>
        <v>0.52000000000000002</v>
      </c>
      <c r="AF69" s="69">
        <f>SUMIFS(Input!AK$2:AK$999,Input!$C$2:$C$999,CONCATENATE(LEFT($B$69,10),"*"),Input!$D$2:$D$999,$C$69)*IND_Mult!AG69</f>
        <v>0.52000000000000002</v>
      </c>
      <c r="AG69" s="69">
        <f>SUMIFS(Input!AL$2:AL$999,Input!$C$2:$C$999,CONCATENATE(LEFT($B$69,10),"*"),Input!$D$2:$D$999,$C$69)*IND_Mult!AH69</f>
        <v>0.52000000000000002</v>
      </c>
      <c r="AH69" s="69">
        <f>SUMIFS(Input!AM$2:AM$999,Input!$C$2:$C$999,CONCATENATE(LEFT($B$69,10),"*"),Input!$D$2:$D$999,$C$69)*IND_Mult!AI69</f>
        <v>0.52000000000000002</v>
      </c>
      <c r="AI69" s="69">
        <f>SUMIFS(Input!AN$2:AN$999,Input!$C$2:$C$999,CONCATENATE(LEFT($B$69,10),"*"),Input!$D$2:$D$999,$C$69)*IND_Mult!AJ69</f>
        <v>0.52000000000000002</v>
      </c>
      <c r="AJ69" s="69">
        <f>SUMIFS(Input!AO$2:AO$999,Input!$C$2:$C$999,CONCATENATE(LEFT($B$69,10),"*"),Input!$D$2:$D$999,$C$69)*IND_Mult!AK69</f>
        <v>0.52000000000000002</v>
      </c>
      <c r="AK69" s="69">
        <f>SUMIFS(Input!AP$2:AP$999,Input!$C$2:$C$999,CONCATENATE(LEFT($B$69,10),"*"),Input!$D$2:$D$999,$C$69)*IND_Mult!AL69</f>
        <v>0.94499999999999995</v>
      </c>
      <c r="AL69" s="69">
        <f>SUMIFS(Input!AQ$2:AQ$999,Input!$C$2:$C$999,CONCATENATE(LEFT($B$69,10),"*"),Input!$D$2:$D$999,$C$69)*IND_Mult!AM69</f>
        <v>0.52000000000000002</v>
      </c>
      <c r="AM69" s="69">
        <f>SUMIFS(Input!AR$2:AR$999,Input!$C$2:$C$999,CONCATENATE(LEFT($B$69,10),"*"),Input!$D$2:$D$999,$C$69)*IND_Mult!AN69</f>
        <v>0.52000000000000002</v>
      </c>
      <c r="AN69" s="69">
        <f>SUMIFS(Input!AS$2:AS$999,Input!$C$2:$C$999,CONCATENATE(LEFT($B$69,10),"*"),Input!$D$2:$D$999,$C$69)*IND_Mult!AO69</f>
        <v>0.52000000000000002</v>
      </c>
      <c r="AO69" s="69">
        <f>SUMIFS(Input!AT$2:AT$999,Input!$C$2:$C$999,CONCATENATE(LEFT($B$69,10),"*"),Input!$D$2:$D$999,$C$69)*IND_Mult!AP69</f>
        <v>0.52000000000000002</v>
      </c>
      <c r="AP69" s="69">
        <f>SUMIFS(Input!AU$2:AU$999,Input!$C$2:$C$999,CONCATENATE(LEFT($B$69,10),"*"),Input!$D$2:$D$999,$C$69)*IND_Mult!AQ69</f>
        <v>0.52000000000000002</v>
      </c>
      <c r="AQ69" s="69">
        <f>SUMIFS(Input!AV$2:AV$999,Input!$C$2:$C$999,CONCATENATE(LEFT($B$69,10),"*"),Input!$D$2:$D$999,$C$69)*IND_Mult!AR69</f>
        <v>0.52000000000000002</v>
      </c>
    </row>
    <row r="70" spans="1:43" ht="12.75">
      <c r="A70" s="6"/>
      <c r="B70" s="17" t="s">
        <v>268</v>
      </c>
      <c r="C70" s="18" t="s">
        <v>38</v>
      </c>
      <c r="D70" s="26"/>
      <c r="E70" s="16" t="s">
        <v>103</v>
      </c>
      <c r="F70" s="31"/>
      <c r="G70" s="69">
        <f>SUMIFS(Input!L$2:L$999,Input!$C$2:$C$999,CONCATENATE(LEFT($B$70,10),"*"),Input!$D$2:$D$999,$C$70)*IND_Mult!H70</f>
        <v>3.8999999999999999</v>
      </c>
      <c r="H70" s="69">
        <f>SUMIFS(Input!M$2:M$999,Input!$C$2:$C$999,CONCATENATE(LEFT($B$70,10),"*"),Input!$D$2:$D$999,$C$70)*IND_Mult!I70</f>
        <v>3.8999999999999999</v>
      </c>
      <c r="I70" s="69">
        <f>SUMIFS(Input!N$2:N$999,Input!$C$2:$C$999,CONCATENATE(LEFT($B$70,10),"*"),Input!$D$2:$D$999,$C$70)*IND_Mult!J70</f>
        <v>5.9000000000000004</v>
      </c>
      <c r="J70" s="69">
        <f>SUMIFS(Input!O$2:O$999,Input!$C$2:$C$999,CONCATENATE(LEFT($B$70,10),"*"),Input!$D$2:$D$999,$C$70)*IND_Mult!K70</f>
        <v>3.1200000000000001</v>
      </c>
      <c r="K70" s="69">
        <f>SUMIFS(Input!P$2:P$999,Input!$C$2:$C$999,CONCATENATE(LEFT($B$70,10),"*"),Input!$D$2:$D$999,$C$70)*IND_Mult!L70</f>
        <v>3.8999999999999999</v>
      </c>
      <c r="L70" s="69">
        <f>SUMIFS(Input!Q$2:Q$999,Input!$C$2:$C$999,CONCATENATE(LEFT($B$70,10),"*"),Input!$D$2:$D$999,$C$70)*IND_Mult!M70</f>
        <v>3.8999999999999999</v>
      </c>
      <c r="M70" s="69">
        <f>SUMIFS(Input!R$2:R$999,Input!$C$2:$C$999,CONCATENATE(LEFT($B$70,10),"*"),Input!$D$2:$D$999,$C$70)*IND_Mult!N70</f>
        <v>3.8999999999999999</v>
      </c>
      <c r="N70" s="69">
        <f>SUMIFS(Input!S$2:S$999,Input!$C$2:$C$999,CONCATENATE(LEFT($B$70,10),"*"),Input!$D$2:$D$999,$C$70)*IND_Mult!O70</f>
        <v>3.8999999999999999</v>
      </c>
      <c r="O70" s="69">
        <f>SUMIFS(Input!T$2:T$999,Input!$C$2:$C$999,CONCATENATE(LEFT($B$70,10),"*"),Input!$D$2:$D$999,$C$70)*IND_Mult!P70</f>
        <v>3.3149999999999999</v>
      </c>
      <c r="P70" s="69">
        <f>SUMIFS(Input!U$2:U$999,Input!$C$2:$C$999,CONCATENATE(LEFT($B$70,10),"*"),Input!$D$2:$D$999,$C$70)*IND_Mult!Q70</f>
        <v>3.8999999999999999</v>
      </c>
      <c r="Q70" s="69">
        <f>SUMIFS(Input!V$2:V$999,Input!$C$2:$C$999,CONCATENATE(LEFT($B$70,10),"*"),Input!$D$2:$D$999,$C$70)*IND_Mult!R70</f>
        <v>3.8999999999999999</v>
      </c>
      <c r="R70" s="69">
        <f>SUMIFS(Input!W$2:W$999,Input!$C$2:$C$999,CONCATENATE(LEFT($B$70,10),"*"),Input!$D$2:$D$999,$C$70)*IND_Mult!S70</f>
        <v>3.8999999999999999</v>
      </c>
      <c r="S70" s="69">
        <f>SUMIFS(Input!X$2:X$999,Input!$C$2:$C$999,CONCATENATE(LEFT($B$70,10),"*"),Input!$D$2:$D$999,$C$70)*IND_Mult!T70</f>
        <v>3.8999999999999999</v>
      </c>
      <c r="T70" s="69">
        <f>SUMIFS(Input!Y$2:Y$999,Input!$C$2:$C$999,CONCATENATE(LEFT($B$70,10),"*"),Input!$D$2:$D$999,$C$70)*IND_Mult!U70</f>
        <v>3.8999999999999999</v>
      </c>
      <c r="U70" s="69">
        <f>SUMIFS(Input!Z$2:Z$999,Input!$C$2:$C$999,CONCATENATE(LEFT($B$70,10),"*"),Input!$D$2:$D$999,$C$70)*IND_Mult!V70</f>
        <v>3.8999999999999999</v>
      </c>
      <c r="V70" s="69">
        <f>SUMIFS(Input!AA$2:AA$999,Input!$C$2:$C$999,CONCATENATE(LEFT($B$70,10),"*"),Input!$D$2:$D$999,$C$70)*IND_Mult!W70</f>
        <v>3.8999999999999999</v>
      </c>
      <c r="W70" s="69">
        <f>SUMIFS(Input!AB$2:AB$999,Input!$C$2:$C$999,CONCATENATE(LEFT($B$70,10),"*"),Input!$D$2:$D$999,$C$70)*IND_Mult!X70</f>
        <v>3.8999999999999999</v>
      </c>
      <c r="X70" s="69">
        <f>SUMIFS(Input!AC$2:AC$999,Input!$C$2:$C$999,CONCATENATE(LEFT($B$70,10),"*"),Input!$D$2:$D$999,$C$70)*IND_Mult!Y70</f>
        <v>3.8999999999999999</v>
      </c>
      <c r="Y70" s="69">
        <f>SUMIFS(Input!AD$2:AD$999,Input!$C$2:$C$999,CONCATENATE(LEFT($B$70,10),"*"),Input!$D$2:$D$999,$C$70)*IND_Mult!Z70</f>
        <v>3.8999999999999999</v>
      </c>
      <c r="Z70" s="69">
        <f>SUMIFS(Input!AE$2:AE$999,Input!$C$2:$C$999,CONCATENATE(LEFT($B$70,10),"*"),Input!$D$2:$D$999,$C$70)*IND_Mult!AA70</f>
        <v>3.8999999999999999</v>
      </c>
      <c r="AA70" s="69">
        <f>SUMIFS(Input!AF$2:AF$999,Input!$C$2:$C$999,CONCATENATE(LEFT($B$70,10),"*"),Input!$D$2:$D$999,$C$70)*IND_Mult!AB70</f>
        <v>3.8999999999999999</v>
      </c>
      <c r="AB70" s="69">
        <f>SUMIFS(Input!AG$2:AG$999,Input!$C$2:$C$999,CONCATENATE(LEFT($B$70,10),"*"),Input!$D$2:$D$999,$C$70)*IND_Mult!AC70</f>
        <v>3.8999999999999999</v>
      </c>
      <c r="AC70" s="69">
        <f>SUMIFS(Input!AH$2:AH$999,Input!$C$2:$C$999,CONCATENATE(LEFT($B$70,10),"*"),Input!$D$2:$D$999,$C$70)*IND_Mult!AD70</f>
        <v>5.9000000000000004</v>
      </c>
      <c r="AD70" s="69">
        <f>SUMIFS(Input!AI$2:AI$999,Input!$C$2:$C$999,CONCATENATE(LEFT($B$70,10),"*"),Input!$D$2:$D$999,$C$70)*IND_Mult!AE70</f>
        <v>3.8999999999999999</v>
      </c>
      <c r="AE70" s="69">
        <f>SUMIFS(Input!AJ$2:AJ$999,Input!$C$2:$C$999,CONCATENATE(LEFT($B$70,10),"*"),Input!$D$2:$D$999,$C$70)*IND_Mult!AF70</f>
        <v>3.8999999999999999</v>
      </c>
      <c r="AF70" s="69">
        <f>SUMIFS(Input!AK$2:AK$999,Input!$C$2:$C$999,CONCATENATE(LEFT($B$70,10),"*"),Input!$D$2:$D$999,$C$70)*IND_Mult!AG70</f>
        <v>3.8999999999999999</v>
      </c>
      <c r="AG70" s="69">
        <f>SUMIFS(Input!AL$2:AL$999,Input!$C$2:$C$999,CONCATENATE(LEFT($B$70,10),"*"),Input!$D$2:$D$999,$C$70)*IND_Mult!AH70</f>
        <v>3.8999999999999999</v>
      </c>
      <c r="AH70" s="69">
        <f>SUMIFS(Input!AM$2:AM$999,Input!$C$2:$C$999,CONCATENATE(LEFT($B$70,10),"*"),Input!$D$2:$D$999,$C$70)*IND_Mult!AI70</f>
        <v>5</v>
      </c>
      <c r="AI70" s="69">
        <f>SUMIFS(Input!AN$2:AN$999,Input!$C$2:$C$999,CONCATENATE(LEFT($B$70,10),"*"),Input!$D$2:$D$999,$C$70)*IND_Mult!AJ70</f>
        <v>3.8999999999999999</v>
      </c>
      <c r="AJ70" s="69">
        <f>SUMIFS(Input!AO$2:AO$999,Input!$C$2:$C$999,CONCATENATE(LEFT($B$70,10),"*"),Input!$D$2:$D$999,$C$70)*IND_Mult!AK70</f>
        <v>4.5999999999999996</v>
      </c>
      <c r="AK70" s="69">
        <f>SUMIFS(Input!AP$2:AP$999,Input!$C$2:$C$999,CONCATENATE(LEFT($B$70,10),"*"),Input!$D$2:$D$999,$C$70)*IND_Mult!AL70</f>
        <v>6.3167999999999997</v>
      </c>
      <c r="AL70" s="69">
        <f>SUMIFS(Input!AQ$2:AQ$999,Input!$C$2:$C$999,CONCATENATE(LEFT($B$70,10),"*"),Input!$D$2:$D$999,$C$70)*IND_Mult!AM70</f>
        <v>3.8999999999999999</v>
      </c>
      <c r="AM70" s="69">
        <f>SUMIFS(Input!AR$2:AR$999,Input!$C$2:$C$999,CONCATENATE(LEFT($B$70,10),"*"),Input!$D$2:$D$999,$C$70)*IND_Mult!AN70</f>
        <v>3.8999999999999999</v>
      </c>
      <c r="AN70" s="69">
        <f>SUMIFS(Input!AS$2:AS$999,Input!$C$2:$C$999,CONCATENATE(LEFT($B$70,10),"*"),Input!$D$2:$D$999,$C$70)*IND_Mult!AO70</f>
        <v>3.8999999999999999</v>
      </c>
      <c r="AO70" s="69">
        <f>SUMIFS(Input!AT$2:AT$999,Input!$C$2:$C$999,CONCATENATE(LEFT($B$70,10),"*"),Input!$D$2:$D$999,$C$70)*IND_Mult!AP70</f>
        <v>3.8999999999999999</v>
      </c>
      <c r="AP70" s="69">
        <f>SUMIFS(Input!AU$2:AU$999,Input!$C$2:$C$999,CONCATENATE(LEFT($B$70,10),"*"),Input!$D$2:$D$999,$C$70)*IND_Mult!AQ70</f>
        <v>5.5</v>
      </c>
      <c r="AQ70" s="69">
        <f>SUMIFS(Input!AV$2:AV$999,Input!$C$2:$C$999,CONCATENATE(LEFT($B$70,10),"*"),Input!$D$2:$D$999,$C$70)*IND_Mult!AR70</f>
        <v>5.9000000000000004</v>
      </c>
    </row>
    <row r="71" spans="1:43" ht="12.75">
      <c r="A71" s="6"/>
      <c r="B71" s="17" t="s">
        <v>268</v>
      </c>
      <c r="C71" s="18" t="s">
        <v>43</v>
      </c>
      <c r="D71" s="26"/>
      <c r="E71" s="16" t="s">
        <v>103</v>
      </c>
      <c r="F71" s="31"/>
      <c r="G71" s="69">
        <f>SUMIFS(Input!L$2:L$999,Input!$C$2:$C$999,CONCATENATE(LEFT($B$71,10),"*"),Input!$D$2:$D$999,$C$71)*IND_Mult!H71</f>
        <v>2</v>
      </c>
      <c r="H71" s="69">
        <f>SUMIFS(Input!M$2:M$999,Input!$C$2:$C$999,CONCATENATE(LEFT($B$71,10),"*"),Input!$D$2:$D$999,$C$71)*IND_Mult!I71</f>
        <v>2</v>
      </c>
      <c r="I71" s="69">
        <f>SUMIFS(Input!N$2:N$999,Input!$C$2:$C$999,CONCATENATE(LEFT($B$71,10),"*"),Input!$D$2:$D$999,$C$71)*IND_Mult!J71</f>
        <v>0</v>
      </c>
      <c r="J71" s="69">
        <f>SUMIFS(Input!O$2:O$999,Input!$C$2:$C$999,CONCATENATE(LEFT($B$71,10),"*"),Input!$D$2:$D$999,$C$71)*IND_Mult!K71</f>
        <v>1.6000000000000001</v>
      </c>
      <c r="K71" s="69">
        <f>SUMIFS(Input!P$2:P$999,Input!$C$2:$C$999,CONCATENATE(LEFT($B$71,10),"*"),Input!$D$2:$D$999,$C$71)*IND_Mult!L71</f>
        <v>2</v>
      </c>
      <c r="L71" s="69">
        <f>SUMIFS(Input!Q$2:Q$999,Input!$C$2:$C$999,CONCATENATE(LEFT($B$71,10),"*"),Input!$D$2:$D$999,$C$71)*IND_Mult!M71</f>
        <v>2</v>
      </c>
      <c r="M71" s="69">
        <f>SUMIFS(Input!R$2:R$999,Input!$C$2:$C$999,CONCATENATE(LEFT($B$71,10),"*"),Input!$D$2:$D$999,$C$71)*IND_Mult!N71</f>
        <v>2</v>
      </c>
      <c r="N71" s="69">
        <f>SUMIFS(Input!S$2:S$999,Input!$C$2:$C$999,CONCATENATE(LEFT($B$71,10),"*"),Input!$D$2:$D$999,$C$71)*IND_Mult!O71</f>
        <v>2</v>
      </c>
      <c r="O71" s="69">
        <f>SUMIFS(Input!T$2:T$999,Input!$C$2:$C$999,CONCATENATE(LEFT($B$71,10),"*"),Input!$D$2:$D$999,$C$71)*IND_Mult!P71</f>
        <v>1.7</v>
      </c>
      <c r="P71" s="69">
        <f>SUMIFS(Input!U$2:U$999,Input!$C$2:$C$999,CONCATENATE(LEFT($B$71,10),"*"),Input!$D$2:$D$999,$C$71)*IND_Mult!Q71</f>
        <v>2</v>
      </c>
      <c r="Q71" s="69">
        <f>SUMIFS(Input!V$2:V$999,Input!$C$2:$C$999,CONCATENATE(LEFT($B$71,10),"*"),Input!$D$2:$D$999,$C$71)*IND_Mult!R71</f>
        <v>2</v>
      </c>
      <c r="R71" s="69">
        <f>SUMIFS(Input!W$2:W$999,Input!$C$2:$C$999,CONCATENATE(LEFT($B$71,10),"*"),Input!$D$2:$D$999,$C$71)*IND_Mult!S71</f>
        <v>2</v>
      </c>
      <c r="S71" s="69">
        <f>SUMIFS(Input!X$2:X$999,Input!$C$2:$C$999,CONCATENATE(LEFT($B$71,10),"*"),Input!$D$2:$D$999,$C$71)*IND_Mult!T71</f>
        <v>2</v>
      </c>
      <c r="T71" s="69">
        <f>SUMIFS(Input!Y$2:Y$999,Input!$C$2:$C$999,CONCATENATE(LEFT($B$71,10),"*"),Input!$D$2:$D$999,$C$71)*IND_Mult!U71</f>
        <v>2</v>
      </c>
      <c r="U71" s="69">
        <f>SUMIFS(Input!Z$2:Z$999,Input!$C$2:$C$999,CONCATENATE(LEFT($B$71,10),"*"),Input!$D$2:$D$999,$C$71)*IND_Mult!V71</f>
        <v>2</v>
      </c>
      <c r="V71" s="69">
        <f>SUMIFS(Input!AA$2:AA$999,Input!$C$2:$C$999,CONCATENATE(LEFT($B$71,10),"*"),Input!$D$2:$D$999,$C$71)*IND_Mult!W71</f>
        <v>2</v>
      </c>
      <c r="W71" s="69">
        <f>SUMIFS(Input!AB$2:AB$999,Input!$C$2:$C$999,CONCATENATE(LEFT($B$71,10),"*"),Input!$D$2:$D$999,$C$71)*IND_Mult!X71</f>
        <v>2</v>
      </c>
      <c r="X71" s="69">
        <f>SUMIFS(Input!AC$2:AC$999,Input!$C$2:$C$999,CONCATENATE(LEFT($B$71,10),"*"),Input!$D$2:$D$999,$C$71)*IND_Mult!Y71</f>
        <v>2</v>
      </c>
      <c r="Y71" s="69">
        <f>SUMIFS(Input!AD$2:AD$999,Input!$C$2:$C$999,CONCATENATE(LEFT($B$71,10),"*"),Input!$D$2:$D$999,$C$71)*IND_Mult!Z71</f>
        <v>2</v>
      </c>
      <c r="Z71" s="69">
        <f>SUMIFS(Input!AE$2:AE$999,Input!$C$2:$C$999,CONCATENATE(LEFT($B$71,10),"*"),Input!$D$2:$D$999,$C$71)*IND_Mult!AA71</f>
        <v>2</v>
      </c>
      <c r="AA71" s="69">
        <f>SUMIFS(Input!AF$2:AF$999,Input!$C$2:$C$999,CONCATENATE(LEFT($B$71,10),"*"),Input!$D$2:$D$999,$C$71)*IND_Mult!AB71</f>
        <v>2</v>
      </c>
      <c r="AB71" s="69">
        <f>SUMIFS(Input!AG$2:AG$999,Input!$C$2:$C$999,CONCATENATE(LEFT($B$71,10),"*"),Input!$D$2:$D$999,$C$71)*IND_Mult!AC71</f>
        <v>2</v>
      </c>
      <c r="AC71" s="69">
        <f>SUMIFS(Input!AH$2:AH$999,Input!$C$2:$C$999,CONCATENATE(LEFT($B$71,10),"*"),Input!$D$2:$D$999,$C$71)*IND_Mult!AD71</f>
        <v>0</v>
      </c>
      <c r="AD71" s="69">
        <f>SUMIFS(Input!AI$2:AI$999,Input!$C$2:$C$999,CONCATENATE(LEFT($B$71,10),"*"),Input!$D$2:$D$999,$C$71)*IND_Mult!AE71</f>
        <v>2</v>
      </c>
      <c r="AE71" s="69">
        <f>SUMIFS(Input!AJ$2:AJ$999,Input!$C$2:$C$999,CONCATENATE(LEFT($B$71,10),"*"),Input!$D$2:$D$999,$C$71)*IND_Mult!AF71</f>
        <v>2</v>
      </c>
      <c r="AF71" s="69">
        <f>SUMIFS(Input!AK$2:AK$999,Input!$C$2:$C$999,CONCATENATE(LEFT($B$71,10),"*"),Input!$D$2:$D$999,$C$71)*IND_Mult!AG71</f>
        <v>2</v>
      </c>
      <c r="AG71" s="69">
        <f>SUMIFS(Input!AL$2:AL$999,Input!$C$2:$C$999,CONCATENATE(LEFT($B$71,10),"*"),Input!$D$2:$D$999,$C$71)*IND_Mult!AH71</f>
        <v>2</v>
      </c>
      <c r="AH71" s="69">
        <f>SUMIFS(Input!AM$2:AM$999,Input!$C$2:$C$999,CONCATENATE(LEFT($B$71,10),"*"),Input!$D$2:$D$999,$C$71)*IND_Mult!AI71</f>
        <v>1</v>
      </c>
      <c r="AI71" s="69">
        <f>SUMIFS(Input!AN$2:AN$999,Input!$C$2:$C$999,CONCATENATE(LEFT($B$71,10),"*"),Input!$D$2:$D$999,$C$71)*IND_Mult!AJ71</f>
        <v>2</v>
      </c>
      <c r="AJ71" s="69">
        <f>SUMIFS(Input!AO$2:AO$999,Input!$C$2:$C$999,CONCATENATE(LEFT($B$71,10),"*"),Input!$D$2:$D$999,$C$71)*IND_Mult!AK71</f>
        <v>1.3</v>
      </c>
      <c r="AK71" s="69">
        <f>SUMIFS(Input!AP$2:AP$999,Input!$C$2:$C$999,CONCATENATE(LEFT($B$71,10),"*"),Input!$D$2:$D$999,$C$71)*IND_Mult!AL71</f>
        <v>0.98499999999999999</v>
      </c>
      <c r="AL71" s="69">
        <f>SUMIFS(Input!AQ$2:AQ$999,Input!$C$2:$C$999,CONCATENATE(LEFT($B$71,10),"*"),Input!$D$2:$D$999,$C$71)*IND_Mult!AM71</f>
        <v>2</v>
      </c>
      <c r="AM71" s="69">
        <f>SUMIFS(Input!AR$2:AR$999,Input!$C$2:$C$999,CONCATENATE(LEFT($B$71,10),"*"),Input!$D$2:$D$999,$C$71)*IND_Mult!AN71</f>
        <v>2</v>
      </c>
      <c r="AN71" s="69">
        <f>SUMIFS(Input!AS$2:AS$999,Input!$C$2:$C$999,CONCATENATE(LEFT($B$71,10),"*"),Input!$D$2:$D$999,$C$71)*IND_Mult!AO71</f>
        <v>2</v>
      </c>
      <c r="AO71" s="69">
        <f>SUMIFS(Input!AT$2:AT$999,Input!$C$2:$C$999,CONCATENATE(LEFT($B$71,10),"*"),Input!$D$2:$D$999,$C$71)*IND_Mult!AP71</f>
        <v>2</v>
      </c>
      <c r="AP71" s="69">
        <f>SUMIFS(Input!AU$2:AU$999,Input!$C$2:$C$999,CONCATENATE(LEFT($B$71,10),"*"),Input!$D$2:$D$999,$C$71)*IND_Mult!AQ71</f>
        <v>2</v>
      </c>
      <c r="AQ71" s="69">
        <f>SUMIFS(Input!AV$2:AV$999,Input!$C$2:$C$999,CONCATENATE(LEFT($B$71,10),"*"),Input!$D$2:$D$999,$C$71)*IND_Mult!AR71</f>
        <v>0</v>
      </c>
    </row>
    <row r="72" spans="1:43" ht="12.75">
      <c r="A72" s="6"/>
      <c r="B72" s="17" t="s">
        <v>268</v>
      </c>
      <c r="C72" s="18" t="s">
        <v>124</v>
      </c>
      <c r="D72" s="26"/>
      <c r="E72" s="16" t="s">
        <v>285</v>
      </c>
      <c r="F72" s="31"/>
      <c r="G72" s="69">
        <f>SUMIFS(Input!L$2:L$999,Input!$C$2:$C$999,CONCATENATE(LEFT($B$72,10),"*"),Input!$D$2:$D$999,$C$72)*IND_Mult!H72</f>
        <v>0</v>
      </c>
      <c r="H72" s="69">
        <f>SUMIFS(Input!M$2:M$999,Input!$C$2:$C$999,CONCATENATE(LEFT($B$72,10),"*"),Input!$D$2:$D$999,$C$72)*IND_Mult!I72</f>
        <v>0</v>
      </c>
      <c r="I72" s="69">
        <f>SUMIFS(Input!N$2:N$999,Input!$C$2:$C$999,CONCATENATE(LEFT($B$72,10),"*"),Input!$D$2:$D$999,$C$72)*IND_Mult!J72</f>
        <v>0</v>
      </c>
      <c r="J72" s="69">
        <f>SUMIFS(Input!O$2:O$999,Input!$C$2:$C$999,CONCATENATE(LEFT($B$72,10),"*"),Input!$D$2:$D$999,$C$72)*IND_Mult!K72</f>
        <v>0</v>
      </c>
      <c r="K72" s="69">
        <f>SUMIFS(Input!P$2:P$999,Input!$C$2:$C$999,CONCATENATE(LEFT($B$72,10),"*"),Input!$D$2:$D$999,$C$72)*IND_Mult!L72</f>
        <v>0</v>
      </c>
      <c r="L72" s="69">
        <f>SUMIFS(Input!Q$2:Q$999,Input!$C$2:$C$999,CONCATENATE(LEFT($B$72,10),"*"),Input!$D$2:$D$999,$C$72)*IND_Mult!M72</f>
        <v>0</v>
      </c>
      <c r="M72" s="69">
        <f>SUMIFS(Input!R$2:R$999,Input!$C$2:$C$999,CONCATENATE(LEFT($B$72,10),"*"),Input!$D$2:$D$999,$C$72)*IND_Mult!N72</f>
        <v>0</v>
      </c>
      <c r="N72" s="69">
        <f>SUMIFS(Input!S$2:S$999,Input!$C$2:$C$999,CONCATENATE(LEFT($B$72,10),"*"),Input!$D$2:$D$999,$C$72)*IND_Mult!O72</f>
        <v>0</v>
      </c>
      <c r="O72" s="69">
        <f>SUMIFS(Input!T$2:T$999,Input!$C$2:$C$999,CONCATENATE(LEFT($B$72,10),"*"),Input!$D$2:$D$999,$C$72)*IND_Mult!P72</f>
        <v>0</v>
      </c>
      <c r="P72" s="69">
        <f>SUMIFS(Input!U$2:U$999,Input!$C$2:$C$999,CONCATENATE(LEFT($B$72,10),"*"),Input!$D$2:$D$999,$C$72)*IND_Mult!Q72</f>
        <v>0</v>
      </c>
      <c r="Q72" s="69">
        <f>SUMIFS(Input!V$2:V$999,Input!$C$2:$C$999,CONCATENATE(LEFT($B$72,10),"*"),Input!$D$2:$D$999,$C$72)*IND_Mult!R72</f>
        <v>0</v>
      </c>
      <c r="R72" s="69">
        <f>SUMIFS(Input!W$2:W$999,Input!$C$2:$C$999,CONCATENATE(LEFT($B$72,10),"*"),Input!$D$2:$D$999,$C$72)*IND_Mult!S72</f>
        <v>0</v>
      </c>
      <c r="S72" s="69">
        <f>SUMIFS(Input!X$2:X$999,Input!$C$2:$C$999,CONCATENATE(LEFT($B$72,10),"*"),Input!$D$2:$D$999,$C$72)*IND_Mult!T72</f>
        <v>0</v>
      </c>
      <c r="T72" s="69">
        <f>SUMIFS(Input!Y$2:Y$999,Input!$C$2:$C$999,CONCATENATE(LEFT($B$72,10),"*"),Input!$D$2:$D$999,$C$72)*IND_Mult!U72</f>
        <v>0</v>
      </c>
      <c r="U72" s="69">
        <f>SUMIFS(Input!Z$2:Z$999,Input!$C$2:$C$999,CONCATENATE(LEFT($B$72,10),"*"),Input!$D$2:$D$999,$C$72)*IND_Mult!V72</f>
        <v>0</v>
      </c>
      <c r="V72" s="69">
        <f>SUMIFS(Input!AA$2:AA$999,Input!$C$2:$C$999,CONCATENATE(LEFT($B$72,10),"*"),Input!$D$2:$D$999,$C$72)*IND_Mult!W72</f>
        <v>0</v>
      </c>
      <c r="W72" s="69">
        <f>SUMIFS(Input!AB$2:AB$999,Input!$C$2:$C$999,CONCATENATE(LEFT($B$72,10),"*"),Input!$D$2:$D$999,$C$72)*IND_Mult!X72</f>
        <v>0</v>
      </c>
      <c r="X72" s="69">
        <f>SUMIFS(Input!AC$2:AC$999,Input!$C$2:$C$999,CONCATENATE(LEFT($B$72,10),"*"),Input!$D$2:$D$999,$C$72)*IND_Mult!Y72</f>
        <v>0</v>
      </c>
      <c r="Y72" s="69">
        <f>SUMIFS(Input!AD$2:AD$999,Input!$C$2:$C$999,CONCATENATE(LEFT($B$72,10),"*"),Input!$D$2:$D$999,$C$72)*IND_Mult!Z72</f>
        <v>0</v>
      </c>
      <c r="Z72" s="69">
        <f>SUMIFS(Input!AE$2:AE$999,Input!$C$2:$C$999,CONCATENATE(LEFT($B$72,10),"*"),Input!$D$2:$D$999,$C$72)*IND_Mult!AA72</f>
        <v>0</v>
      </c>
      <c r="AA72" s="69">
        <f>SUMIFS(Input!AF$2:AF$999,Input!$C$2:$C$999,CONCATENATE(LEFT($B$72,10),"*"),Input!$D$2:$D$999,$C$72)*IND_Mult!AB72</f>
        <v>0</v>
      </c>
      <c r="AB72" s="69">
        <f>SUMIFS(Input!AG$2:AG$999,Input!$C$2:$C$999,CONCATENATE(LEFT($B$72,10),"*"),Input!$D$2:$D$999,$C$72)*IND_Mult!AC72</f>
        <v>0</v>
      </c>
      <c r="AC72" s="69">
        <f>SUMIFS(Input!AH$2:AH$999,Input!$C$2:$C$999,CONCATENATE(LEFT($B$72,10),"*"),Input!$D$2:$D$999,$C$72)*IND_Mult!AD72</f>
        <v>0</v>
      </c>
      <c r="AD72" s="69">
        <f>SUMIFS(Input!AI$2:AI$999,Input!$C$2:$C$999,CONCATENATE(LEFT($B$72,10),"*"),Input!$D$2:$D$999,$C$72)*IND_Mult!AE72</f>
        <v>0</v>
      </c>
      <c r="AE72" s="69">
        <f>SUMIFS(Input!AJ$2:AJ$999,Input!$C$2:$C$999,CONCATENATE(LEFT($B$72,10),"*"),Input!$D$2:$D$999,$C$72)*IND_Mult!AF72</f>
        <v>0</v>
      </c>
      <c r="AF72" s="69">
        <f>SUMIFS(Input!AK$2:AK$999,Input!$C$2:$C$999,CONCATENATE(LEFT($B$72,10),"*"),Input!$D$2:$D$999,$C$72)*IND_Mult!AG72</f>
        <v>0</v>
      </c>
      <c r="AG72" s="69">
        <f>SUMIFS(Input!AL$2:AL$999,Input!$C$2:$C$999,CONCATENATE(LEFT($B$72,10),"*"),Input!$D$2:$D$999,$C$72)*IND_Mult!AH72</f>
        <v>0</v>
      </c>
      <c r="AH72" s="69">
        <f>SUMIFS(Input!AM$2:AM$999,Input!$C$2:$C$999,CONCATENATE(LEFT($B$72,10),"*"),Input!$D$2:$D$999,$C$72)*IND_Mult!AI72</f>
        <v>0</v>
      </c>
      <c r="AI72" s="69">
        <f>SUMIFS(Input!AN$2:AN$999,Input!$C$2:$C$999,CONCATENATE(LEFT($B$72,10),"*"),Input!$D$2:$D$999,$C$72)*IND_Mult!AJ72</f>
        <v>0</v>
      </c>
      <c r="AJ72" s="69">
        <f>SUMIFS(Input!AO$2:AO$999,Input!$C$2:$C$999,CONCATENATE(LEFT($B$72,10),"*"),Input!$D$2:$D$999,$C$72)*IND_Mult!AK72</f>
        <v>0</v>
      </c>
      <c r="AK72" s="69">
        <f>SUMIFS(Input!AP$2:AP$999,Input!$C$2:$C$999,CONCATENATE(LEFT($B$72,10),"*"),Input!$D$2:$D$999,$C$72)*IND_Mult!AL72</f>
        <v>0</v>
      </c>
      <c r="AL72" s="69">
        <f>SUMIFS(Input!AQ$2:AQ$999,Input!$C$2:$C$999,CONCATENATE(LEFT($B$72,10),"*"),Input!$D$2:$D$999,$C$72)*IND_Mult!AM72</f>
        <v>0</v>
      </c>
      <c r="AM72" s="69">
        <f>SUMIFS(Input!AR$2:AR$999,Input!$C$2:$C$999,CONCATENATE(LEFT($B$72,10),"*"),Input!$D$2:$D$999,$C$72)*IND_Mult!AN72</f>
        <v>0</v>
      </c>
      <c r="AN72" s="69">
        <f>SUMIFS(Input!AS$2:AS$999,Input!$C$2:$C$999,CONCATENATE(LEFT($B$72,10),"*"),Input!$D$2:$D$999,$C$72)*IND_Mult!AO72</f>
        <v>0</v>
      </c>
      <c r="AO72" s="69">
        <f>SUMIFS(Input!AT$2:AT$999,Input!$C$2:$C$999,CONCATENATE(LEFT($B$72,10),"*"),Input!$D$2:$D$999,$C$72)*IND_Mult!AP72</f>
        <v>0</v>
      </c>
      <c r="AP72" s="69">
        <f>SUMIFS(Input!AU$2:AU$999,Input!$C$2:$C$999,CONCATENATE(LEFT($B$72,10),"*"),Input!$D$2:$D$999,$C$72)*IND_Mult!AQ72</f>
        <v>0</v>
      </c>
      <c r="AQ72" s="69">
        <f>SUMIFS(Input!AV$2:AV$999,Input!$C$2:$C$999,CONCATENATE(LEFT($B$72,10),"*"),Input!$D$2:$D$999,$C$72)*IND_Mult!AR72</f>
        <v>0</v>
      </c>
    </row>
    <row r="73" spans="1:43" ht="12.75">
      <c r="A73" s="6"/>
      <c r="B73" s="17" t="s">
        <v>269</v>
      </c>
      <c r="C73" s="18" t="s">
        <v>37</v>
      </c>
      <c r="D73" s="26"/>
      <c r="E73" s="16" t="s">
        <v>103</v>
      </c>
      <c r="F73" s="31"/>
      <c r="G73" s="69">
        <f>SUMIFS(Input!L$2:L$999,Input!$C$2:$C$999,CONCATENATE(LEFT($B$73,10),"*"),Input!$D$2:$D$999,$C$73)*IND_Mult!H73</f>
        <v>0.52000000000000002</v>
      </c>
      <c r="H73" s="69">
        <f>SUMIFS(Input!M$2:M$999,Input!$C$2:$C$999,CONCATENATE(LEFT($B$73,10),"*"),Input!$D$2:$D$999,$C$73)*IND_Mult!I73</f>
        <v>0.52000000000000002</v>
      </c>
      <c r="I73" s="69">
        <f>SUMIFS(Input!N$2:N$999,Input!$C$2:$C$999,CONCATENATE(LEFT($B$73,10),"*"),Input!$D$2:$D$999,$C$73)*IND_Mult!J73</f>
        <v>0.52000000000000002</v>
      </c>
      <c r="J73" s="69">
        <f>SUMIFS(Input!O$2:O$999,Input!$C$2:$C$999,CONCATENATE(LEFT($B$73,10),"*"),Input!$D$2:$D$999,$C$73)*IND_Mult!K73</f>
        <v>0.41599999999999998</v>
      </c>
      <c r="K73" s="69">
        <f>SUMIFS(Input!P$2:P$999,Input!$C$2:$C$999,CONCATENATE(LEFT($B$73,10),"*"),Input!$D$2:$D$999,$C$73)*IND_Mult!L73</f>
        <v>0.52000000000000002</v>
      </c>
      <c r="L73" s="69">
        <f>SUMIFS(Input!Q$2:Q$999,Input!$C$2:$C$999,CONCATENATE(LEFT($B$73,10),"*"),Input!$D$2:$D$999,$C$73)*IND_Mult!M73</f>
        <v>0.52000000000000002</v>
      </c>
      <c r="M73" s="69">
        <f>SUMIFS(Input!R$2:R$999,Input!$C$2:$C$999,CONCATENATE(LEFT($B$73,10),"*"),Input!$D$2:$D$999,$C$73)*IND_Mult!N73</f>
        <v>0.52000000000000002</v>
      </c>
      <c r="N73" s="69">
        <f>SUMIFS(Input!S$2:S$999,Input!$C$2:$C$999,CONCATENATE(LEFT($B$73,10),"*"),Input!$D$2:$D$999,$C$73)*IND_Mult!O73</f>
        <v>0.52000000000000002</v>
      </c>
      <c r="O73" s="69">
        <f>SUMIFS(Input!T$2:T$999,Input!$C$2:$C$999,CONCATENATE(LEFT($B$73,10),"*"),Input!$D$2:$D$999,$C$73)*IND_Mult!P73</f>
        <v>0.52000000000000002</v>
      </c>
      <c r="P73" s="69">
        <f>SUMIFS(Input!U$2:U$999,Input!$C$2:$C$999,CONCATENATE(LEFT($B$73,10),"*"),Input!$D$2:$D$999,$C$73)*IND_Mult!Q73</f>
        <v>0.52000000000000002</v>
      </c>
      <c r="Q73" s="69">
        <f>SUMIFS(Input!V$2:V$999,Input!$C$2:$C$999,CONCATENATE(LEFT($B$73,10),"*"),Input!$D$2:$D$999,$C$73)*IND_Mult!R73</f>
        <v>0.52000000000000002</v>
      </c>
      <c r="R73" s="69">
        <f>SUMIFS(Input!W$2:W$999,Input!$C$2:$C$999,CONCATENATE(LEFT($B$73,10),"*"),Input!$D$2:$D$999,$C$73)*IND_Mult!S73</f>
        <v>0.52000000000000002</v>
      </c>
      <c r="S73" s="69">
        <f>SUMIFS(Input!X$2:X$999,Input!$C$2:$C$999,CONCATENATE(LEFT($B$73,10),"*"),Input!$D$2:$D$999,$C$73)*IND_Mult!T73</f>
        <v>0.52000000000000002</v>
      </c>
      <c r="T73" s="69">
        <f>SUMIFS(Input!Y$2:Y$999,Input!$C$2:$C$999,CONCATENATE(LEFT($B$73,10),"*"),Input!$D$2:$D$999,$C$73)*IND_Mult!U73</f>
        <v>0.52000000000000002</v>
      </c>
      <c r="U73" s="69">
        <f>SUMIFS(Input!Z$2:Z$999,Input!$C$2:$C$999,CONCATENATE(LEFT($B$73,10),"*"),Input!$D$2:$D$999,$C$73)*IND_Mult!V73</f>
        <v>0.52000000000000002</v>
      </c>
      <c r="V73" s="69">
        <f>SUMIFS(Input!AA$2:AA$999,Input!$C$2:$C$999,CONCATENATE(LEFT($B$73,10),"*"),Input!$D$2:$D$999,$C$73)*IND_Mult!W73</f>
        <v>0.52000000000000002</v>
      </c>
      <c r="W73" s="69">
        <f>SUMIFS(Input!AB$2:AB$999,Input!$C$2:$C$999,CONCATENATE(LEFT($B$73,10),"*"),Input!$D$2:$D$999,$C$73)*IND_Mult!X73</f>
        <v>0.52000000000000002</v>
      </c>
      <c r="X73" s="69">
        <f>SUMIFS(Input!AC$2:AC$999,Input!$C$2:$C$999,CONCATENATE(LEFT($B$73,10),"*"),Input!$D$2:$D$999,$C$73)*IND_Mult!Y73</f>
        <v>0.52000000000000002</v>
      </c>
      <c r="Y73" s="69">
        <f>SUMIFS(Input!AD$2:AD$999,Input!$C$2:$C$999,CONCATENATE(LEFT($B$73,10),"*"),Input!$D$2:$D$999,$C$73)*IND_Mult!Z73</f>
        <v>0.52000000000000002</v>
      </c>
      <c r="Z73" s="69">
        <f>SUMIFS(Input!AE$2:AE$999,Input!$C$2:$C$999,CONCATENATE(LEFT($B$73,10),"*"),Input!$D$2:$D$999,$C$73)*IND_Mult!AA73</f>
        <v>0.52000000000000002</v>
      </c>
      <c r="AA73" s="69">
        <f>SUMIFS(Input!AF$2:AF$999,Input!$C$2:$C$999,CONCATENATE(LEFT($B$73,10),"*"),Input!$D$2:$D$999,$C$73)*IND_Mult!AB73</f>
        <v>0.52000000000000002</v>
      </c>
      <c r="AB73" s="69">
        <f>SUMIFS(Input!AG$2:AG$999,Input!$C$2:$C$999,CONCATENATE(LEFT($B$73,10),"*"),Input!$D$2:$D$999,$C$73)*IND_Mult!AC73</f>
        <v>0.52000000000000002</v>
      </c>
      <c r="AC73" s="69">
        <f>SUMIFS(Input!AH$2:AH$999,Input!$C$2:$C$999,CONCATENATE(LEFT($B$73,10),"*"),Input!$D$2:$D$999,$C$73)*IND_Mult!AD73</f>
        <v>0.40000000000000002</v>
      </c>
      <c r="AD73" s="69">
        <f>SUMIFS(Input!AI$2:AI$999,Input!$C$2:$C$999,CONCATENATE(LEFT($B$73,10),"*"),Input!$D$2:$D$999,$C$73)*IND_Mult!AE73</f>
        <v>0.52000000000000002</v>
      </c>
      <c r="AE73" s="69">
        <f>SUMIFS(Input!AJ$2:AJ$999,Input!$C$2:$C$999,CONCATENATE(LEFT($B$73,10),"*"),Input!$D$2:$D$999,$C$73)*IND_Mult!AF73</f>
        <v>0.52000000000000002</v>
      </c>
      <c r="AF73" s="69">
        <f>SUMIFS(Input!AK$2:AK$999,Input!$C$2:$C$999,CONCATENATE(LEFT($B$73,10),"*"),Input!$D$2:$D$999,$C$73)*IND_Mult!AG73</f>
        <v>0.52000000000000002</v>
      </c>
      <c r="AG73" s="69">
        <f>SUMIFS(Input!AL$2:AL$999,Input!$C$2:$C$999,CONCATENATE(LEFT($B$73,10),"*"),Input!$D$2:$D$999,$C$73)*IND_Mult!AH73</f>
        <v>0.52000000000000002</v>
      </c>
      <c r="AH73" s="69">
        <f>SUMIFS(Input!AM$2:AM$999,Input!$C$2:$C$999,CONCATENATE(LEFT($B$73,10),"*"),Input!$D$2:$D$999,$C$73)*IND_Mult!AI73</f>
        <v>0.52000000000000002</v>
      </c>
      <c r="AI73" s="69">
        <f>SUMIFS(Input!AN$2:AN$999,Input!$C$2:$C$999,CONCATENATE(LEFT($B$73,10),"*"),Input!$D$2:$D$999,$C$73)*IND_Mult!AJ73</f>
        <v>0.52000000000000002</v>
      </c>
      <c r="AJ73" s="69">
        <f>SUMIFS(Input!AO$2:AO$999,Input!$C$2:$C$999,CONCATENATE(LEFT($B$73,10),"*"),Input!$D$2:$D$999,$C$73)*IND_Mult!AK73</f>
        <v>0.52000000000000002</v>
      </c>
      <c r="AK73" s="69">
        <f>SUMIFS(Input!AP$2:AP$999,Input!$C$2:$C$999,CONCATENATE(LEFT($B$73,10),"*"),Input!$D$2:$D$999,$C$73)*IND_Mult!AL73</f>
        <v>0.52000000000000002</v>
      </c>
      <c r="AL73" s="69">
        <f>SUMIFS(Input!AQ$2:AQ$999,Input!$C$2:$C$999,CONCATENATE(LEFT($B$73,10),"*"),Input!$D$2:$D$999,$C$73)*IND_Mult!AM73</f>
        <v>0.52000000000000002</v>
      </c>
      <c r="AM73" s="69">
        <f>SUMIFS(Input!AR$2:AR$999,Input!$C$2:$C$999,CONCATENATE(LEFT($B$73,10),"*"),Input!$D$2:$D$999,$C$73)*IND_Mult!AN73</f>
        <v>0.52000000000000002</v>
      </c>
      <c r="AN73" s="69">
        <f>SUMIFS(Input!AS$2:AS$999,Input!$C$2:$C$999,CONCATENATE(LEFT($B$73,10),"*"),Input!$D$2:$D$999,$C$73)*IND_Mult!AO73</f>
        <v>0.52000000000000002</v>
      </c>
      <c r="AO73" s="69">
        <f>SUMIFS(Input!AT$2:AT$999,Input!$C$2:$C$999,CONCATENATE(LEFT($B$73,10),"*"),Input!$D$2:$D$999,$C$73)*IND_Mult!AP73</f>
        <v>0.52000000000000002</v>
      </c>
      <c r="AP73" s="69">
        <f>SUMIFS(Input!AU$2:AU$999,Input!$C$2:$C$999,CONCATENATE(LEFT($B$73,10),"*"),Input!$D$2:$D$999,$C$73)*IND_Mult!AQ73</f>
        <v>0.52000000000000002</v>
      </c>
      <c r="AQ73" s="69">
        <f>SUMIFS(Input!AV$2:AV$999,Input!$C$2:$C$999,CONCATENATE(LEFT($B$73,10),"*"),Input!$D$2:$D$999,$C$73)*IND_Mult!AR73</f>
        <v>0.52000000000000002</v>
      </c>
    </row>
    <row r="74" spans="1:43" ht="12.75">
      <c r="A74" s="6"/>
      <c r="B74" s="17" t="s">
        <v>269</v>
      </c>
      <c r="C74" s="18" t="s">
        <v>38</v>
      </c>
      <c r="D74" s="26"/>
      <c r="E74" s="16" t="s">
        <v>103</v>
      </c>
      <c r="F74" s="31"/>
      <c r="G74" s="69">
        <f>SUMIFS(Input!L$2:L$999,Input!$C$2:$C$999,CONCATENATE(LEFT($B$74,10),"*"),Input!$D$2:$D$999,$C$74)*IND_Mult!H74</f>
        <v>3.8999999999999999</v>
      </c>
      <c r="H74" s="69">
        <f>SUMIFS(Input!M$2:M$999,Input!$C$2:$C$999,CONCATENATE(LEFT($B$74,10),"*"),Input!$D$2:$D$999,$C$74)*IND_Mult!I74</f>
        <v>3.8999999999999999</v>
      </c>
      <c r="I74" s="69">
        <f>SUMIFS(Input!N$2:N$999,Input!$C$2:$C$999,CONCATENATE(LEFT($B$74,10),"*"),Input!$D$2:$D$999,$C$74)*IND_Mult!J74</f>
        <v>5.4000000000000004</v>
      </c>
      <c r="J74" s="69">
        <f>SUMIFS(Input!O$2:O$999,Input!$C$2:$C$999,CONCATENATE(LEFT($B$74,10),"*"),Input!$D$2:$D$999,$C$74)*IND_Mult!K74</f>
        <v>3.1200000000000001</v>
      </c>
      <c r="K74" s="69">
        <f>SUMIFS(Input!P$2:P$999,Input!$C$2:$C$999,CONCATENATE(LEFT($B$74,10),"*"),Input!$D$2:$D$999,$C$74)*IND_Mult!L74</f>
        <v>3.8999999999999999</v>
      </c>
      <c r="L74" s="69">
        <f>SUMIFS(Input!Q$2:Q$999,Input!$C$2:$C$999,CONCATENATE(LEFT($B$74,10),"*"),Input!$D$2:$D$999,$C$74)*IND_Mult!M74</f>
        <v>3.8999999999999999</v>
      </c>
      <c r="M74" s="69">
        <f>SUMIFS(Input!R$2:R$999,Input!$C$2:$C$999,CONCATENATE(LEFT($B$74,10),"*"),Input!$D$2:$D$999,$C$74)*IND_Mult!N74</f>
        <v>3.8999999999999999</v>
      </c>
      <c r="N74" s="69">
        <f>SUMIFS(Input!S$2:S$999,Input!$C$2:$C$999,CONCATENATE(LEFT($B$74,10),"*"),Input!$D$2:$D$999,$C$74)*IND_Mult!O74</f>
        <v>3.8999999999999999</v>
      </c>
      <c r="O74" s="69">
        <f>SUMIFS(Input!T$2:T$999,Input!$C$2:$C$999,CONCATENATE(LEFT($B$74,10),"*"),Input!$D$2:$D$999,$C$74)*IND_Mult!P74</f>
        <v>3.3149999999999999</v>
      </c>
      <c r="P74" s="69">
        <f>SUMIFS(Input!U$2:U$999,Input!$C$2:$C$999,CONCATENATE(LEFT($B$74,10),"*"),Input!$D$2:$D$999,$C$74)*IND_Mult!Q74</f>
        <v>3.8999999999999999</v>
      </c>
      <c r="Q74" s="69">
        <f>SUMIFS(Input!V$2:V$999,Input!$C$2:$C$999,CONCATENATE(LEFT($B$74,10),"*"),Input!$D$2:$D$999,$C$74)*IND_Mult!R74</f>
        <v>3.8999999999999999</v>
      </c>
      <c r="R74" s="69">
        <f>SUMIFS(Input!W$2:W$999,Input!$C$2:$C$999,CONCATENATE(LEFT($B$74,10),"*"),Input!$D$2:$D$999,$C$74)*IND_Mult!S74</f>
        <v>3.8999999999999999</v>
      </c>
      <c r="S74" s="69">
        <f>SUMIFS(Input!X$2:X$999,Input!$C$2:$C$999,CONCATENATE(LEFT($B$74,10),"*"),Input!$D$2:$D$999,$C$74)*IND_Mult!T74</f>
        <v>3.8999999999999999</v>
      </c>
      <c r="T74" s="69">
        <f>SUMIFS(Input!Y$2:Y$999,Input!$C$2:$C$999,CONCATENATE(LEFT($B$74,10),"*"),Input!$D$2:$D$999,$C$74)*IND_Mult!U74</f>
        <v>3.8999999999999999</v>
      </c>
      <c r="U74" s="69">
        <f>SUMIFS(Input!Z$2:Z$999,Input!$C$2:$C$999,CONCATENATE(LEFT($B$74,10),"*"),Input!$D$2:$D$999,$C$74)*IND_Mult!V74</f>
        <v>3.8999999999999999</v>
      </c>
      <c r="V74" s="69">
        <f>SUMIFS(Input!AA$2:AA$999,Input!$C$2:$C$999,CONCATENATE(LEFT($B$74,10),"*"),Input!$D$2:$D$999,$C$74)*IND_Mult!W74</f>
        <v>3.8999999999999999</v>
      </c>
      <c r="W74" s="69">
        <f>SUMIFS(Input!AB$2:AB$999,Input!$C$2:$C$999,CONCATENATE(LEFT($B$74,10),"*"),Input!$D$2:$D$999,$C$74)*IND_Mult!X74</f>
        <v>3.8999999999999999</v>
      </c>
      <c r="X74" s="69">
        <f>SUMIFS(Input!AC$2:AC$999,Input!$C$2:$C$999,CONCATENATE(LEFT($B$74,10),"*"),Input!$D$2:$D$999,$C$74)*IND_Mult!Y74</f>
        <v>3.8999999999999999</v>
      </c>
      <c r="Y74" s="69">
        <f>SUMIFS(Input!AD$2:AD$999,Input!$C$2:$C$999,CONCATENATE(LEFT($B$74,10),"*"),Input!$D$2:$D$999,$C$74)*IND_Mult!Z74</f>
        <v>3.8999999999999999</v>
      </c>
      <c r="Z74" s="69">
        <f>SUMIFS(Input!AE$2:AE$999,Input!$C$2:$C$999,CONCATENATE(LEFT($B$74,10),"*"),Input!$D$2:$D$999,$C$74)*IND_Mult!AA74</f>
        <v>3.8999999999999999</v>
      </c>
      <c r="AA74" s="69">
        <f>SUMIFS(Input!AF$2:AF$999,Input!$C$2:$C$999,CONCATENATE(LEFT($B$74,10),"*"),Input!$D$2:$D$999,$C$74)*IND_Mult!AB74</f>
        <v>3.8999999999999999</v>
      </c>
      <c r="AB74" s="69">
        <f>SUMIFS(Input!AG$2:AG$999,Input!$C$2:$C$999,CONCATENATE(LEFT($B$74,10),"*"),Input!$D$2:$D$999,$C$74)*IND_Mult!AC74</f>
        <v>3.8999999999999999</v>
      </c>
      <c r="AC74" s="69">
        <f>SUMIFS(Input!AH$2:AH$999,Input!$C$2:$C$999,CONCATENATE(LEFT($B$74,10),"*"),Input!$D$2:$D$999,$C$74)*IND_Mult!AD74</f>
        <v>5.4000000000000004</v>
      </c>
      <c r="AD74" s="69">
        <f>SUMIFS(Input!AI$2:AI$999,Input!$C$2:$C$999,CONCATENATE(LEFT($B$74,10),"*"),Input!$D$2:$D$999,$C$74)*IND_Mult!AE74</f>
        <v>3.8999999999999999</v>
      </c>
      <c r="AE74" s="69">
        <f>SUMIFS(Input!AJ$2:AJ$999,Input!$C$2:$C$999,CONCATENATE(LEFT($B$74,10),"*"),Input!$D$2:$D$999,$C$74)*IND_Mult!AF74</f>
        <v>3.8999999999999999</v>
      </c>
      <c r="AF74" s="69">
        <f>SUMIFS(Input!AK$2:AK$999,Input!$C$2:$C$999,CONCATENATE(LEFT($B$74,10),"*"),Input!$D$2:$D$999,$C$74)*IND_Mult!AG74</f>
        <v>3.8999999999999999</v>
      </c>
      <c r="AG74" s="69">
        <f>SUMIFS(Input!AL$2:AL$999,Input!$C$2:$C$999,CONCATENATE(LEFT($B$74,10),"*"),Input!$D$2:$D$999,$C$74)*IND_Mult!AH74</f>
        <v>3.8999999999999999</v>
      </c>
      <c r="AH74" s="69">
        <f>SUMIFS(Input!AM$2:AM$999,Input!$C$2:$C$999,CONCATENATE(LEFT($B$74,10),"*"),Input!$D$2:$D$999,$C$74)*IND_Mult!AI74</f>
        <v>3</v>
      </c>
      <c r="AI74" s="69">
        <f>SUMIFS(Input!AN$2:AN$999,Input!$C$2:$C$999,CONCATENATE(LEFT($B$74,10),"*"),Input!$D$2:$D$999,$C$74)*IND_Mult!AJ74</f>
        <v>3.8999999999999999</v>
      </c>
      <c r="AJ74" s="69">
        <f>SUMIFS(Input!AO$2:AO$999,Input!$C$2:$C$999,CONCATENATE(LEFT($B$74,10),"*"),Input!$D$2:$D$999,$C$74)*IND_Mult!AK74</f>
        <v>4.4249999999999998</v>
      </c>
      <c r="AK74" s="69">
        <f>SUMIFS(Input!AP$2:AP$999,Input!$C$2:$C$999,CONCATENATE(LEFT($B$74,10),"*"),Input!$D$2:$D$999,$C$74)*IND_Mult!AL74</f>
        <v>5.46</v>
      </c>
      <c r="AL74" s="69">
        <f>SUMIFS(Input!AQ$2:AQ$999,Input!$C$2:$C$999,CONCATENATE(LEFT($B$74,10),"*"),Input!$D$2:$D$999,$C$74)*IND_Mult!AM74</f>
        <v>3.8999999999999999</v>
      </c>
      <c r="AM74" s="69">
        <f>SUMIFS(Input!AR$2:AR$999,Input!$C$2:$C$999,CONCATENATE(LEFT($B$74,10),"*"),Input!$D$2:$D$999,$C$74)*IND_Mult!AN74</f>
        <v>3.8999999999999999</v>
      </c>
      <c r="AN74" s="69">
        <f>SUMIFS(Input!AS$2:AS$999,Input!$C$2:$C$999,CONCATENATE(LEFT($B$74,10),"*"),Input!$D$2:$D$999,$C$74)*IND_Mult!AO74</f>
        <v>3.8999999999999999</v>
      </c>
      <c r="AO74" s="69">
        <f>SUMIFS(Input!AT$2:AT$999,Input!$C$2:$C$999,CONCATENATE(LEFT($B$74,10),"*"),Input!$D$2:$D$999,$C$74)*IND_Mult!AP74</f>
        <v>3.8999999999999999</v>
      </c>
      <c r="AP74" s="69">
        <f>SUMIFS(Input!AU$2:AU$999,Input!$C$2:$C$999,CONCATENATE(LEFT($B$74,10),"*"),Input!$D$2:$D$999,$C$74)*IND_Mult!AQ74</f>
        <v>5.4000000000000004</v>
      </c>
      <c r="AQ74" s="69">
        <f>SUMIFS(Input!AV$2:AV$999,Input!$C$2:$C$999,CONCATENATE(LEFT($B$74,10),"*"),Input!$D$2:$D$999,$C$74)*IND_Mult!AR74</f>
        <v>5.4000000000000004</v>
      </c>
    </row>
    <row r="75" spans="1:43" ht="12.75">
      <c r="A75" s="6"/>
      <c r="B75" s="17" t="s">
        <v>269</v>
      </c>
      <c r="C75" s="18" t="s">
        <v>43</v>
      </c>
      <c r="D75" s="26"/>
      <c r="E75" s="16" t="s">
        <v>103</v>
      </c>
      <c r="F75" s="31"/>
      <c r="G75" s="69">
        <f>SUMIFS(Input!L$2:L$999,Input!$C$2:$C$999,CONCATENATE(LEFT($B$75,10),"*"),Input!$D$2:$D$999,$C$75)*IND_Mult!H75</f>
        <v>1.5</v>
      </c>
      <c r="H75" s="69">
        <f>SUMIFS(Input!M$2:M$999,Input!$C$2:$C$999,CONCATENATE(LEFT($B$75,10),"*"),Input!$D$2:$D$999,$C$75)*IND_Mult!I75</f>
        <v>1.5</v>
      </c>
      <c r="I75" s="69">
        <f>SUMIFS(Input!N$2:N$999,Input!$C$2:$C$999,CONCATENATE(LEFT($B$75,10),"*"),Input!$D$2:$D$999,$C$75)*IND_Mult!J75</f>
        <v>0</v>
      </c>
      <c r="J75" s="69">
        <f>SUMIFS(Input!O$2:O$999,Input!$C$2:$C$999,CONCATENATE(LEFT($B$75,10),"*"),Input!$D$2:$D$999,$C$75)*IND_Mult!K75</f>
        <v>1.2</v>
      </c>
      <c r="K75" s="69">
        <f>SUMIFS(Input!P$2:P$999,Input!$C$2:$C$999,CONCATENATE(LEFT($B$75,10),"*"),Input!$D$2:$D$999,$C$75)*IND_Mult!L75</f>
        <v>1.5</v>
      </c>
      <c r="L75" s="69">
        <f>SUMIFS(Input!Q$2:Q$999,Input!$C$2:$C$999,CONCATENATE(LEFT($B$75,10),"*"),Input!$D$2:$D$999,$C$75)*IND_Mult!M75</f>
        <v>1.5</v>
      </c>
      <c r="M75" s="69">
        <f>SUMIFS(Input!R$2:R$999,Input!$C$2:$C$999,CONCATENATE(LEFT($B$75,10),"*"),Input!$D$2:$D$999,$C$75)*IND_Mult!N75</f>
        <v>1.5</v>
      </c>
      <c r="N75" s="69">
        <f>SUMIFS(Input!S$2:S$999,Input!$C$2:$C$999,CONCATENATE(LEFT($B$75,10),"*"),Input!$D$2:$D$999,$C$75)*IND_Mult!O75</f>
        <v>1.5</v>
      </c>
      <c r="O75" s="69">
        <f>SUMIFS(Input!T$2:T$999,Input!$C$2:$C$999,CONCATENATE(LEFT($B$75,10),"*"),Input!$D$2:$D$999,$C$75)*IND_Mult!P75</f>
        <v>1.2749999999999999</v>
      </c>
      <c r="P75" s="69">
        <f>SUMIFS(Input!U$2:U$999,Input!$C$2:$C$999,CONCATENATE(LEFT($B$75,10),"*"),Input!$D$2:$D$999,$C$75)*IND_Mult!Q75</f>
        <v>1.5</v>
      </c>
      <c r="Q75" s="69">
        <f>SUMIFS(Input!V$2:V$999,Input!$C$2:$C$999,CONCATENATE(LEFT($B$75,10),"*"),Input!$D$2:$D$999,$C$75)*IND_Mult!R75</f>
        <v>1.5</v>
      </c>
      <c r="R75" s="69">
        <f>SUMIFS(Input!W$2:W$999,Input!$C$2:$C$999,CONCATENATE(LEFT($B$75,10),"*"),Input!$D$2:$D$999,$C$75)*IND_Mult!S75</f>
        <v>1.5</v>
      </c>
      <c r="S75" s="69">
        <f>SUMIFS(Input!X$2:X$999,Input!$C$2:$C$999,CONCATENATE(LEFT($B$75,10),"*"),Input!$D$2:$D$999,$C$75)*IND_Mult!T75</f>
        <v>1.5</v>
      </c>
      <c r="T75" s="69">
        <f>SUMIFS(Input!Y$2:Y$999,Input!$C$2:$C$999,CONCATENATE(LEFT($B$75,10),"*"),Input!$D$2:$D$999,$C$75)*IND_Mult!U75</f>
        <v>1.5</v>
      </c>
      <c r="U75" s="69">
        <f>SUMIFS(Input!Z$2:Z$999,Input!$C$2:$C$999,CONCATENATE(LEFT($B$75,10),"*"),Input!$D$2:$D$999,$C$75)*IND_Mult!V75</f>
        <v>1.5</v>
      </c>
      <c r="V75" s="69">
        <f>SUMIFS(Input!AA$2:AA$999,Input!$C$2:$C$999,CONCATENATE(LEFT($B$75,10),"*"),Input!$D$2:$D$999,$C$75)*IND_Mult!W75</f>
        <v>1.5</v>
      </c>
      <c r="W75" s="69">
        <f>SUMIFS(Input!AB$2:AB$999,Input!$C$2:$C$999,CONCATENATE(LEFT($B$75,10),"*"),Input!$D$2:$D$999,$C$75)*IND_Mult!X75</f>
        <v>1.5</v>
      </c>
      <c r="X75" s="69">
        <f>SUMIFS(Input!AC$2:AC$999,Input!$C$2:$C$999,CONCATENATE(LEFT($B$75,10),"*"),Input!$D$2:$D$999,$C$75)*IND_Mult!Y75</f>
        <v>1.5</v>
      </c>
      <c r="Y75" s="69">
        <f>SUMIFS(Input!AD$2:AD$999,Input!$C$2:$C$999,CONCATENATE(LEFT($B$75,10),"*"),Input!$D$2:$D$999,$C$75)*IND_Mult!Z75</f>
        <v>1.5</v>
      </c>
      <c r="Z75" s="69">
        <f>SUMIFS(Input!AE$2:AE$999,Input!$C$2:$C$999,CONCATENATE(LEFT($B$75,10),"*"),Input!$D$2:$D$999,$C$75)*IND_Mult!AA75</f>
        <v>1.5</v>
      </c>
      <c r="AA75" s="69">
        <f>SUMIFS(Input!AF$2:AF$999,Input!$C$2:$C$999,CONCATENATE(LEFT($B$75,10),"*"),Input!$D$2:$D$999,$C$75)*IND_Mult!AB75</f>
        <v>1.5</v>
      </c>
      <c r="AB75" s="69">
        <f>SUMIFS(Input!AG$2:AG$999,Input!$C$2:$C$999,CONCATENATE(LEFT($B$75,10),"*"),Input!$D$2:$D$999,$C$75)*IND_Mult!AC75</f>
        <v>1.5</v>
      </c>
      <c r="AC75" s="69">
        <f>SUMIFS(Input!AH$2:AH$999,Input!$C$2:$C$999,CONCATENATE(LEFT($B$75,10),"*"),Input!$D$2:$D$999,$C$75)*IND_Mult!AD75</f>
        <v>0</v>
      </c>
      <c r="AD75" s="69">
        <f>SUMIFS(Input!AI$2:AI$999,Input!$C$2:$C$999,CONCATENATE(LEFT($B$75,10),"*"),Input!$D$2:$D$999,$C$75)*IND_Mult!AE75</f>
        <v>1.5</v>
      </c>
      <c r="AE75" s="69">
        <f>SUMIFS(Input!AJ$2:AJ$999,Input!$C$2:$C$999,CONCATENATE(LEFT($B$75,10),"*"),Input!$D$2:$D$999,$C$75)*IND_Mult!AF75</f>
        <v>1.5</v>
      </c>
      <c r="AF75" s="69">
        <f>SUMIFS(Input!AK$2:AK$999,Input!$C$2:$C$999,CONCATENATE(LEFT($B$75,10),"*"),Input!$D$2:$D$999,$C$75)*IND_Mult!AG75</f>
        <v>1.5</v>
      </c>
      <c r="AG75" s="69">
        <f>SUMIFS(Input!AL$2:AL$999,Input!$C$2:$C$999,CONCATENATE(LEFT($B$75,10),"*"),Input!$D$2:$D$999,$C$75)*IND_Mult!AH75</f>
        <v>1.5</v>
      </c>
      <c r="AH75" s="69">
        <f>SUMIFS(Input!AM$2:AM$999,Input!$C$2:$C$999,CONCATENATE(LEFT($B$75,10),"*"),Input!$D$2:$D$999,$C$75)*IND_Mult!AI75</f>
        <v>1</v>
      </c>
      <c r="AI75" s="69">
        <f>SUMIFS(Input!AN$2:AN$999,Input!$C$2:$C$999,CONCATENATE(LEFT($B$75,10),"*"),Input!$D$2:$D$999,$C$75)*IND_Mult!AJ75</f>
        <v>1.5</v>
      </c>
      <c r="AJ75" s="69">
        <f>SUMIFS(Input!AO$2:AO$999,Input!$C$2:$C$999,CONCATENATE(LEFT($B$75,10),"*"),Input!$D$2:$D$999,$C$75)*IND_Mult!AK75</f>
        <v>0.97499999999999998</v>
      </c>
      <c r="AK75" s="69">
        <f>SUMIFS(Input!AP$2:AP$999,Input!$C$2:$C$999,CONCATENATE(LEFT($B$75,10),"*"),Input!$D$2:$D$999,$C$75)*IND_Mult!AL75</f>
        <v>0.98499999999999999</v>
      </c>
      <c r="AL75" s="69">
        <f>SUMIFS(Input!AQ$2:AQ$999,Input!$C$2:$C$999,CONCATENATE(LEFT($B$75,10),"*"),Input!$D$2:$D$999,$C$75)*IND_Mult!AM75</f>
        <v>1.5</v>
      </c>
      <c r="AM75" s="69">
        <f>SUMIFS(Input!AR$2:AR$999,Input!$C$2:$C$999,CONCATENATE(LEFT($B$75,10),"*"),Input!$D$2:$D$999,$C$75)*IND_Mult!AN75</f>
        <v>1.5</v>
      </c>
      <c r="AN75" s="69">
        <f>SUMIFS(Input!AS$2:AS$999,Input!$C$2:$C$999,CONCATENATE(LEFT($B$75,10),"*"),Input!$D$2:$D$999,$C$75)*IND_Mult!AO75</f>
        <v>1.5</v>
      </c>
      <c r="AO75" s="69">
        <f>SUMIFS(Input!AT$2:AT$999,Input!$C$2:$C$999,CONCATENATE(LEFT($B$75,10),"*"),Input!$D$2:$D$999,$C$75)*IND_Mult!AP75</f>
        <v>1.5</v>
      </c>
      <c r="AP75" s="69">
        <f>SUMIFS(Input!AU$2:AU$999,Input!$C$2:$C$999,CONCATENATE(LEFT($B$75,10),"*"),Input!$D$2:$D$999,$C$75)*IND_Mult!AQ75</f>
        <v>1.5</v>
      </c>
      <c r="AQ75" s="69">
        <f>SUMIFS(Input!AV$2:AV$999,Input!$C$2:$C$999,CONCATENATE(LEFT($B$75,10),"*"),Input!$D$2:$D$999,$C$75)*IND_Mult!AR75</f>
        <v>0</v>
      </c>
    </row>
    <row r="76" spans="1:43" ht="12.75">
      <c r="A76" s="6"/>
      <c r="B76" s="17" t="s">
        <v>269</v>
      </c>
      <c r="C76" s="18" t="s">
        <v>100</v>
      </c>
      <c r="D76" s="26"/>
      <c r="E76" s="16" t="s">
        <v>103</v>
      </c>
      <c r="F76" s="31"/>
      <c r="G76" s="69">
        <f>SUMIFS(Input!L$2:L$999,Input!$C$2:$C$999,CONCATENATE(LEFT($B$76,10),"*"),Input!$D$2:$D$999,$C$76)*IND_Mult!H76</f>
        <v>1.05</v>
      </c>
      <c r="H76" s="69">
        <f>SUMIFS(Input!M$2:M$999,Input!$C$2:$C$999,CONCATENATE(LEFT($B$76,10),"*"),Input!$D$2:$D$999,$C$76)*IND_Mult!I76</f>
        <v>1.05</v>
      </c>
      <c r="I76" s="69">
        <f>SUMIFS(Input!N$2:N$999,Input!$C$2:$C$999,CONCATENATE(LEFT($B$76,10),"*"),Input!$D$2:$D$999,$C$76)*IND_Mult!J76</f>
        <v>1.05</v>
      </c>
      <c r="J76" s="69">
        <f>SUMIFS(Input!O$2:O$999,Input!$C$2:$C$999,CONCATENATE(LEFT($B$76,10),"*"),Input!$D$2:$D$999,$C$76)*IND_Mult!K76</f>
        <v>1.05</v>
      </c>
      <c r="K76" s="69">
        <f>SUMIFS(Input!P$2:P$999,Input!$C$2:$C$999,CONCATENATE(LEFT($B$76,10),"*"),Input!$D$2:$D$999,$C$76)*IND_Mult!L76</f>
        <v>1.05</v>
      </c>
      <c r="L76" s="69">
        <f>SUMIFS(Input!Q$2:Q$999,Input!$C$2:$C$999,CONCATENATE(LEFT($B$76,10),"*"),Input!$D$2:$D$999,$C$76)*IND_Mult!M76</f>
        <v>1.05</v>
      </c>
      <c r="M76" s="69">
        <f>SUMIFS(Input!R$2:R$999,Input!$C$2:$C$999,CONCATENATE(LEFT($B$76,10),"*"),Input!$D$2:$D$999,$C$76)*IND_Mult!N76</f>
        <v>1.05</v>
      </c>
      <c r="N76" s="69">
        <f>SUMIFS(Input!S$2:S$999,Input!$C$2:$C$999,CONCATENATE(LEFT($B$76,10),"*"),Input!$D$2:$D$999,$C$76)*IND_Mult!O76</f>
        <v>1.05</v>
      </c>
      <c r="O76" s="69">
        <f>SUMIFS(Input!T$2:T$999,Input!$C$2:$C$999,CONCATENATE(LEFT($B$76,10),"*"),Input!$D$2:$D$999,$C$76)*IND_Mult!P76</f>
        <v>0.89249999999999996</v>
      </c>
      <c r="P76" s="69">
        <f>SUMIFS(Input!U$2:U$999,Input!$C$2:$C$999,CONCATENATE(LEFT($B$76,10),"*"),Input!$D$2:$D$999,$C$76)*IND_Mult!Q76</f>
        <v>1.05</v>
      </c>
      <c r="Q76" s="69">
        <f>SUMIFS(Input!V$2:V$999,Input!$C$2:$C$999,CONCATENATE(LEFT($B$76,10),"*"),Input!$D$2:$D$999,$C$76)*IND_Mult!R76</f>
        <v>1.05</v>
      </c>
      <c r="R76" s="69">
        <f>SUMIFS(Input!W$2:W$999,Input!$C$2:$C$999,CONCATENATE(LEFT($B$76,10),"*"),Input!$D$2:$D$999,$C$76)*IND_Mult!S76</f>
        <v>1.05</v>
      </c>
      <c r="S76" s="69">
        <f>SUMIFS(Input!X$2:X$999,Input!$C$2:$C$999,CONCATENATE(LEFT($B$76,10),"*"),Input!$D$2:$D$999,$C$76)*IND_Mult!T76</f>
        <v>1.05</v>
      </c>
      <c r="T76" s="69">
        <f>SUMIFS(Input!Y$2:Y$999,Input!$C$2:$C$999,CONCATENATE(LEFT($B$76,10),"*"),Input!$D$2:$D$999,$C$76)*IND_Mult!U76</f>
        <v>1.05</v>
      </c>
      <c r="U76" s="69">
        <f>SUMIFS(Input!Z$2:Z$999,Input!$C$2:$C$999,CONCATENATE(LEFT($B$76,10),"*"),Input!$D$2:$D$999,$C$76)*IND_Mult!V76</f>
        <v>1.05</v>
      </c>
      <c r="V76" s="69">
        <f>SUMIFS(Input!AA$2:AA$999,Input!$C$2:$C$999,CONCATENATE(LEFT($B$76,10),"*"),Input!$D$2:$D$999,$C$76)*IND_Mult!W76</f>
        <v>1.05</v>
      </c>
      <c r="W76" s="69">
        <f>SUMIFS(Input!AB$2:AB$999,Input!$C$2:$C$999,CONCATENATE(LEFT($B$76,10),"*"),Input!$D$2:$D$999,$C$76)*IND_Mult!X76</f>
        <v>1.05</v>
      </c>
      <c r="X76" s="69">
        <f>SUMIFS(Input!AC$2:AC$999,Input!$C$2:$C$999,CONCATENATE(LEFT($B$76,10),"*"),Input!$D$2:$D$999,$C$76)*IND_Mult!Y76</f>
        <v>1.05</v>
      </c>
      <c r="Y76" s="69">
        <f>SUMIFS(Input!AD$2:AD$999,Input!$C$2:$C$999,CONCATENATE(LEFT($B$76,10),"*"),Input!$D$2:$D$999,$C$76)*IND_Mult!Z76</f>
        <v>1.05</v>
      </c>
      <c r="Z76" s="69">
        <f>SUMIFS(Input!AE$2:AE$999,Input!$C$2:$C$999,CONCATENATE(LEFT($B$76,10),"*"),Input!$D$2:$D$999,$C$76)*IND_Mult!AA76</f>
        <v>1.05</v>
      </c>
      <c r="AA76" s="69">
        <f>SUMIFS(Input!AF$2:AF$999,Input!$C$2:$C$999,CONCATENATE(LEFT($B$76,10),"*"),Input!$D$2:$D$999,$C$76)*IND_Mult!AB76</f>
        <v>1.05</v>
      </c>
      <c r="AB76" s="69">
        <f>SUMIFS(Input!AG$2:AG$999,Input!$C$2:$C$999,CONCATENATE(LEFT($B$76,10),"*"),Input!$D$2:$D$999,$C$76)*IND_Mult!AC76</f>
        <v>1.05</v>
      </c>
      <c r="AC76" s="69">
        <f>SUMIFS(Input!AH$2:AH$999,Input!$C$2:$C$999,CONCATENATE(LEFT($B$76,10),"*"),Input!$D$2:$D$999,$C$76)*IND_Mult!AD76</f>
        <v>1.05</v>
      </c>
      <c r="AD76" s="69">
        <f>SUMIFS(Input!AI$2:AI$999,Input!$C$2:$C$999,CONCATENATE(LEFT($B$76,10),"*"),Input!$D$2:$D$999,$C$76)*IND_Mult!AE76</f>
        <v>1.05</v>
      </c>
      <c r="AE76" s="69">
        <f>SUMIFS(Input!AJ$2:AJ$999,Input!$C$2:$C$999,CONCATENATE(LEFT($B$76,10),"*"),Input!$D$2:$D$999,$C$76)*IND_Mult!AF76</f>
        <v>1.05</v>
      </c>
      <c r="AF76" s="69">
        <f>SUMIFS(Input!AK$2:AK$999,Input!$C$2:$C$999,CONCATENATE(LEFT($B$76,10),"*"),Input!$D$2:$D$999,$C$76)*IND_Mult!AG76</f>
        <v>1.05</v>
      </c>
      <c r="AG76" s="69">
        <f>SUMIFS(Input!AL$2:AL$999,Input!$C$2:$C$999,CONCATENATE(LEFT($B$76,10),"*"),Input!$D$2:$D$999,$C$76)*IND_Mult!AH76</f>
        <v>1.05</v>
      </c>
      <c r="AH76" s="69">
        <f>SUMIFS(Input!AM$2:AM$999,Input!$C$2:$C$999,CONCATENATE(LEFT($B$76,10),"*"),Input!$D$2:$D$999,$C$76)*IND_Mult!AI76</f>
        <v>1.2</v>
      </c>
      <c r="AI76" s="69">
        <f>SUMIFS(Input!AN$2:AN$999,Input!$C$2:$C$999,CONCATENATE(LEFT($B$76,10),"*"),Input!$D$2:$D$999,$C$76)*IND_Mult!AJ76</f>
        <v>1.05</v>
      </c>
      <c r="AJ76" s="69">
        <f>SUMIFS(Input!AO$2:AO$999,Input!$C$2:$C$999,CONCATENATE(LEFT($B$76,10),"*"),Input!$D$2:$D$999,$C$76)*IND_Mult!AK76</f>
        <v>1.05</v>
      </c>
      <c r="AK76" s="69">
        <f>SUMIFS(Input!AP$2:AP$999,Input!$C$2:$C$999,CONCATENATE(LEFT($B$76,10),"*"),Input!$D$2:$D$999,$C$76)*IND_Mult!AL76</f>
        <v>1.2</v>
      </c>
      <c r="AL76" s="69">
        <f>SUMIFS(Input!AQ$2:AQ$999,Input!$C$2:$C$999,CONCATENATE(LEFT($B$76,10),"*"),Input!$D$2:$D$999,$C$76)*IND_Mult!AM76</f>
        <v>1.05</v>
      </c>
      <c r="AM76" s="69">
        <f>SUMIFS(Input!AR$2:AR$999,Input!$C$2:$C$999,CONCATENATE(LEFT($B$76,10),"*"),Input!$D$2:$D$999,$C$76)*IND_Mult!AN76</f>
        <v>1.05</v>
      </c>
      <c r="AN76" s="69">
        <f>SUMIFS(Input!AS$2:AS$999,Input!$C$2:$C$999,CONCATENATE(LEFT($B$76,10),"*"),Input!$D$2:$D$999,$C$76)*IND_Mult!AO76</f>
        <v>1.05</v>
      </c>
      <c r="AO76" s="69">
        <f>SUMIFS(Input!AT$2:AT$999,Input!$C$2:$C$999,CONCATENATE(LEFT($B$76,10),"*"),Input!$D$2:$D$999,$C$76)*IND_Mult!AP76</f>
        <v>1.05</v>
      </c>
      <c r="AP76" s="69">
        <f>SUMIFS(Input!AU$2:AU$999,Input!$C$2:$C$999,CONCATENATE(LEFT($B$76,10),"*"),Input!$D$2:$D$999,$C$76)*IND_Mult!AQ76</f>
        <v>1.05</v>
      </c>
      <c r="AQ76" s="69">
        <f>SUMIFS(Input!AV$2:AV$999,Input!$C$2:$C$999,CONCATENATE(LEFT($B$76,10),"*"),Input!$D$2:$D$999,$C$76)*IND_Mult!AR76</f>
        <v>1.05</v>
      </c>
    </row>
    <row r="77" spans="2:43" s="66" customFormat="1" ht="12.75">
      <c r="B77" s="20" t="s">
        <v>279</v>
      </c>
      <c r="C77" s="61" t="s">
        <v>37</v>
      </c>
      <c r="D77" s="22" t="s">
        <v>287</v>
      </c>
      <c r="E77" t="s">
        <v>286</v>
      </c>
      <c r="F77" s="62"/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0</v>
      </c>
      <c r="Y77" s="60">
        <v>0</v>
      </c>
      <c r="Z77" s="60">
        <v>0</v>
      </c>
      <c r="AA77" s="60">
        <v>0</v>
      </c>
      <c r="AB77" s="60">
        <v>0</v>
      </c>
      <c r="AC77" s="60">
        <v>0</v>
      </c>
      <c r="AD77" s="60">
        <v>0</v>
      </c>
      <c r="AE77" s="60">
        <v>0</v>
      </c>
      <c r="AF77" s="60">
        <v>0</v>
      </c>
      <c r="AG77" s="60">
        <v>0</v>
      </c>
      <c r="AH77" s="60">
        <v>0</v>
      </c>
      <c r="AI77" s="60">
        <v>0</v>
      </c>
      <c r="AJ77" s="60">
        <v>0</v>
      </c>
      <c r="AK77" s="60">
        <v>0</v>
      </c>
      <c r="AL77" s="60">
        <v>0</v>
      </c>
      <c r="AM77" s="60">
        <v>0</v>
      </c>
      <c r="AN77" s="60">
        <v>0</v>
      </c>
      <c r="AO77" s="60">
        <v>0</v>
      </c>
      <c r="AP77" s="60">
        <v>0</v>
      </c>
      <c r="AQ77" s="60">
        <v>0</v>
      </c>
    </row>
    <row r="78" spans="2:43" s="66" customFormat="1" ht="12.75">
      <c r="B78" s="20" t="s">
        <v>279</v>
      </c>
      <c r="C78" s="61" t="s">
        <v>38</v>
      </c>
      <c r="D78" s="22" t="s">
        <v>287</v>
      </c>
      <c r="E78" t="s">
        <v>286</v>
      </c>
      <c r="F78" s="62"/>
      <c r="G78" s="60">
        <v>0</v>
      </c>
      <c r="H78" s="60">
        <v>0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>
        <v>0</v>
      </c>
      <c r="AE78" s="60">
        <v>0</v>
      </c>
      <c r="AF78" s="60">
        <v>0</v>
      </c>
      <c r="AG78" s="60">
        <v>0</v>
      </c>
      <c r="AH78" s="60">
        <v>0</v>
      </c>
      <c r="AI78" s="60">
        <v>0</v>
      </c>
      <c r="AJ78" s="60">
        <v>0</v>
      </c>
      <c r="AK78" s="60">
        <v>0</v>
      </c>
      <c r="AL78" s="60">
        <v>0</v>
      </c>
      <c r="AM78" s="60">
        <v>0</v>
      </c>
      <c r="AN78" s="60">
        <v>0</v>
      </c>
      <c r="AO78" s="60">
        <v>0</v>
      </c>
      <c r="AP78" s="60">
        <v>0</v>
      </c>
      <c r="AQ78" s="60">
        <v>0</v>
      </c>
    </row>
    <row r="79" spans="2:43" s="66" customFormat="1" ht="12.75">
      <c r="B79" s="20" t="s">
        <v>279</v>
      </c>
      <c r="C79" s="61"/>
      <c r="D79" s="22"/>
      <c r="E79" t="s">
        <v>278</v>
      </c>
      <c r="F79" s="62"/>
      <c r="G79" s="68">
        <f>0.152765047357165*(AVERAGE(IND_Mult!H78:H80))</f>
        <v>0.15276504735716501</v>
      </c>
      <c r="H79" s="68">
        <f>0.152765047357165*(AVERAGE(IND_Mult!I78:I80))</f>
        <v>0.15276504735716501</v>
      </c>
      <c r="I79" s="68">
        <f>0.152765047357165*(AVERAGE(IND_Mult!J78:J80))</f>
        <v>0.15276504735716501</v>
      </c>
      <c r="J79" s="68">
        <f>0.152765047357165*(AVERAGE(IND_Mult!K78:K80))</f>
        <v>0.15276504735716501</v>
      </c>
      <c r="K79" s="68">
        <f>0.152765047357165*(AVERAGE(IND_Mult!L78:L80))</f>
        <v>0.15276504735716501</v>
      </c>
      <c r="L79" s="68">
        <f>0.152765047357165*(AVERAGE(IND_Mult!M78:M80))</f>
        <v>0.15276504735716501</v>
      </c>
      <c r="M79" s="68">
        <f>0.152765047357165*(AVERAGE(IND_Mult!N78:N80))</f>
        <v>0.15276504735716501</v>
      </c>
      <c r="N79" s="68">
        <f>0.152765047357165*(AVERAGE(IND_Mult!O78:O80))</f>
        <v>0.15276504735716501</v>
      </c>
      <c r="O79" s="68">
        <f>0.152765047357165*(AVERAGE(IND_Mult!P78:P80))</f>
        <v>0.12985029025359024</v>
      </c>
      <c r="P79" s="68">
        <f>0.152765047357165*(AVERAGE(IND_Mult!Q78:Q80))</f>
        <v>0.15276504735716501</v>
      </c>
      <c r="Q79" s="68">
        <f>0.152765047357165*(AVERAGE(IND_Mult!R78:R80))</f>
        <v>0.15276504735716501</v>
      </c>
      <c r="R79" s="68">
        <f>0.152765047357165*(AVERAGE(IND_Mult!S78:S80))</f>
        <v>0.15276504735716501</v>
      </c>
      <c r="S79" s="68">
        <f>0.152765047357165*(AVERAGE(IND_Mult!T78:T80))</f>
        <v>0.15276504735716501</v>
      </c>
      <c r="T79" s="68">
        <f>0.152765047357165*(AVERAGE(IND_Mult!U78:U80))</f>
        <v>0.15276504735716501</v>
      </c>
      <c r="U79" s="68">
        <f>0.152765047357165*(AVERAGE(IND_Mult!V78:V80))</f>
        <v>0.15276504735716501</v>
      </c>
      <c r="V79" s="68">
        <f>0.152765047357165*(AVERAGE(IND_Mult!W78:W80))</f>
        <v>0.15276504735716501</v>
      </c>
      <c r="W79" s="68">
        <f>0.152765047357165*(AVERAGE(IND_Mult!X78:X80))</f>
        <v>0.15276504735716501</v>
      </c>
      <c r="X79" s="68">
        <f>0.152765047357165*(AVERAGE(IND_Mult!Y78:Y80))</f>
        <v>0.15276504735716501</v>
      </c>
      <c r="Y79" s="68">
        <f>0.152765047357165*(AVERAGE(IND_Mult!Z78:Z80))</f>
        <v>0.15276504735716501</v>
      </c>
      <c r="Z79" s="68">
        <f>0.152765047357165*(AVERAGE(IND_Mult!AA78:AA80))</f>
        <v>0.15276504735716501</v>
      </c>
      <c r="AA79" s="68">
        <f>0.152765047357165*(AVERAGE(IND_Mult!AB78:AB80))</f>
        <v>0.15276504735716501</v>
      </c>
      <c r="AB79" s="68">
        <f>0.152765047357165*(AVERAGE(IND_Mult!AC78:AC80))</f>
        <v>0.15276504735716501</v>
      </c>
      <c r="AC79" s="68">
        <f>0.152765047357165*(AVERAGE(IND_Mult!AD78:AD80))</f>
        <v>0.15276504735716501</v>
      </c>
      <c r="AD79" s="68">
        <f>0.152765047357165*(AVERAGE(IND_Mult!AE78:AE80))</f>
        <v>0.15276504735716501</v>
      </c>
      <c r="AE79" s="68">
        <f>0.152765047357165*(AVERAGE(IND_Mult!AF78:AF80))</f>
        <v>0.15276504735716501</v>
      </c>
      <c r="AF79" s="68">
        <f>0.152765047357165*(AVERAGE(IND_Mult!AG78:AG80))</f>
        <v>0.15276504735716501</v>
      </c>
      <c r="AG79" s="68">
        <f>0.152765047357165*(AVERAGE(IND_Mult!AH78:AH80))</f>
        <v>0.15276504735716501</v>
      </c>
      <c r="AH79" s="68">
        <f>0.152765047357165*(AVERAGE(IND_Mult!AI78:AI80))</f>
        <v>0.15276504735716501</v>
      </c>
      <c r="AI79" s="68">
        <f>0.152765047357165*(AVERAGE(IND_Mult!AJ78:AJ80))</f>
        <v>0.15276504735716501</v>
      </c>
      <c r="AJ79" s="68">
        <f>0.152765047357165*(AVERAGE(IND_Mult!AK78:AK80))</f>
        <v>0.15276504735716501</v>
      </c>
      <c r="AK79" s="68">
        <f>0.152765047357165*(AVERAGE(IND_Mult!AL78:AL80))</f>
        <v>0.15276504735716501</v>
      </c>
      <c r="AL79" s="68">
        <f>0.152765047357165*(AVERAGE(IND_Mult!AM78:AM80))</f>
        <v>0.15276504735716501</v>
      </c>
      <c r="AM79" s="68">
        <f>0.152765047357165*(AVERAGE(IND_Mult!AN78:AN80))</f>
        <v>0.15276504735716501</v>
      </c>
      <c r="AN79" s="68">
        <f>0.152765047357165*(AVERAGE(IND_Mult!AO78:AO80))</f>
        <v>0.15276504735716501</v>
      </c>
      <c r="AO79" s="68">
        <f>0.152765047357165*(AVERAGE(IND_Mult!AP78:AP80))</f>
        <v>0.15276504735716501</v>
      </c>
      <c r="AP79" s="68">
        <f>0.152765047357165*(AVERAGE(IND_Mult!AQ78:AQ80))</f>
        <v>0.15276504735716501</v>
      </c>
      <c r="AQ79" s="68">
        <f>0.152765047357165*(AVERAGE(IND_Mult!AR78:AR80))</f>
        <v>0.15276504735716501</v>
      </c>
    </row>
    <row r="80" spans="1:43" ht="12.75">
      <c r="A80" s="6"/>
      <c r="B80" s="17" t="s">
        <v>270</v>
      </c>
      <c r="C80" s="18" t="s">
        <v>102</v>
      </c>
      <c r="D80" s="26"/>
      <c r="E80" s="16" t="s">
        <v>285</v>
      </c>
      <c r="F80" s="31"/>
      <c r="G80" s="69">
        <f>SUMIFS(Input!L$2:L$999,Input!$C$2:$C$999,CONCATENATE(LEFT($B$80,10),"*"),Input!$D$2:$D$999,$C$80)*IND_Mult!H80</f>
        <v>0</v>
      </c>
      <c r="H80" s="69">
        <f>SUMIFS(Input!M$2:M$999,Input!$C$2:$C$999,CONCATENATE(LEFT($B$80,10),"*"),Input!$D$2:$D$999,$C$80)*IND_Mult!I80</f>
        <v>0</v>
      </c>
      <c r="I80" s="69">
        <f>SUMIFS(Input!N$2:N$999,Input!$C$2:$C$999,CONCATENATE(LEFT($B$80,10),"*"),Input!$D$2:$D$999,$C$80)*IND_Mult!J80</f>
        <v>0</v>
      </c>
      <c r="J80" s="69">
        <f>SUMIFS(Input!O$2:O$999,Input!$C$2:$C$999,CONCATENATE(LEFT($B$80,10),"*"),Input!$D$2:$D$999,$C$80)*IND_Mult!K80</f>
        <v>0</v>
      </c>
      <c r="K80" s="69">
        <f>SUMIFS(Input!P$2:P$999,Input!$C$2:$C$999,CONCATENATE(LEFT($B$80,10),"*"),Input!$D$2:$D$999,$C$80)*IND_Mult!L80</f>
        <v>0</v>
      </c>
      <c r="L80" s="69">
        <f>SUMIFS(Input!Q$2:Q$999,Input!$C$2:$C$999,CONCATENATE(LEFT($B$80,10),"*"),Input!$D$2:$D$999,$C$80)*IND_Mult!M80</f>
        <v>0</v>
      </c>
      <c r="M80" s="69">
        <f>SUMIFS(Input!R$2:R$999,Input!$C$2:$C$999,CONCATENATE(LEFT($B$80,10),"*"),Input!$D$2:$D$999,$C$80)*IND_Mult!N80</f>
        <v>0</v>
      </c>
      <c r="N80" s="69">
        <f>SUMIFS(Input!S$2:S$999,Input!$C$2:$C$999,CONCATENATE(LEFT($B$80,10),"*"),Input!$D$2:$D$999,$C$80)*IND_Mult!O80</f>
        <v>0</v>
      </c>
      <c r="O80" s="69">
        <f>SUMIFS(Input!T$2:T$999,Input!$C$2:$C$999,CONCATENATE(LEFT($B$80,10),"*"),Input!$D$2:$D$999,$C$80)*IND_Mult!P80</f>
        <v>0</v>
      </c>
      <c r="P80" s="69">
        <f>SUMIFS(Input!U$2:U$999,Input!$C$2:$C$999,CONCATENATE(LEFT($B$80,10),"*"),Input!$D$2:$D$999,$C$80)*IND_Mult!Q80</f>
        <v>0</v>
      </c>
      <c r="Q80" s="69">
        <f>SUMIFS(Input!V$2:V$999,Input!$C$2:$C$999,CONCATENATE(LEFT($B$80,10),"*"),Input!$D$2:$D$999,$C$80)*IND_Mult!R80</f>
        <v>0</v>
      </c>
      <c r="R80" s="69">
        <f>SUMIFS(Input!W$2:W$999,Input!$C$2:$C$999,CONCATENATE(LEFT($B$80,10),"*"),Input!$D$2:$D$999,$C$80)*IND_Mult!S80</f>
        <v>0</v>
      </c>
      <c r="S80" s="69">
        <f>SUMIFS(Input!X$2:X$999,Input!$C$2:$C$999,CONCATENATE(LEFT($B$80,10),"*"),Input!$D$2:$D$999,$C$80)*IND_Mult!T80</f>
        <v>0</v>
      </c>
      <c r="T80" s="69">
        <f>SUMIFS(Input!Y$2:Y$999,Input!$C$2:$C$999,CONCATENATE(LEFT($B$80,10),"*"),Input!$D$2:$D$999,$C$80)*IND_Mult!U80</f>
        <v>0</v>
      </c>
      <c r="U80" s="69">
        <f>SUMIFS(Input!Z$2:Z$999,Input!$C$2:$C$999,CONCATENATE(LEFT($B$80,10),"*"),Input!$D$2:$D$999,$C$80)*IND_Mult!V80</f>
        <v>0</v>
      </c>
      <c r="V80" s="69">
        <f>SUMIFS(Input!AA$2:AA$999,Input!$C$2:$C$999,CONCATENATE(LEFT($B$80,10),"*"),Input!$D$2:$D$999,$C$80)*IND_Mult!W80</f>
        <v>0</v>
      </c>
      <c r="W80" s="69">
        <f>SUMIFS(Input!AB$2:AB$999,Input!$C$2:$C$999,CONCATENATE(LEFT($B$80,10),"*"),Input!$D$2:$D$999,$C$80)*IND_Mult!X80</f>
        <v>0</v>
      </c>
      <c r="X80" s="69">
        <f>SUMIFS(Input!AC$2:AC$999,Input!$C$2:$C$999,CONCATENATE(LEFT($B$80,10),"*"),Input!$D$2:$D$999,$C$80)*IND_Mult!Y80</f>
        <v>0</v>
      </c>
      <c r="Y80" s="69">
        <f>SUMIFS(Input!AD$2:AD$999,Input!$C$2:$C$999,CONCATENATE(LEFT($B$80,10),"*"),Input!$D$2:$D$999,$C$80)*IND_Mult!Z80</f>
        <v>0</v>
      </c>
      <c r="Z80" s="69">
        <f>SUMIFS(Input!AE$2:AE$999,Input!$C$2:$C$999,CONCATENATE(LEFT($B$80,10),"*"),Input!$D$2:$D$999,$C$80)*IND_Mult!AA80</f>
        <v>0</v>
      </c>
      <c r="AA80" s="69">
        <f>SUMIFS(Input!AF$2:AF$999,Input!$C$2:$C$999,CONCATENATE(LEFT($B$80,10),"*"),Input!$D$2:$D$999,$C$80)*IND_Mult!AB80</f>
        <v>0</v>
      </c>
      <c r="AB80" s="69">
        <f>SUMIFS(Input!AG$2:AG$999,Input!$C$2:$C$999,CONCATENATE(LEFT($B$80,10),"*"),Input!$D$2:$D$999,$C$80)*IND_Mult!AC80</f>
        <v>0</v>
      </c>
      <c r="AC80" s="69">
        <f>SUMIFS(Input!AH$2:AH$999,Input!$C$2:$C$999,CONCATENATE(LEFT($B$80,10),"*"),Input!$D$2:$D$999,$C$80)*IND_Mult!AD80</f>
        <v>0</v>
      </c>
      <c r="AD80" s="69">
        <f>SUMIFS(Input!AI$2:AI$999,Input!$C$2:$C$999,CONCATENATE(LEFT($B$80,10),"*"),Input!$D$2:$D$999,$C$80)*IND_Mult!AE80</f>
        <v>0</v>
      </c>
      <c r="AE80" s="69">
        <f>SUMIFS(Input!AJ$2:AJ$999,Input!$C$2:$C$999,CONCATENATE(LEFT($B$80,10),"*"),Input!$D$2:$D$999,$C$80)*IND_Mult!AF80</f>
        <v>0</v>
      </c>
      <c r="AF80" s="69">
        <f>SUMIFS(Input!AK$2:AK$999,Input!$C$2:$C$999,CONCATENATE(LEFT($B$80,10),"*"),Input!$D$2:$D$999,$C$80)*IND_Mult!AG80</f>
        <v>0</v>
      </c>
      <c r="AG80" s="69">
        <f>SUMIFS(Input!AL$2:AL$999,Input!$C$2:$C$999,CONCATENATE(LEFT($B$80,10),"*"),Input!$D$2:$D$999,$C$80)*IND_Mult!AH80</f>
        <v>0</v>
      </c>
      <c r="AH80" s="69">
        <f>SUMIFS(Input!AM$2:AM$999,Input!$C$2:$C$999,CONCATENATE(LEFT($B$80,10),"*"),Input!$D$2:$D$999,$C$80)*IND_Mult!AI80</f>
        <v>0</v>
      </c>
      <c r="AI80" s="69">
        <f>SUMIFS(Input!AN$2:AN$999,Input!$C$2:$C$999,CONCATENATE(LEFT($B$80,10),"*"),Input!$D$2:$D$999,$C$80)*IND_Mult!AJ80</f>
        <v>0</v>
      </c>
      <c r="AJ80" s="69">
        <f>SUMIFS(Input!AO$2:AO$999,Input!$C$2:$C$999,CONCATENATE(LEFT($B$80,10),"*"),Input!$D$2:$D$999,$C$80)*IND_Mult!AK80</f>
        <v>0</v>
      </c>
      <c r="AK80" s="69">
        <f>SUMIFS(Input!AP$2:AP$999,Input!$C$2:$C$999,CONCATENATE(LEFT($B$80,10),"*"),Input!$D$2:$D$999,$C$80)*IND_Mult!AL80</f>
        <v>0</v>
      </c>
      <c r="AL80" s="69">
        <f>SUMIFS(Input!AQ$2:AQ$999,Input!$C$2:$C$999,CONCATENATE(LEFT($B$80,10),"*"),Input!$D$2:$D$999,$C$80)*IND_Mult!AM80</f>
        <v>0</v>
      </c>
      <c r="AM80" s="69">
        <f>SUMIFS(Input!AR$2:AR$999,Input!$C$2:$C$999,CONCATENATE(LEFT($B$80,10),"*"),Input!$D$2:$D$999,$C$80)*IND_Mult!AN80</f>
        <v>0</v>
      </c>
      <c r="AN80" s="69">
        <f>SUMIFS(Input!AS$2:AS$999,Input!$C$2:$C$999,CONCATENATE(LEFT($B$80,10),"*"),Input!$D$2:$D$999,$C$80)*IND_Mult!AO80</f>
        <v>0</v>
      </c>
      <c r="AO80" s="69">
        <f>SUMIFS(Input!AT$2:AT$999,Input!$C$2:$C$999,CONCATENATE(LEFT($B$80,10),"*"),Input!$D$2:$D$999,$C$80)*IND_Mult!AP80</f>
        <v>0</v>
      </c>
      <c r="AP80" s="69">
        <f>SUMIFS(Input!AU$2:AU$999,Input!$C$2:$C$999,CONCATENATE(LEFT($B$80,10),"*"),Input!$D$2:$D$999,$C$80)*IND_Mult!AQ80</f>
        <v>0</v>
      </c>
      <c r="AQ80" s="69">
        <f>SUMIFS(Input!AV$2:AV$999,Input!$C$2:$C$999,CONCATENATE(LEFT($B$80,10),"*"),Input!$D$2:$D$999,$C$80)*IND_Mult!AR80</f>
        <v>0</v>
      </c>
    </row>
    <row r="81" spans="1:43" ht="12.75">
      <c r="A81" s="6"/>
      <c r="B81" s="17" t="s">
        <v>270</v>
      </c>
      <c r="C81" s="18" t="s">
        <v>152</v>
      </c>
      <c r="D81" s="26"/>
      <c r="E81" s="16" t="s">
        <v>103</v>
      </c>
      <c r="F81" s="31"/>
      <c r="G81" s="69">
        <f>SUMIFS(Input!L$2:L$999,Input!$C$2:$C$999,CONCATENATE(LEFT($B$81,10),"*"),Input!$D$2:$D$999,$C$81)*IND_Mult!H81</f>
        <v>0</v>
      </c>
      <c r="H81" s="69">
        <f>SUMIFS(Input!M$2:M$999,Input!$C$2:$C$999,CONCATENATE(LEFT($B$81,10),"*"),Input!$D$2:$D$999,$C$81)*IND_Mult!I81</f>
        <v>0</v>
      </c>
      <c r="I81" s="69">
        <f>SUMIFS(Input!N$2:N$999,Input!$C$2:$C$999,CONCATENATE(LEFT($B$81,10),"*"),Input!$D$2:$D$999,$C$81)*IND_Mult!J81</f>
        <v>0</v>
      </c>
      <c r="J81" s="69">
        <f>SUMIFS(Input!O$2:O$999,Input!$C$2:$C$999,CONCATENATE(LEFT($B$81,10),"*"),Input!$D$2:$D$999,$C$81)*IND_Mult!K81</f>
        <v>0</v>
      </c>
      <c r="K81" s="69">
        <f>SUMIFS(Input!P$2:P$999,Input!$C$2:$C$999,CONCATENATE(LEFT($B$81,10),"*"),Input!$D$2:$D$999,$C$81)*IND_Mult!L81</f>
        <v>0</v>
      </c>
      <c r="L81" s="69">
        <f>SUMIFS(Input!Q$2:Q$999,Input!$C$2:$C$999,CONCATENATE(LEFT($B$81,10),"*"),Input!$D$2:$D$999,$C$81)*IND_Mult!M81</f>
        <v>0</v>
      </c>
      <c r="M81" s="69">
        <f>SUMIFS(Input!R$2:R$999,Input!$C$2:$C$999,CONCATENATE(LEFT($B$81,10),"*"),Input!$D$2:$D$999,$C$81)*IND_Mult!N81</f>
        <v>0</v>
      </c>
      <c r="N81" s="69">
        <f>SUMIFS(Input!S$2:S$999,Input!$C$2:$C$999,CONCATENATE(LEFT($B$81,10),"*"),Input!$D$2:$D$999,$C$81)*IND_Mult!O81</f>
        <v>0</v>
      </c>
      <c r="O81" s="69">
        <f>SUMIFS(Input!T$2:T$999,Input!$C$2:$C$999,CONCATENATE(LEFT($B$81,10),"*"),Input!$D$2:$D$999,$C$81)*IND_Mult!P81</f>
        <v>0</v>
      </c>
      <c r="P81" s="69">
        <f>SUMIFS(Input!U$2:U$999,Input!$C$2:$C$999,CONCATENATE(LEFT($B$81,10),"*"),Input!$D$2:$D$999,$C$81)*IND_Mult!Q81</f>
        <v>0</v>
      </c>
      <c r="Q81" s="69">
        <f>SUMIFS(Input!V$2:V$999,Input!$C$2:$C$999,CONCATENATE(LEFT($B$81,10),"*"),Input!$D$2:$D$999,$C$81)*IND_Mult!R81</f>
        <v>0</v>
      </c>
      <c r="R81" s="69">
        <f>SUMIFS(Input!W$2:W$999,Input!$C$2:$C$999,CONCATENATE(LEFT($B$81,10),"*"),Input!$D$2:$D$999,$C$81)*IND_Mult!S81</f>
        <v>0</v>
      </c>
      <c r="S81" s="69">
        <f>SUMIFS(Input!X$2:X$999,Input!$C$2:$C$999,CONCATENATE(LEFT($B$81,10),"*"),Input!$D$2:$D$999,$C$81)*IND_Mult!T81</f>
        <v>0</v>
      </c>
      <c r="T81" s="69">
        <f>SUMIFS(Input!Y$2:Y$999,Input!$C$2:$C$999,CONCATENATE(LEFT($B$81,10),"*"),Input!$D$2:$D$999,$C$81)*IND_Mult!U81</f>
        <v>0</v>
      </c>
      <c r="U81" s="69">
        <f>SUMIFS(Input!Z$2:Z$999,Input!$C$2:$C$999,CONCATENATE(LEFT($B$81,10),"*"),Input!$D$2:$D$999,$C$81)*IND_Mult!V81</f>
        <v>0</v>
      </c>
      <c r="V81" s="69">
        <f>SUMIFS(Input!AA$2:AA$999,Input!$C$2:$C$999,CONCATENATE(LEFT($B$81,10),"*"),Input!$D$2:$D$999,$C$81)*IND_Mult!W81</f>
        <v>0</v>
      </c>
      <c r="W81" s="69">
        <f>SUMIFS(Input!AB$2:AB$999,Input!$C$2:$C$999,CONCATENATE(LEFT($B$81,10),"*"),Input!$D$2:$D$999,$C$81)*IND_Mult!X81</f>
        <v>0</v>
      </c>
      <c r="X81" s="69">
        <f>SUMIFS(Input!AC$2:AC$999,Input!$C$2:$C$999,CONCATENATE(LEFT($B$81,10),"*"),Input!$D$2:$D$999,$C$81)*IND_Mult!Y81</f>
        <v>0</v>
      </c>
      <c r="Y81" s="69">
        <f>SUMIFS(Input!AD$2:AD$999,Input!$C$2:$C$999,CONCATENATE(LEFT($B$81,10),"*"),Input!$D$2:$D$999,$C$81)*IND_Mult!Z81</f>
        <v>0</v>
      </c>
      <c r="Z81" s="69">
        <f>SUMIFS(Input!AE$2:AE$999,Input!$C$2:$C$999,CONCATENATE(LEFT($B$81,10),"*"),Input!$D$2:$D$999,$C$81)*IND_Mult!AA81</f>
        <v>0</v>
      </c>
      <c r="AA81" s="69">
        <f>SUMIFS(Input!AF$2:AF$999,Input!$C$2:$C$999,CONCATENATE(LEFT($B$81,10),"*"),Input!$D$2:$D$999,$C$81)*IND_Mult!AB81</f>
        <v>0</v>
      </c>
      <c r="AB81" s="69">
        <f>SUMIFS(Input!AG$2:AG$999,Input!$C$2:$C$999,CONCATENATE(LEFT($B$81,10),"*"),Input!$D$2:$D$999,$C$81)*IND_Mult!AC81</f>
        <v>0</v>
      </c>
      <c r="AC81" s="69">
        <f>SUMIFS(Input!AH$2:AH$999,Input!$C$2:$C$999,CONCATENATE(LEFT($B$81,10),"*"),Input!$D$2:$D$999,$C$81)*IND_Mult!AD81</f>
        <v>0</v>
      </c>
      <c r="AD81" s="69">
        <f>SUMIFS(Input!AI$2:AI$999,Input!$C$2:$C$999,CONCATENATE(LEFT($B$81,10),"*"),Input!$D$2:$D$999,$C$81)*IND_Mult!AE81</f>
        <v>0</v>
      </c>
      <c r="AE81" s="69">
        <f>SUMIFS(Input!AJ$2:AJ$999,Input!$C$2:$C$999,CONCATENATE(LEFT($B$81,10),"*"),Input!$D$2:$D$999,$C$81)*IND_Mult!AF81</f>
        <v>0</v>
      </c>
      <c r="AF81" s="69">
        <f>SUMIFS(Input!AK$2:AK$999,Input!$C$2:$C$999,CONCATENATE(LEFT($B$81,10),"*"),Input!$D$2:$D$999,$C$81)*IND_Mult!AG81</f>
        <v>0</v>
      </c>
      <c r="AG81" s="69">
        <f>SUMIFS(Input!AL$2:AL$999,Input!$C$2:$C$999,CONCATENATE(LEFT($B$81,10),"*"),Input!$D$2:$D$999,$C$81)*IND_Mult!AH81</f>
        <v>0</v>
      </c>
      <c r="AH81" s="69">
        <f>SUMIFS(Input!AM$2:AM$999,Input!$C$2:$C$999,CONCATENATE(LEFT($B$81,10),"*"),Input!$D$2:$D$999,$C$81)*IND_Mult!AI81</f>
        <v>0</v>
      </c>
      <c r="AI81" s="69">
        <f>SUMIFS(Input!AN$2:AN$999,Input!$C$2:$C$999,CONCATENATE(LEFT($B$81,10),"*"),Input!$D$2:$D$999,$C$81)*IND_Mult!AJ81</f>
        <v>0</v>
      </c>
      <c r="AJ81" s="69">
        <f>SUMIFS(Input!AO$2:AO$999,Input!$C$2:$C$999,CONCATENATE(LEFT($B$81,10),"*"),Input!$D$2:$D$999,$C$81)*IND_Mult!AK81</f>
        <v>0</v>
      </c>
      <c r="AK81" s="69">
        <f>SUMIFS(Input!AP$2:AP$999,Input!$C$2:$C$999,CONCATENATE(LEFT($B$81,10),"*"),Input!$D$2:$D$999,$C$81)*IND_Mult!AL81</f>
        <v>0</v>
      </c>
      <c r="AL81" s="69">
        <f>SUMIFS(Input!AQ$2:AQ$999,Input!$C$2:$C$999,CONCATENATE(LEFT($B$81,10),"*"),Input!$D$2:$D$999,$C$81)*IND_Mult!AM81</f>
        <v>0</v>
      </c>
      <c r="AM81" s="69">
        <f>SUMIFS(Input!AR$2:AR$999,Input!$C$2:$C$999,CONCATENATE(LEFT($B$81,10),"*"),Input!$D$2:$D$999,$C$81)*IND_Mult!AN81</f>
        <v>0</v>
      </c>
      <c r="AN81" s="69">
        <f>SUMIFS(Input!AS$2:AS$999,Input!$C$2:$C$999,CONCATENATE(LEFT($B$81,10),"*"),Input!$D$2:$D$999,$C$81)*IND_Mult!AO81</f>
        <v>0</v>
      </c>
      <c r="AO81" s="69">
        <f>SUMIFS(Input!AT$2:AT$999,Input!$C$2:$C$999,CONCATENATE(LEFT($B$81,10),"*"),Input!$D$2:$D$999,$C$81)*IND_Mult!AP81</f>
        <v>0</v>
      </c>
      <c r="AP81" s="69">
        <f>SUMIFS(Input!AU$2:AU$999,Input!$C$2:$C$999,CONCATENATE(LEFT($B$81,10),"*"),Input!$D$2:$D$999,$C$81)*IND_Mult!AQ81</f>
        <v>0</v>
      </c>
      <c r="AQ81" s="69">
        <f>SUMIFS(Input!AV$2:AV$999,Input!$C$2:$C$999,CONCATENATE(LEFT($B$81,10),"*"),Input!$D$2:$D$999,$C$81)*IND_Mult!AR81</f>
        <v>0</v>
      </c>
    </row>
    <row r="82" spans="1:43" ht="12.75">
      <c r="A82" s="6"/>
      <c r="B82" s="17" t="s">
        <v>270</v>
      </c>
      <c r="C82" s="18" t="s">
        <v>37</v>
      </c>
      <c r="D82" s="26"/>
      <c r="E82" s="16" t="s">
        <v>103</v>
      </c>
      <c r="F82" s="31"/>
      <c r="G82" s="69">
        <f>SUMIFS(Input!L$2:L$999,Input!$C$2:$C$999,CONCATENATE(LEFT($B$82,10),"*"),Input!$D$2:$D$999,$C$82)*IND_Mult!H82</f>
        <v>0.252</v>
      </c>
      <c r="H82" s="69">
        <f>SUMIFS(Input!M$2:M$999,Input!$C$2:$C$999,CONCATENATE(LEFT($B$82,10),"*"),Input!$D$2:$D$999,$C$82)*IND_Mult!I82</f>
        <v>0.252</v>
      </c>
      <c r="I82" s="69">
        <f>SUMIFS(Input!N$2:N$999,Input!$C$2:$C$999,CONCATENATE(LEFT($B$82,10),"*"),Input!$D$2:$D$999,$C$82)*IND_Mult!J82</f>
        <v>0.252</v>
      </c>
      <c r="J82" s="69">
        <f>SUMIFS(Input!O$2:O$999,Input!$C$2:$C$999,CONCATENATE(LEFT($B$82,10),"*"),Input!$D$2:$D$999,$C$82)*IND_Mult!K82</f>
        <v>0.2016</v>
      </c>
      <c r="K82" s="69">
        <f>SUMIFS(Input!P$2:P$999,Input!$C$2:$C$999,CONCATENATE(LEFT($B$82,10),"*"),Input!$D$2:$D$999,$C$82)*IND_Mult!L82</f>
        <v>0.252</v>
      </c>
      <c r="L82" s="69">
        <f>SUMIFS(Input!Q$2:Q$999,Input!$C$2:$C$999,CONCATENATE(LEFT($B$82,10),"*"),Input!$D$2:$D$999,$C$82)*IND_Mult!M82</f>
        <v>0.252</v>
      </c>
      <c r="M82" s="69">
        <f>SUMIFS(Input!R$2:R$999,Input!$C$2:$C$999,CONCATENATE(LEFT($B$82,10),"*"),Input!$D$2:$D$999,$C$82)*IND_Mult!N82</f>
        <v>0.252</v>
      </c>
      <c r="N82" s="69">
        <f>SUMIFS(Input!S$2:S$999,Input!$C$2:$C$999,CONCATENATE(LEFT($B$82,10),"*"),Input!$D$2:$D$999,$C$82)*IND_Mult!O82</f>
        <v>0.252</v>
      </c>
      <c r="O82" s="69">
        <f>SUMIFS(Input!T$2:T$999,Input!$C$2:$C$999,CONCATENATE(LEFT($B$82,10),"*"),Input!$D$2:$D$999,$C$82)*IND_Mult!P82</f>
        <v>0.2142</v>
      </c>
      <c r="P82" s="69">
        <f>SUMIFS(Input!U$2:U$999,Input!$C$2:$C$999,CONCATENATE(LEFT($B$82,10),"*"),Input!$D$2:$D$999,$C$82)*IND_Mult!Q82</f>
        <v>0.252</v>
      </c>
      <c r="Q82" s="69">
        <f>SUMIFS(Input!V$2:V$999,Input!$C$2:$C$999,CONCATENATE(LEFT($B$82,10),"*"),Input!$D$2:$D$999,$C$82)*IND_Mult!R82</f>
        <v>0.252</v>
      </c>
      <c r="R82" s="69">
        <f>SUMIFS(Input!W$2:W$999,Input!$C$2:$C$999,CONCATENATE(LEFT($B$82,10),"*"),Input!$D$2:$D$999,$C$82)*IND_Mult!S82</f>
        <v>0.252</v>
      </c>
      <c r="S82" s="69">
        <f>SUMIFS(Input!X$2:X$999,Input!$C$2:$C$999,CONCATENATE(LEFT($B$82,10),"*"),Input!$D$2:$D$999,$C$82)*IND_Mult!T82</f>
        <v>0.252</v>
      </c>
      <c r="T82" s="69">
        <f>SUMIFS(Input!Y$2:Y$999,Input!$C$2:$C$999,CONCATENATE(LEFT($B$82,10),"*"),Input!$D$2:$D$999,$C$82)*IND_Mult!U82</f>
        <v>0.252</v>
      </c>
      <c r="U82" s="69">
        <f>SUMIFS(Input!Z$2:Z$999,Input!$C$2:$C$999,CONCATENATE(LEFT($B$82,10),"*"),Input!$D$2:$D$999,$C$82)*IND_Mult!V82</f>
        <v>0.252</v>
      </c>
      <c r="V82" s="69">
        <f>SUMIFS(Input!AA$2:AA$999,Input!$C$2:$C$999,CONCATENATE(LEFT($B$82,10),"*"),Input!$D$2:$D$999,$C$82)*IND_Mult!W82</f>
        <v>0.252</v>
      </c>
      <c r="W82" s="69">
        <f>SUMIFS(Input!AB$2:AB$999,Input!$C$2:$C$999,CONCATENATE(LEFT($B$82,10),"*"),Input!$D$2:$D$999,$C$82)*IND_Mult!X82</f>
        <v>0.252</v>
      </c>
      <c r="X82" s="69">
        <f>SUMIFS(Input!AC$2:AC$999,Input!$C$2:$C$999,CONCATENATE(LEFT($B$82,10),"*"),Input!$D$2:$D$999,$C$82)*IND_Mult!Y82</f>
        <v>0.252</v>
      </c>
      <c r="Y82" s="69">
        <f>SUMIFS(Input!AD$2:AD$999,Input!$C$2:$C$999,CONCATENATE(LEFT($B$82,10),"*"),Input!$D$2:$D$999,$C$82)*IND_Mult!Z82</f>
        <v>0.252</v>
      </c>
      <c r="Z82" s="69">
        <f>SUMIFS(Input!AE$2:AE$999,Input!$C$2:$C$999,CONCATENATE(LEFT($B$82,10),"*"),Input!$D$2:$D$999,$C$82)*IND_Mult!AA82</f>
        <v>0.252</v>
      </c>
      <c r="AA82" s="69">
        <f>SUMIFS(Input!AF$2:AF$999,Input!$C$2:$C$999,CONCATENATE(LEFT($B$82,10),"*"),Input!$D$2:$D$999,$C$82)*IND_Mult!AB82</f>
        <v>0.252</v>
      </c>
      <c r="AB82" s="69">
        <f>SUMIFS(Input!AG$2:AG$999,Input!$C$2:$C$999,CONCATENATE(LEFT($B$82,10),"*"),Input!$D$2:$D$999,$C$82)*IND_Mult!AC82</f>
        <v>0.252</v>
      </c>
      <c r="AC82" s="69">
        <f>SUMIFS(Input!AH$2:AH$999,Input!$C$2:$C$999,CONCATENATE(LEFT($B$82,10),"*"),Input!$D$2:$D$999,$C$82)*IND_Mult!AD82</f>
        <v>0.252</v>
      </c>
      <c r="AD82" s="69">
        <f>SUMIFS(Input!AI$2:AI$999,Input!$C$2:$C$999,CONCATENATE(LEFT($B$82,10),"*"),Input!$D$2:$D$999,$C$82)*IND_Mult!AE82</f>
        <v>0.252</v>
      </c>
      <c r="AE82" s="69">
        <f>SUMIFS(Input!AJ$2:AJ$999,Input!$C$2:$C$999,CONCATENATE(LEFT($B$82,10),"*"),Input!$D$2:$D$999,$C$82)*IND_Mult!AF82</f>
        <v>0.252</v>
      </c>
      <c r="AF82" s="69">
        <f>SUMIFS(Input!AK$2:AK$999,Input!$C$2:$C$999,CONCATENATE(LEFT($B$82,10),"*"),Input!$D$2:$D$999,$C$82)*IND_Mult!AG82</f>
        <v>0.252</v>
      </c>
      <c r="AG82" s="69">
        <f>SUMIFS(Input!AL$2:AL$999,Input!$C$2:$C$999,CONCATENATE(LEFT($B$82,10),"*"),Input!$D$2:$D$999,$C$82)*IND_Mult!AH82</f>
        <v>0.252</v>
      </c>
      <c r="AH82" s="69">
        <f>SUMIFS(Input!AM$2:AM$999,Input!$C$2:$C$999,CONCATENATE(LEFT($B$82,10),"*"),Input!$D$2:$D$999,$C$82)*IND_Mult!AI82</f>
        <v>0.252</v>
      </c>
      <c r="AI82" s="69">
        <f>SUMIFS(Input!AN$2:AN$999,Input!$C$2:$C$999,CONCATENATE(LEFT($B$82,10),"*"),Input!$D$2:$D$999,$C$82)*IND_Mult!AJ82</f>
        <v>0.252</v>
      </c>
      <c r="AJ82" s="69">
        <f>SUMIFS(Input!AO$2:AO$999,Input!$C$2:$C$999,CONCATENATE(LEFT($B$82,10),"*"),Input!$D$2:$D$999,$C$82)*IND_Mult!AK82</f>
        <v>0.252</v>
      </c>
      <c r="AK82" s="69">
        <f>SUMIFS(Input!AP$2:AP$999,Input!$C$2:$C$999,CONCATENATE(LEFT($B$82,10),"*"),Input!$D$2:$D$999,$C$82)*IND_Mult!AL82</f>
        <v>0.252</v>
      </c>
      <c r="AL82" s="69">
        <f>SUMIFS(Input!AQ$2:AQ$999,Input!$C$2:$C$999,CONCATENATE(LEFT($B$82,10),"*"),Input!$D$2:$D$999,$C$82)*IND_Mult!AM82</f>
        <v>0.252</v>
      </c>
      <c r="AM82" s="69">
        <f>SUMIFS(Input!AR$2:AR$999,Input!$C$2:$C$999,CONCATENATE(LEFT($B$82,10),"*"),Input!$D$2:$D$999,$C$82)*IND_Mult!AN82</f>
        <v>0.252</v>
      </c>
      <c r="AN82" s="69">
        <f>SUMIFS(Input!AS$2:AS$999,Input!$C$2:$C$999,CONCATENATE(LEFT($B$82,10),"*"),Input!$D$2:$D$999,$C$82)*IND_Mult!AO82</f>
        <v>0.252</v>
      </c>
      <c r="AO82" s="69">
        <f>SUMIFS(Input!AT$2:AT$999,Input!$C$2:$C$999,CONCATENATE(LEFT($B$82,10),"*"),Input!$D$2:$D$999,$C$82)*IND_Mult!AP82</f>
        <v>0.252</v>
      </c>
      <c r="AP82" s="69">
        <f>SUMIFS(Input!AU$2:AU$999,Input!$C$2:$C$999,CONCATENATE(LEFT($B$82,10),"*"),Input!$D$2:$D$999,$C$82)*IND_Mult!AQ82</f>
        <v>0.252</v>
      </c>
      <c r="AQ82" s="69">
        <f>SUMIFS(Input!AV$2:AV$999,Input!$C$2:$C$999,CONCATENATE(LEFT($B$82,10),"*"),Input!$D$2:$D$999,$C$82)*IND_Mult!AR82</f>
        <v>0.252</v>
      </c>
    </row>
    <row r="83" spans="1:43" ht="12.75">
      <c r="A83" s="6"/>
      <c r="B83" s="17" t="s">
        <v>270</v>
      </c>
      <c r="C83" s="18" t="s">
        <v>124</v>
      </c>
      <c r="D83" s="26"/>
      <c r="E83" s="16" t="s">
        <v>103</v>
      </c>
      <c r="F83" s="31"/>
      <c r="G83" s="69">
        <f>SUMIFS(Input!L$2:L$999,Input!$C$2:$C$999,CONCATENATE(LEFT($B$83,10),"*"),Input!$D$2:$D$999,$C$83)*IND_Mult!H83</f>
        <v>1.786</v>
      </c>
      <c r="H83" s="69">
        <f>SUMIFS(Input!M$2:M$999,Input!$C$2:$C$999,CONCATENATE(LEFT($B$83,10),"*"),Input!$D$2:$D$999,$C$83)*IND_Mult!I83</f>
        <v>1.786</v>
      </c>
      <c r="I83" s="69">
        <f>SUMIFS(Input!N$2:N$999,Input!$C$2:$C$999,CONCATENATE(LEFT($B$83,10),"*"),Input!$D$2:$D$999,$C$83)*IND_Mult!J83</f>
        <v>1.786</v>
      </c>
      <c r="J83" s="69">
        <f>SUMIFS(Input!O$2:O$999,Input!$C$2:$C$999,CONCATENATE(LEFT($B$83,10),"*"),Input!$D$2:$D$999,$C$83)*IND_Mult!K83</f>
        <v>1.786</v>
      </c>
      <c r="K83" s="69">
        <f>SUMIFS(Input!P$2:P$999,Input!$C$2:$C$999,CONCATENATE(LEFT($B$83,10),"*"),Input!$D$2:$D$999,$C$83)*IND_Mult!L83</f>
        <v>1.786</v>
      </c>
      <c r="L83" s="69">
        <f>SUMIFS(Input!Q$2:Q$999,Input!$C$2:$C$999,CONCATENATE(LEFT($B$83,10),"*"),Input!$D$2:$D$999,$C$83)*IND_Mult!M83</f>
        <v>1.786</v>
      </c>
      <c r="M83" s="69">
        <f>SUMIFS(Input!R$2:R$999,Input!$C$2:$C$999,CONCATENATE(LEFT($B$83,10),"*"),Input!$D$2:$D$999,$C$83)*IND_Mult!N83</f>
        <v>1.786</v>
      </c>
      <c r="N83" s="69">
        <f>SUMIFS(Input!S$2:S$999,Input!$C$2:$C$999,CONCATENATE(LEFT($B$83,10),"*"),Input!$D$2:$D$999,$C$83)*IND_Mult!O83</f>
        <v>1.786</v>
      </c>
      <c r="O83" s="69">
        <f>SUMIFS(Input!T$2:T$999,Input!$C$2:$C$999,CONCATENATE(LEFT($B$83,10),"*"),Input!$D$2:$D$999,$C$83)*IND_Mult!P83</f>
        <v>1.5181</v>
      </c>
      <c r="P83" s="69">
        <f>SUMIFS(Input!U$2:U$999,Input!$C$2:$C$999,CONCATENATE(LEFT($B$83,10),"*"),Input!$D$2:$D$999,$C$83)*IND_Mult!Q83</f>
        <v>1.786</v>
      </c>
      <c r="Q83" s="69">
        <f>SUMIFS(Input!V$2:V$999,Input!$C$2:$C$999,CONCATENATE(LEFT($B$83,10),"*"),Input!$D$2:$D$999,$C$83)*IND_Mult!R83</f>
        <v>1.786</v>
      </c>
      <c r="R83" s="69">
        <f>SUMIFS(Input!W$2:W$999,Input!$C$2:$C$999,CONCATENATE(LEFT($B$83,10),"*"),Input!$D$2:$D$999,$C$83)*IND_Mult!S83</f>
        <v>1.786</v>
      </c>
      <c r="S83" s="69">
        <f>SUMIFS(Input!X$2:X$999,Input!$C$2:$C$999,CONCATENATE(LEFT($B$83,10),"*"),Input!$D$2:$D$999,$C$83)*IND_Mult!T83</f>
        <v>1.786</v>
      </c>
      <c r="T83" s="69">
        <f>SUMIFS(Input!Y$2:Y$999,Input!$C$2:$C$999,CONCATENATE(LEFT($B$83,10),"*"),Input!$D$2:$D$999,$C$83)*IND_Mult!U83</f>
        <v>1.786</v>
      </c>
      <c r="U83" s="69">
        <f>SUMIFS(Input!Z$2:Z$999,Input!$C$2:$C$999,CONCATENATE(LEFT($B$83,10),"*"),Input!$D$2:$D$999,$C$83)*IND_Mult!V83</f>
        <v>1.786</v>
      </c>
      <c r="V83" s="69">
        <f>SUMIFS(Input!AA$2:AA$999,Input!$C$2:$C$999,CONCATENATE(LEFT($B$83,10),"*"),Input!$D$2:$D$999,$C$83)*IND_Mult!W83</f>
        <v>1.786</v>
      </c>
      <c r="W83" s="69">
        <f>SUMIFS(Input!AB$2:AB$999,Input!$C$2:$C$999,CONCATENATE(LEFT($B$83,10),"*"),Input!$D$2:$D$999,$C$83)*IND_Mult!X83</f>
        <v>1.786</v>
      </c>
      <c r="X83" s="69">
        <f>SUMIFS(Input!AC$2:AC$999,Input!$C$2:$C$999,CONCATENATE(LEFT($B$83,10),"*"),Input!$D$2:$D$999,$C$83)*IND_Mult!Y83</f>
        <v>1.786</v>
      </c>
      <c r="Y83" s="69">
        <f>SUMIFS(Input!AD$2:AD$999,Input!$C$2:$C$999,CONCATENATE(LEFT($B$83,10),"*"),Input!$D$2:$D$999,$C$83)*IND_Mult!Z83</f>
        <v>1.786</v>
      </c>
      <c r="Z83" s="69">
        <f>SUMIFS(Input!AE$2:AE$999,Input!$C$2:$C$999,CONCATENATE(LEFT($B$83,10),"*"),Input!$D$2:$D$999,$C$83)*IND_Mult!AA83</f>
        <v>1.786</v>
      </c>
      <c r="AA83" s="69">
        <f>SUMIFS(Input!AF$2:AF$999,Input!$C$2:$C$999,CONCATENATE(LEFT($B$83,10),"*"),Input!$D$2:$D$999,$C$83)*IND_Mult!AB83</f>
        <v>1.786</v>
      </c>
      <c r="AB83" s="69">
        <f>SUMIFS(Input!AG$2:AG$999,Input!$C$2:$C$999,CONCATENATE(LEFT($B$83,10),"*"),Input!$D$2:$D$999,$C$83)*IND_Mult!AC83</f>
        <v>1.786</v>
      </c>
      <c r="AC83" s="69">
        <f>SUMIFS(Input!AH$2:AH$999,Input!$C$2:$C$999,CONCATENATE(LEFT($B$83,10),"*"),Input!$D$2:$D$999,$C$83)*IND_Mult!AD83</f>
        <v>1.786</v>
      </c>
      <c r="AD83" s="69">
        <f>SUMIFS(Input!AI$2:AI$999,Input!$C$2:$C$999,CONCATENATE(LEFT($B$83,10),"*"),Input!$D$2:$D$999,$C$83)*IND_Mult!AE83</f>
        <v>1.786</v>
      </c>
      <c r="AE83" s="69">
        <f>SUMIFS(Input!AJ$2:AJ$999,Input!$C$2:$C$999,CONCATENATE(LEFT($B$83,10),"*"),Input!$D$2:$D$999,$C$83)*IND_Mult!AF83</f>
        <v>1.786</v>
      </c>
      <c r="AF83" s="69">
        <f>SUMIFS(Input!AK$2:AK$999,Input!$C$2:$C$999,CONCATENATE(LEFT($B$83,10),"*"),Input!$D$2:$D$999,$C$83)*IND_Mult!AG83</f>
        <v>1.786</v>
      </c>
      <c r="AG83" s="69">
        <f>SUMIFS(Input!AL$2:AL$999,Input!$C$2:$C$999,CONCATENATE(LEFT($B$83,10),"*"),Input!$D$2:$D$999,$C$83)*IND_Mult!AH83</f>
        <v>1.786</v>
      </c>
      <c r="AH83" s="69">
        <f>SUMIFS(Input!AM$2:AM$999,Input!$C$2:$C$999,CONCATENATE(LEFT($B$83,10),"*"),Input!$D$2:$D$999,$C$83)*IND_Mult!AI83</f>
        <v>1.786</v>
      </c>
      <c r="AI83" s="69">
        <f>SUMIFS(Input!AN$2:AN$999,Input!$C$2:$C$999,CONCATENATE(LEFT($B$83,10),"*"),Input!$D$2:$D$999,$C$83)*IND_Mult!AJ83</f>
        <v>1.786</v>
      </c>
      <c r="AJ83" s="69">
        <f>SUMIFS(Input!AO$2:AO$999,Input!$C$2:$C$999,CONCATENATE(LEFT($B$83,10),"*"),Input!$D$2:$D$999,$C$83)*IND_Mult!AK83</f>
        <v>1.786</v>
      </c>
      <c r="AK83" s="69">
        <f>SUMIFS(Input!AP$2:AP$999,Input!$C$2:$C$999,CONCATENATE(LEFT($B$83,10),"*"),Input!$D$2:$D$999,$C$83)*IND_Mult!AL83</f>
        <v>1.786</v>
      </c>
      <c r="AL83" s="69">
        <f>SUMIFS(Input!AQ$2:AQ$999,Input!$C$2:$C$999,CONCATENATE(LEFT($B$83,10),"*"),Input!$D$2:$D$999,$C$83)*IND_Mult!AM83</f>
        <v>1.786</v>
      </c>
      <c r="AM83" s="69">
        <f>SUMIFS(Input!AR$2:AR$999,Input!$C$2:$C$999,CONCATENATE(LEFT($B$83,10),"*"),Input!$D$2:$D$999,$C$83)*IND_Mult!AN83</f>
        <v>1.786</v>
      </c>
      <c r="AN83" s="69">
        <f>SUMIFS(Input!AS$2:AS$999,Input!$C$2:$C$999,CONCATENATE(LEFT($B$83,10),"*"),Input!$D$2:$D$999,$C$83)*IND_Mult!AO83</f>
        <v>1.786</v>
      </c>
      <c r="AO83" s="69">
        <f>SUMIFS(Input!AT$2:AT$999,Input!$C$2:$C$999,CONCATENATE(LEFT($B$83,10),"*"),Input!$D$2:$D$999,$C$83)*IND_Mult!AP83</f>
        <v>1.786</v>
      </c>
      <c r="AP83" s="69">
        <f>SUMIFS(Input!AU$2:AU$999,Input!$C$2:$C$999,CONCATENATE(LEFT($B$83,10),"*"),Input!$D$2:$D$999,$C$83)*IND_Mult!AQ83</f>
        <v>1.786</v>
      </c>
      <c r="AQ83" s="69">
        <f>SUMIFS(Input!AV$2:AV$999,Input!$C$2:$C$999,CONCATENATE(LEFT($B$83,10),"*"),Input!$D$2:$D$999,$C$83)*IND_Mult!AR83</f>
        <v>1.786</v>
      </c>
    </row>
    <row r="84" spans="1:43" ht="12.75">
      <c r="A84" s="6"/>
      <c r="B84" s="17" t="s">
        <v>270</v>
      </c>
      <c r="C84" s="18" t="s">
        <v>125</v>
      </c>
      <c r="D84" s="26"/>
      <c r="E84" s="16" t="s">
        <v>104</v>
      </c>
      <c r="F84" s="31"/>
      <c r="G84" s="72">
        <f>SUMIFS(Output!L$2:L$999,Output!$C$2:$C$999,CONCATENATE(LEFT($B$84,10),"*"),Output!$D$2:$D$999,$C$84)*IND_Mult!H186</f>
        <v>0.78600000000000003</v>
      </c>
      <c r="H84" s="72">
        <f>SUMIFS(Output!M$2:M$999,Output!$C$2:$C$999,CONCATENATE(LEFT($B$84,10),"*"),Output!$D$2:$D$999,$C$84)*IND_Mult!I186</f>
        <v>0.78600000000000003</v>
      </c>
      <c r="I84" s="72">
        <f>SUMIFS(Output!N$2:N$999,Output!$C$2:$C$999,CONCATENATE(LEFT($B$84,10),"*"),Output!$D$2:$D$999,$C$84)*IND_Mult!J186</f>
        <v>0.78600000000000003</v>
      </c>
      <c r="J84" s="72">
        <f>SUMIFS(Output!O$2:O$999,Output!$C$2:$C$999,CONCATENATE(LEFT($B$84,10),"*"),Output!$D$2:$D$999,$C$84)*IND_Mult!K186</f>
        <v>0.78600000000000003</v>
      </c>
      <c r="K84" s="72">
        <f>SUMIFS(Output!P$2:P$999,Output!$C$2:$C$999,CONCATENATE(LEFT($B$84,10),"*"),Output!$D$2:$D$999,$C$84)*IND_Mult!L186</f>
        <v>0.78600000000000003</v>
      </c>
      <c r="L84" s="72">
        <f>SUMIFS(Output!Q$2:Q$999,Output!$C$2:$C$999,CONCATENATE(LEFT($B$84,10),"*"),Output!$D$2:$D$999,$C$84)*IND_Mult!M186</f>
        <v>0.78600000000000003</v>
      </c>
      <c r="M84" s="72">
        <f>SUMIFS(Output!R$2:R$999,Output!$C$2:$C$999,CONCATENATE(LEFT($B$84,10),"*"),Output!$D$2:$D$999,$C$84)*IND_Mult!N186</f>
        <v>0.78600000000000003</v>
      </c>
      <c r="N84" s="72">
        <f>SUMIFS(Output!S$2:S$999,Output!$C$2:$C$999,CONCATENATE(LEFT($B$84,10),"*"),Output!$D$2:$D$999,$C$84)*IND_Mult!O186</f>
        <v>0.78600000000000003</v>
      </c>
      <c r="O84" s="72">
        <f>SUMIFS(Output!T$2:T$999,Output!$C$2:$C$999,CONCATENATE(LEFT($B$84,10),"*"),Output!$D$2:$D$999,$C$84)*IND_Mult!P186</f>
        <v>0.78600000000000003</v>
      </c>
      <c r="P84" s="72">
        <f>SUMIFS(Output!U$2:U$999,Output!$C$2:$C$999,CONCATENATE(LEFT($B$84,10),"*"),Output!$D$2:$D$999,$C$84)*IND_Mult!Q186</f>
        <v>0.78600000000000003</v>
      </c>
      <c r="Q84" s="72">
        <f>SUMIFS(Output!V$2:V$999,Output!$C$2:$C$999,CONCATENATE(LEFT($B$84,10),"*"),Output!$D$2:$D$999,$C$84)*IND_Mult!R186</f>
        <v>0.78600000000000003</v>
      </c>
      <c r="R84" s="72">
        <f>SUMIFS(Output!W$2:W$999,Output!$C$2:$C$999,CONCATENATE(LEFT($B$84,10),"*"),Output!$D$2:$D$999,$C$84)*IND_Mult!S186</f>
        <v>0.78600000000000003</v>
      </c>
      <c r="S84" s="72">
        <f>SUMIFS(Output!X$2:X$999,Output!$C$2:$C$999,CONCATENATE(LEFT($B$84,10),"*"),Output!$D$2:$D$999,$C$84)*IND_Mult!T186</f>
        <v>0.78600000000000003</v>
      </c>
      <c r="T84" s="72">
        <f>SUMIFS(Output!Y$2:Y$999,Output!$C$2:$C$999,CONCATENATE(LEFT($B$84,10),"*"),Output!$D$2:$D$999,$C$84)*IND_Mult!U186</f>
        <v>0.78600000000000003</v>
      </c>
      <c r="U84" s="72">
        <f>SUMIFS(Output!Z$2:Z$999,Output!$C$2:$C$999,CONCATENATE(LEFT($B$84,10),"*"),Output!$D$2:$D$999,$C$84)*IND_Mult!V186</f>
        <v>0.78600000000000003</v>
      </c>
      <c r="V84" s="72">
        <f>SUMIFS(Output!AA$2:AA$999,Output!$C$2:$C$999,CONCATENATE(LEFT($B$84,10),"*"),Output!$D$2:$D$999,$C$84)*IND_Mult!W186</f>
        <v>0.78600000000000003</v>
      </c>
      <c r="W84" s="72">
        <f>SUMIFS(Output!AB$2:AB$999,Output!$C$2:$C$999,CONCATENATE(LEFT($B$84,10),"*"),Output!$D$2:$D$999,$C$84)*IND_Mult!X186</f>
        <v>0.78600000000000003</v>
      </c>
      <c r="X84" s="72">
        <f>SUMIFS(Output!AC$2:AC$999,Output!$C$2:$C$999,CONCATENATE(LEFT($B$84,10),"*"),Output!$D$2:$D$999,$C$84)*IND_Mult!Y186</f>
        <v>0.78600000000000003</v>
      </c>
      <c r="Y84" s="72">
        <f>SUMIFS(Output!AD$2:AD$999,Output!$C$2:$C$999,CONCATENATE(LEFT($B$84,10),"*"),Output!$D$2:$D$999,$C$84)*IND_Mult!Z186</f>
        <v>0.78600000000000003</v>
      </c>
      <c r="Z84" s="72">
        <f>SUMIFS(Output!AE$2:AE$999,Output!$C$2:$C$999,CONCATENATE(LEFT($B$84,10),"*"),Output!$D$2:$D$999,$C$84)*IND_Mult!AA186</f>
        <v>0.78600000000000003</v>
      </c>
      <c r="AA84" s="72">
        <f>SUMIFS(Output!AF$2:AF$999,Output!$C$2:$C$999,CONCATENATE(LEFT($B$84,10),"*"),Output!$D$2:$D$999,$C$84)*IND_Mult!AB186</f>
        <v>0.78600000000000003</v>
      </c>
      <c r="AB84" s="72">
        <f>SUMIFS(Output!AG$2:AG$999,Output!$C$2:$C$999,CONCATENATE(LEFT($B$84,10),"*"),Output!$D$2:$D$999,$C$84)*IND_Mult!AC186</f>
        <v>0.78600000000000003</v>
      </c>
      <c r="AC84" s="72">
        <f>SUMIFS(Output!AH$2:AH$999,Output!$C$2:$C$999,CONCATENATE(LEFT($B$84,10),"*"),Output!$D$2:$D$999,$C$84)*IND_Mult!AD186</f>
        <v>0.78600000000000003</v>
      </c>
      <c r="AD84" s="72">
        <f>SUMIFS(Output!AI$2:AI$999,Output!$C$2:$C$999,CONCATENATE(LEFT($B$84,10),"*"),Output!$D$2:$D$999,$C$84)*IND_Mult!AE186</f>
        <v>0.78600000000000003</v>
      </c>
      <c r="AE84" s="72">
        <f>SUMIFS(Output!AJ$2:AJ$999,Output!$C$2:$C$999,CONCATENATE(LEFT($B$84,10),"*"),Output!$D$2:$D$999,$C$84)*IND_Mult!AF186</f>
        <v>0.78600000000000003</v>
      </c>
      <c r="AF84" s="72">
        <f>SUMIFS(Output!AK$2:AK$999,Output!$C$2:$C$999,CONCATENATE(LEFT($B$84,10),"*"),Output!$D$2:$D$999,$C$84)*IND_Mult!AG186</f>
        <v>0.78600000000000003</v>
      </c>
      <c r="AG84" s="72">
        <f>SUMIFS(Output!AL$2:AL$999,Output!$C$2:$C$999,CONCATENATE(LEFT($B$84,10),"*"),Output!$D$2:$D$999,$C$84)*IND_Mult!AH186</f>
        <v>0.78600000000000003</v>
      </c>
      <c r="AH84" s="72">
        <f>SUMIFS(Output!AM$2:AM$999,Output!$C$2:$C$999,CONCATENATE(LEFT($B$84,10),"*"),Output!$D$2:$D$999,$C$84)*IND_Mult!AI186</f>
        <v>0.78600000000000003</v>
      </c>
      <c r="AI84" s="72">
        <f>SUMIFS(Output!AN$2:AN$999,Output!$C$2:$C$999,CONCATENATE(LEFT($B$84,10),"*"),Output!$D$2:$D$999,$C$84)*IND_Mult!AJ186</f>
        <v>0.78600000000000003</v>
      </c>
      <c r="AJ84" s="72">
        <f>SUMIFS(Output!AO$2:AO$999,Output!$C$2:$C$999,CONCATENATE(LEFT($B$84,10),"*"),Output!$D$2:$D$999,$C$84)*IND_Mult!AK186</f>
        <v>0.78600000000000003</v>
      </c>
      <c r="AK84" s="72">
        <f>SUMIFS(Output!AP$2:AP$999,Output!$C$2:$C$999,CONCATENATE(LEFT($B$84,10),"*"),Output!$D$2:$D$999,$C$84)*IND_Mult!AL186</f>
        <v>0.78600000000000003</v>
      </c>
      <c r="AL84" s="72">
        <f>SUMIFS(Output!AQ$2:AQ$999,Output!$C$2:$C$999,CONCATENATE(LEFT($B$84,10),"*"),Output!$D$2:$D$999,$C$84)*IND_Mult!AM186</f>
        <v>0.78600000000000003</v>
      </c>
      <c r="AM84" s="72">
        <f>SUMIFS(Output!AR$2:AR$999,Output!$C$2:$C$999,CONCATENATE(LEFT($B$84,10),"*"),Output!$D$2:$D$999,$C$84)*IND_Mult!AN186</f>
        <v>0.78600000000000003</v>
      </c>
      <c r="AN84" s="72">
        <f>SUMIFS(Output!AS$2:AS$999,Output!$C$2:$C$999,CONCATENATE(LEFT($B$84,10),"*"),Output!$D$2:$D$999,$C$84)*IND_Mult!AO186</f>
        <v>0.78600000000000003</v>
      </c>
      <c r="AO84" s="72">
        <f>SUMIFS(Output!AT$2:AT$999,Output!$C$2:$C$999,CONCATENATE(LEFT($B$84,10),"*"),Output!$D$2:$D$999,$C$84)*IND_Mult!AP186</f>
        <v>0.78600000000000003</v>
      </c>
      <c r="AP84" s="72">
        <f>SUMIFS(Output!AU$2:AU$999,Output!$C$2:$C$999,CONCATENATE(LEFT($B$84,10),"*"),Output!$D$2:$D$999,$C$84)*IND_Mult!AQ186</f>
        <v>0.78600000000000003</v>
      </c>
      <c r="AQ84" s="72">
        <f>SUMIFS(Output!AV$2:AV$999,Output!$C$2:$C$999,CONCATENATE(LEFT($B$84,10),"*"),Output!$D$2:$D$999,$C$84)*IND_Mult!AR186</f>
        <v>0.78600000000000003</v>
      </c>
    </row>
    <row r="85" spans="1:43" ht="12.75">
      <c r="A85" s="6"/>
      <c r="B85" s="17" t="s">
        <v>271</v>
      </c>
      <c r="C85" s="18" t="s">
        <v>37</v>
      </c>
      <c r="D85" s="26"/>
      <c r="E85" s="16" t="s">
        <v>103</v>
      </c>
      <c r="F85" s="31"/>
      <c r="G85" s="69">
        <f>SUMIFS(Input!L$2:L$999,Input!$C$2:$C$999,CONCATENATE(LEFT($B$85,10),"*"),Input!$D$2:$D$999,$C$85)*IND_Mult!H85</f>
        <v>2.415</v>
      </c>
      <c r="H85" s="69">
        <f>SUMIFS(Input!M$2:M$999,Input!$C$2:$C$999,CONCATENATE(LEFT($B$85,10),"*"),Input!$D$2:$D$999,$C$85)*IND_Mult!I85</f>
        <v>2.1000000000000001</v>
      </c>
      <c r="I85" s="69">
        <f>SUMIFS(Input!N$2:N$999,Input!$C$2:$C$999,CONCATENATE(LEFT($B$85,10),"*"),Input!$D$2:$D$999,$C$85)*IND_Mult!J85</f>
        <v>3.0449999999999999</v>
      </c>
      <c r="J85" s="69">
        <f>SUMIFS(Input!O$2:O$999,Input!$C$2:$C$999,CONCATENATE(LEFT($B$85,10),"*"),Input!$D$2:$D$999,$C$85)*IND_Mult!K85</f>
        <v>2.226</v>
      </c>
      <c r="K85" s="69">
        <f>SUMIFS(Input!P$2:P$999,Input!$C$2:$C$999,CONCATENATE(LEFT($B$85,10),"*"),Input!$D$2:$D$999,$C$85)*IND_Mult!L85</f>
        <v>2.52</v>
      </c>
      <c r="L85" s="69">
        <f>SUMIFS(Input!Q$2:Q$999,Input!$C$2:$C$999,CONCATENATE(LEFT($B$85,10),"*"),Input!$D$2:$D$999,$C$85)*IND_Mult!M85</f>
        <v>2.52</v>
      </c>
      <c r="M85" s="69">
        <f>SUMIFS(Input!R$2:R$999,Input!$C$2:$C$999,CONCATENATE(LEFT($B$85,10),"*"),Input!$D$2:$D$999,$C$85)*IND_Mult!N85</f>
        <v>4.95714285714286</v>
      </c>
      <c r="N85" s="69">
        <f>SUMIFS(Input!S$2:S$999,Input!$C$2:$C$999,CONCATENATE(LEFT($B$85,10),"*"),Input!$D$2:$D$999,$C$85)*IND_Mult!O85</f>
        <v>2.835</v>
      </c>
      <c r="O85" s="69">
        <f>SUMIFS(Input!T$2:T$999,Input!$C$2:$C$999,CONCATENATE(LEFT($B$85,10),"*"),Input!$D$2:$D$999,$C$85)*IND_Mult!P85</f>
        <v>1.7849999999999999</v>
      </c>
      <c r="P85" s="69">
        <f>SUMIFS(Input!U$2:U$999,Input!$C$2:$C$999,CONCATENATE(LEFT($B$85,10),"*"),Input!$D$2:$D$999,$C$85)*IND_Mult!Q85</f>
        <v>2.1000000000000001</v>
      </c>
      <c r="Q85" s="69">
        <f>SUMIFS(Input!V$2:V$999,Input!$C$2:$C$999,CONCATENATE(LEFT($B$85,10),"*"),Input!$D$2:$D$999,$C$85)*IND_Mult!R85</f>
        <v>3.1185</v>
      </c>
      <c r="R85" s="69">
        <f>SUMIFS(Input!W$2:W$999,Input!$C$2:$C$999,CONCATENATE(LEFT($B$85,10),"*"),Input!$D$2:$D$999,$C$85)*IND_Mult!S85</f>
        <v>1.8899999999999999</v>
      </c>
      <c r="S85" s="69">
        <f>SUMIFS(Input!X$2:X$999,Input!$C$2:$C$999,CONCATENATE(LEFT($B$85,10),"*"),Input!$D$2:$D$999,$C$85)*IND_Mult!T85</f>
        <v>1.4175</v>
      </c>
      <c r="T85" s="69">
        <f>SUMIFS(Input!Y$2:Y$999,Input!$C$2:$C$999,CONCATENATE(LEFT($B$85,10),"*"),Input!$D$2:$D$999,$C$85)*IND_Mult!U85</f>
        <v>3.5070000000000001</v>
      </c>
      <c r="U85" s="69">
        <f>SUMIFS(Input!Z$2:Z$999,Input!$C$2:$C$999,CONCATENATE(LEFT($B$85,10),"*"),Input!$D$2:$D$999,$C$85)*IND_Mult!V85</f>
        <v>2.1840000000000002</v>
      </c>
      <c r="V85" s="69">
        <f>SUMIFS(Input!AA$2:AA$999,Input!$C$2:$C$999,CONCATENATE(LEFT($B$85,10),"*"),Input!$D$2:$D$999,$C$85)*IND_Mult!W85</f>
        <v>2.0895000000000001</v>
      </c>
      <c r="W85" s="69">
        <f>SUMIFS(Input!AB$2:AB$999,Input!$C$2:$C$999,CONCATENATE(LEFT($B$85,10),"*"),Input!$D$2:$D$999,$C$85)*IND_Mult!X85</f>
        <v>2.1000000000000001</v>
      </c>
      <c r="X85" s="69">
        <f>SUMIFS(Input!AC$2:AC$999,Input!$C$2:$C$999,CONCATENATE(LEFT($B$85,10),"*"),Input!$D$2:$D$999,$C$85)*IND_Mult!Y85</f>
        <v>4.0110000000000001</v>
      </c>
      <c r="Y85" s="69">
        <f>SUMIFS(Input!AD$2:AD$999,Input!$C$2:$C$999,CONCATENATE(LEFT($B$85,10),"*"),Input!$D$2:$D$999,$C$85)*IND_Mult!Z85</f>
        <v>2.1000000000000001</v>
      </c>
      <c r="Z85" s="69">
        <f>SUMIFS(Input!AE$2:AE$999,Input!$C$2:$C$999,CONCATENATE(LEFT($B$85,10),"*"),Input!$D$2:$D$999,$C$85)*IND_Mult!AA85</f>
        <v>2.0579999999999998</v>
      </c>
      <c r="AA85" s="69">
        <f>SUMIFS(Input!AF$2:AF$999,Input!$C$2:$C$999,CONCATENATE(LEFT($B$85,10),"*"),Input!$D$2:$D$999,$C$85)*IND_Mult!AB85</f>
        <v>2.1000000000000001</v>
      </c>
      <c r="AB85" s="69">
        <f>SUMIFS(Input!AG$2:AG$999,Input!$C$2:$C$999,CONCATENATE(LEFT($B$85,10),"*"),Input!$D$2:$D$999,$C$85)*IND_Mult!AC85</f>
        <v>2.625</v>
      </c>
      <c r="AC85" s="69">
        <f>SUMIFS(Input!AH$2:AH$999,Input!$C$2:$C$999,CONCATENATE(LEFT($B$85,10),"*"),Input!$D$2:$D$999,$C$85)*IND_Mult!AD85</f>
        <v>2.8140000000000001</v>
      </c>
      <c r="AD85" s="69">
        <f>SUMIFS(Input!AI$2:AI$999,Input!$C$2:$C$999,CONCATENATE(LEFT($B$85,10),"*"),Input!$D$2:$D$999,$C$85)*IND_Mult!AE85</f>
        <v>1.6316999999999999</v>
      </c>
      <c r="AE85" s="69">
        <f>SUMIFS(Input!AJ$2:AJ$999,Input!$C$2:$C$999,CONCATENATE(LEFT($B$85,10),"*"),Input!$D$2:$D$999,$C$85)*IND_Mult!AF85</f>
        <v>2.1000000000000001</v>
      </c>
      <c r="AF85" s="69">
        <f>SUMIFS(Input!AK$2:AK$999,Input!$C$2:$C$999,CONCATENATE(LEFT($B$85,10),"*"),Input!$D$2:$D$999,$C$85)*IND_Mult!AG85</f>
        <v>2.625</v>
      </c>
      <c r="AG85" s="69">
        <f>SUMIFS(Input!AL$2:AL$999,Input!$C$2:$C$999,CONCATENATE(LEFT($B$85,10),"*"),Input!$D$2:$D$999,$C$85)*IND_Mult!AH85</f>
        <v>2</v>
      </c>
      <c r="AH85" s="69">
        <f>SUMIFS(Input!AM$2:AM$999,Input!$C$2:$C$999,CONCATENATE(LEFT($B$85,10),"*"),Input!$D$2:$D$999,$C$85)*IND_Mult!AI85</f>
        <v>1.7849999999999999</v>
      </c>
      <c r="AI85" s="69">
        <f>SUMIFS(Input!AN$2:AN$999,Input!$C$2:$C$999,CONCATENATE(LEFT($B$85,10),"*"),Input!$D$2:$D$999,$C$85)*IND_Mult!AJ85</f>
        <v>2.4674999999999998</v>
      </c>
      <c r="AJ85" s="69">
        <f>SUMIFS(Input!AO$2:AO$999,Input!$C$2:$C$999,CONCATENATE(LEFT($B$85,10),"*"),Input!$D$2:$D$999,$C$85)*IND_Mult!AK85</f>
        <v>2.3100000000000001</v>
      </c>
      <c r="AK85" s="69">
        <f>SUMIFS(Input!AP$2:AP$999,Input!$C$2:$C$999,CONCATENATE(LEFT($B$85,10),"*"),Input!$D$2:$D$999,$C$85)*IND_Mult!AL85</f>
        <v>3.5699999999999998</v>
      </c>
      <c r="AL85" s="69">
        <f>SUMIFS(Input!AQ$2:AQ$999,Input!$C$2:$C$999,CONCATENATE(LEFT($B$85,10),"*"),Input!$D$2:$D$999,$C$85)*IND_Mult!AM85</f>
        <v>2.3100000000000001</v>
      </c>
      <c r="AM85" s="69">
        <f>SUMIFS(Input!AR$2:AR$999,Input!$C$2:$C$999,CONCATENATE(LEFT($B$85,10),"*"),Input!$D$2:$D$999,$C$85)*IND_Mult!AN85</f>
        <v>2.1000000000000001</v>
      </c>
      <c r="AN85" s="69">
        <f>SUMIFS(Input!AS$2:AS$999,Input!$C$2:$C$999,CONCATENATE(LEFT($B$85,10),"*"),Input!$D$2:$D$999,$C$85)*IND_Mult!AO85</f>
        <v>3.7799999999999998</v>
      </c>
      <c r="AO85" s="69">
        <f>SUMIFS(Input!AT$2:AT$999,Input!$C$2:$C$999,CONCATENATE(LEFT($B$85,10),"*"),Input!$D$2:$D$999,$C$85)*IND_Mult!AP85</f>
        <v>2.016</v>
      </c>
      <c r="AP85" s="69">
        <f>SUMIFS(Input!AU$2:AU$999,Input!$C$2:$C$999,CONCATENATE(LEFT($B$85,10),"*"),Input!$D$2:$D$999,$C$85)*IND_Mult!AQ85</f>
        <v>2.52</v>
      </c>
      <c r="AQ85" s="69">
        <f>SUMIFS(Input!AV$2:AV$999,Input!$C$2:$C$999,CONCATENATE(LEFT($B$85,10),"*"),Input!$D$2:$D$999,$C$85)*IND_Mult!AR85</f>
        <v>2.9609999999999999</v>
      </c>
    </row>
    <row r="86" spans="1:43" ht="12.75">
      <c r="A86" s="6"/>
      <c r="B86" s="17" t="s">
        <v>271</v>
      </c>
      <c r="C86" s="18" t="s">
        <v>59</v>
      </c>
      <c r="D86" s="26"/>
      <c r="E86" s="16" t="s">
        <v>103</v>
      </c>
      <c r="F86" s="31"/>
      <c r="G86" s="69">
        <f>SUMIFS(Input!L$2:L$999,Input!$C$2:$C$999,CONCATENATE(LEFT($B$86,10),"*"),Input!$D$2:$D$999,$C$86)*IND_Mult!H86</f>
        <v>10.199999999999999</v>
      </c>
      <c r="H86" s="69">
        <f>SUMIFS(Input!M$2:M$999,Input!$C$2:$C$999,CONCATENATE(LEFT($B$86,10),"*"),Input!$D$2:$D$999,$C$86)*IND_Mult!I86</f>
        <v>9.4719999999999995</v>
      </c>
      <c r="I86" s="69">
        <f>SUMIFS(Input!N$2:N$999,Input!$C$2:$C$999,CONCATENATE(LEFT($B$86,10),"*"),Input!$D$2:$D$999,$C$86)*IND_Mult!J86</f>
        <v>11.6</v>
      </c>
      <c r="J86" s="69">
        <f>SUMIFS(Input!O$2:O$999,Input!$C$2:$C$999,CONCATENATE(LEFT($B$86,10),"*"),Input!$D$2:$D$999,$C$86)*IND_Mult!K86</f>
        <v>8.8000000000000007</v>
      </c>
      <c r="K86" s="69">
        <f>SUMIFS(Input!P$2:P$999,Input!$C$2:$C$999,CONCATENATE(LEFT($B$86,10),"*"),Input!$D$2:$D$999,$C$86)*IND_Mult!L86</f>
        <v>10.880000000000001</v>
      </c>
      <c r="L86" s="69">
        <f>SUMIFS(Input!Q$2:Q$999,Input!$C$2:$C$999,CONCATENATE(LEFT($B$86,10),"*"),Input!$D$2:$D$999,$C$86)*IND_Mult!M86</f>
        <v>6.5119999999999996</v>
      </c>
      <c r="M86" s="69">
        <f>SUMIFS(Input!R$2:R$999,Input!$C$2:$C$999,CONCATENATE(LEFT($B$86,10),"*"),Input!$D$2:$D$999,$C$86)*IND_Mult!N86</f>
        <v>0</v>
      </c>
      <c r="N86" s="69">
        <f>SUMIFS(Input!S$2:S$999,Input!$C$2:$C$999,CONCATENATE(LEFT($B$86,10),"*"),Input!$D$2:$D$999,$C$86)*IND_Mult!O86</f>
        <v>12.32</v>
      </c>
      <c r="O86" s="69">
        <f>SUMIFS(Input!T$2:T$999,Input!$C$2:$C$999,CONCATENATE(LEFT($B$86,10),"*"),Input!$D$2:$D$999,$C$86)*IND_Mult!P86</f>
        <v>6.2152000000000003</v>
      </c>
      <c r="P86" s="69">
        <f>SUMIFS(Input!U$2:U$999,Input!$C$2:$C$999,CONCATENATE(LEFT($B$86,10),"*"),Input!$D$2:$D$999,$C$86)*IND_Mult!Q86</f>
        <v>8</v>
      </c>
      <c r="Q86" s="69">
        <f>SUMIFS(Input!V$2:V$999,Input!$C$2:$C$999,CONCATENATE(LEFT($B$86,10),"*"),Input!$D$2:$D$999,$C$86)*IND_Mult!R86</f>
        <v>8.7200000000000006</v>
      </c>
      <c r="R86" s="69">
        <f>SUMIFS(Input!W$2:W$999,Input!$C$2:$C$999,CONCATENATE(LEFT($B$86,10),"*"),Input!$D$2:$D$999,$C$86)*IND_Mult!S86</f>
        <v>6.6559999999999997</v>
      </c>
      <c r="S86" s="69">
        <f>SUMIFS(Input!X$2:X$999,Input!$C$2:$C$999,CONCATENATE(LEFT($B$86,10),"*"),Input!$D$2:$D$999,$C$86)*IND_Mult!T86</f>
        <v>7.4000000000000004</v>
      </c>
      <c r="T86" s="69">
        <f>SUMIFS(Input!Y$2:Y$999,Input!$C$2:$C$999,CONCATENATE(LEFT($B$86,10),"*"),Input!$D$2:$D$999,$C$86)*IND_Mult!U86</f>
        <v>11.199999999999999</v>
      </c>
      <c r="U86" s="69">
        <f>SUMIFS(Input!Z$2:Z$999,Input!$C$2:$C$999,CONCATENATE(LEFT($B$86,10),"*"),Input!$D$2:$D$999,$C$86)*IND_Mult!V86</f>
        <v>8</v>
      </c>
      <c r="V86" s="69">
        <f>SUMIFS(Input!AA$2:AA$999,Input!$C$2:$C$999,CONCATENATE(LEFT($B$86,10),"*"),Input!$D$2:$D$999,$C$86)*IND_Mult!W86</f>
        <v>7.96</v>
      </c>
      <c r="W86" s="69">
        <f>SUMIFS(Input!AB$2:AB$999,Input!$C$2:$C$999,CONCATENATE(LEFT($B$86,10),"*"),Input!$D$2:$D$999,$C$86)*IND_Mult!X86</f>
        <v>6.8799999999999999</v>
      </c>
      <c r="X86" s="69">
        <f>SUMIFS(Input!AC$2:AC$999,Input!$C$2:$C$999,CONCATENATE(LEFT($B$86,10),"*"),Input!$D$2:$D$999,$C$86)*IND_Mult!Y86</f>
        <v>2.04</v>
      </c>
      <c r="Y86" s="69">
        <f>SUMIFS(Input!AD$2:AD$999,Input!$C$2:$C$999,CONCATENATE(LEFT($B$86,10),"*"),Input!$D$2:$D$999,$C$86)*IND_Mult!Z86</f>
        <v>8</v>
      </c>
      <c r="Z86" s="69">
        <f>SUMIFS(Input!AE$2:AE$999,Input!$C$2:$C$999,CONCATENATE(LEFT($B$86,10),"*"),Input!$D$2:$D$999,$C$86)*IND_Mult!AA86</f>
        <v>7.8399999999999999</v>
      </c>
      <c r="AA86" s="69">
        <f>SUMIFS(Input!AF$2:AF$999,Input!$C$2:$C$999,CONCATENATE(LEFT($B$86,10),"*"),Input!$D$2:$D$999,$C$86)*IND_Mult!AB86</f>
        <v>8</v>
      </c>
      <c r="AB86" s="69">
        <f>SUMIFS(Input!AG$2:AG$999,Input!$C$2:$C$999,CONCATENATE(LEFT($B$86,10),"*"),Input!$D$2:$D$999,$C$86)*IND_Mult!AC86</f>
        <v>7.2000000000000002</v>
      </c>
      <c r="AC86" s="69">
        <f>SUMIFS(Input!AH$2:AH$999,Input!$C$2:$C$999,CONCATENATE(LEFT($B$86,10),"*"),Input!$D$2:$D$999,$C$86)*IND_Mult!AD86</f>
        <v>6.9199999999999999</v>
      </c>
      <c r="AD86" s="69">
        <f>SUMIFS(Input!AI$2:AI$999,Input!$C$2:$C$999,CONCATENATE(LEFT($B$86,10),"*"),Input!$D$2:$D$999,$C$86)*IND_Mult!AE86</f>
        <v>6.2160000000000002</v>
      </c>
      <c r="AE86" s="69">
        <f>SUMIFS(Input!AJ$2:AJ$999,Input!$C$2:$C$999,CONCATENATE(LEFT($B$86,10),"*"),Input!$D$2:$D$999,$C$86)*IND_Mult!AF86</f>
        <v>8</v>
      </c>
      <c r="AF86" s="69">
        <f>SUMIFS(Input!AK$2:AK$999,Input!$C$2:$C$999,CONCATENATE(LEFT($B$86,10),"*"),Input!$D$2:$D$999,$C$86)*IND_Mult!AG86</f>
        <v>4.9199999999999999</v>
      </c>
      <c r="AG86" s="69">
        <f>SUMIFS(Input!AL$2:AL$999,Input!$C$2:$C$999,CONCATENATE(LEFT($B$86,10),"*"),Input!$D$2:$D$999,$C$86)*IND_Mult!AH86</f>
        <v>8</v>
      </c>
      <c r="AH86" s="69">
        <f>SUMIFS(Input!AM$2:AM$999,Input!$C$2:$C$999,CONCATENATE(LEFT($B$86,10),"*"),Input!$D$2:$D$999,$C$86)*IND_Mult!AI86</f>
        <v>7.7199999999999998</v>
      </c>
      <c r="AI86" s="69">
        <f>SUMIFS(Input!AN$2:AN$999,Input!$C$2:$C$999,CONCATENATE(LEFT($B$86,10),"*"),Input!$D$2:$D$999,$C$86)*IND_Mult!AJ86</f>
        <v>6.5359999999999996</v>
      </c>
      <c r="AJ86" s="69">
        <f>SUMIFS(Input!AO$2:AO$999,Input!$C$2:$C$999,CONCATENATE(LEFT($B$86,10),"*"),Input!$D$2:$D$999,$C$86)*IND_Mult!AK86</f>
        <v>8.8000000000000007</v>
      </c>
      <c r="AK86" s="69">
        <f>SUMIFS(Input!AP$2:AP$999,Input!$C$2:$C$999,CONCATENATE(LEFT($B$86,10),"*"),Input!$D$2:$D$999,$C$86)*IND_Mult!AL86</f>
        <v>14.800000000000001</v>
      </c>
      <c r="AL86" s="69">
        <f>SUMIFS(Input!AQ$2:AQ$999,Input!$C$2:$C$999,CONCATENATE(LEFT($B$86,10),"*"),Input!$D$2:$D$999,$C$86)*IND_Mult!AM86</f>
        <v>8.4000000000000004</v>
      </c>
      <c r="AM86" s="69">
        <f>SUMIFS(Input!AR$2:AR$999,Input!$C$2:$C$999,CONCATENATE(LEFT($B$86,10),"*"),Input!$D$2:$D$999,$C$86)*IND_Mult!AN86</f>
        <v>8</v>
      </c>
      <c r="AN86" s="69">
        <f>SUMIFS(Input!AS$2:AS$999,Input!$C$2:$C$999,CONCATENATE(LEFT($B$86,10),"*"),Input!$D$2:$D$999,$C$86)*IND_Mult!AO86</f>
        <v>11.800000000000001</v>
      </c>
      <c r="AO86" s="69">
        <f>SUMIFS(Input!AT$2:AT$999,Input!$C$2:$C$999,CONCATENATE(LEFT($B$86,10),"*"),Input!$D$2:$D$999,$C$86)*IND_Mult!AP86</f>
        <v>7.7919999999999998</v>
      </c>
      <c r="AP86" s="69">
        <f>SUMIFS(Input!AU$2:AU$999,Input!$C$2:$C$999,CONCATENATE(LEFT($B$86,10),"*"),Input!$D$2:$D$999,$C$86)*IND_Mult!AQ86</f>
        <v>11.6</v>
      </c>
      <c r="AQ86" s="69">
        <f>SUMIFS(Input!AV$2:AV$999,Input!$C$2:$C$999,CONCATENATE(LEFT($B$86,10),"*"),Input!$D$2:$D$999,$C$86)*IND_Mult!AR86</f>
        <v>7.2800000000000002</v>
      </c>
    </row>
    <row r="87" spans="1:43" ht="12.75">
      <c r="A87" s="6"/>
      <c r="B87" s="17" t="s">
        <v>271</v>
      </c>
      <c r="C87" s="18" t="s">
        <v>101</v>
      </c>
      <c r="D87" s="26"/>
      <c r="E87" s="16" t="s">
        <v>103</v>
      </c>
      <c r="F87" s="31"/>
      <c r="G87" s="69">
        <f>SUMIFS(Input!L$2:L$999,Input!$C$2:$C$999,CONCATENATE(LEFT($B$87,10),"*"),Input!$D$2:$D$999,$C$87)*IND_Mult!H87</f>
        <v>1.02</v>
      </c>
      <c r="H87" s="69">
        <f>SUMIFS(Input!M$2:M$999,Input!$C$2:$C$999,CONCATENATE(LEFT($B$87,10),"*"),Input!$D$2:$D$999,$C$87)*IND_Mult!I87</f>
        <v>1.02</v>
      </c>
      <c r="I87" s="69">
        <f>SUMIFS(Input!N$2:N$999,Input!$C$2:$C$999,CONCATENATE(LEFT($B$87,10),"*"),Input!$D$2:$D$999,$C$87)*IND_Mult!J87</f>
        <v>1.02</v>
      </c>
      <c r="J87" s="69">
        <f>SUMIFS(Input!O$2:O$999,Input!$C$2:$C$999,CONCATENATE(LEFT($B$87,10),"*"),Input!$D$2:$D$999,$C$87)*IND_Mult!K87</f>
        <v>1.02</v>
      </c>
      <c r="K87" s="69">
        <f>SUMIFS(Input!P$2:P$999,Input!$C$2:$C$999,CONCATENATE(LEFT($B$87,10),"*"),Input!$D$2:$D$999,$C$87)*IND_Mult!L87</f>
        <v>1.02</v>
      </c>
      <c r="L87" s="69">
        <f>SUMIFS(Input!Q$2:Q$999,Input!$C$2:$C$999,CONCATENATE(LEFT($B$87,10),"*"),Input!$D$2:$D$999,$C$87)*IND_Mult!M87</f>
        <v>1.02</v>
      </c>
      <c r="M87" s="69">
        <f>SUMIFS(Input!R$2:R$999,Input!$C$2:$C$999,CONCATENATE(LEFT($B$87,10),"*"),Input!$D$2:$D$999,$C$87)*IND_Mult!N87</f>
        <v>1.02</v>
      </c>
      <c r="N87" s="69">
        <f>SUMIFS(Input!S$2:S$999,Input!$C$2:$C$999,CONCATENATE(LEFT($B$87,10),"*"),Input!$D$2:$D$999,$C$87)*IND_Mult!O87</f>
        <v>1.02</v>
      </c>
      <c r="O87" s="69">
        <f>SUMIFS(Input!T$2:T$999,Input!$C$2:$C$999,CONCATENATE(LEFT($B$87,10),"*"),Input!$D$2:$D$999,$C$87)*IND_Mult!P87</f>
        <v>0.86699999999999999</v>
      </c>
      <c r="P87" s="69">
        <f>SUMIFS(Input!U$2:U$999,Input!$C$2:$C$999,CONCATENATE(LEFT($B$87,10),"*"),Input!$D$2:$D$999,$C$87)*IND_Mult!Q87</f>
        <v>1.02</v>
      </c>
      <c r="Q87" s="69">
        <f>SUMIFS(Input!V$2:V$999,Input!$C$2:$C$999,CONCATENATE(LEFT($B$87,10),"*"),Input!$D$2:$D$999,$C$87)*IND_Mult!R87</f>
        <v>1.224</v>
      </c>
      <c r="R87" s="69">
        <f>SUMIFS(Input!W$2:W$999,Input!$C$2:$C$999,CONCATENATE(LEFT($B$87,10),"*"),Input!$D$2:$D$999,$C$87)*IND_Mult!S87</f>
        <v>1.02</v>
      </c>
      <c r="S87" s="69">
        <f>SUMIFS(Input!X$2:X$999,Input!$C$2:$C$999,CONCATENATE(LEFT($B$87,10),"*"),Input!$D$2:$D$999,$C$87)*IND_Mult!T87</f>
        <v>0.71399999999999997</v>
      </c>
      <c r="T87" s="69">
        <f>SUMIFS(Input!Y$2:Y$999,Input!$C$2:$C$999,CONCATENATE(LEFT($B$87,10),"*"),Input!$D$2:$D$999,$C$87)*IND_Mult!U87</f>
        <v>1.3260000000000001</v>
      </c>
      <c r="U87" s="69">
        <f>SUMIFS(Input!Z$2:Z$999,Input!$C$2:$C$999,CONCATENATE(LEFT($B$87,10),"*"),Input!$D$2:$D$999,$C$87)*IND_Mult!V87</f>
        <v>1.02</v>
      </c>
      <c r="V87" s="69">
        <f>SUMIFS(Input!AA$2:AA$999,Input!$C$2:$C$999,CONCATENATE(LEFT($B$87,10),"*"),Input!$D$2:$D$999,$C$87)*IND_Mult!W87</f>
        <v>1.02</v>
      </c>
      <c r="W87" s="69">
        <f>SUMIFS(Input!AB$2:AB$999,Input!$C$2:$C$999,CONCATENATE(LEFT($B$87,10),"*"),Input!$D$2:$D$999,$C$87)*IND_Mult!X87</f>
        <v>1.02</v>
      </c>
      <c r="X87" s="69">
        <f>SUMIFS(Input!AC$2:AC$999,Input!$C$2:$C$999,CONCATENATE(LEFT($B$87,10),"*"),Input!$D$2:$D$999,$C$87)*IND_Mult!Y87</f>
        <v>1.02</v>
      </c>
      <c r="Y87" s="69">
        <f>SUMIFS(Input!AD$2:AD$999,Input!$C$2:$C$999,CONCATENATE(LEFT($B$87,10),"*"),Input!$D$2:$D$999,$C$87)*IND_Mult!Z87</f>
        <v>1.02</v>
      </c>
      <c r="Z87" s="69">
        <f>SUMIFS(Input!AE$2:AE$999,Input!$C$2:$C$999,CONCATENATE(LEFT($B$87,10),"*"),Input!$D$2:$D$999,$C$87)*IND_Mult!AA87</f>
        <v>1.02</v>
      </c>
      <c r="AA87" s="69">
        <f>SUMIFS(Input!AF$2:AF$999,Input!$C$2:$C$999,CONCATENATE(LEFT($B$87,10),"*"),Input!$D$2:$D$999,$C$87)*IND_Mult!AB87</f>
        <v>1.02</v>
      </c>
      <c r="AB87" s="69">
        <f>SUMIFS(Input!AG$2:AG$999,Input!$C$2:$C$999,CONCATENATE(LEFT($B$87,10),"*"),Input!$D$2:$D$999,$C$87)*IND_Mult!AC87</f>
        <v>1.02</v>
      </c>
      <c r="AC87" s="69">
        <f>SUMIFS(Input!AH$2:AH$999,Input!$C$2:$C$999,CONCATENATE(LEFT($B$87,10),"*"),Input!$D$2:$D$999,$C$87)*IND_Mult!AD87</f>
        <v>1.02</v>
      </c>
      <c r="AD87" s="69">
        <f>SUMIFS(Input!AI$2:AI$999,Input!$C$2:$C$999,CONCATENATE(LEFT($B$87,10),"*"),Input!$D$2:$D$999,$C$87)*IND_Mult!AE87</f>
        <v>1.02</v>
      </c>
      <c r="AE87" s="69">
        <f>SUMIFS(Input!AJ$2:AJ$999,Input!$C$2:$C$999,CONCATENATE(LEFT($B$87,10),"*"),Input!$D$2:$D$999,$C$87)*IND_Mult!AF87</f>
        <v>1.02</v>
      </c>
      <c r="AF87" s="69">
        <f>SUMIFS(Input!AK$2:AK$999,Input!$C$2:$C$999,CONCATENATE(LEFT($B$87,10),"*"),Input!$D$2:$D$999,$C$87)*IND_Mult!AG87</f>
        <v>1.02</v>
      </c>
      <c r="AG87" s="69">
        <f>SUMIFS(Input!AL$2:AL$999,Input!$C$2:$C$999,CONCATENATE(LEFT($B$87,10),"*"),Input!$D$2:$D$999,$C$87)*IND_Mult!AH87</f>
        <v>1.02</v>
      </c>
      <c r="AH87" s="69">
        <f>SUMIFS(Input!AM$2:AM$999,Input!$C$2:$C$999,CONCATENATE(LEFT($B$87,10),"*"),Input!$D$2:$D$999,$C$87)*IND_Mult!AI87</f>
        <v>1.02</v>
      </c>
      <c r="AI87" s="69">
        <f>SUMIFS(Input!AN$2:AN$999,Input!$C$2:$C$999,CONCATENATE(LEFT($B$87,10),"*"),Input!$D$2:$D$999,$C$87)*IND_Mult!AJ87</f>
        <v>1.02</v>
      </c>
      <c r="AJ87" s="69">
        <f>SUMIFS(Input!AO$2:AO$999,Input!$C$2:$C$999,CONCATENATE(LEFT($B$87,10),"*"),Input!$D$2:$D$999,$C$87)*IND_Mult!AK87</f>
        <v>1.02</v>
      </c>
      <c r="AK87" s="69">
        <f>SUMIFS(Input!AP$2:AP$999,Input!$C$2:$C$999,CONCATENATE(LEFT($B$87,10),"*"),Input!$D$2:$D$999,$C$87)*IND_Mult!AL87</f>
        <v>1.02</v>
      </c>
      <c r="AL87" s="69">
        <f>SUMIFS(Input!AQ$2:AQ$999,Input!$C$2:$C$999,CONCATENATE(LEFT($B$87,10),"*"),Input!$D$2:$D$999,$C$87)*IND_Mult!AM87</f>
        <v>1.02</v>
      </c>
      <c r="AM87" s="69">
        <f>SUMIFS(Input!AR$2:AR$999,Input!$C$2:$C$999,CONCATENATE(LEFT($B$87,10),"*"),Input!$D$2:$D$999,$C$87)*IND_Mult!AN87</f>
        <v>1.02</v>
      </c>
      <c r="AN87" s="69">
        <f>SUMIFS(Input!AS$2:AS$999,Input!$C$2:$C$999,CONCATENATE(LEFT($B$87,10),"*"),Input!$D$2:$D$999,$C$87)*IND_Mult!AO87</f>
        <v>1.02</v>
      </c>
      <c r="AO87" s="69">
        <f>SUMIFS(Input!AT$2:AT$999,Input!$C$2:$C$999,CONCATENATE(LEFT($B$87,10),"*"),Input!$D$2:$D$999,$C$87)*IND_Mult!AP87</f>
        <v>1.02</v>
      </c>
      <c r="AP87" s="69">
        <f>SUMIFS(Input!AU$2:AU$999,Input!$C$2:$C$999,CONCATENATE(LEFT($B$87,10),"*"),Input!$D$2:$D$999,$C$87)*IND_Mult!AQ87</f>
        <v>1.02</v>
      </c>
      <c r="AQ87" s="69">
        <f>SUMIFS(Input!AV$2:AV$999,Input!$C$2:$C$999,CONCATENATE(LEFT($B$87,10),"*"),Input!$D$2:$D$999,$C$87)*IND_Mult!AR87</f>
        <v>1.02</v>
      </c>
    </row>
    <row r="88" spans="2:43" ht="12.75">
      <c r="B88" s="20" t="s">
        <v>280</v>
      </c>
      <c r="C88" t="s">
        <v>38</v>
      </c>
      <c r="D88" s="22" t="s">
        <v>287</v>
      </c>
      <c r="E88" t="s">
        <v>286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2:43" ht="12.75">
      <c r="B89" s="20" t="s">
        <v>280</v>
      </c>
      <c r="C89" t="s">
        <v>37</v>
      </c>
      <c r="D89" s="22" t="s">
        <v>287</v>
      </c>
      <c r="E89" t="s">
        <v>286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2:43" ht="12.75">
      <c r="B90" s="20" t="s">
        <v>280</v>
      </c>
      <c r="C90" s="67"/>
      <c r="E90" t="s">
        <v>278</v>
      </c>
      <c r="G90">
        <f>0.09367*IND_Mult!H187</f>
        <v>0.093670000000000003</v>
      </c>
      <c r="H90">
        <f>0.09367*IND_Mult!I187</f>
        <v>0.093670000000000003</v>
      </c>
      <c r="I90">
        <f>0.09367*IND_Mult!J187</f>
        <v>0.093670000000000003</v>
      </c>
      <c r="J90">
        <f>0.09367*IND_Mult!K187</f>
        <v>0.093670000000000003</v>
      </c>
      <c r="K90">
        <f>0.09367*IND_Mult!L187</f>
        <v>0.093670000000000003</v>
      </c>
      <c r="L90">
        <f>0.09367*IND_Mult!M187</f>
        <v>0.093670000000000003</v>
      </c>
      <c r="M90">
        <f>0.09367*IND_Mult!N187</f>
        <v>0.093670000000000003</v>
      </c>
      <c r="N90">
        <f>0.09367*IND_Mult!O187</f>
        <v>0.093670000000000003</v>
      </c>
      <c r="O90">
        <f>0.09367*IND_Mult!P187</f>
        <v>0.079619499999999996</v>
      </c>
      <c r="P90">
        <f>0.09367*IND_Mult!Q187</f>
        <v>0.093670000000000003</v>
      </c>
      <c r="Q90">
        <f>0.09367*IND_Mult!R187</f>
        <v>0.093670000000000003</v>
      </c>
      <c r="R90">
        <f>0.09367*IND_Mult!S187</f>
        <v>0.093670000000000003</v>
      </c>
      <c r="S90">
        <f>0.09367*IND_Mult!T187</f>
        <v>0.093670000000000003</v>
      </c>
      <c r="T90">
        <f>0.09367*IND_Mult!U187</f>
        <v>0.093670000000000003</v>
      </c>
      <c r="U90">
        <f>0.09367*IND_Mult!V187</f>
        <v>0.093670000000000003</v>
      </c>
      <c r="V90">
        <f>0.09367*IND_Mult!W187</f>
        <v>0.093670000000000003</v>
      </c>
      <c r="W90">
        <f>0.09367*IND_Mult!X187</f>
        <v>0.093670000000000003</v>
      </c>
      <c r="X90">
        <f>0.09367*IND_Mult!Y187</f>
        <v>0.093670000000000003</v>
      </c>
      <c r="Y90">
        <f>0.09367*IND_Mult!Z187</f>
        <v>0.093670000000000003</v>
      </c>
      <c r="Z90">
        <f>0.09367*IND_Mult!AA187</f>
        <v>0.093670000000000003</v>
      </c>
      <c r="AA90">
        <f>0.09367*IND_Mult!AB187</f>
        <v>0.093670000000000003</v>
      </c>
      <c r="AB90">
        <f>0.09367*IND_Mult!AC187</f>
        <v>0.093670000000000003</v>
      </c>
      <c r="AC90">
        <f>0.09367*IND_Mult!AD187</f>
        <v>0.093670000000000003</v>
      </c>
      <c r="AD90">
        <f>0.09367*IND_Mult!AE187</f>
        <v>0.093670000000000003</v>
      </c>
      <c r="AE90">
        <f>0.09367*IND_Mult!AF187</f>
        <v>0.093670000000000003</v>
      </c>
      <c r="AF90">
        <f>0.09367*IND_Mult!AG187</f>
        <v>0.093670000000000003</v>
      </c>
      <c r="AG90">
        <f>0.09367*IND_Mult!AH187</f>
        <v>0.093670000000000003</v>
      </c>
      <c r="AH90">
        <f>0.09367*IND_Mult!AI187</f>
        <v>0.093670000000000003</v>
      </c>
      <c r="AI90">
        <f>0.09367*IND_Mult!AJ187</f>
        <v>0.093670000000000003</v>
      </c>
      <c r="AJ90">
        <f>0.09367*IND_Mult!AK187</f>
        <v>0.093670000000000003</v>
      </c>
      <c r="AK90">
        <f>0.09367*IND_Mult!AL187</f>
        <v>0.093670000000000003</v>
      </c>
      <c r="AL90">
        <f>0.09367*IND_Mult!AM187</f>
        <v>0.093670000000000003</v>
      </c>
      <c r="AM90">
        <f>0.09367*IND_Mult!AN187</f>
        <v>0.093670000000000003</v>
      </c>
      <c r="AN90">
        <f>0.09367*IND_Mult!AO187</f>
        <v>0.093670000000000003</v>
      </c>
      <c r="AO90">
        <f>0.09367*IND_Mult!AP187</f>
        <v>0.093670000000000003</v>
      </c>
      <c r="AP90">
        <f>0.09367*IND_Mult!AQ187</f>
        <v>0.093670000000000003</v>
      </c>
      <c r="AQ90">
        <f>0.09367*IND_Mult!AR187</f>
        <v>0.093670000000000003</v>
      </c>
    </row>
    <row r="91" spans="1:43" ht="12.75">
      <c r="A91" s="6"/>
      <c r="B91" s="17" t="s">
        <v>272</v>
      </c>
      <c r="C91" s="18" t="s">
        <v>155</v>
      </c>
      <c r="D91" s="26"/>
      <c r="E91" s="16" t="s">
        <v>285</v>
      </c>
      <c r="F91" s="31"/>
      <c r="G91" s="69">
        <f>SUMIFS(Input!L$2:L$999,Input!$C$2:$C$999,CONCATENATE(LEFT($B$91,10),"*"),Input!$D$2:$D$999,$C$91)*IND_Mult!H91</f>
        <v>0</v>
      </c>
      <c r="H91" s="69">
        <f>SUMIFS(Input!M$2:M$999,Input!$C$2:$C$999,CONCATENATE(LEFT($B$91,10),"*"),Input!$D$2:$D$999,$C$91)*IND_Mult!I91</f>
        <v>0</v>
      </c>
      <c r="I91" s="69">
        <f>SUMIFS(Input!N$2:N$999,Input!$C$2:$C$999,CONCATENATE(LEFT($B$91,10),"*"),Input!$D$2:$D$999,$C$91)*IND_Mult!J91</f>
        <v>0</v>
      </c>
      <c r="J91" s="69">
        <f>SUMIFS(Input!O$2:O$999,Input!$C$2:$C$999,CONCATENATE(LEFT($B$91,10),"*"),Input!$D$2:$D$999,$C$91)*IND_Mult!K91</f>
        <v>0.14799999999999999</v>
      </c>
      <c r="K91" s="69">
        <f>SUMIFS(Input!P$2:P$999,Input!$C$2:$C$999,CONCATENATE(LEFT($B$91,10),"*"),Input!$D$2:$D$999,$C$91)*IND_Mult!L91</f>
        <v>0.438</v>
      </c>
      <c r="L91" s="69">
        <f>SUMIFS(Input!Q$2:Q$999,Input!$C$2:$C$999,CONCATENATE(LEFT($B$91,10),"*"),Input!$D$2:$D$999,$C$91)*IND_Mult!M91</f>
        <v>0.438</v>
      </c>
      <c r="M91" s="69">
        <f>SUMIFS(Input!R$2:R$999,Input!$C$2:$C$999,CONCATENATE(LEFT($B$91,10),"*"),Input!$D$2:$D$999,$C$91)*IND_Mult!N91</f>
        <v>0</v>
      </c>
      <c r="N91" s="69">
        <f>SUMIFS(Input!S$2:S$999,Input!$C$2:$C$999,CONCATENATE(LEFT($B$91,10),"*"),Input!$D$2:$D$999,$C$91)*IND_Mult!O91</f>
        <v>0</v>
      </c>
      <c r="O91" s="69">
        <f>SUMIFS(Input!T$2:T$999,Input!$C$2:$C$999,CONCATENATE(LEFT($B$91,10),"*"),Input!$D$2:$D$999,$C$91)*IND_Mult!P91</f>
        <v>0.1275</v>
      </c>
      <c r="P91" s="69">
        <f>SUMIFS(Input!U$2:U$999,Input!$C$2:$C$999,CONCATENATE(LEFT($B$91,10),"*"),Input!$D$2:$D$999,$C$91)*IND_Mult!Q91</f>
        <v>0.14999999999999999</v>
      </c>
      <c r="Q91" s="69">
        <f>SUMIFS(Input!V$2:V$999,Input!$C$2:$C$999,CONCATENATE(LEFT($B$91,10),"*"),Input!$D$2:$D$999,$C$91)*IND_Mult!R91</f>
        <v>0</v>
      </c>
      <c r="R91" s="69">
        <f>SUMIFS(Input!W$2:W$999,Input!$C$2:$C$999,CONCATENATE(LEFT($B$91,10),"*"),Input!$D$2:$D$999,$C$91)*IND_Mult!S91</f>
        <v>0</v>
      </c>
      <c r="S91" s="69">
        <f>SUMIFS(Input!X$2:X$999,Input!$C$2:$C$999,CONCATENATE(LEFT($B$91,10),"*"),Input!$D$2:$D$999,$C$91)*IND_Mult!T91</f>
        <v>0</v>
      </c>
      <c r="T91" s="69">
        <f>SUMIFS(Input!Y$2:Y$999,Input!$C$2:$C$999,CONCATENATE(LEFT($B$91,10),"*"),Input!$D$2:$D$999,$C$91)*IND_Mult!U91</f>
        <v>0</v>
      </c>
      <c r="U91" s="69">
        <f>SUMIFS(Input!Z$2:Z$999,Input!$C$2:$C$999,CONCATENATE(LEFT($B$91,10),"*"),Input!$D$2:$D$999,$C$91)*IND_Mult!V91</f>
        <v>0</v>
      </c>
      <c r="V91" s="69">
        <f>SUMIFS(Input!AA$2:AA$999,Input!$C$2:$C$999,CONCATENATE(LEFT($B$91,10),"*"),Input!$D$2:$D$999,$C$91)*IND_Mult!W91</f>
        <v>0</v>
      </c>
      <c r="W91" s="69">
        <f>SUMIFS(Input!AB$2:AB$999,Input!$C$2:$C$999,CONCATENATE(LEFT($B$91,10),"*"),Input!$D$2:$D$999,$C$91)*IND_Mult!X91</f>
        <v>0</v>
      </c>
      <c r="X91" s="69">
        <f>SUMIFS(Input!AC$2:AC$999,Input!$C$2:$C$999,CONCATENATE(LEFT($B$91,10),"*"),Input!$D$2:$D$999,$C$91)*IND_Mult!Y91</f>
        <v>0</v>
      </c>
      <c r="Y91" s="69">
        <f>SUMIFS(Input!AD$2:AD$999,Input!$C$2:$C$999,CONCATENATE(LEFT($B$91,10),"*"),Input!$D$2:$D$999,$C$91)*IND_Mult!Z91</f>
        <v>0</v>
      </c>
      <c r="Z91" s="69">
        <f>SUMIFS(Input!AE$2:AE$999,Input!$C$2:$C$999,CONCATENATE(LEFT($B$91,10),"*"),Input!$D$2:$D$999,$C$91)*IND_Mult!AA91</f>
        <v>0</v>
      </c>
      <c r="AA91" s="69">
        <f>SUMIFS(Input!AF$2:AF$999,Input!$C$2:$C$999,CONCATENATE(LEFT($B$91,10),"*"),Input!$D$2:$D$999,$C$91)*IND_Mult!AB91</f>
        <v>0</v>
      </c>
      <c r="AB91" s="69">
        <f>SUMIFS(Input!AG$2:AG$999,Input!$C$2:$C$999,CONCATENATE(LEFT($B$91,10),"*"),Input!$D$2:$D$999,$C$91)*IND_Mult!AC91</f>
        <v>0</v>
      </c>
      <c r="AC91" s="69">
        <f>SUMIFS(Input!AH$2:AH$999,Input!$C$2:$C$999,CONCATENATE(LEFT($B$91,10),"*"),Input!$D$2:$D$999,$C$91)*IND_Mult!AD91</f>
        <v>0</v>
      </c>
      <c r="AD91" s="69">
        <f>SUMIFS(Input!AI$2:AI$999,Input!$C$2:$C$999,CONCATENATE(LEFT($B$91,10),"*"),Input!$D$2:$D$999,$C$91)*IND_Mult!AE91</f>
        <v>0</v>
      </c>
      <c r="AE91" s="69">
        <f>SUMIFS(Input!AJ$2:AJ$999,Input!$C$2:$C$999,CONCATENATE(LEFT($B$91,10),"*"),Input!$D$2:$D$999,$C$91)*IND_Mult!AF91</f>
        <v>0</v>
      </c>
      <c r="AF91" s="69">
        <f>SUMIFS(Input!AK$2:AK$999,Input!$C$2:$C$999,CONCATENATE(LEFT($B$91,10),"*"),Input!$D$2:$D$999,$C$91)*IND_Mult!AG91</f>
        <v>0</v>
      </c>
      <c r="AG91" s="69">
        <f>SUMIFS(Input!AL$2:AL$999,Input!$C$2:$C$999,CONCATENATE(LEFT($B$91,10),"*"),Input!$D$2:$D$999,$C$91)*IND_Mult!AH91</f>
        <v>0</v>
      </c>
      <c r="AH91" s="69">
        <f>SUMIFS(Input!AM$2:AM$999,Input!$C$2:$C$999,CONCATENATE(LEFT($B$91,10),"*"),Input!$D$2:$D$999,$C$91)*IND_Mult!AI91</f>
        <v>0</v>
      </c>
      <c r="AI91" s="69">
        <f>SUMIFS(Input!AN$2:AN$999,Input!$C$2:$C$999,CONCATENATE(LEFT($B$91,10),"*"),Input!$D$2:$D$999,$C$91)*IND_Mult!AJ91</f>
        <v>0</v>
      </c>
      <c r="AJ91" s="69">
        <f>SUMIFS(Input!AO$2:AO$999,Input!$C$2:$C$999,CONCATENATE(LEFT($B$91,10),"*"),Input!$D$2:$D$999,$C$91)*IND_Mult!AK91</f>
        <v>0</v>
      </c>
      <c r="AK91" s="69">
        <f>SUMIFS(Input!AP$2:AP$999,Input!$C$2:$C$999,CONCATENATE(LEFT($B$91,10),"*"),Input!$D$2:$D$999,$C$91)*IND_Mult!AL91</f>
        <v>0</v>
      </c>
      <c r="AL91" s="69">
        <f>SUMIFS(Input!AQ$2:AQ$999,Input!$C$2:$C$999,CONCATENATE(LEFT($B$91,10),"*"),Input!$D$2:$D$999,$C$91)*IND_Mult!AM91</f>
        <v>0</v>
      </c>
      <c r="AM91" s="69">
        <f>SUMIFS(Input!AR$2:AR$999,Input!$C$2:$C$999,CONCATENATE(LEFT($B$91,10),"*"),Input!$D$2:$D$999,$C$91)*IND_Mult!AN91</f>
        <v>0</v>
      </c>
      <c r="AN91" s="69">
        <f>SUMIFS(Input!AS$2:AS$999,Input!$C$2:$C$999,CONCATENATE(LEFT($B$91,10),"*"),Input!$D$2:$D$999,$C$91)*IND_Mult!AO91</f>
        <v>0</v>
      </c>
      <c r="AO91" s="69">
        <f>SUMIFS(Input!AT$2:AT$999,Input!$C$2:$C$999,CONCATENATE(LEFT($B$91,10),"*"),Input!$D$2:$D$999,$C$91)*IND_Mult!AP91</f>
        <v>0</v>
      </c>
      <c r="AP91" s="69">
        <f>SUMIFS(Input!AU$2:AU$999,Input!$C$2:$C$999,CONCATENATE(LEFT($B$91,10),"*"),Input!$D$2:$D$999,$C$91)*IND_Mult!AQ91</f>
        <v>0</v>
      </c>
      <c r="AQ91" s="69">
        <f>SUMIFS(Input!AV$2:AV$999,Input!$C$2:$C$999,CONCATENATE(LEFT($B$91,10),"*"),Input!$D$2:$D$999,$C$91)*IND_Mult!AR91</f>
        <v>0</v>
      </c>
    </row>
    <row r="92" spans="1:43" ht="12.75">
      <c r="A92" s="6"/>
      <c r="B92" s="17" t="s">
        <v>272</v>
      </c>
      <c r="C92" s="18" t="s">
        <v>37</v>
      </c>
      <c r="D92" s="26"/>
      <c r="E92" s="16" t="s">
        <v>103</v>
      </c>
      <c r="F92" s="31"/>
      <c r="G92" s="69">
        <f>SUMIFS(Input!L$2:L$999,Input!$C$2:$C$999,CONCATENATE(LEFT($B$92,10),"*"),Input!$D$2:$D$999,$C$92)*IND_Mult!H92</f>
        <v>2.2999999999999998</v>
      </c>
      <c r="H92" s="69">
        <f>SUMIFS(Input!M$2:M$999,Input!$C$2:$C$999,CONCATENATE(LEFT($B$92,10),"*"),Input!$D$2:$D$999,$C$92)*IND_Mult!I92</f>
        <v>2</v>
      </c>
      <c r="I92" s="69">
        <f>SUMIFS(Input!N$2:N$999,Input!$C$2:$C$999,CONCATENATE(LEFT($B$92,10),"*"),Input!$D$2:$D$999,$C$92)*IND_Mult!J92</f>
        <v>2.8999999999999999</v>
      </c>
      <c r="J92" s="69">
        <f>SUMIFS(Input!O$2:O$999,Input!$C$2:$C$999,CONCATENATE(LEFT($B$92,10),"*"),Input!$D$2:$D$999,$C$92)*IND_Mult!K92</f>
        <v>2.1200000000000001</v>
      </c>
      <c r="K92" s="69">
        <f>SUMIFS(Input!P$2:P$999,Input!$C$2:$C$999,CONCATENATE(LEFT($B$92,10),"*"),Input!$D$2:$D$999,$C$92)*IND_Mult!L92</f>
        <v>2.3999999999999999</v>
      </c>
      <c r="L92" s="69">
        <f>SUMIFS(Input!Q$2:Q$999,Input!$C$2:$C$999,CONCATENATE(LEFT($B$92,10),"*"),Input!$D$2:$D$999,$C$92)*IND_Mult!M92</f>
        <v>2.3999999999999999</v>
      </c>
      <c r="M92" s="69">
        <f>SUMIFS(Input!R$2:R$999,Input!$C$2:$C$999,CONCATENATE(LEFT($B$92,10),"*"),Input!$D$2:$D$999,$C$92)*IND_Mult!N92</f>
        <v>2</v>
      </c>
      <c r="N92" s="69">
        <f>SUMIFS(Input!S$2:S$999,Input!$C$2:$C$999,CONCATENATE(LEFT($B$92,10),"*"),Input!$D$2:$D$999,$C$92)*IND_Mult!O92</f>
        <v>2.7000000000000002</v>
      </c>
      <c r="O92" s="69">
        <f>SUMIFS(Input!T$2:T$999,Input!$C$2:$C$999,CONCATENATE(LEFT($B$92,10),"*"),Input!$D$2:$D$999,$C$92)*IND_Mult!P92</f>
        <v>1.7</v>
      </c>
      <c r="P92" s="69">
        <f>SUMIFS(Input!U$2:U$999,Input!$C$2:$C$999,CONCATENATE(LEFT($B$92,10),"*"),Input!$D$2:$D$999,$C$92)*IND_Mult!Q92</f>
        <v>2</v>
      </c>
      <c r="Q92" s="69">
        <f>SUMIFS(Input!V$2:V$999,Input!$C$2:$C$999,CONCATENATE(LEFT($B$92,10),"*"),Input!$D$2:$D$999,$C$92)*IND_Mult!R92</f>
        <v>2.9700000000000002</v>
      </c>
      <c r="R92" s="69">
        <f>SUMIFS(Input!W$2:W$999,Input!$C$2:$C$999,CONCATENATE(LEFT($B$92,10),"*"),Input!$D$2:$D$999,$C$92)*IND_Mult!S92</f>
        <v>1.8</v>
      </c>
      <c r="S92" s="69">
        <f>SUMIFS(Input!X$2:X$999,Input!$C$2:$C$999,CONCATENATE(LEFT($B$92,10),"*"),Input!$D$2:$D$999,$C$92)*IND_Mult!T92</f>
        <v>1.3500000000000001</v>
      </c>
      <c r="T92" s="69">
        <f>SUMIFS(Input!Y$2:Y$999,Input!$C$2:$C$999,CONCATENATE(LEFT($B$92,10),"*"),Input!$D$2:$D$999,$C$92)*IND_Mult!U92</f>
        <v>3.3399999999999999</v>
      </c>
      <c r="U92" s="69">
        <f>SUMIFS(Input!Z$2:Z$999,Input!$C$2:$C$999,CONCATENATE(LEFT($B$92,10),"*"),Input!$D$2:$D$999,$C$92)*IND_Mult!V92</f>
        <v>2.0800000000000001</v>
      </c>
      <c r="V92" s="69">
        <f>SUMIFS(Input!AA$2:AA$999,Input!$C$2:$C$999,CONCATENATE(LEFT($B$92,10),"*"),Input!$D$2:$D$999,$C$92)*IND_Mult!W92</f>
        <v>1.99</v>
      </c>
      <c r="W92" s="69">
        <f>SUMIFS(Input!AB$2:AB$999,Input!$C$2:$C$999,CONCATENATE(LEFT($B$92,10),"*"),Input!$D$2:$D$999,$C$92)*IND_Mult!X92</f>
        <v>2</v>
      </c>
      <c r="X92" s="69">
        <f>SUMIFS(Input!AC$2:AC$999,Input!$C$2:$C$999,CONCATENATE(LEFT($B$92,10),"*"),Input!$D$2:$D$999,$C$92)*IND_Mult!Y92</f>
        <v>3.8199999999999998</v>
      </c>
      <c r="Y92" s="69">
        <f>SUMIFS(Input!AD$2:AD$999,Input!$C$2:$C$999,CONCATENATE(LEFT($B$92,10),"*"),Input!$D$2:$D$999,$C$92)*IND_Mult!Z92</f>
        <v>2</v>
      </c>
      <c r="Z92" s="69">
        <f>SUMIFS(Input!AE$2:AE$999,Input!$C$2:$C$999,CONCATENATE(LEFT($B$92,10),"*"),Input!$D$2:$D$999,$C$92)*IND_Mult!AA92</f>
        <v>1.96</v>
      </c>
      <c r="AA92" s="69">
        <f>SUMIFS(Input!AF$2:AF$999,Input!$C$2:$C$999,CONCATENATE(LEFT($B$92,10),"*"),Input!$D$2:$D$999,$C$92)*IND_Mult!AB92</f>
        <v>2</v>
      </c>
      <c r="AB92" s="69">
        <f>SUMIFS(Input!AG$2:AG$999,Input!$C$2:$C$999,CONCATENATE(LEFT($B$92,10),"*"),Input!$D$2:$D$999,$C$92)*IND_Mult!AC92</f>
        <v>2.5</v>
      </c>
      <c r="AC92" s="69">
        <f>SUMIFS(Input!AH$2:AH$999,Input!$C$2:$C$999,CONCATENATE(LEFT($B$92,10),"*"),Input!$D$2:$D$999,$C$92)*IND_Mult!AD92</f>
        <v>2.6800000000000002</v>
      </c>
      <c r="AD92" s="69">
        <f>SUMIFS(Input!AI$2:AI$999,Input!$C$2:$C$999,CONCATENATE(LEFT($B$92,10),"*"),Input!$D$2:$D$999,$C$92)*IND_Mult!AE92</f>
        <v>1.554</v>
      </c>
      <c r="AE92" s="69">
        <f>SUMIFS(Input!AJ$2:AJ$999,Input!$C$2:$C$999,CONCATENATE(LEFT($B$92,10),"*"),Input!$D$2:$D$999,$C$92)*IND_Mult!AF92</f>
        <v>2</v>
      </c>
      <c r="AF92" s="69">
        <f>SUMIFS(Input!AK$2:AK$999,Input!$C$2:$C$999,CONCATENATE(LEFT($B$92,10),"*"),Input!$D$2:$D$999,$C$92)*IND_Mult!AG92</f>
        <v>2.5</v>
      </c>
      <c r="AG92" s="69">
        <f>SUMIFS(Input!AL$2:AL$999,Input!$C$2:$C$999,CONCATENATE(LEFT($B$92,10),"*"),Input!$D$2:$D$999,$C$92)*IND_Mult!AH92</f>
        <v>2</v>
      </c>
      <c r="AH92" s="69">
        <f>SUMIFS(Input!AM$2:AM$999,Input!$C$2:$C$999,CONCATENATE(LEFT($B$92,10),"*"),Input!$D$2:$D$999,$C$92)*IND_Mult!AI92</f>
        <v>1.7</v>
      </c>
      <c r="AI92" s="69">
        <f>SUMIFS(Input!AN$2:AN$999,Input!$C$2:$C$999,CONCATENATE(LEFT($B$92,10),"*"),Input!$D$2:$D$999,$C$92)*IND_Mult!AJ92</f>
        <v>2.3500000000000001</v>
      </c>
      <c r="AJ92" s="69">
        <f>SUMIFS(Input!AO$2:AO$999,Input!$C$2:$C$999,CONCATENATE(LEFT($B$92,10),"*"),Input!$D$2:$D$999,$C$92)*IND_Mult!AK92</f>
        <v>2.2000000000000002</v>
      </c>
      <c r="AK92" s="69">
        <f>SUMIFS(Input!AP$2:AP$999,Input!$C$2:$C$999,CONCATENATE(LEFT($B$92,10),"*"),Input!$D$2:$D$999,$C$92)*IND_Mult!AL92</f>
        <v>3.3999999999999999</v>
      </c>
      <c r="AL92" s="69">
        <f>SUMIFS(Input!AQ$2:AQ$999,Input!$C$2:$C$999,CONCATENATE(LEFT($B$92,10),"*"),Input!$D$2:$D$999,$C$92)*IND_Mult!AM92</f>
        <v>2.2000000000000002</v>
      </c>
      <c r="AM92" s="69">
        <f>SUMIFS(Input!AR$2:AR$999,Input!$C$2:$C$999,CONCATENATE(LEFT($B$92,10),"*"),Input!$D$2:$D$999,$C$92)*IND_Mult!AN92</f>
        <v>2</v>
      </c>
      <c r="AN92" s="69">
        <f>SUMIFS(Input!AS$2:AS$999,Input!$C$2:$C$999,CONCATENATE(LEFT($B$92,10),"*"),Input!$D$2:$D$999,$C$92)*IND_Mult!AO92</f>
        <v>3.6000000000000001</v>
      </c>
      <c r="AO92" s="69">
        <f>SUMIFS(Input!AT$2:AT$999,Input!$C$2:$C$999,CONCATENATE(LEFT($B$92,10),"*"),Input!$D$2:$D$999,$C$92)*IND_Mult!AP92</f>
        <v>1.9199999999999999</v>
      </c>
      <c r="AP92" s="69">
        <f>SUMIFS(Input!AU$2:AU$999,Input!$C$2:$C$999,CONCATENATE(LEFT($B$92,10),"*"),Input!$D$2:$D$999,$C$92)*IND_Mult!AQ92</f>
        <v>2.3999999999999999</v>
      </c>
      <c r="AQ92" s="69">
        <f>SUMIFS(Input!AV$2:AV$999,Input!$C$2:$C$999,CONCATENATE(LEFT($B$92,10),"*"),Input!$D$2:$D$999,$C$92)*IND_Mult!AR92</f>
        <v>2.8199999999999998</v>
      </c>
    </row>
    <row r="93" spans="1:43" ht="12.75">
      <c r="A93" s="6"/>
      <c r="B93" s="17" t="s">
        <v>272</v>
      </c>
      <c r="C93" s="18" t="s">
        <v>38</v>
      </c>
      <c r="D93" s="26"/>
      <c r="E93" s="16" t="s">
        <v>103</v>
      </c>
      <c r="F93" s="31"/>
      <c r="G93" s="69">
        <f>SUMIFS(Input!L$2:L$999,Input!$C$2:$C$999,CONCATENATE(LEFT($B$93,10),"*"),Input!$D$2:$D$999,$C$93)*IND_Mult!H93</f>
        <v>0</v>
      </c>
      <c r="H93" s="69">
        <f>SUMIFS(Input!M$2:M$999,Input!$C$2:$C$999,CONCATENATE(LEFT($B$93,10),"*"),Input!$D$2:$D$999,$C$93)*IND_Mult!I93</f>
        <v>0.14499999999999999</v>
      </c>
      <c r="I93" s="69">
        <f>SUMIFS(Input!N$2:N$999,Input!$C$2:$C$999,CONCATENATE(LEFT($B$93,10),"*"),Input!$D$2:$D$999,$C$93)*IND_Mult!J93</f>
        <v>0.14499999999999999</v>
      </c>
      <c r="J93" s="69">
        <f>SUMIFS(Input!O$2:O$999,Input!$C$2:$C$999,CONCATENATE(LEFT($B$93,10),"*"),Input!$D$2:$D$999,$C$93)*IND_Mult!K93</f>
        <v>0</v>
      </c>
      <c r="K93" s="69">
        <f>SUMIFS(Input!P$2:P$999,Input!$C$2:$C$999,CONCATENATE(LEFT($B$93,10),"*"),Input!$D$2:$D$999,$C$93)*IND_Mult!L93</f>
        <v>0</v>
      </c>
      <c r="L93" s="69">
        <f>SUMIFS(Input!Q$2:Q$999,Input!$C$2:$C$999,CONCATENATE(LEFT($B$93,10),"*"),Input!$D$2:$D$999,$C$93)*IND_Mult!M93</f>
        <v>0</v>
      </c>
      <c r="M93" s="69">
        <f>SUMIFS(Input!R$2:R$999,Input!$C$2:$C$999,CONCATENATE(LEFT($B$93,10),"*"),Input!$D$2:$D$999,$C$93)*IND_Mult!N93</f>
        <v>0.14499999999999999</v>
      </c>
      <c r="N93" s="69">
        <f>SUMIFS(Input!S$2:S$999,Input!$C$2:$C$999,CONCATENATE(LEFT($B$93,10),"*"),Input!$D$2:$D$999,$C$93)*IND_Mult!O93</f>
        <v>0.14499999999999999</v>
      </c>
      <c r="O93" s="69">
        <f>SUMIFS(Input!T$2:T$999,Input!$C$2:$C$999,CONCATENATE(LEFT($B$93,10),"*"),Input!$D$2:$D$999,$C$93)*IND_Mult!P93</f>
        <v>0.14499999999999999</v>
      </c>
      <c r="P93" s="69">
        <f>SUMIFS(Input!U$2:U$999,Input!$C$2:$C$999,CONCATENATE(LEFT($B$93,10),"*"),Input!$D$2:$D$999,$C$93)*IND_Mult!Q93</f>
        <v>0.125</v>
      </c>
      <c r="Q93" s="69">
        <f>SUMIFS(Input!V$2:V$999,Input!$C$2:$C$999,CONCATENATE(LEFT($B$93,10),"*"),Input!$D$2:$D$999,$C$93)*IND_Mult!R93</f>
        <v>0.129775</v>
      </c>
      <c r="R93" s="69">
        <f>SUMIFS(Input!W$2:W$999,Input!$C$2:$C$999,CONCATENATE(LEFT($B$93,10),"*"),Input!$D$2:$D$999,$C$93)*IND_Mult!S93</f>
        <v>0.14499999999999999</v>
      </c>
      <c r="S93" s="69">
        <f>SUMIFS(Input!X$2:X$999,Input!$C$2:$C$999,CONCATENATE(LEFT($B$93,10),"*"),Input!$D$2:$D$999,$C$93)*IND_Mult!T93</f>
        <v>0</v>
      </c>
      <c r="T93" s="69">
        <f>SUMIFS(Input!Y$2:Y$999,Input!$C$2:$C$999,CONCATENATE(LEFT($B$93,10),"*"),Input!$D$2:$D$999,$C$93)*IND_Mult!U93</f>
        <v>0</v>
      </c>
      <c r="U93" s="69">
        <f>SUMIFS(Input!Z$2:Z$999,Input!$C$2:$C$999,CONCATENATE(LEFT($B$93,10),"*"),Input!$D$2:$D$999,$C$93)*IND_Mult!V93</f>
        <v>0</v>
      </c>
      <c r="V93" s="69">
        <f>SUMIFS(Input!AA$2:AA$999,Input!$C$2:$C$999,CONCATENATE(LEFT($B$93,10),"*"),Input!$D$2:$D$999,$C$93)*IND_Mult!W93</f>
        <v>0.14499999999999999</v>
      </c>
      <c r="W93" s="69">
        <f>SUMIFS(Input!AB$2:AB$999,Input!$C$2:$C$999,CONCATENATE(LEFT($B$93,10),"*"),Input!$D$2:$D$999,$C$93)*IND_Mult!X93</f>
        <v>0.14499999999999999</v>
      </c>
      <c r="X93" s="69">
        <f>SUMIFS(Input!AC$2:AC$999,Input!$C$2:$C$999,CONCATENATE(LEFT($B$93,10),"*"),Input!$D$2:$D$999,$C$93)*IND_Mult!Y93</f>
        <v>0</v>
      </c>
      <c r="Y93" s="69">
        <f>SUMIFS(Input!AD$2:AD$999,Input!$C$2:$C$999,CONCATENATE(LEFT($B$93,10),"*"),Input!$D$2:$D$999,$C$93)*IND_Mult!Z93</f>
        <v>0.14499999999999999</v>
      </c>
      <c r="Z93" s="69">
        <f>SUMIFS(Input!AE$2:AE$999,Input!$C$2:$C$999,CONCATENATE(LEFT($B$93,10),"*"),Input!$D$2:$D$999,$C$93)*IND_Mult!AA93</f>
        <v>0.14499999999999999</v>
      </c>
      <c r="AA93" s="69">
        <f>SUMIFS(Input!AF$2:AF$999,Input!$C$2:$C$999,CONCATENATE(LEFT($B$93,10),"*"),Input!$D$2:$D$999,$C$93)*IND_Mult!AB93</f>
        <v>0.14499999999999999</v>
      </c>
      <c r="AB93" s="69">
        <f>SUMIFS(Input!AG$2:AG$999,Input!$C$2:$C$999,CONCATENATE(LEFT($B$93,10),"*"),Input!$D$2:$D$999,$C$93)*IND_Mult!AC93</f>
        <v>0.14499999999999999</v>
      </c>
      <c r="AC93" s="69">
        <f>SUMIFS(Input!AH$2:AH$999,Input!$C$2:$C$999,CONCATENATE(LEFT($B$93,10),"*"),Input!$D$2:$D$999,$C$93)*IND_Mult!AD93</f>
        <v>0.14499999999999999</v>
      </c>
      <c r="AD93" s="69">
        <f>SUMIFS(Input!AI$2:AI$999,Input!$C$2:$C$999,CONCATENATE(LEFT($B$93,10),"*"),Input!$D$2:$D$999,$C$93)*IND_Mult!AE93</f>
        <v>0.14499999999999999</v>
      </c>
      <c r="AE93" s="69">
        <f>SUMIFS(Input!AJ$2:AJ$999,Input!$C$2:$C$999,CONCATENATE(LEFT($B$93,10),"*"),Input!$D$2:$D$999,$C$93)*IND_Mult!AF93</f>
        <v>0.14499999999999999</v>
      </c>
      <c r="AF93" s="69">
        <f>SUMIFS(Input!AK$2:AK$999,Input!$C$2:$C$999,CONCATENATE(LEFT($B$93,10),"*"),Input!$D$2:$D$999,$C$93)*IND_Mult!AG93</f>
        <v>0.14499999999999999</v>
      </c>
      <c r="AG93" s="69">
        <f>SUMIFS(Input!AL$2:AL$999,Input!$C$2:$C$999,CONCATENATE(LEFT($B$93,10),"*"),Input!$D$2:$D$999,$C$93)*IND_Mult!AH93</f>
        <v>0.14499999999999999</v>
      </c>
      <c r="AH93" s="69">
        <f>SUMIFS(Input!AM$2:AM$999,Input!$C$2:$C$999,CONCATENATE(LEFT($B$93,10),"*"),Input!$D$2:$D$999,$C$93)*IND_Mult!AI93</f>
        <v>0.14499999999999999</v>
      </c>
      <c r="AI93" s="69">
        <f>SUMIFS(Input!AN$2:AN$999,Input!$C$2:$C$999,CONCATENATE(LEFT($B$93,10),"*"),Input!$D$2:$D$999,$C$93)*IND_Mult!AJ93</f>
        <v>0</v>
      </c>
      <c r="AJ93" s="69">
        <f>SUMIFS(Input!AO$2:AO$999,Input!$C$2:$C$999,CONCATENATE(LEFT($B$93,10),"*"),Input!$D$2:$D$999,$C$93)*IND_Mult!AK93</f>
        <v>0.14499999999999999</v>
      </c>
      <c r="AK93" s="69">
        <f>SUMIFS(Input!AP$2:AP$999,Input!$C$2:$C$999,CONCATENATE(LEFT($B$93,10),"*"),Input!$D$2:$D$999,$C$93)*IND_Mult!AL93</f>
        <v>0</v>
      </c>
      <c r="AL93" s="69">
        <f>SUMIFS(Input!AQ$2:AQ$999,Input!$C$2:$C$999,CONCATENATE(LEFT($B$93,10),"*"),Input!$D$2:$D$999,$C$93)*IND_Mult!AM93</f>
        <v>0.14499999999999999</v>
      </c>
      <c r="AM93" s="69">
        <f>SUMIFS(Input!AR$2:AR$999,Input!$C$2:$C$999,CONCATENATE(LEFT($B$93,10),"*"),Input!$D$2:$D$999,$C$93)*IND_Mult!AN93</f>
        <v>0.14499999999999999</v>
      </c>
      <c r="AN93" s="69">
        <f>SUMIFS(Input!AS$2:AS$999,Input!$C$2:$C$999,CONCATENATE(LEFT($B$93,10),"*"),Input!$D$2:$D$999,$C$93)*IND_Mult!AO93</f>
        <v>0</v>
      </c>
      <c r="AO93" s="69">
        <f>SUMIFS(Input!AT$2:AT$999,Input!$C$2:$C$999,CONCATENATE(LEFT($B$93,10),"*"),Input!$D$2:$D$999,$C$93)*IND_Mult!AP93</f>
        <v>0.14499999999999999</v>
      </c>
      <c r="AP93" s="69">
        <f>SUMIFS(Input!AU$2:AU$999,Input!$C$2:$C$999,CONCATENATE(LEFT($B$93,10),"*"),Input!$D$2:$D$999,$C$93)*IND_Mult!AQ93</f>
        <v>0.14499999999999999</v>
      </c>
      <c r="AQ93" s="69">
        <f>SUMIFS(Input!AV$2:AV$999,Input!$C$2:$C$999,CONCATENATE(LEFT($B$93,10),"*"),Input!$D$2:$D$999,$C$93)*IND_Mult!AR93</f>
        <v>0.14499999999999999</v>
      </c>
    </row>
    <row r="94" spans="1:43" ht="12.75">
      <c r="A94" s="6"/>
      <c r="B94" s="17" t="s">
        <v>272</v>
      </c>
      <c r="C94" s="18" t="s">
        <v>39</v>
      </c>
      <c r="D94" s="26"/>
      <c r="E94" s="16" t="s">
        <v>285</v>
      </c>
      <c r="F94" s="31"/>
      <c r="G94" s="69">
        <f>SUMIFS(Input!L$2:L$999,Input!$C$2:$C$999,CONCATENATE(LEFT($B$94,10),"*"),Input!$D$2:$D$999,$C$94)*IND_Mult!H94</f>
        <v>0</v>
      </c>
      <c r="H94" s="69">
        <f>SUMIFS(Input!M$2:M$999,Input!$C$2:$C$999,CONCATENATE(LEFT($B$94,10),"*"),Input!$D$2:$D$999,$C$94)*IND_Mult!I94</f>
        <v>0</v>
      </c>
      <c r="I94" s="69">
        <f>SUMIFS(Input!N$2:N$999,Input!$C$2:$C$999,CONCATENATE(LEFT($B$94,10),"*"),Input!$D$2:$D$999,$C$94)*IND_Mult!J94</f>
        <v>0</v>
      </c>
      <c r="J94" s="69">
        <f>SUMIFS(Input!O$2:O$999,Input!$C$2:$C$999,CONCATENATE(LEFT($B$94,10),"*"),Input!$D$2:$D$999,$C$94)*IND_Mult!K94</f>
        <v>0</v>
      </c>
      <c r="K94" s="69">
        <f>SUMIFS(Input!P$2:P$999,Input!$C$2:$C$999,CONCATENATE(LEFT($B$94,10),"*"),Input!$D$2:$D$999,$C$94)*IND_Mult!L94</f>
        <v>0</v>
      </c>
      <c r="L94" s="69">
        <f>SUMIFS(Input!Q$2:Q$999,Input!$C$2:$C$999,CONCATENATE(LEFT($B$94,10),"*"),Input!$D$2:$D$999,$C$94)*IND_Mult!M94</f>
        <v>0</v>
      </c>
      <c r="M94" s="69">
        <f>SUMIFS(Input!R$2:R$999,Input!$C$2:$C$999,CONCATENATE(LEFT($B$94,10),"*"),Input!$D$2:$D$999,$C$94)*IND_Mult!N94</f>
        <v>0</v>
      </c>
      <c r="N94" s="69">
        <f>SUMIFS(Input!S$2:S$999,Input!$C$2:$C$999,CONCATENATE(LEFT($B$94,10),"*"),Input!$D$2:$D$999,$C$94)*IND_Mult!O94</f>
        <v>0</v>
      </c>
      <c r="O94" s="69">
        <f>SUMIFS(Input!T$2:T$999,Input!$C$2:$C$999,CONCATENATE(LEFT($B$94,10),"*"),Input!$D$2:$D$999,$C$94)*IND_Mult!P94</f>
        <v>0</v>
      </c>
      <c r="P94" s="69">
        <f>SUMIFS(Input!U$2:U$999,Input!$C$2:$C$999,CONCATENATE(LEFT($B$94,10),"*"),Input!$D$2:$D$999,$C$94)*IND_Mult!Q94</f>
        <v>0</v>
      </c>
      <c r="Q94" s="69">
        <f>SUMIFS(Input!V$2:V$999,Input!$C$2:$C$999,CONCATENATE(LEFT($B$94,10),"*"),Input!$D$2:$D$999,$C$94)*IND_Mult!R94</f>
        <v>0</v>
      </c>
      <c r="R94" s="69">
        <f>SUMIFS(Input!W$2:W$999,Input!$C$2:$C$999,CONCATENATE(LEFT($B$94,10),"*"),Input!$D$2:$D$999,$C$94)*IND_Mult!S94</f>
        <v>0</v>
      </c>
      <c r="S94" s="69">
        <f>SUMIFS(Input!X$2:X$999,Input!$C$2:$C$999,CONCATENATE(LEFT($B$94,10),"*"),Input!$D$2:$D$999,$C$94)*IND_Mult!T94</f>
        <v>0</v>
      </c>
      <c r="T94" s="69">
        <f>SUMIFS(Input!Y$2:Y$999,Input!$C$2:$C$999,CONCATENATE(LEFT($B$94,10),"*"),Input!$D$2:$D$999,$C$94)*IND_Mult!U94</f>
        <v>0</v>
      </c>
      <c r="U94" s="69">
        <f>SUMIFS(Input!Z$2:Z$999,Input!$C$2:$C$999,CONCATENATE(LEFT($B$94,10),"*"),Input!$D$2:$D$999,$C$94)*IND_Mult!V94</f>
        <v>0</v>
      </c>
      <c r="V94" s="69">
        <f>SUMIFS(Input!AA$2:AA$999,Input!$C$2:$C$999,CONCATENATE(LEFT($B$94,10),"*"),Input!$D$2:$D$999,$C$94)*IND_Mult!W94</f>
        <v>0</v>
      </c>
      <c r="W94" s="69">
        <f>SUMIFS(Input!AB$2:AB$999,Input!$C$2:$C$999,CONCATENATE(LEFT($B$94,10),"*"),Input!$D$2:$D$999,$C$94)*IND_Mult!X94</f>
        <v>0</v>
      </c>
      <c r="X94" s="69">
        <f>SUMIFS(Input!AC$2:AC$999,Input!$C$2:$C$999,CONCATENATE(LEFT($B$94,10),"*"),Input!$D$2:$D$999,$C$94)*IND_Mult!Y94</f>
        <v>0</v>
      </c>
      <c r="Y94" s="69">
        <f>SUMIFS(Input!AD$2:AD$999,Input!$C$2:$C$999,CONCATENATE(LEFT($B$94,10),"*"),Input!$D$2:$D$999,$C$94)*IND_Mult!Z94</f>
        <v>0</v>
      </c>
      <c r="Z94" s="69">
        <f>SUMIFS(Input!AE$2:AE$999,Input!$C$2:$C$999,CONCATENATE(LEFT($B$94,10),"*"),Input!$D$2:$D$999,$C$94)*IND_Mult!AA94</f>
        <v>0</v>
      </c>
      <c r="AA94" s="69">
        <f>SUMIFS(Input!AF$2:AF$999,Input!$C$2:$C$999,CONCATENATE(LEFT($B$94,10),"*"),Input!$D$2:$D$999,$C$94)*IND_Mult!AB94</f>
        <v>0</v>
      </c>
      <c r="AB94" s="69">
        <f>SUMIFS(Input!AG$2:AG$999,Input!$C$2:$C$999,CONCATENATE(LEFT($B$94,10),"*"),Input!$D$2:$D$999,$C$94)*IND_Mult!AC94</f>
        <v>0</v>
      </c>
      <c r="AC94" s="69">
        <f>SUMIFS(Input!AH$2:AH$999,Input!$C$2:$C$999,CONCATENATE(LEFT($B$94,10),"*"),Input!$D$2:$D$999,$C$94)*IND_Mult!AD94</f>
        <v>0</v>
      </c>
      <c r="AD94" s="69">
        <f>SUMIFS(Input!AI$2:AI$999,Input!$C$2:$C$999,CONCATENATE(LEFT($B$94,10),"*"),Input!$D$2:$D$999,$C$94)*IND_Mult!AE94</f>
        <v>0</v>
      </c>
      <c r="AE94" s="69">
        <f>SUMIFS(Input!AJ$2:AJ$999,Input!$C$2:$C$999,CONCATENATE(LEFT($B$94,10),"*"),Input!$D$2:$D$999,$C$94)*IND_Mult!AF94</f>
        <v>0</v>
      </c>
      <c r="AF94" s="69">
        <f>SUMIFS(Input!AK$2:AK$999,Input!$C$2:$C$999,CONCATENATE(LEFT($B$94,10),"*"),Input!$D$2:$D$999,$C$94)*IND_Mult!AG94</f>
        <v>0</v>
      </c>
      <c r="AG94" s="69">
        <f>SUMIFS(Input!AL$2:AL$999,Input!$C$2:$C$999,CONCATENATE(LEFT($B$94,10),"*"),Input!$D$2:$D$999,$C$94)*IND_Mult!AH94</f>
        <v>0</v>
      </c>
      <c r="AH94" s="69">
        <f>SUMIFS(Input!AM$2:AM$999,Input!$C$2:$C$999,CONCATENATE(LEFT($B$94,10),"*"),Input!$D$2:$D$999,$C$94)*IND_Mult!AI94</f>
        <v>0</v>
      </c>
      <c r="AI94" s="69">
        <f>SUMIFS(Input!AN$2:AN$999,Input!$C$2:$C$999,CONCATENATE(LEFT($B$94,10),"*"),Input!$D$2:$D$999,$C$94)*IND_Mult!AJ94</f>
        <v>0</v>
      </c>
      <c r="AJ94" s="69">
        <f>SUMIFS(Input!AO$2:AO$999,Input!$C$2:$C$999,CONCATENATE(LEFT($B$94,10),"*"),Input!$D$2:$D$999,$C$94)*IND_Mult!AK94</f>
        <v>0</v>
      </c>
      <c r="AK94" s="69">
        <f>SUMIFS(Input!AP$2:AP$999,Input!$C$2:$C$999,CONCATENATE(LEFT($B$94,10),"*"),Input!$D$2:$D$999,$C$94)*IND_Mult!AL94</f>
        <v>0</v>
      </c>
      <c r="AL94" s="69">
        <f>SUMIFS(Input!AQ$2:AQ$999,Input!$C$2:$C$999,CONCATENATE(LEFT($B$94,10),"*"),Input!$D$2:$D$999,$C$94)*IND_Mult!AM94</f>
        <v>0</v>
      </c>
      <c r="AM94" s="69">
        <f>SUMIFS(Input!AR$2:AR$999,Input!$C$2:$C$999,CONCATENATE(LEFT($B$94,10),"*"),Input!$D$2:$D$999,$C$94)*IND_Mult!AN94</f>
        <v>0</v>
      </c>
      <c r="AN94" s="69">
        <f>SUMIFS(Input!AS$2:AS$999,Input!$C$2:$C$999,CONCATENATE(LEFT($B$94,10),"*"),Input!$D$2:$D$999,$C$94)*IND_Mult!AO94</f>
        <v>0</v>
      </c>
      <c r="AO94" s="69">
        <f>SUMIFS(Input!AT$2:AT$999,Input!$C$2:$C$999,CONCATENATE(LEFT($B$94,10),"*"),Input!$D$2:$D$999,$C$94)*IND_Mult!AP94</f>
        <v>0</v>
      </c>
      <c r="AP94" s="69">
        <f>SUMIFS(Input!AU$2:AU$999,Input!$C$2:$C$999,CONCATENATE(LEFT($B$94,10),"*"),Input!$D$2:$D$999,$C$94)*IND_Mult!AQ94</f>
        <v>0</v>
      </c>
      <c r="AQ94" s="69">
        <f>SUMIFS(Input!AV$2:AV$999,Input!$C$2:$C$999,CONCATENATE(LEFT($B$94,10),"*"),Input!$D$2:$D$999,$C$94)*IND_Mult!AR94</f>
        <v>0</v>
      </c>
    </row>
    <row r="95" spans="1:43" ht="12.75">
      <c r="A95" s="6"/>
      <c r="B95" s="17" t="s">
        <v>272</v>
      </c>
      <c r="C95" s="18" t="s">
        <v>44</v>
      </c>
      <c r="D95" s="26"/>
      <c r="E95" s="16" t="s">
        <v>285</v>
      </c>
      <c r="F95" s="31"/>
      <c r="G95" s="69">
        <f>SUMIFS(Input!L$2:L$999,Input!$C$2:$C$999,CONCATENATE(LEFT($B$95,10),"*"),Input!$D$2:$D$999,$C$95)*IND_Mult!H95</f>
        <v>0</v>
      </c>
      <c r="H95" s="69">
        <f>SUMIFS(Input!M$2:M$999,Input!$C$2:$C$999,CONCATENATE(LEFT($B$95,10),"*"),Input!$D$2:$D$999,$C$95)*IND_Mult!I95</f>
        <v>0</v>
      </c>
      <c r="I95" s="69">
        <f>SUMIFS(Input!N$2:N$999,Input!$C$2:$C$999,CONCATENATE(LEFT($B$95,10),"*"),Input!$D$2:$D$999,$C$95)*IND_Mult!J95</f>
        <v>0</v>
      </c>
      <c r="J95" s="69">
        <f>SUMIFS(Input!O$2:O$999,Input!$C$2:$C$999,CONCATENATE(LEFT($B$95,10),"*"),Input!$D$2:$D$999,$C$95)*IND_Mult!K95</f>
        <v>0</v>
      </c>
      <c r="K95" s="69">
        <f>SUMIFS(Input!P$2:P$999,Input!$C$2:$C$999,CONCATENATE(LEFT($B$95,10),"*"),Input!$D$2:$D$999,$C$95)*IND_Mult!L95</f>
        <v>0</v>
      </c>
      <c r="L95" s="69">
        <f>SUMIFS(Input!Q$2:Q$999,Input!$C$2:$C$999,CONCATENATE(LEFT($B$95,10),"*"),Input!$D$2:$D$999,$C$95)*IND_Mult!M95</f>
        <v>0</v>
      </c>
      <c r="M95" s="69">
        <f>SUMIFS(Input!R$2:R$999,Input!$C$2:$C$999,CONCATENATE(LEFT($B$95,10),"*"),Input!$D$2:$D$999,$C$95)*IND_Mult!N95</f>
        <v>0.14799999999999999</v>
      </c>
      <c r="N95" s="69">
        <f>SUMIFS(Input!S$2:S$999,Input!$C$2:$C$999,CONCATENATE(LEFT($B$95,10),"*"),Input!$D$2:$D$999,$C$95)*IND_Mult!O95</f>
        <v>0</v>
      </c>
      <c r="O95" s="69">
        <f>SUMIFS(Input!T$2:T$999,Input!$C$2:$C$999,CONCATENATE(LEFT($B$95,10),"*"),Input!$D$2:$D$999,$C$95)*IND_Mult!P95</f>
        <v>0</v>
      </c>
      <c r="P95" s="69">
        <f>SUMIFS(Input!U$2:U$999,Input!$C$2:$C$999,CONCATENATE(LEFT($B$95,10),"*"),Input!$D$2:$D$999,$C$95)*IND_Mult!Q95</f>
        <v>0</v>
      </c>
      <c r="Q95" s="69">
        <f>SUMIFS(Input!V$2:V$999,Input!$C$2:$C$999,CONCATENATE(LEFT($B$95,10),"*"),Input!$D$2:$D$999,$C$95)*IND_Mult!R95</f>
        <v>0</v>
      </c>
      <c r="R95" s="69">
        <f>SUMIFS(Input!W$2:W$999,Input!$C$2:$C$999,CONCATENATE(LEFT($B$95,10),"*"),Input!$D$2:$D$999,$C$95)*IND_Mult!S95</f>
        <v>0.14799999999999999</v>
      </c>
      <c r="S95" s="69">
        <f>SUMIFS(Input!X$2:X$999,Input!$C$2:$C$999,CONCATENATE(LEFT($B$95,10),"*"),Input!$D$2:$D$999,$C$95)*IND_Mult!T95</f>
        <v>0</v>
      </c>
      <c r="T95" s="69">
        <f>SUMIFS(Input!Y$2:Y$999,Input!$C$2:$C$999,CONCATENATE(LEFT($B$95,10),"*"),Input!$D$2:$D$999,$C$95)*IND_Mult!U95</f>
        <v>0.14799999999999999</v>
      </c>
      <c r="U95" s="69">
        <f>SUMIFS(Input!Z$2:Z$999,Input!$C$2:$C$999,CONCATENATE(LEFT($B$95,10),"*"),Input!$D$2:$D$999,$C$95)*IND_Mult!V95</f>
        <v>0</v>
      </c>
      <c r="V95" s="69">
        <f>SUMIFS(Input!AA$2:AA$999,Input!$C$2:$C$999,CONCATENATE(LEFT($B$95,10),"*"),Input!$D$2:$D$999,$C$95)*IND_Mult!W95</f>
        <v>0.14799999999999999</v>
      </c>
      <c r="W95" s="69">
        <f>SUMIFS(Input!AB$2:AB$999,Input!$C$2:$C$999,CONCATENATE(LEFT($B$95,10),"*"),Input!$D$2:$D$999,$C$95)*IND_Mult!X95</f>
        <v>0</v>
      </c>
      <c r="X95" s="69">
        <f>SUMIFS(Input!AC$2:AC$999,Input!$C$2:$C$999,CONCATENATE(LEFT($B$95,10),"*"),Input!$D$2:$D$999,$C$95)*IND_Mult!Y95</f>
        <v>0.14799999999999999</v>
      </c>
      <c r="Y95" s="69">
        <f>SUMIFS(Input!AD$2:AD$999,Input!$C$2:$C$999,CONCATENATE(LEFT($B$95,10),"*"),Input!$D$2:$D$999,$C$95)*IND_Mult!Z95</f>
        <v>0.14799999999999999</v>
      </c>
      <c r="Z95" s="69">
        <f>SUMIFS(Input!AE$2:AE$999,Input!$C$2:$C$999,CONCATENATE(LEFT($B$95,10),"*"),Input!$D$2:$D$999,$C$95)*IND_Mult!AA95</f>
        <v>0</v>
      </c>
      <c r="AA95" s="69">
        <f>SUMIFS(Input!AF$2:AF$999,Input!$C$2:$C$999,CONCATENATE(LEFT($B$95,10),"*"),Input!$D$2:$D$999,$C$95)*IND_Mult!AB95</f>
        <v>0.14799999999999999</v>
      </c>
      <c r="AB95" s="69">
        <f>SUMIFS(Input!AG$2:AG$999,Input!$C$2:$C$999,CONCATENATE(LEFT($B$95,10),"*"),Input!$D$2:$D$999,$C$95)*IND_Mult!AC95</f>
        <v>0</v>
      </c>
      <c r="AC95" s="69">
        <f>SUMIFS(Input!AH$2:AH$999,Input!$C$2:$C$999,CONCATENATE(LEFT($B$95,10),"*"),Input!$D$2:$D$999,$C$95)*IND_Mult!AD95</f>
        <v>0</v>
      </c>
      <c r="AD95" s="69">
        <f>SUMIFS(Input!AI$2:AI$999,Input!$C$2:$C$999,CONCATENATE(LEFT($B$95,10),"*"),Input!$D$2:$D$999,$C$95)*IND_Mult!AE95</f>
        <v>0</v>
      </c>
      <c r="AE95" s="69">
        <f>SUMIFS(Input!AJ$2:AJ$999,Input!$C$2:$C$999,CONCATENATE(LEFT($B$95,10),"*"),Input!$D$2:$D$999,$C$95)*IND_Mult!AF95</f>
        <v>0.14799999999999999</v>
      </c>
      <c r="AF95" s="69">
        <f>SUMIFS(Input!AK$2:AK$999,Input!$C$2:$C$999,CONCATENATE(LEFT($B$95,10),"*"),Input!$D$2:$D$999,$C$95)*IND_Mult!AG95</f>
        <v>0.14799999999999999</v>
      </c>
      <c r="AG95" s="69">
        <f>SUMIFS(Input!AL$2:AL$999,Input!$C$2:$C$999,CONCATENATE(LEFT($B$95,10),"*"),Input!$D$2:$D$999,$C$95)*IND_Mult!AH95</f>
        <v>0.14799999999999999</v>
      </c>
      <c r="AH95" s="69">
        <f>SUMIFS(Input!AM$2:AM$999,Input!$C$2:$C$999,CONCATENATE(LEFT($B$95,10),"*"),Input!$D$2:$D$999,$C$95)*IND_Mult!AI95</f>
        <v>0</v>
      </c>
      <c r="AI95" s="69">
        <f>SUMIFS(Input!AN$2:AN$999,Input!$C$2:$C$999,CONCATENATE(LEFT($B$95,10),"*"),Input!$D$2:$D$999,$C$95)*IND_Mult!AJ95</f>
        <v>0.14799999999999999</v>
      </c>
      <c r="AJ95" s="69">
        <f>SUMIFS(Input!AO$2:AO$999,Input!$C$2:$C$999,CONCATENATE(LEFT($B$95,10),"*"),Input!$D$2:$D$999,$C$95)*IND_Mult!AK95</f>
        <v>0</v>
      </c>
      <c r="AK95" s="69">
        <f>SUMIFS(Input!AP$2:AP$999,Input!$C$2:$C$999,CONCATENATE(LEFT($B$95,10),"*"),Input!$D$2:$D$999,$C$95)*IND_Mult!AL95</f>
        <v>0</v>
      </c>
      <c r="AL95" s="69">
        <f>SUMIFS(Input!AQ$2:AQ$999,Input!$C$2:$C$999,CONCATENATE(LEFT($B$95,10),"*"),Input!$D$2:$D$999,$C$95)*IND_Mult!AM95</f>
        <v>0.14799999999999999</v>
      </c>
      <c r="AM95" s="69">
        <f>SUMIFS(Input!AR$2:AR$999,Input!$C$2:$C$999,CONCATENATE(LEFT($B$95,10),"*"),Input!$D$2:$D$999,$C$95)*IND_Mult!AN95</f>
        <v>0.14799999999999999</v>
      </c>
      <c r="AN95" s="69">
        <f>SUMIFS(Input!AS$2:AS$999,Input!$C$2:$C$999,CONCATENATE(LEFT($B$95,10),"*"),Input!$D$2:$D$999,$C$95)*IND_Mult!AO95</f>
        <v>0</v>
      </c>
      <c r="AO95" s="69">
        <f>SUMIFS(Input!AT$2:AT$999,Input!$C$2:$C$999,CONCATENATE(LEFT($B$95,10),"*"),Input!$D$2:$D$999,$C$95)*IND_Mult!AP95</f>
        <v>0</v>
      </c>
      <c r="AP95" s="69">
        <f>SUMIFS(Input!AU$2:AU$999,Input!$C$2:$C$999,CONCATENATE(LEFT($B$95,10),"*"),Input!$D$2:$D$999,$C$95)*IND_Mult!AQ95</f>
        <v>0</v>
      </c>
      <c r="AQ95" s="69">
        <f>SUMIFS(Input!AV$2:AV$999,Input!$C$2:$C$999,CONCATENATE(LEFT($B$95,10),"*"),Input!$D$2:$D$999,$C$95)*IND_Mult!AR95</f>
        <v>0</v>
      </c>
    </row>
    <row r="96" spans="1:43" ht="12.75">
      <c r="A96" s="6"/>
      <c r="B96" s="17" t="s">
        <v>272</v>
      </c>
      <c r="C96" s="18" t="s">
        <v>59</v>
      </c>
      <c r="D96" s="26"/>
      <c r="E96" s="16" t="s">
        <v>103</v>
      </c>
      <c r="F96" s="31"/>
      <c r="G96" s="69">
        <f>SUMIFS(Input!L$2:L$999,Input!$C$2:$C$999,CONCATENATE(LEFT($B$96,10),"*"),Input!$D$2:$D$999,$C$96)*IND_Mult!H96</f>
        <v>8.9250000000000007</v>
      </c>
      <c r="H96" s="69">
        <f>SUMIFS(Input!M$2:M$999,Input!$C$2:$C$999,CONCATENATE(LEFT($B$96,10),"*"),Input!$D$2:$D$999,$C$96)*IND_Mult!I96</f>
        <v>8.2880000000000003</v>
      </c>
      <c r="I96" s="69">
        <f>SUMIFS(Input!N$2:N$999,Input!$C$2:$C$999,CONCATENATE(LEFT($B$96,10),"*"),Input!$D$2:$D$999,$C$96)*IND_Mult!J96</f>
        <v>10.15</v>
      </c>
      <c r="J96" s="69">
        <f>SUMIFS(Input!O$2:O$999,Input!$C$2:$C$999,CONCATENATE(LEFT($B$96,10),"*"),Input!$D$2:$D$999,$C$96)*IND_Mult!K96</f>
        <v>7.7000000000000002</v>
      </c>
      <c r="K96" s="69">
        <f>SUMIFS(Input!P$2:P$999,Input!$C$2:$C$999,CONCATENATE(LEFT($B$96,10),"*"),Input!$D$2:$D$999,$C$96)*IND_Mult!L96</f>
        <v>9.5199999999999996</v>
      </c>
      <c r="L96" s="69">
        <f>SUMIFS(Input!Q$2:Q$999,Input!$C$2:$C$999,CONCATENATE(LEFT($B$96,10),"*"),Input!$D$2:$D$999,$C$96)*IND_Mult!M96</f>
        <v>5.6980000000000004</v>
      </c>
      <c r="M96" s="69">
        <f>SUMIFS(Input!R$2:R$999,Input!$C$2:$C$999,CONCATENATE(LEFT($B$96,10),"*"),Input!$D$2:$D$999,$C$96)*IND_Mult!N96</f>
        <v>7</v>
      </c>
      <c r="N96" s="69">
        <f>SUMIFS(Input!S$2:S$999,Input!$C$2:$C$999,CONCATENATE(LEFT($B$96,10),"*"),Input!$D$2:$D$999,$C$96)*IND_Mult!O96</f>
        <v>10.779999999999999</v>
      </c>
      <c r="O96" s="69">
        <f>SUMIFS(Input!T$2:T$999,Input!$C$2:$C$999,CONCATENATE(LEFT($B$96,10),"*"),Input!$D$2:$D$999,$C$96)*IND_Mult!P96</f>
        <v>5.4382999999999999</v>
      </c>
      <c r="P96" s="69">
        <f>SUMIFS(Input!U$2:U$999,Input!$C$2:$C$999,CONCATENATE(LEFT($B$96,10),"*"),Input!$D$2:$D$999,$C$96)*IND_Mult!Q96</f>
        <v>7</v>
      </c>
      <c r="Q96" s="69">
        <f>SUMIFS(Input!V$2:V$999,Input!$C$2:$C$999,CONCATENATE(LEFT($B$96,10),"*"),Input!$D$2:$D$999,$C$96)*IND_Mult!R96</f>
        <v>7.6299999999999999</v>
      </c>
      <c r="R96" s="69">
        <f>SUMIFS(Input!W$2:W$999,Input!$C$2:$C$999,CONCATENATE(LEFT($B$96,10),"*"),Input!$D$2:$D$999,$C$96)*IND_Mult!S96</f>
        <v>5.8239999999999998</v>
      </c>
      <c r="S96" s="69">
        <f>SUMIFS(Input!X$2:X$999,Input!$C$2:$C$999,CONCATENATE(LEFT($B$96,10),"*"),Input!$D$2:$D$999,$C$96)*IND_Mult!T96</f>
        <v>6.4749999999999996</v>
      </c>
      <c r="T96" s="69">
        <f>SUMIFS(Input!Y$2:Y$999,Input!$C$2:$C$999,CONCATENATE(LEFT($B$96,10),"*"),Input!$D$2:$D$999,$C$96)*IND_Mult!U96</f>
        <v>9.8000000000000007</v>
      </c>
      <c r="U96" s="69">
        <f>SUMIFS(Input!Z$2:Z$999,Input!$C$2:$C$999,CONCATENATE(LEFT($B$96,10),"*"),Input!$D$2:$D$999,$C$96)*IND_Mult!V96</f>
        <v>7</v>
      </c>
      <c r="V96" s="69">
        <f>SUMIFS(Input!AA$2:AA$999,Input!$C$2:$C$999,CONCATENATE(LEFT($B$96,10),"*"),Input!$D$2:$D$999,$C$96)*IND_Mult!W96</f>
        <v>6.9649999999999999</v>
      </c>
      <c r="W96" s="69">
        <f>SUMIFS(Input!AB$2:AB$999,Input!$C$2:$C$999,CONCATENATE(LEFT($B$96,10),"*"),Input!$D$2:$D$999,$C$96)*IND_Mult!X96</f>
        <v>6.0199999999999996</v>
      </c>
      <c r="X96" s="69">
        <f>SUMIFS(Input!AC$2:AC$999,Input!$C$2:$C$999,CONCATENATE(LEFT($B$96,10),"*"),Input!$D$2:$D$999,$C$96)*IND_Mult!Y96</f>
        <v>1.7849999999999999</v>
      </c>
      <c r="Y96" s="69">
        <f>SUMIFS(Input!AD$2:AD$999,Input!$C$2:$C$999,CONCATENATE(LEFT($B$96,10),"*"),Input!$D$2:$D$999,$C$96)*IND_Mult!Z96</f>
        <v>7</v>
      </c>
      <c r="Z96" s="69">
        <f>SUMIFS(Input!AE$2:AE$999,Input!$C$2:$C$999,CONCATENATE(LEFT($B$96,10),"*"),Input!$D$2:$D$999,$C$96)*IND_Mult!AA96</f>
        <v>6.6500000000000004</v>
      </c>
      <c r="AA96" s="69">
        <f>SUMIFS(Input!AF$2:AF$999,Input!$C$2:$C$999,CONCATENATE(LEFT($B$96,10),"*"),Input!$D$2:$D$999,$C$96)*IND_Mult!AB96</f>
        <v>7</v>
      </c>
      <c r="AB96" s="69">
        <f>SUMIFS(Input!AG$2:AG$999,Input!$C$2:$C$999,CONCATENATE(LEFT($B$96,10),"*"),Input!$D$2:$D$999,$C$96)*IND_Mult!AC96</f>
        <v>6.2999999999999998</v>
      </c>
      <c r="AC96" s="69">
        <f>SUMIFS(Input!AH$2:AH$999,Input!$C$2:$C$999,CONCATENATE(LEFT($B$96,10),"*"),Input!$D$2:$D$999,$C$96)*IND_Mult!AD96</f>
        <v>6.0549999999999997</v>
      </c>
      <c r="AD96" s="69">
        <f>SUMIFS(Input!AI$2:AI$999,Input!$C$2:$C$999,CONCATENATE(LEFT($B$96,10),"*"),Input!$D$2:$D$999,$C$96)*IND_Mult!AE96</f>
        <v>5.4390000000000001</v>
      </c>
      <c r="AE96" s="69">
        <f>SUMIFS(Input!AJ$2:AJ$999,Input!$C$2:$C$999,CONCATENATE(LEFT($B$96,10),"*"),Input!$D$2:$D$999,$C$96)*IND_Mult!AF96</f>
        <v>7</v>
      </c>
      <c r="AF96" s="69">
        <f>SUMIFS(Input!AK$2:AK$999,Input!$C$2:$C$999,CONCATENATE(LEFT($B$96,10),"*"),Input!$D$2:$D$999,$C$96)*IND_Mult!AG96</f>
        <v>4.3049999999999997</v>
      </c>
      <c r="AG96" s="69">
        <f>SUMIFS(Input!AL$2:AL$999,Input!$C$2:$C$999,CONCATENATE(LEFT($B$96,10),"*"),Input!$D$2:$D$999,$C$96)*IND_Mult!AH96</f>
        <v>7</v>
      </c>
      <c r="AH96" s="69">
        <f>SUMIFS(Input!AM$2:AM$999,Input!$C$2:$C$999,CONCATENATE(LEFT($B$96,10),"*"),Input!$D$2:$D$999,$C$96)*IND_Mult!AI96</f>
        <v>6.7549999999999999</v>
      </c>
      <c r="AI96" s="69">
        <f>SUMIFS(Input!AN$2:AN$999,Input!$C$2:$C$999,CONCATENATE(LEFT($B$96,10),"*"),Input!$D$2:$D$999,$C$96)*IND_Mult!AJ96</f>
        <v>5.7190000000000003</v>
      </c>
      <c r="AJ96" s="69">
        <f>SUMIFS(Input!AO$2:AO$999,Input!$C$2:$C$999,CONCATENATE(LEFT($B$96,10),"*"),Input!$D$2:$D$999,$C$96)*IND_Mult!AK96</f>
        <v>7.7000000000000002</v>
      </c>
      <c r="AK96" s="69">
        <f>SUMIFS(Input!AP$2:AP$999,Input!$C$2:$C$999,CONCATENATE(LEFT($B$96,10),"*"),Input!$D$2:$D$999,$C$96)*IND_Mult!AL96</f>
        <v>12.949999999999999</v>
      </c>
      <c r="AL96" s="69">
        <f>SUMIFS(Input!AQ$2:AQ$999,Input!$C$2:$C$999,CONCATENATE(LEFT($B$96,10),"*"),Input!$D$2:$D$999,$C$96)*IND_Mult!AM96</f>
        <v>7.3499999999999996</v>
      </c>
      <c r="AM96" s="69">
        <f>SUMIFS(Input!AR$2:AR$999,Input!$C$2:$C$999,CONCATENATE(LEFT($B$96,10),"*"),Input!$D$2:$D$999,$C$96)*IND_Mult!AN96</f>
        <v>7</v>
      </c>
      <c r="AN96" s="69">
        <f>SUMIFS(Input!AS$2:AS$999,Input!$C$2:$C$999,CONCATENATE(LEFT($B$96,10),"*"),Input!$D$2:$D$999,$C$96)*IND_Mult!AO96</f>
        <v>10.324999999999999</v>
      </c>
      <c r="AO96" s="69">
        <f>SUMIFS(Input!AT$2:AT$999,Input!$C$2:$C$999,CONCATENATE(LEFT($B$96,10),"*"),Input!$D$2:$D$999,$C$96)*IND_Mult!AP96</f>
        <v>6.8179999999999996</v>
      </c>
      <c r="AP96" s="69">
        <f>SUMIFS(Input!AU$2:AU$999,Input!$C$2:$C$999,CONCATENATE(LEFT($B$96,10),"*"),Input!$D$2:$D$999,$C$96)*IND_Mult!AQ96</f>
        <v>10.15</v>
      </c>
      <c r="AQ96" s="69">
        <f>SUMIFS(Input!AV$2:AV$999,Input!$C$2:$C$999,CONCATENATE(LEFT($B$96,10),"*"),Input!$D$2:$D$999,$C$96)*IND_Mult!AR96</f>
        <v>6.3700000000000001</v>
      </c>
    </row>
    <row r="97" spans="1:43" ht="12.75">
      <c r="A97" s="6"/>
      <c r="B97" s="17" t="s">
        <v>272</v>
      </c>
      <c r="C97" s="18" t="s">
        <v>156</v>
      </c>
      <c r="D97" s="26"/>
      <c r="E97" s="16" t="s">
        <v>103</v>
      </c>
      <c r="F97" s="31"/>
      <c r="G97" s="69">
        <f>SUMIFS(Input!L$2:L$999,Input!$C$2:$C$999,CONCATENATE(LEFT($B$97,10),"*"),Input!$D$2:$D$999,$C$97)*IND_Mult!H97</f>
        <v>0.22</v>
      </c>
      <c r="H97" s="69">
        <f>SUMIFS(Input!M$2:M$999,Input!$C$2:$C$999,CONCATENATE(LEFT($B$97,10),"*"),Input!$D$2:$D$999,$C$97)*IND_Mult!I97</f>
        <v>0.22</v>
      </c>
      <c r="I97" s="69">
        <f>SUMIFS(Input!N$2:N$999,Input!$C$2:$C$999,CONCATENATE(LEFT($B$97,10),"*"),Input!$D$2:$D$999,$C$97)*IND_Mult!J97</f>
        <v>0.22</v>
      </c>
      <c r="J97" s="69">
        <f>SUMIFS(Input!O$2:O$999,Input!$C$2:$C$999,CONCATENATE(LEFT($B$97,10),"*"),Input!$D$2:$D$999,$C$97)*IND_Mult!K97</f>
        <v>0.22</v>
      </c>
      <c r="K97" s="69">
        <f>SUMIFS(Input!P$2:P$999,Input!$C$2:$C$999,CONCATENATE(LEFT($B$97,10),"*"),Input!$D$2:$D$999,$C$97)*IND_Mult!L97</f>
        <v>0.22</v>
      </c>
      <c r="L97" s="69">
        <f>SUMIFS(Input!Q$2:Q$999,Input!$C$2:$C$999,CONCATENATE(LEFT($B$97,10),"*"),Input!$D$2:$D$999,$C$97)*IND_Mult!M97</f>
        <v>0.22</v>
      </c>
      <c r="M97" s="69">
        <f>SUMIFS(Input!R$2:R$999,Input!$C$2:$C$999,CONCATENATE(LEFT($B$97,10),"*"),Input!$D$2:$D$999,$C$97)*IND_Mult!N97</f>
        <v>0.22</v>
      </c>
      <c r="N97" s="69">
        <f>SUMIFS(Input!S$2:S$999,Input!$C$2:$C$999,CONCATENATE(LEFT($B$97,10),"*"),Input!$D$2:$D$999,$C$97)*IND_Mult!O97</f>
        <v>0.22</v>
      </c>
      <c r="O97" s="69">
        <f>SUMIFS(Input!T$2:T$999,Input!$C$2:$C$999,CONCATENATE(LEFT($B$97,10),"*"),Input!$D$2:$D$999,$C$97)*IND_Mult!P97</f>
        <v>0.187</v>
      </c>
      <c r="P97" s="69">
        <f>SUMIFS(Input!U$2:U$999,Input!$C$2:$C$999,CONCATENATE(LEFT($B$97,10),"*"),Input!$D$2:$D$999,$C$97)*IND_Mult!Q97</f>
        <v>0.22</v>
      </c>
      <c r="Q97" s="69">
        <f>SUMIFS(Input!V$2:V$999,Input!$C$2:$C$999,CONCATENATE(LEFT($B$97,10),"*"),Input!$D$2:$D$999,$C$97)*IND_Mult!R97</f>
        <v>0.22</v>
      </c>
      <c r="R97" s="69">
        <f>SUMIFS(Input!W$2:W$999,Input!$C$2:$C$999,CONCATENATE(LEFT($B$97,10),"*"),Input!$D$2:$D$999,$C$97)*IND_Mult!S97</f>
        <v>0.22</v>
      </c>
      <c r="S97" s="69">
        <f>SUMIFS(Input!X$2:X$999,Input!$C$2:$C$999,CONCATENATE(LEFT($B$97,10),"*"),Input!$D$2:$D$999,$C$97)*IND_Mult!T97</f>
        <v>0.22</v>
      </c>
      <c r="T97" s="69">
        <f>SUMIFS(Input!Y$2:Y$999,Input!$C$2:$C$999,CONCATENATE(LEFT($B$97,10),"*"),Input!$D$2:$D$999,$C$97)*IND_Mult!U97</f>
        <v>0.22</v>
      </c>
      <c r="U97" s="69">
        <f>SUMIFS(Input!Z$2:Z$999,Input!$C$2:$C$999,CONCATENATE(LEFT($B$97,10),"*"),Input!$D$2:$D$999,$C$97)*IND_Mult!V97</f>
        <v>0.22</v>
      </c>
      <c r="V97" s="69">
        <f>SUMIFS(Input!AA$2:AA$999,Input!$C$2:$C$999,CONCATENATE(LEFT($B$97,10),"*"),Input!$D$2:$D$999,$C$97)*IND_Mult!W97</f>
        <v>0.22</v>
      </c>
      <c r="W97" s="69">
        <f>SUMIFS(Input!AB$2:AB$999,Input!$C$2:$C$999,CONCATENATE(LEFT($B$97,10),"*"),Input!$D$2:$D$999,$C$97)*IND_Mult!X97</f>
        <v>0.22</v>
      </c>
      <c r="X97" s="69">
        <f>SUMIFS(Input!AC$2:AC$999,Input!$C$2:$C$999,CONCATENATE(LEFT($B$97,10),"*"),Input!$D$2:$D$999,$C$97)*IND_Mult!Y97</f>
        <v>0.22</v>
      </c>
      <c r="Y97" s="69">
        <f>SUMIFS(Input!AD$2:AD$999,Input!$C$2:$C$999,CONCATENATE(LEFT($B$97,10),"*"),Input!$D$2:$D$999,$C$97)*IND_Mult!Z97</f>
        <v>0.22</v>
      </c>
      <c r="Z97" s="69">
        <f>SUMIFS(Input!AE$2:AE$999,Input!$C$2:$C$999,CONCATENATE(LEFT($B$97,10),"*"),Input!$D$2:$D$999,$C$97)*IND_Mult!AA97</f>
        <v>0.22</v>
      </c>
      <c r="AA97" s="69">
        <f>SUMIFS(Input!AF$2:AF$999,Input!$C$2:$C$999,CONCATENATE(LEFT($B$97,10),"*"),Input!$D$2:$D$999,$C$97)*IND_Mult!AB97</f>
        <v>0.22</v>
      </c>
      <c r="AB97" s="69">
        <f>SUMIFS(Input!AG$2:AG$999,Input!$C$2:$C$999,CONCATENATE(LEFT($B$97,10),"*"),Input!$D$2:$D$999,$C$97)*IND_Mult!AC97</f>
        <v>0.22</v>
      </c>
      <c r="AC97" s="69">
        <f>SUMIFS(Input!AH$2:AH$999,Input!$C$2:$C$999,CONCATENATE(LEFT($B$97,10),"*"),Input!$D$2:$D$999,$C$97)*IND_Mult!AD97</f>
        <v>0.22</v>
      </c>
      <c r="AD97" s="69">
        <f>SUMIFS(Input!AI$2:AI$999,Input!$C$2:$C$999,CONCATENATE(LEFT($B$97,10),"*"),Input!$D$2:$D$999,$C$97)*IND_Mult!AE97</f>
        <v>0.22</v>
      </c>
      <c r="AE97" s="69">
        <f>SUMIFS(Input!AJ$2:AJ$999,Input!$C$2:$C$999,CONCATENATE(LEFT($B$97,10),"*"),Input!$D$2:$D$999,$C$97)*IND_Mult!AF97</f>
        <v>0.22</v>
      </c>
      <c r="AF97" s="69">
        <f>SUMIFS(Input!AK$2:AK$999,Input!$C$2:$C$999,CONCATENATE(LEFT($B$97,10),"*"),Input!$D$2:$D$999,$C$97)*IND_Mult!AG97</f>
        <v>0.22</v>
      </c>
      <c r="AG97" s="69">
        <f>SUMIFS(Input!AL$2:AL$999,Input!$C$2:$C$999,CONCATENATE(LEFT($B$97,10),"*"),Input!$D$2:$D$999,$C$97)*IND_Mult!AH97</f>
        <v>0.22</v>
      </c>
      <c r="AH97" s="69">
        <f>SUMIFS(Input!AM$2:AM$999,Input!$C$2:$C$999,CONCATENATE(LEFT($B$97,10),"*"),Input!$D$2:$D$999,$C$97)*IND_Mult!AI97</f>
        <v>0.22</v>
      </c>
      <c r="AI97" s="69">
        <f>SUMIFS(Input!AN$2:AN$999,Input!$C$2:$C$999,CONCATENATE(LEFT($B$97,10),"*"),Input!$D$2:$D$999,$C$97)*IND_Mult!AJ97</f>
        <v>0.22</v>
      </c>
      <c r="AJ97" s="69">
        <f>SUMIFS(Input!AO$2:AO$999,Input!$C$2:$C$999,CONCATENATE(LEFT($B$97,10),"*"),Input!$D$2:$D$999,$C$97)*IND_Mult!AK97</f>
        <v>0.22</v>
      </c>
      <c r="AK97" s="69">
        <f>SUMIFS(Input!AP$2:AP$999,Input!$C$2:$C$999,CONCATENATE(LEFT($B$97,10),"*"),Input!$D$2:$D$999,$C$97)*IND_Mult!AL97</f>
        <v>0.22</v>
      </c>
      <c r="AL97" s="69">
        <f>SUMIFS(Input!AQ$2:AQ$999,Input!$C$2:$C$999,CONCATENATE(LEFT($B$97,10),"*"),Input!$D$2:$D$999,$C$97)*IND_Mult!AM97</f>
        <v>0.22</v>
      </c>
      <c r="AM97" s="69">
        <f>SUMIFS(Input!AR$2:AR$999,Input!$C$2:$C$999,CONCATENATE(LEFT($B$97,10),"*"),Input!$D$2:$D$999,$C$97)*IND_Mult!AN97</f>
        <v>0.22</v>
      </c>
      <c r="AN97" s="69">
        <f>SUMIFS(Input!AS$2:AS$999,Input!$C$2:$C$999,CONCATENATE(LEFT($B$97,10),"*"),Input!$D$2:$D$999,$C$97)*IND_Mult!AO97</f>
        <v>0.22</v>
      </c>
      <c r="AO97" s="69">
        <f>SUMIFS(Input!AT$2:AT$999,Input!$C$2:$C$999,CONCATENATE(LEFT($B$97,10),"*"),Input!$D$2:$D$999,$C$97)*IND_Mult!AP97</f>
        <v>0.22</v>
      </c>
      <c r="AP97" s="69">
        <f>SUMIFS(Input!AU$2:AU$999,Input!$C$2:$C$999,CONCATENATE(LEFT($B$97,10),"*"),Input!$D$2:$D$999,$C$97)*IND_Mult!AQ97</f>
        <v>0.22</v>
      </c>
      <c r="AQ97" s="69">
        <f>SUMIFS(Input!AV$2:AV$999,Input!$C$2:$C$999,CONCATENATE(LEFT($B$97,10),"*"),Input!$D$2:$D$999,$C$97)*IND_Mult!AR97</f>
        <v>0.22</v>
      </c>
    </row>
    <row r="98" spans="1:43" ht="12.75">
      <c r="A98" s="6"/>
      <c r="B98" s="17" t="s">
        <v>272</v>
      </c>
      <c r="C98" s="18" t="s">
        <v>157</v>
      </c>
      <c r="D98" s="26"/>
      <c r="E98" s="16" t="s">
        <v>103</v>
      </c>
      <c r="F98" s="31"/>
      <c r="G98" s="69">
        <f>SUMIFS(Input!L$2:L$999,Input!$C$2:$C$999,CONCATENATE(LEFT($B$98,10),"*"),Input!$D$2:$D$999,$C$98)*IND_Mult!H98</f>
        <v>0.050000000000000003</v>
      </c>
      <c r="H98" s="69">
        <f>SUMIFS(Input!M$2:M$999,Input!$C$2:$C$999,CONCATENATE(LEFT($B$98,10),"*"),Input!$D$2:$D$999,$C$98)*IND_Mult!I98</f>
        <v>0.050000000000000003</v>
      </c>
      <c r="I98" s="69">
        <f>SUMIFS(Input!N$2:N$999,Input!$C$2:$C$999,CONCATENATE(LEFT($B$98,10),"*"),Input!$D$2:$D$999,$C$98)*IND_Mult!J98</f>
        <v>0.050000000000000003</v>
      </c>
      <c r="J98" s="69">
        <f>SUMIFS(Input!O$2:O$999,Input!$C$2:$C$999,CONCATENATE(LEFT($B$98,10),"*"),Input!$D$2:$D$999,$C$98)*IND_Mult!K98</f>
        <v>0.050000000000000003</v>
      </c>
      <c r="K98" s="69">
        <f>SUMIFS(Input!P$2:P$999,Input!$C$2:$C$999,CONCATENATE(LEFT($B$98,10),"*"),Input!$D$2:$D$999,$C$98)*IND_Mult!L98</f>
        <v>0.050000000000000003</v>
      </c>
      <c r="L98" s="69">
        <f>SUMIFS(Input!Q$2:Q$999,Input!$C$2:$C$999,CONCATENATE(LEFT($B$98,10),"*"),Input!$D$2:$D$999,$C$98)*IND_Mult!M98</f>
        <v>0.050000000000000003</v>
      </c>
      <c r="M98" s="69">
        <f>SUMIFS(Input!R$2:R$999,Input!$C$2:$C$999,CONCATENATE(LEFT($B$98,10),"*"),Input!$D$2:$D$999,$C$98)*IND_Mult!N98</f>
        <v>0.050000000000000003</v>
      </c>
      <c r="N98" s="69">
        <f>SUMIFS(Input!S$2:S$999,Input!$C$2:$C$999,CONCATENATE(LEFT($B$98,10),"*"),Input!$D$2:$D$999,$C$98)*IND_Mult!O98</f>
        <v>0.050000000000000003</v>
      </c>
      <c r="O98" s="69">
        <f>SUMIFS(Input!T$2:T$999,Input!$C$2:$C$999,CONCATENATE(LEFT($B$98,10),"*"),Input!$D$2:$D$999,$C$98)*IND_Mult!P98</f>
        <v>0.042500000000000003</v>
      </c>
      <c r="P98" s="69">
        <f>SUMIFS(Input!U$2:U$999,Input!$C$2:$C$999,CONCATENATE(LEFT($B$98,10),"*"),Input!$D$2:$D$999,$C$98)*IND_Mult!Q98</f>
        <v>0.050000000000000003</v>
      </c>
      <c r="Q98" s="69">
        <f>SUMIFS(Input!V$2:V$999,Input!$C$2:$C$999,CONCATENATE(LEFT($B$98,10),"*"),Input!$D$2:$D$999,$C$98)*IND_Mult!R98</f>
        <v>0.050000000000000003</v>
      </c>
      <c r="R98" s="69">
        <f>SUMIFS(Input!W$2:W$999,Input!$C$2:$C$999,CONCATENATE(LEFT($B$98,10),"*"),Input!$D$2:$D$999,$C$98)*IND_Mult!S98</f>
        <v>0.050000000000000003</v>
      </c>
      <c r="S98" s="69">
        <f>SUMIFS(Input!X$2:X$999,Input!$C$2:$C$999,CONCATENATE(LEFT($B$98,10),"*"),Input!$D$2:$D$999,$C$98)*IND_Mult!T98</f>
        <v>0.050000000000000003</v>
      </c>
      <c r="T98" s="69">
        <f>SUMIFS(Input!Y$2:Y$999,Input!$C$2:$C$999,CONCATENATE(LEFT($B$98,10),"*"),Input!$D$2:$D$999,$C$98)*IND_Mult!U98</f>
        <v>0.050000000000000003</v>
      </c>
      <c r="U98" s="69">
        <f>SUMIFS(Input!Z$2:Z$999,Input!$C$2:$C$999,CONCATENATE(LEFT($B$98,10),"*"),Input!$D$2:$D$999,$C$98)*IND_Mult!V98</f>
        <v>0.050000000000000003</v>
      </c>
      <c r="V98" s="69">
        <f>SUMIFS(Input!AA$2:AA$999,Input!$C$2:$C$999,CONCATENATE(LEFT($B$98,10),"*"),Input!$D$2:$D$999,$C$98)*IND_Mult!W98</f>
        <v>0.050000000000000003</v>
      </c>
      <c r="W98" s="69">
        <f>SUMIFS(Input!AB$2:AB$999,Input!$C$2:$C$999,CONCATENATE(LEFT($B$98,10),"*"),Input!$D$2:$D$999,$C$98)*IND_Mult!X98</f>
        <v>0.050000000000000003</v>
      </c>
      <c r="X98" s="69">
        <f>SUMIFS(Input!AC$2:AC$999,Input!$C$2:$C$999,CONCATENATE(LEFT($B$98,10),"*"),Input!$D$2:$D$999,$C$98)*IND_Mult!Y98</f>
        <v>0.050000000000000003</v>
      </c>
      <c r="Y98" s="69">
        <f>SUMIFS(Input!AD$2:AD$999,Input!$C$2:$C$999,CONCATENATE(LEFT($B$98,10),"*"),Input!$D$2:$D$999,$C$98)*IND_Mult!Z98</f>
        <v>0.050000000000000003</v>
      </c>
      <c r="Z98" s="69">
        <f>SUMIFS(Input!AE$2:AE$999,Input!$C$2:$C$999,CONCATENATE(LEFT($B$98,10),"*"),Input!$D$2:$D$999,$C$98)*IND_Mult!AA98</f>
        <v>0.050000000000000003</v>
      </c>
      <c r="AA98" s="69">
        <f>SUMIFS(Input!AF$2:AF$999,Input!$C$2:$C$999,CONCATENATE(LEFT($B$98,10),"*"),Input!$D$2:$D$999,$C$98)*IND_Mult!AB98</f>
        <v>0.050000000000000003</v>
      </c>
      <c r="AB98" s="69">
        <f>SUMIFS(Input!AG$2:AG$999,Input!$C$2:$C$999,CONCATENATE(LEFT($B$98,10),"*"),Input!$D$2:$D$999,$C$98)*IND_Mult!AC98</f>
        <v>0.050000000000000003</v>
      </c>
      <c r="AC98" s="69">
        <f>SUMIFS(Input!AH$2:AH$999,Input!$C$2:$C$999,CONCATENATE(LEFT($B$98,10),"*"),Input!$D$2:$D$999,$C$98)*IND_Mult!AD98</f>
        <v>0.050000000000000003</v>
      </c>
      <c r="AD98" s="69">
        <f>SUMIFS(Input!AI$2:AI$999,Input!$C$2:$C$999,CONCATENATE(LEFT($B$98,10),"*"),Input!$D$2:$D$999,$C$98)*IND_Mult!AE98</f>
        <v>0.050000000000000003</v>
      </c>
      <c r="AE98" s="69">
        <f>SUMIFS(Input!AJ$2:AJ$999,Input!$C$2:$C$999,CONCATENATE(LEFT($B$98,10),"*"),Input!$D$2:$D$999,$C$98)*IND_Mult!AF98</f>
        <v>0.050000000000000003</v>
      </c>
      <c r="AF98" s="69">
        <f>SUMIFS(Input!AK$2:AK$999,Input!$C$2:$C$999,CONCATENATE(LEFT($B$98,10),"*"),Input!$D$2:$D$999,$C$98)*IND_Mult!AG98</f>
        <v>0.050000000000000003</v>
      </c>
      <c r="AG98" s="69">
        <f>SUMIFS(Input!AL$2:AL$999,Input!$C$2:$C$999,CONCATENATE(LEFT($B$98,10),"*"),Input!$D$2:$D$999,$C$98)*IND_Mult!AH98</f>
        <v>0.050000000000000003</v>
      </c>
      <c r="AH98" s="69">
        <f>SUMIFS(Input!AM$2:AM$999,Input!$C$2:$C$999,CONCATENATE(LEFT($B$98,10),"*"),Input!$D$2:$D$999,$C$98)*IND_Mult!AI98</f>
        <v>0.050000000000000003</v>
      </c>
      <c r="AI98" s="69">
        <f>SUMIFS(Input!AN$2:AN$999,Input!$C$2:$C$999,CONCATENATE(LEFT($B$98,10),"*"),Input!$D$2:$D$999,$C$98)*IND_Mult!AJ98</f>
        <v>0.050000000000000003</v>
      </c>
      <c r="AJ98" s="69">
        <f>SUMIFS(Input!AO$2:AO$999,Input!$C$2:$C$999,CONCATENATE(LEFT($B$98,10),"*"),Input!$D$2:$D$999,$C$98)*IND_Mult!AK98</f>
        <v>0.050000000000000003</v>
      </c>
      <c r="AK98" s="69">
        <f>SUMIFS(Input!AP$2:AP$999,Input!$C$2:$C$999,CONCATENATE(LEFT($B$98,10),"*"),Input!$D$2:$D$999,$C$98)*IND_Mult!AL98</f>
        <v>0.050000000000000003</v>
      </c>
      <c r="AL98" s="69">
        <f>SUMIFS(Input!AQ$2:AQ$999,Input!$C$2:$C$999,CONCATENATE(LEFT($B$98,10),"*"),Input!$D$2:$D$999,$C$98)*IND_Mult!AM98</f>
        <v>0.050000000000000003</v>
      </c>
      <c r="AM98" s="69">
        <f>SUMIFS(Input!AR$2:AR$999,Input!$C$2:$C$999,CONCATENATE(LEFT($B$98,10),"*"),Input!$D$2:$D$999,$C$98)*IND_Mult!AN98</f>
        <v>0.050000000000000003</v>
      </c>
      <c r="AN98" s="69">
        <f>SUMIFS(Input!AS$2:AS$999,Input!$C$2:$C$999,CONCATENATE(LEFT($B$98,10),"*"),Input!$D$2:$D$999,$C$98)*IND_Mult!AO98</f>
        <v>0.050000000000000003</v>
      </c>
      <c r="AO98" s="69">
        <f>SUMIFS(Input!AT$2:AT$999,Input!$C$2:$C$999,CONCATENATE(LEFT($B$98,10),"*"),Input!$D$2:$D$999,$C$98)*IND_Mult!AP98</f>
        <v>0.050000000000000003</v>
      </c>
      <c r="AP98" s="69">
        <f>SUMIFS(Input!AU$2:AU$999,Input!$C$2:$C$999,CONCATENATE(LEFT($B$98,10),"*"),Input!$D$2:$D$999,$C$98)*IND_Mult!AQ98</f>
        <v>0.050000000000000003</v>
      </c>
      <c r="AQ98" s="69">
        <f>SUMIFS(Input!AV$2:AV$999,Input!$C$2:$C$999,CONCATENATE(LEFT($B$98,10),"*"),Input!$D$2:$D$999,$C$98)*IND_Mult!AR98</f>
        <v>0.050000000000000003</v>
      </c>
    </row>
    <row r="99" spans="1:43" ht="12.75">
      <c r="A99" s="6"/>
      <c r="B99" s="17" t="s">
        <v>272</v>
      </c>
      <c r="C99" s="18" t="s">
        <v>101</v>
      </c>
      <c r="D99" s="26"/>
      <c r="E99" s="16" t="s">
        <v>103</v>
      </c>
      <c r="F99" s="31"/>
      <c r="G99" s="69">
        <f>SUMIFS(Input!L$2:L$999,Input!$C$2:$C$999,CONCATENATE(LEFT($B$99,10),"*"),Input!$D$2:$D$999,$C$99)*IND_Mult!H99</f>
        <v>0.68000000000000005</v>
      </c>
      <c r="H99" s="69">
        <f>SUMIFS(Input!M$2:M$999,Input!$C$2:$C$999,CONCATENATE(LEFT($B$99,10),"*"),Input!$D$2:$D$999,$C$99)*IND_Mult!I99</f>
        <v>0.68000000000000005</v>
      </c>
      <c r="I99" s="69">
        <f>SUMIFS(Input!N$2:N$999,Input!$C$2:$C$999,CONCATENATE(LEFT($B$99,10),"*"),Input!$D$2:$D$999,$C$99)*IND_Mult!J99</f>
        <v>0.748</v>
      </c>
      <c r="J99" s="69">
        <f>SUMIFS(Input!O$2:O$999,Input!$C$2:$C$999,CONCATENATE(LEFT($B$99,10),"*"),Input!$D$2:$D$999,$C$99)*IND_Mult!K99</f>
        <v>0.68000000000000005</v>
      </c>
      <c r="K99" s="69">
        <f>SUMIFS(Input!P$2:P$999,Input!$C$2:$C$999,CONCATENATE(LEFT($B$99,10),"*"),Input!$D$2:$D$999,$C$99)*IND_Mult!L99</f>
        <v>0.68000000000000005</v>
      </c>
      <c r="L99" s="69">
        <f>SUMIFS(Input!Q$2:Q$999,Input!$C$2:$C$999,CONCATENATE(LEFT($B$99,10),"*"),Input!$D$2:$D$999,$C$99)*IND_Mult!M99</f>
        <v>0.68000000000000005</v>
      </c>
      <c r="M99" s="69">
        <f>SUMIFS(Input!R$2:R$999,Input!$C$2:$C$999,CONCATENATE(LEFT($B$99,10),"*"),Input!$D$2:$D$999,$C$99)*IND_Mult!N99</f>
        <v>0.68000000000000005</v>
      </c>
      <c r="N99" s="69">
        <f>SUMIFS(Input!S$2:S$999,Input!$C$2:$C$999,CONCATENATE(LEFT($B$99,10),"*"),Input!$D$2:$D$999,$C$99)*IND_Mult!O99</f>
        <v>0.68000000000000005</v>
      </c>
      <c r="O99" s="69">
        <f>SUMIFS(Input!T$2:T$999,Input!$C$2:$C$999,CONCATENATE(LEFT($B$99,10),"*"),Input!$D$2:$D$999,$C$99)*IND_Mult!P99</f>
        <v>0.68000000000000005</v>
      </c>
      <c r="P99" s="69">
        <f>SUMIFS(Input!U$2:U$999,Input!$C$2:$C$999,CONCATENATE(LEFT($B$99,10),"*"),Input!$D$2:$D$999,$C$99)*IND_Mult!Q99</f>
        <v>0.68000000000000005</v>
      </c>
      <c r="Q99" s="69">
        <f>SUMIFS(Input!V$2:V$999,Input!$C$2:$C$999,CONCATENATE(LEFT($B$99,10),"*"),Input!$D$2:$D$999,$C$99)*IND_Mult!R99</f>
        <v>1.0029999999999999</v>
      </c>
      <c r="R99" s="69">
        <f>SUMIFS(Input!W$2:W$999,Input!$C$2:$C$999,CONCATENATE(LEFT($B$99,10),"*"),Input!$D$2:$D$999,$C$99)*IND_Mult!S99</f>
        <v>0.68000000000000005</v>
      </c>
      <c r="S99" s="69">
        <f>SUMIFS(Input!X$2:X$999,Input!$C$2:$C$999,CONCATENATE(LEFT($B$99,10),"*"),Input!$D$2:$D$999,$C$99)*IND_Mult!T99</f>
        <v>0.61199999999999999</v>
      </c>
      <c r="T99" s="69">
        <f>SUMIFS(Input!Y$2:Y$999,Input!$C$2:$C$999,CONCATENATE(LEFT($B$99,10),"*"),Input!$D$2:$D$999,$C$99)*IND_Mult!U99</f>
        <v>0.88400000000000001</v>
      </c>
      <c r="U99" s="69">
        <f>SUMIFS(Input!Z$2:Z$999,Input!$C$2:$C$999,CONCATENATE(LEFT($B$99,10),"*"),Input!$D$2:$D$999,$C$99)*IND_Mult!V99</f>
        <v>0.68000000000000005</v>
      </c>
      <c r="V99" s="69">
        <f>SUMIFS(Input!AA$2:AA$999,Input!$C$2:$C$999,CONCATENATE(LEFT($B$99,10),"*"),Input!$D$2:$D$999,$C$99)*IND_Mult!W99</f>
        <v>0.68000000000000005</v>
      </c>
      <c r="W99" s="69">
        <f>SUMIFS(Input!AB$2:AB$999,Input!$C$2:$C$999,CONCATENATE(LEFT($B$99,10),"*"),Input!$D$2:$D$999,$C$99)*IND_Mult!X99</f>
        <v>0.68000000000000005</v>
      </c>
      <c r="X99" s="69">
        <f>SUMIFS(Input!AC$2:AC$999,Input!$C$2:$C$999,CONCATENATE(LEFT($B$99,10),"*"),Input!$D$2:$D$999,$C$99)*IND_Mult!Y99</f>
        <v>0.68000000000000005</v>
      </c>
      <c r="Y99" s="69">
        <f>SUMIFS(Input!AD$2:AD$999,Input!$C$2:$C$999,CONCATENATE(LEFT($B$99,10),"*"),Input!$D$2:$D$999,$C$99)*IND_Mult!Z99</f>
        <v>0.68000000000000005</v>
      </c>
      <c r="Z99" s="69">
        <f>SUMIFS(Input!AE$2:AE$999,Input!$C$2:$C$999,CONCATENATE(LEFT($B$99,10),"*"),Input!$D$2:$D$999,$C$99)*IND_Mult!AA99</f>
        <v>0.68000000000000005</v>
      </c>
      <c r="AA99" s="69">
        <f>SUMIFS(Input!AF$2:AF$999,Input!$C$2:$C$999,CONCATENATE(LEFT($B$99,10),"*"),Input!$D$2:$D$999,$C$99)*IND_Mult!AB99</f>
        <v>0.68000000000000005</v>
      </c>
      <c r="AB99" s="69">
        <f>SUMIFS(Input!AG$2:AG$999,Input!$C$2:$C$999,CONCATENATE(LEFT($B$99,10),"*"),Input!$D$2:$D$999,$C$99)*IND_Mult!AC99</f>
        <v>0.68000000000000005</v>
      </c>
      <c r="AC99" s="69">
        <f>SUMIFS(Input!AH$2:AH$999,Input!$C$2:$C$999,CONCATENATE(LEFT($B$99,10),"*"),Input!$D$2:$D$999,$C$99)*IND_Mult!AD99</f>
        <v>0.68000000000000005</v>
      </c>
      <c r="AD99" s="69">
        <f>SUMIFS(Input!AI$2:AI$999,Input!$C$2:$C$999,CONCATENATE(LEFT($B$99,10),"*"),Input!$D$2:$D$999,$C$99)*IND_Mult!AE99</f>
        <v>0.68000000000000005</v>
      </c>
      <c r="AE99" s="69">
        <f>SUMIFS(Input!AJ$2:AJ$999,Input!$C$2:$C$999,CONCATENATE(LEFT($B$99,10),"*"),Input!$D$2:$D$999,$C$99)*IND_Mult!AF99</f>
        <v>0.68000000000000005</v>
      </c>
      <c r="AF99" s="69">
        <f>SUMIFS(Input!AK$2:AK$999,Input!$C$2:$C$999,CONCATENATE(LEFT($B$99,10),"*"),Input!$D$2:$D$999,$C$99)*IND_Mult!AG99</f>
        <v>0.68000000000000005</v>
      </c>
      <c r="AG99" s="69">
        <f>SUMIFS(Input!AL$2:AL$999,Input!$C$2:$C$999,CONCATENATE(LEFT($B$99,10),"*"),Input!$D$2:$D$999,$C$99)*IND_Mult!AH99</f>
        <v>0.68000000000000005</v>
      </c>
      <c r="AH99" s="69">
        <f>SUMIFS(Input!AM$2:AM$999,Input!$C$2:$C$999,CONCATENATE(LEFT($B$99,10),"*"),Input!$D$2:$D$999,$C$99)*IND_Mult!AI99</f>
        <v>0.68000000000000005</v>
      </c>
      <c r="AI99" s="69">
        <f>SUMIFS(Input!AN$2:AN$999,Input!$C$2:$C$999,CONCATENATE(LEFT($B$99,10),"*"),Input!$D$2:$D$999,$C$99)*IND_Mult!AJ99</f>
        <v>0.68000000000000005</v>
      </c>
      <c r="AJ99" s="69">
        <f>SUMIFS(Input!AO$2:AO$999,Input!$C$2:$C$999,CONCATENATE(LEFT($B$99,10),"*"),Input!$D$2:$D$999,$C$99)*IND_Mult!AK99</f>
        <v>0.68000000000000005</v>
      </c>
      <c r="AK99" s="69">
        <f>SUMIFS(Input!AP$2:AP$999,Input!$C$2:$C$999,CONCATENATE(LEFT($B$99,10),"*"),Input!$D$2:$D$999,$C$99)*IND_Mult!AL99</f>
        <v>0.748</v>
      </c>
      <c r="AL99" s="69">
        <f>SUMIFS(Input!AQ$2:AQ$999,Input!$C$2:$C$999,CONCATENATE(LEFT($B$99,10),"*"),Input!$D$2:$D$999,$C$99)*IND_Mult!AM99</f>
        <v>0.68000000000000005</v>
      </c>
      <c r="AM99" s="69">
        <f>SUMIFS(Input!AR$2:AR$999,Input!$C$2:$C$999,CONCATENATE(LEFT($B$99,10),"*"),Input!$D$2:$D$999,$C$99)*IND_Mult!AN99</f>
        <v>0.68000000000000005</v>
      </c>
      <c r="AN99" s="69">
        <f>SUMIFS(Input!AS$2:AS$999,Input!$C$2:$C$999,CONCATENATE(LEFT($B$99,10),"*"),Input!$D$2:$D$999,$C$99)*IND_Mult!AO99</f>
        <v>1.1424000000000001</v>
      </c>
      <c r="AO99" s="69">
        <f>SUMIFS(Input!AT$2:AT$999,Input!$C$2:$C$999,CONCATENATE(LEFT($B$99,10),"*"),Input!$D$2:$D$999,$C$99)*IND_Mult!AP99</f>
        <v>0.68000000000000005</v>
      </c>
      <c r="AP99" s="69">
        <f>SUMIFS(Input!AU$2:AU$999,Input!$C$2:$C$999,CONCATENATE(LEFT($B$99,10),"*"),Input!$D$2:$D$999,$C$99)*IND_Mult!AQ99</f>
        <v>0.91800000000000004</v>
      </c>
      <c r="AQ99" s="69">
        <f>SUMIFS(Input!AV$2:AV$999,Input!$C$2:$C$999,CONCATENATE(LEFT($B$99,10),"*"),Input!$D$2:$D$999,$C$99)*IND_Mult!AR99</f>
        <v>0.68000000000000005</v>
      </c>
    </row>
    <row r="100" spans="1:43" ht="12.75">
      <c r="A100" s="6"/>
      <c r="B100" s="17" t="s">
        <v>272</v>
      </c>
      <c r="C100" s="18" t="s">
        <v>158</v>
      </c>
      <c r="D100" s="26"/>
      <c r="E100" s="16" t="s">
        <v>103</v>
      </c>
      <c r="F100" s="31"/>
      <c r="G100" s="69">
        <f>SUMIFS(Input!L$2:L$999,Input!$C$2:$C$999,CONCATENATE(LEFT($B$100,10),"*"),Input!$D$2:$D$999,$C$100)*IND_Mult!H100</f>
        <v>0.089999999999999997</v>
      </c>
      <c r="H100" s="69">
        <f>SUMIFS(Input!M$2:M$999,Input!$C$2:$C$999,CONCATENATE(LEFT($B$100,10),"*"),Input!$D$2:$D$999,$C$100)*IND_Mult!I100</f>
        <v>0.089999999999999997</v>
      </c>
      <c r="I100" s="69">
        <f>SUMIFS(Input!N$2:N$999,Input!$C$2:$C$999,CONCATENATE(LEFT($B$100,10),"*"),Input!$D$2:$D$999,$C$100)*IND_Mult!J100</f>
        <v>0.089999999999999997</v>
      </c>
      <c r="J100" s="69">
        <f>SUMIFS(Input!O$2:O$999,Input!$C$2:$C$999,CONCATENATE(LEFT($B$100,10),"*"),Input!$D$2:$D$999,$C$100)*IND_Mult!K100</f>
        <v>0.089999999999999997</v>
      </c>
      <c r="K100" s="69">
        <f>SUMIFS(Input!P$2:P$999,Input!$C$2:$C$999,CONCATENATE(LEFT($B$100,10),"*"),Input!$D$2:$D$999,$C$100)*IND_Mult!L100</f>
        <v>0.089999999999999997</v>
      </c>
      <c r="L100" s="69">
        <f>SUMIFS(Input!Q$2:Q$999,Input!$C$2:$C$999,CONCATENATE(LEFT($B$100,10),"*"),Input!$D$2:$D$999,$C$100)*IND_Mult!M100</f>
        <v>0.089999999999999997</v>
      </c>
      <c r="M100" s="69">
        <f>SUMIFS(Input!R$2:R$999,Input!$C$2:$C$999,CONCATENATE(LEFT($B$100,10),"*"),Input!$D$2:$D$999,$C$100)*IND_Mult!N100</f>
        <v>0.089999999999999997</v>
      </c>
      <c r="N100" s="69">
        <f>SUMIFS(Input!S$2:S$999,Input!$C$2:$C$999,CONCATENATE(LEFT($B$100,10),"*"),Input!$D$2:$D$999,$C$100)*IND_Mult!O100</f>
        <v>0.089999999999999997</v>
      </c>
      <c r="O100" s="69">
        <f>SUMIFS(Input!T$2:T$999,Input!$C$2:$C$999,CONCATENATE(LEFT($B$100,10),"*"),Input!$D$2:$D$999,$C$100)*IND_Mult!P100</f>
        <v>0.089999999999999997</v>
      </c>
      <c r="P100" s="69">
        <f>SUMIFS(Input!U$2:U$999,Input!$C$2:$C$999,CONCATENATE(LEFT($B$100,10),"*"),Input!$D$2:$D$999,$C$100)*IND_Mult!Q100</f>
        <v>0.089999999999999997</v>
      </c>
      <c r="Q100" s="69">
        <f>SUMIFS(Input!V$2:V$999,Input!$C$2:$C$999,CONCATENATE(LEFT($B$100,10),"*"),Input!$D$2:$D$999,$C$100)*IND_Mult!R100</f>
        <v>0.089999999999999997</v>
      </c>
      <c r="R100" s="69">
        <f>SUMIFS(Input!W$2:W$999,Input!$C$2:$C$999,CONCATENATE(LEFT($B$100,10),"*"),Input!$D$2:$D$999,$C$100)*IND_Mult!S100</f>
        <v>0.089999999999999997</v>
      </c>
      <c r="S100" s="69">
        <f>SUMIFS(Input!X$2:X$999,Input!$C$2:$C$999,CONCATENATE(LEFT($B$100,10),"*"),Input!$D$2:$D$999,$C$100)*IND_Mult!T100</f>
        <v>0.089999999999999997</v>
      </c>
      <c r="T100" s="69">
        <f>SUMIFS(Input!Y$2:Y$999,Input!$C$2:$C$999,CONCATENATE(LEFT($B$100,10),"*"),Input!$D$2:$D$999,$C$100)*IND_Mult!U100</f>
        <v>0.089999999999999997</v>
      </c>
      <c r="U100" s="69">
        <f>SUMIFS(Input!Z$2:Z$999,Input!$C$2:$C$999,CONCATENATE(LEFT($B$100,10),"*"),Input!$D$2:$D$999,$C$100)*IND_Mult!V100</f>
        <v>0.089999999999999997</v>
      </c>
      <c r="V100" s="69">
        <f>SUMIFS(Input!AA$2:AA$999,Input!$C$2:$C$999,CONCATENATE(LEFT($B$100,10),"*"),Input!$D$2:$D$999,$C$100)*IND_Mult!W100</f>
        <v>0.089999999999999997</v>
      </c>
      <c r="W100" s="69">
        <f>SUMIFS(Input!AB$2:AB$999,Input!$C$2:$C$999,CONCATENATE(LEFT($B$100,10),"*"),Input!$D$2:$D$999,$C$100)*IND_Mult!X100</f>
        <v>0.089999999999999997</v>
      </c>
      <c r="X100" s="69">
        <f>SUMIFS(Input!AC$2:AC$999,Input!$C$2:$C$999,CONCATENATE(LEFT($B$100,10),"*"),Input!$D$2:$D$999,$C$100)*IND_Mult!Y100</f>
        <v>0.089999999999999997</v>
      </c>
      <c r="Y100" s="69">
        <f>SUMIFS(Input!AD$2:AD$999,Input!$C$2:$C$999,CONCATENATE(LEFT($B$100,10),"*"),Input!$D$2:$D$999,$C$100)*IND_Mult!Z100</f>
        <v>0.089999999999999997</v>
      </c>
      <c r="Z100" s="69">
        <f>SUMIFS(Input!AE$2:AE$999,Input!$C$2:$C$999,CONCATENATE(LEFT($B$100,10),"*"),Input!$D$2:$D$999,$C$100)*IND_Mult!AA100</f>
        <v>0.089999999999999997</v>
      </c>
      <c r="AA100" s="69">
        <f>SUMIFS(Input!AF$2:AF$999,Input!$C$2:$C$999,CONCATENATE(LEFT($B$100,10),"*"),Input!$D$2:$D$999,$C$100)*IND_Mult!AB100</f>
        <v>0.089999999999999997</v>
      </c>
      <c r="AB100" s="69">
        <f>SUMIFS(Input!AG$2:AG$999,Input!$C$2:$C$999,CONCATENATE(LEFT($B$100,10),"*"),Input!$D$2:$D$999,$C$100)*IND_Mult!AC100</f>
        <v>0.089999999999999997</v>
      </c>
      <c r="AC100" s="69">
        <f>SUMIFS(Input!AH$2:AH$999,Input!$C$2:$C$999,CONCATENATE(LEFT($B$100,10),"*"),Input!$D$2:$D$999,$C$100)*IND_Mult!AD100</f>
        <v>0.089999999999999997</v>
      </c>
      <c r="AD100" s="69">
        <f>SUMIFS(Input!AI$2:AI$999,Input!$C$2:$C$999,CONCATENATE(LEFT($B$100,10),"*"),Input!$D$2:$D$999,$C$100)*IND_Mult!AE100</f>
        <v>0.089999999999999997</v>
      </c>
      <c r="AE100" s="69">
        <f>SUMIFS(Input!AJ$2:AJ$999,Input!$C$2:$C$999,CONCATENATE(LEFT($B$100,10),"*"),Input!$D$2:$D$999,$C$100)*IND_Mult!AF100</f>
        <v>0.089999999999999997</v>
      </c>
      <c r="AF100" s="69">
        <f>SUMIFS(Input!AK$2:AK$999,Input!$C$2:$C$999,CONCATENATE(LEFT($B$100,10),"*"),Input!$D$2:$D$999,$C$100)*IND_Mult!AG100</f>
        <v>0.089999999999999997</v>
      </c>
      <c r="AG100" s="69">
        <f>SUMIFS(Input!AL$2:AL$999,Input!$C$2:$C$999,CONCATENATE(LEFT($B$100,10),"*"),Input!$D$2:$D$999,$C$100)*IND_Mult!AH100</f>
        <v>0.089999999999999997</v>
      </c>
      <c r="AH100" s="69">
        <f>SUMIFS(Input!AM$2:AM$999,Input!$C$2:$C$999,CONCATENATE(LEFT($B$100,10),"*"),Input!$D$2:$D$999,$C$100)*IND_Mult!AI100</f>
        <v>0.089999999999999997</v>
      </c>
      <c r="AI100" s="69">
        <f>SUMIFS(Input!AN$2:AN$999,Input!$C$2:$C$999,CONCATENATE(LEFT($B$100,10),"*"),Input!$D$2:$D$999,$C$100)*IND_Mult!AJ100</f>
        <v>0.089999999999999997</v>
      </c>
      <c r="AJ100" s="69">
        <f>SUMIFS(Input!AO$2:AO$999,Input!$C$2:$C$999,CONCATENATE(LEFT($B$100,10),"*"),Input!$D$2:$D$999,$C$100)*IND_Mult!AK100</f>
        <v>0.089999999999999997</v>
      </c>
      <c r="AK100" s="69">
        <f>SUMIFS(Input!AP$2:AP$999,Input!$C$2:$C$999,CONCATENATE(LEFT($B$100,10),"*"),Input!$D$2:$D$999,$C$100)*IND_Mult!AL100</f>
        <v>0.089999999999999997</v>
      </c>
      <c r="AL100" s="69">
        <f>SUMIFS(Input!AQ$2:AQ$999,Input!$C$2:$C$999,CONCATENATE(LEFT($B$100,10),"*"),Input!$D$2:$D$999,$C$100)*IND_Mult!AM100</f>
        <v>0.089999999999999997</v>
      </c>
      <c r="AM100" s="69">
        <f>SUMIFS(Input!AR$2:AR$999,Input!$C$2:$C$999,CONCATENATE(LEFT($B$100,10),"*"),Input!$D$2:$D$999,$C$100)*IND_Mult!AN100</f>
        <v>0.089999999999999997</v>
      </c>
      <c r="AN100" s="69">
        <f>SUMIFS(Input!AS$2:AS$999,Input!$C$2:$C$999,CONCATENATE(LEFT($B$100,10),"*"),Input!$D$2:$D$999,$C$100)*IND_Mult!AO100</f>
        <v>0.089999999999999997</v>
      </c>
      <c r="AO100" s="69">
        <f>SUMIFS(Input!AT$2:AT$999,Input!$C$2:$C$999,CONCATENATE(LEFT($B$100,10),"*"),Input!$D$2:$D$999,$C$100)*IND_Mult!AP100</f>
        <v>0.089999999999999997</v>
      </c>
      <c r="AP100" s="69">
        <f>SUMIFS(Input!AU$2:AU$999,Input!$C$2:$C$999,CONCATENATE(LEFT($B$100,10),"*"),Input!$D$2:$D$999,$C$100)*IND_Mult!AQ100</f>
        <v>0.089999999999999997</v>
      </c>
      <c r="AQ100" s="69">
        <f>SUMIFS(Input!AV$2:AV$999,Input!$C$2:$C$999,CONCATENATE(LEFT($B$100,10),"*"),Input!$D$2:$D$999,$C$100)*IND_Mult!AR100</f>
        <v>0.089999999999999997</v>
      </c>
    </row>
    <row r="101" spans="1:43" ht="12.75">
      <c r="A101" s="6"/>
      <c r="B101" s="17" t="s">
        <v>273</v>
      </c>
      <c r="C101" s="18" t="s">
        <v>37</v>
      </c>
      <c r="D101" s="26"/>
      <c r="E101" s="16" t="s">
        <v>103</v>
      </c>
      <c r="F101" s="31"/>
      <c r="G101" s="69">
        <f>SUMIFS(Input!L$2:L$999,Input!$C$2:$C$999,CONCATENATE(LEFT($B$101,10),"*"),Input!$D$2:$D$999,$C$101)*IND_Mult!H101</f>
        <v>2.645</v>
      </c>
      <c r="H101" s="69">
        <f>SUMIFS(Input!M$2:M$999,Input!$C$2:$C$999,CONCATENATE(LEFT($B$101,10),"*"),Input!$D$2:$D$999,$C$101)*IND_Mult!I101</f>
        <v>2.2999999999999998</v>
      </c>
      <c r="I101" s="69">
        <f>SUMIFS(Input!N$2:N$999,Input!$C$2:$C$999,CONCATENATE(LEFT($B$101,10),"*"),Input!$D$2:$D$999,$C$101)*IND_Mult!J101</f>
        <v>3.335</v>
      </c>
      <c r="J101" s="69">
        <f>SUMIFS(Input!O$2:O$999,Input!$C$2:$C$999,CONCATENATE(LEFT($B$101,10),"*"),Input!$D$2:$D$999,$C$101)*IND_Mult!K101</f>
        <v>2.4380000000000002</v>
      </c>
      <c r="K101" s="69">
        <f>SUMIFS(Input!P$2:P$999,Input!$C$2:$C$999,CONCATENATE(LEFT($B$101,10),"*"),Input!$D$2:$D$999,$C$101)*IND_Mult!L101</f>
        <v>2.7599999999999998</v>
      </c>
      <c r="L101" s="69">
        <f>SUMIFS(Input!Q$2:Q$999,Input!$C$2:$C$999,CONCATENATE(LEFT($B$101,10),"*"),Input!$D$2:$D$999,$C$101)*IND_Mult!M101</f>
        <v>2.7599999999999998</v>
      </c>
      <c r="M101" s="69">
        <f>SUMIFS(Input!R$2:R$999,Input!$C$2:$C$999,CONCATENATE(LEFT($B$101,10),"*"),Input!$D$2:$D$999,$C$101)*IND_Mult!N101</f>
        <v>2.2999999999999998</v>
      </c>
      <c r="N101" s="69">
        <f>SUMIFS(Input!S$2:S$999,Input!$C$2:$C$999,CONCATENATE(LEFT($B$101,10),"*"),Input!$D$2:$D$999,$C$101)*IND_Mult!O101</f>
        <v>3.105</v>
      </c>
      <c r="O101" s="69">
        <f>SUMIFS(Input!T$2:T$999,Input!$C$2:$C$999,CONCATENATE(LEFT($B$101,10),"*"),Input!$D$2:$D$999,$C$101)*IND_Mult!P101</f>
        <v>2.2999999999999998</v>
      </c>
      <c r="P101" s="69">
        <f>SUMIFS(Input!U$2:U$999,Input!$C$2:$C$999,CONCATENATE(LEFT($B$101,10),"*"),Input!$D$2:$D$999,$C$101)*IND_Mult!Q101</f>
        <v>2.2999999999999998</v>
      </c>
      <c r="Q101" s="69">
        <f>SUMIFS(Input!V$2:V$999,Input!$C$2:$C$999,CONCATENATE(LEFT($B$101,10),"*"),Input!$D$2:$D$999,$C$101)*IND_Mult!R101</f>
        <v>3.4155000000000002</v>
      </c>
      <c r="R101" s="69">
        <f>SUMIFS(Input!W$2:W$999,Input!$C$2:$C$999,CONCATENATE(LEFT($B$101,10),"*"),Input!$D$2:$D$999,$C$101)*IND_Mult!S101</f>
        <v>2.0699999999999998</v>
      </c>
      <c r="S101" s="69">
        <f>SUMIFS(Input!X$2:X$999,Input!$C$2:$C$999,CONCATENATE(LEFT($B$101,10),"*"),Input!$D$2:$D$999,$C$101)*IND_Mult!T101</f>
        <v>1.5525</v>
      </c>
      <c r="T101" s="69">
        <f>SUMIFS(Input!Y$2:Y$999,Input!$C$2:$C$999,CONCATENATE(LEFT($B$101,10),"*"),Input!$D$2:$D$999,$C$101)*IND_Mult!U101</f>
        <v>2.52</v>
      </c>
      <c r="U101" s="69">
        <f>SUMIFS(Input!Z$2:Z$999,Input!$C$2:$C$999,CONCATENATE(LEFT($B$101,10),"*"),Input!$D$2:$D$999,$C$101)*IND_Mult!V101</f>
        <v>2.3919999999999999</v>
      </c>
      <c r="V101" s="69">
        <f>SUMIFS(Input!AA$2:AA$999,Input!$C$2:$C$999,CONCATENATE(LEFT($B$101,10),"*"),Input!$D$2:$D$999,$C$101)*IND_Mult!W101</f>
        <v>2.2885</v>
      </c>
      <c r="W101" s="69">
        <f>SUMIFS(Input!AB$2:AB$999,Input!$C$2:$C$999,CONCATENATE(LEFT($B$101,10),"*"),Input!$D$2:$D$999,$C$101)*IND_Mult!X101</f>
        <v>2.2999999999999998</v>
      </c>
      <c r="X101" s="69">
        <f>SUMIFS(Input!AC$2:AC$999,Input!$C$2:$C$999,CONCATENATE(LEFT($B$101,10),"*"),Input!$D$2:$D$999,$C$101)*IND_Mult!Y101</f>
        <v>2.2999999999999998</v>
      </c>
      <c r="Y101" s="69">
        <f>SUMIFS(Input!AD$2:AD$999,Input!$C$2:$C$999,CONCATENATE(LEFT($B$101,10),"*"),Input!$D$2:$D$999,$C$101)*IND_Mult!Z101</f>
        <v>2.2999999999999998</v>
      </c>
      <c r="Z101" s="69">
        <f>SUMIFS(Input!AE$2:AE$999,Input!$C$2:$C$999,CONCATENATE(LEFT($B$101,10),"*"),Input!$D$2:$D$999,$C$101)*IND_Mult!AA101</f>
        <v>2.254</v>
      </c>
      <c r="AA101" s="69">
        <f>SUMIFS(Input!AF$2:AF$999,Input!$C$2:$C$999,CONCATENATE(LEFT($B$101,10),"*"),Input!$D$2:$D$999,$C$101)*IND_Mult!AB101</f>
        <v>2.2999999999999998</v>
      </c>
      <c r="AB101" s="69">
        <f>SUMIFS(Input!AG$2:AG$999,Input!$C$2:$C$999,CONCATENATE(LEFT($B$101,10),"*"),Input!$D$2:$D$999,$C$101)*IND_Mult!AC101</f>
        <v>2.875</v>
      </c>
      <c r="AC101" s="69">
        <f>SUMIFS(Input!AH$2:AH$999,Input!$C$2:$C$999,CONCATENATE(LEFT($B$101,10),"*"),Input!$D$2:$D$999,$C$101)*IND_Mult!AD101</f>
        <v>3.0819999999999999</v>
      </c>
      <c r="AD101" s="69">
        <f>SUMIFS(Input!AI$2:AI$999,Input!$C$2:$C$999,CONCATENATE(LEFT($B$101,10),"*"),Input!$D$2:$D$999,$C$101)*IND_Mult!AE101</f>
        <v>1.7870999999999999</v>
      </c>
      <c r="AE101" s="69">
        <f>SUMIFS(Input!AJ$2:AJ$999,Input!$C$2:$C$999,CONCATENATE(LEFT($B$101,10),"*"),Input!$D$2:$D$999,$C$101)*IND_Mult!AF101</f>
        <v>2.2999999999999998</v>
      </c>
      <c r="AF101" s="69">
        <f>SUMIFS(Input!AK$2:AK$999,Input!$C$2:$C$999,CONCATENATE(LEFT($B$101,10),"*"),Input!$D$2:$D$999,$C$101)*IND_Mult!AG101</f>
        <v>2.875</v>
      </c>
      <c r="AG101" s="69">
        <f>SUMIFS(Input!AL$2:AL$999,Input!$C$2:$C$999,CONCATENATE(LEFT($B$101,10),"*"),Input!$D$2:$D$999,$C$101)*IND_Mult!AH101</f>
        <v>2.2999999999999998</v>
      </c>
      <c r="AH101" s="69">
        <f>SUMIFS(Input!AM$2:AM$999,Input!$C$2:$C$999,CONCATENATE(LEFT($B$101,10),"*"),Input!$D$2:$D$999,$C$101)*IND_Mult!AI101</f>
        <v>1.9550000000000001</v>
      </c>
      <c r="AI101" s="69">
        <f>SUMIFS(Input!AN$2:AN$999,Input!$C$2:$C$999,CONCATENATE(LEFT($B$101,10),"*"),Input!$D$2:$D$999,$C$101)*IND_Mult!AJ101</f>
        <v>2.7025000000000001</v>
      </c>
      <c r="AJ101" s="69">
        <f>SUMIFS(Input!AO$2:AO$999,Input!$C$2:$C$999,CONCATENATE(LEFT($B$101,10),"*"),Input!$D$2:$D$999,$C$101)*IND_Mult!AK101</f>
        <v>2.5299999999999998</v>
      </c>
      <c r="AK101" s="69">
        <f>SUMIFS(Input!AP$2:AP$999,Input!$C$2:$C$999,CONCATENATE(LEFT($B$101,10),"*"),Input!$D$2:$D$999,$C$101)*IND_Mult!AL101</f>
        <v>3.9100000000000001</v>
      </c>
      <c r="AL101" s="69">
        <f>SUMIFS(Input!AQ$2:AQ$999,Input!$C$2:$C$999,CONCATENATE(LEFT($B$101,10),"*"),Input!$D$2:$D$999,$C$101)*IND_Mult!AM101</f>
        <v>2.5299999999999998</v>
      </c>
      <c r="AM101" s="69">
        <f>SUMIFS(Input!AR$2:AR$999,Input!$C$2:$C$999,CONCATENATE(LEFT($B$101,10),"*"),Input!$D$2:$D$999,$C$101)*IND_Mult!AN101</f>
        <v>2.2999999999999998</v>
      </c>
      <c r="AN101" s="69">
        <f>SUMIFS(Input!AS$2:AS$999,Input!$C$2:$C$999,CONCATENATE(LEFT($B$101,10),"*"),Input!$D$2:$D$999,$C$101)*IND_Mult!AO101</f>
        <v>4.1399999999999997</v>
      </c>
      <c r="AO101" s="69">
        <f>SUMIFS(Input!AT$2:AT$999,Input!$C$2:$C$999,CONCATENATE(LEFT($B$101,10),"*"),Input!$D$2:$D$999,$C$101)*IND_Mult!AP101</f>
        <v>2.2080000000000002</v>
      </c>
      <c r="AP101" s="69">
        <f>SUMIFS(Input!AU$2:AU$999,Input!$C$2:$C$999,CONCATENATE(LEFT($B$101,10),"*"),Input!$D$2:$D$999,$C$101)*IND_Mult!AQ101</f>
        <v>2.7599999999999998</v>
      </c>
      <c r="AQ101" s="69">
        <f>SUMIFS(Input!AV$2:AV$999,Input!$C$2:$C$999,CONCATENATE(LEFT($B$101,10),"*"),Input!$D$2:$D$999,$C$101)*IND_Mult!AR101</f>
        <v>3.2429999999999999</v>
      </c>
    </row>
    <row r="102" spans="1:43" ht="12.75">
      <c r="A102" s="6"/>
      <c r="B102" s="17" t="s">
        <v>273</v>
      </c>
      <c r="C102" s="18" t="s">
        <v>59</v>
      </c>
      <c r="D102" s="26"/>
      <c r="E102" s="16" t="s">
        <v>103</v>
      </c>
      <c r="F102" s="31"/>
      <c r="G102" s="69">
        <f>SUMIFS(Input!L$2:L$999,Input!$C$2:$C$999,CONCATENATE(LEFT($B$102,10),"*"),Input!$D$2:$D$999,$C$102)*IND_Mult!H102</f>
        <v>9.9450000000000003</v>
      </c>
      <c r="H102" s="69">
        <f>SUMIFS(Input!M$2:M$999,Input!$C$2:$C$999,CONCATENATE(LEFT($B$102,10),"*"),Input!$D$2:$D$999,$C$102)*IND_Mult!I102</f>
        <v>9.2352000000000007</v>
      </c>
      <c r="I102" s="69">
        <f>SUMIFS(Input!N$2:N$999,Input!$C$2:$C$999,CONCATENATE(LEFT($B$102,10),"*"),Input!$D$2:$D$999,$C$102)*IND_Mult!J102</f>
        <v>11.31</v>
      </c>
      <c r="J102" s="69">
        <f>SUMIFS(Input!O$2:O$999,Input!$C$2:$C$999,CONCATENATE(LEFT($B$102,10),"*"),Input!$D$2:$D$999,$C$102)*IND_Mult!K102</f>
        <v>8.5800000000000001</v>
      </c>
      <c r="K102" s="69">
        <f>SUMIFS(Input!P$2:P$999,Input!$C$2:$C$999,CONCATENATE(LEFT($B$102,10),"*"),Input!$D$2:$D$999,$C$102)*IND_Mult!L102</f>
        <v>10.608000000000001</v>
      </c>
      <c r="L102" s="69">
        <f>SUMIFS(Input!Q$2:Q$999,Input!$C$2:$C$999,CONCATENATE(LEFT($B$102,10),"*"),Input!$D$2:$D$999,$C$102)*IND_Mult!M102</f>
        <v>6.3491999999999997</v>
      </c>
      <c r="M102" s="69">
        <f>SUMIFS(Input!R$2:R$999,Input!$C$2:$C$999,CONCATENATE(LEFT($B$102,10),"*"),Input!$D$2:$D$999,$C$102)*IND_Mult!N102</f>
        <v>7.7999999999999998</v>
      </c>
      <c r="N102" s="69">
        <f>SUMIFS(Input!S$2:S$999,Input!$C$2:$C$999,CONCATENATE(LEFT($B$102,10),"*"),Input!$D$2:$D$999,$C$102)*IND_Mult!O102</f>
        <v>12.012</v>
      </c>
      <c r="O102" s="69">
        <f>SUMIFS(Input!T$2:T$999,Input!$C$2:$C$999,CONCATENATE(LEFT($B$102,10),"*"),Input!$D$2:$D$999,$C$102)*IND_Mult!P102</f>
        <v>6.0598200000000002</v>
      </c>
      <c r="P102" s="69">
        <f>SUMIFS(Input!U$2:U$999,Input!$C$2:$C$999,CONCATENATE(LEFT($B$102,10),"*"),Input!$D$2:$D$999,$C$102)*IND_Mult!Q102</f>
        <v>7.7999999999999998</v>
      </c>
      <c r="Q102" s="69">
        <f>SUMIFS(Input!V$2:V$999,Input!$C$2:$C$999,CONCATENATE(LEFT($B$102,10),"*"),Input!$D$2:$D$999,$C$102)*IND_Mult!R102</f>
        <v>8.5020000000000007</v>
      </c>
      <c r="R102" s="69">
        <f>SUMIFS(Input!W$2:W$999,Input!$C$2:$C$999,CONCATENATE(LEFT($B$102,10),"*"),Input!$D$2:$D$999,$C$102)*IND_Mult!S102</f>
        <v>6.4896000000000003</v>
      </c>
      <c r="S102" s="69">
        <f>SUMIFS(Input!X$2:X$999,Input!$C$2:$C$999,CONCATENATE(LEFT($B$102,10),"*"),Input!$D$2:$D$999,$C$102)*IND_Mult!T102</f>
        <v>7.2149999999999999</v>
      </c>
      <c r="T102" s="69">
        <f>SUMIFS(Input!Y$2:Y$999,Input!$C$2:$C$999,CONCATENATE(LEFT($B$102,10),"*"),Input!$D$2:$D$999,$C$102)*IND_Mult!U102</f>
        <v>7.7999999999999998</v>
      </c>
      <c r="U102" s="69">
        <f>SUMIFS(Input!Z$2:Z$999,Input!$C$2:$C$999,CONCATENATE(LEFT($B$102,10),"*"),Input!$D$2:$D$999,$C$102)*IND_Mult!V102</f>
        <v>7.7999999999999998</v>
      </c>
      <c r="V102" s="69">
        <f>SUMIFS(Input!AA$2:AA$999,Input!$C$2:$C$999,CONCATENATE(LEFT($B$102,10),"*"),Input!$D$2:$D$999,$C$102)*IND_Mult!W102</f>
        <v>7.7610000000000001</v>
      </c>
      <c r="W102" s="69">
        <f>SUMIFS(Input!AB$2:AB$999,Input!$C$2:$C$999,CONCATENATE(LEFT($B$102,10),"*"),Input!$D$2:$D$999,$C$102)*IND_Mult!X102</f>
        <v>6.7080000000000002</v>
      </c>
      <c r="X102" s="69">
        <f>SUMIFS(Input!AC$2:AC$999,Input!$C$2:$C$999,CONCATENATE(LEFT($B$102,10),"*"),Input!$D$2:$D$999,$C$102)*IND_Mult!Y102</f>
        <v>7.7999999999999998</v>
      </c>
      <c r="Y102" s="69">
        <f>SUMIFS(Input!AD$2:AD$999,Input!$C$2:$C$999,CONCATENATE(LEFT($B$102,10),"*"),Input!$D$2:$D$999,$C$102)*IND_Mult!Z102</f>
        <v>7.7999999999999998</v>
      </c>
      <c r="Z102" s="69">
        <f>SUMIFS(Input!AE$2:AE$999,Input!$C$2:$C$999,CONCATENATE(LEFT($B$102,10),"*"),Input!$D$2:$D$999,$C$102)*IND_Mult!AA102</f>
        <v>7.4100000000000001</v>
      </c>
      <c r="AA102" s="69">
        <f>SUMIFS(Input!AF$2:AF$999,Input!$C$2:$C$999,CONCATENATE(LEFT($B$102,10),"*"),Input!$D$2:$D$999,$C$102)*IND_Mult!AB102</f>
        <v>7.7999999999999998</v>
      </c>
      <c r="AB102" s="69">
        <f>SUMIFS(Input!AG$2:AG$999,Input!$C$2:$C$999,CONCATENATE(LEFT($B$102,10),"*"),Input!$D$2:$D$999,$C$102)*IND_Mult!AC102</f>
        <v>7.0199999999999996</v>
      </c>
      <c r="AC102" s="69">
        <f>SUMIFS(Input!AH$2:AH$999,Input!$C$2:$C$999,CONCATENATE(LEFT($B$102,10),"*"),Input!$D$2:$D$999,$C$102)*IND_Mult!AD102</f>
        <v>6.7469999999999999</v>
      </c>
      <c r="AD102" s="69">
        <f>SUMIFS(Input!AI$2:AI$999,Input!$C$2:$C$999,CONCATENATE(LEFT($B$102,10),"*"),Input!$D$2:$D$999,$C$102)*IND_Mult!AE102</f>
        <v>6.0606</v>
      </c>
      <c r="AE102" s="69">
        <f>SUMIFS(Input!AJ$2:AJ$999,Input!$C$2:$C$999,CONCATENATE(LEFT($B$102,10),"*"),Input!$D$2:$D$999,$C$102)*IND_Mult!AF102</f>
        <v>7.7999999999999998</v>
      </c>
      <c r="AF102" s="69">
        <f>SUMIFS(Input!AK$2:AK$999,Input!$C$2:$C$999,CONCATENATE(LEFT($B$102,10),"*"),Input!$D$2:$D$999,$C$102)*IND_Mult!AG102</f>
        <v>4.7969999999999997</v>
      </c>
      <c r="AG102" s="69">
        <f>SUMIFS(Input!AL$2:AL$999,Input!$C$2:$C$999,CONCATENATE(LEFT($B$102,10),"*"),Input!$D$2:$D$999,$C$102)*IND_Mult!AH102</f>
        <v>7.7999999999999998</v>
      </c>
      <c r="AH102" s="69">
        <f>SUMIFS(Input!AM$2:AM$999,Input!$C$2:$C$999,CONCATENATE(LEFT($B$102,10),"*"),Input!$D$2:$D$999,$C$102)*IND_Mult!AI102</f>
        <v>7.5270000000000001</v>
      </c>
      <c r="AI102" s="69">
        <f>SUMIFS(Input!AN$2:AN$999,Input!$C$2:$C$999,CONCATENATE(LEFT($B$102,10),"*"),Input!$D$2:$D$999,$C$102)*IND_Mult!AJ102</f>
        <v>6.3726000000000003</v>
      </c>
      <c r="AJ102" s="69">
        <f>SUMIFS(Input!AO$2:AO$999,Input!$C$2:$C$999,CONCATENATE(LEFT($B$102,10),"*"),Input!$D$2:$D$999,$C$102)*IND_Mult!AK102</f>
        <v>8.5800000000000001</v>
      </c>
      <c r="AK102" s="69">
        <f>SUMIFS(Input!AP$2:AP$999,Input!$C$2:$C$999,CONCATENATE(LEFT($B$102,10),"*"),Input!$D$2:$D$999,$C$102)*IND_Mult!AL102</f>
        <v>14.43</v>
      </c>
      <c r="AL102" s="69">
        <f>SUMIFS(Input!AQ$2:AQ$999,Input!$C$2:$C$999,CONCATENATE(LEFT($B$102,10),"*"),Input!$D$2:$D$999,$C$102)*IND_Mult!AM102</f>
        <v>8.1899999999999995</v>
      </c>
      <c r="AM102" s="69">
        <f>SUMIFS(Input!AR$2:AR$999,Input!$C$2:$C$999,CONCATENATE(LEFT($B$102,10),"*"),Input!$D$2:$D$999,$C$102)*IND_Mult!AN102</f>
        <v>7.7999999999999998</v>
      </c>
      <c r="AN102" s="69">
        <f>SUMIFS(Input!AS$2:AS$999,Input!$C$2:$C$999,CONCATENATE(LEFT($B$102,10),"*"),Input!$D$2:$D$999,$C$102)*IND_Mult!AO102</f>
        <v>11.505000000000001</v>
      </c>
      <c r="AO102" s="69">
        <f>SUMIFS(Input!AT$2:AT$999,Input!$C$2:$C$999,CONCATENATE(LEFT($B$102,10),"*"),Input!$D$2:$D$999,$C$102)*IND_Mult!AP102</f>
        <v>7.5972</v>
      </c>
      <c r="AP102" s="69">
        <f>SUMIFS(Input!AU$2:AU$999,Input!$C$2:$C$999,CONCATENATE(LEFT($B$102,10),"*"),Input!$D$2:$D$999,$C$102)*IND_Mult!AQ102</f>
        <v>11.31</v>
      </c>
      <c r="AQ102" s="69">
        <f>SUMIFS(Input!AV$2:AV$999,Input!$C$2:$C$999,CONCATENATE(LEFT($B$102,10),"*"),Input!$D$2:$D$999,$C$102)*IND_Mult!AR102</f>
        <v>7.0979999999999999</v>
      </c>
    </row>
    <row r="103" spans="1:43" ht="12.75">
      <c r="A103" s="6"/>
      <c r="B103" s="17" t="s">
        <v>273</v>
      </c>
      <c r="C103" s="18" t="s">
        <v>82</v>
      </c>
      <c r="D103" s="26"/>
      <c r="E103" s="16" t="s">
        <v>103</v>
      </c>
      <c r="F103" s="31"/>
      <c r="G103" s="69">
        <f>SUMIFS(Input!L$2:L$999,Input!$C$2:$C$999,CONCATENATE(LEFT($B$103,10),"*"),Input!$D$2:$D$999,$C$103)*IND_Mult!H103</f>
        <v>0</v>
      </c>
      <c r="H103" s="69">
        <f>SUMIFS(Input!M$2:M$999,Input!$C$2:$C$999,CONCATENATE(LEFT($B$103,10),"*"),Input!$D$2:$D$999,$C$103)*IND_Mult!I103</f>
        <v>0</v>
      </c>
      <c r="I103" s="69">
        <f>SUMIFS(Input!N$2:N$999,Input!$C$2:$C$999,CONCATENATE(LEFT($B$103,10),"*"),Input!$D$2:$D$999,$C$103)*IND_Mult!J103</f>
        <v>0</v>
      </c>
      <c r="J103" s="69">
        <f>SUMIFS(Input!O$2:O$999,Input!$C$2:$C$999,CONCATENATE(LEFT($B$103,10),"*"),Input!$D$2:$D$999,$C$103)*IND_Mult!K103</f>
        <v>0</v>
      </c>
      <c r="K103" s="69">
        <f>SUMIFS(Input!P$2:P$999,Input!$C$2:$C$999,CONCATENATE(LEFT($B$103,10),"*"),Input!$D$2:$D$999,$C$103)*IND_Mult!L103</f>
        <v>0</v>
      </c>
      <c r="L103" s="69">
        <f>SUMIFS(Input!Q$2:Q$999,Input!$C$2:$C$999,CONCATENATE(LEFT($B$103,10),"*"),Input!$D$2:$D$999,$C$103)*IND_Mult!M103</f>
        <v>0</v>
      </c>
      <c r="M103" s="69">
        <f>SUMIFS(Input!R$2:R$999,Input!$C$2:$C$999,CONCATENATE(LEFT($B$103,10),"*"),Input!$D$2:$D$999,$C$103)*IND_Mult!N103</f>
        <v>0</v>
      </c>
      <c r="N103" s="69">
        <f>SUMIFS(Input!S$2:S$999,Input!$C$2:$C$999,CONCATENATE(LEFT($B$103,10),"*"),Input!$D$2:$D$999,$C$103)*IND_Mult!O103</f>
        <v>0</v>
      </c>
      <c r="O103" s="69">
        <f>SUMIFS(Input!T$2:T$999,Input!$C$2:$C$999,CONCATENATE(LEFT($B$103,10),"*"),Input!$D$2:$D$999,$C$103)*IND_Mult!P103</f>
        <v>0</v>
      </c>
      <c r="P103" s="69">
        <f>SUMIFS(Input!U$2:U$999,Input!$C$2:$C$999,CONCATENATE(LEFT($B$103,10),"*"),Input!$D$2:$D$999,$C$103)*IND_Mult!Q103</f>
        <v>0</v>
      </c>
      <c r="Q103" s="69">
        <f>SUMIFS(Input!V$2:V$999,Input!$C$2:$C$999,CONCATENATE(LEFT($B$103,10),"*"),Input!$D$2:$D$999,$C$103)*IND_Mult!R103</f>
        <v>0</v>
      </c>
      <c r="R103" s="69">
        <f>SUMIFS(Input!W$2:W$999,Input!$C$2:$C$999,CONCATENATE(LEFT($B$103,10),"*"),Input!$D$2:$D$999,$C$103)*IND_Mult!S103</f>
        <v>0</v>
      </c>
      <c r="S103" s="69">
        <f>SUMIFS(Input!X$2:X$999,Input!$C$2:$C$999,CONCATENATE(LEFT($B$103,10),"*"),Input!$D$2:$D$999,$C$103)*IND_Mult!T103</f>
        <v>0</v>
      </c>
      <c r="T103" s="69">
        <f>SUMIFS(Input!Y$2:Y$999,Input!$C$2:$C$999,CONCATENATE(LEFT($B$103,10),"*"),Input!$D$2:$D$999,$C$103)*IND_Mult!U103</f>
        <v>0</v>
      </c>
      <c r="U103" s="69">
        <f>SUMIFS(Input!Z$2:Z$999,Input!$C$2:$C$999,CONCATENATE(LEFT($B$103,10),"*"),Input!$D$2:$D$999,$C$103)*IND_Mult!V103</f>
        <v>0</v>
      </c>
      <c r="V103" s="69">
        <f>SUMIFS(Input!AA$2:AA$999,Input!$C$2:$C$999,CONCATENATE(LEFT($B$103,10),"*"),Input!$D$2:$D$999,$C$103)*IND_Mult!W103</f>
        <v>0</v>
      </c>
      <c r="W103" s="69">
        <f>SUMIFS(Input!AB$2:AB$999,Input!$C$2:$C$999,CONCATENATE(LEFT($B$103,10),"*"),Input!$D$2:$D$999,$C$103)*IND_Mult!X103</f>
        <v>0</v>
      </c>
      <c r="X103" s="69">
        <f>SUMIFS(Input!AC$2:AC$999,Input!$C$2:$C$999,CONCATENATE(LEFT($B$103,10),"*"),Input!$D$2:$D$999,$C$103)*IND_Mult!Y103</f>
        <v>0</v>
      </c>
      <c r="Y103" s="69">
        <f>SUMIFS(Input!AD$2:AD$999,Input!$C$2:$C$999,CONCATENATE(LEFT($B$103,10),"*"),Input!$D$2:$D$999,$C$103)*IND_Mult!Z103</f>
        <v>0</v>
      </c>
      <c r="Z103" s="69">
        <f>SUMIFS(Input!AE$2:AE$999,Input!$C$2:$C$999,CONCATENATE(LEFT($B$103,10),"*"),Input!$D$2:$D$999,$C$103)*IND_Mult!AA103</f>
        <v>0</v>
      </c>
      <c r="AA103" s="69">
        <f>SUMIFS(Input!AF$2:AF$999,Input!$C$2:$C$999,CONCATENATE(LEFT($B$103,10),"*"),Input!$D$2:$D$999,$C$103)*IND_Mult!AB103</f>
        <v>0</v>
      </c>
      <c r="AB103" s="69">
        <f>SUMIFS(Input!AG$2:AG$999,Input!$C$2:$C$999,CONCATENATE(LEFT($B$103,10),"*"),Input!$D$2:$D$999,$C$103)*IND_Mult!AC103</f>
        <v>0</v>
      </c>
      <c r="AC103" s="69">
        <f>SUMIFS(Input!AH$2:AH$999,Input!$C$2:$C$999,CONCATENATE(LEFT($B$103,10),"*"),Input!$D$2:$D$999,$C$103)*IND_Mult!AD103</f>
        <v>0</v>
      </c>
      <c r="AD103" s="69">
        <f>SUMIFS(Input!AI$2:AI$999,Input!$C$2:$C$999,CONCATENATE(LEFT($B$103,10),"*"),Input!$D$2:$D$999,$C$103)*IND_Mult!AE103</f>
        <v>0</v>
      </c>
      <c r="AE103" s="69">
        <f>SUMIFS(Input!AJ$2:AJ$999,Input!$C$2:$C$999,CONCATENATE(LEFT($B$103,10),"*"),Input!$D$2:$D$999,$C$103)*IND_Mult!AF103</f>
        <v>0</v>
      </c>
      <c r="AF103" s="69">
        <f>SUMIFS(Input!AK$2:AK$999,Input!$C$2:$C$999,CONCATENATE(LEFT($B$103,10),"*"),Input!$D$2:$D$999,$C$103)*IND_Mult!AG103</f>
        <v>0</v>
      </c>
      <c r="AG103" s="69">
        <f>SUMIFS(Input!AL$2:AL$999,Input!$C$2:$C$999,CONCATENATE(LEFT($B$103,10),"*"),Input!$D$2:$D$999,$C$103)*IND_Mult!AH103</f>
        <v>0</v>
      </c>
      <c r="AH103" s="69">
        <f>SUMIFS(Input!AM$2:AM$999,Input!$C$2:$C$999,CONCATENATE(LEFT($B$103,10),"*"),Input!$D$2:$D$999,$C$103)*IND_Mult!AI103</f>
        <v>0</v>
      </c>
      <c r="AI103" s="69">
        <f>SUMIFS(Input!AN$2:AN$999,Input!$C$2:$C$999,CONCATENATE(LEFT($B$103,10),"*"),Input!$D$2:$D$999,$C$103)*IND_Mult!AJ103</f>
        <v>0</v>
      </c>
      <c r="AJ103" s="69">
        <f>SUMIFS(Input!AO$2:AO$999,Input!$C$2:$C$999,CONCATENATE(LEFT($B$103,10),"*"),Input!$D$2:$D$999,$C$103)*IND_Mult!AK103</f>
        <v>0</v>
      </c>
      <c r="AK103" s="69">
        <f>SUMIFS(Input!AP$2:AP$999,Input!$C$2:$C$999,CONCATENATE(LEFT($B$103,10),"*"),Input!$D$2:$D$999,$C$103)*IND_Mult!AL103</f>
        <v>0</v>
      </c>
      <c r="AL103" s="69">
        <f>SUMIFS(Input!AQ$2:AQ$999,Input!$C$2:$C$999,CONCATENATE(LEFT($B$103,10),"*"),Input!$D$2:$D$999,$C$103)*IND_Mult!AM103</f>
        <v>0</v>
      </c>
      <c r="AM103" s="69">
        <f>SUMIFS(Input!AR$2:AR$999,Input!$C$2:$C$999,CONCATENATE(LEFT($B$103,10),"*"),Input!$D$2:$D$999,$C$103)*IND_Mult!AN103</f>
        <v>0</v>
      </c>
      <c r="AN103" s="69">
        <f>SUMIFS(Input!AS$2:AS$999,Input!$C$2:$C$999,CONCATENATE(LEFT($B$103,10),"*"),Input!$D$2:$D$999,$C$103)*IND_Mult!AO103</f>
        <v>0</v>
      </c>
      <c r="AO103" s="69">
        <f>SUMIFS(Input!AT$2:AT$999,Input!$C$2:$C$999,CONCATENATE(LEFT($B$103,10),"*"),Input!$D$2:$D$999,$C$103)*IND_Mult!AP103</f>
        <v>0</v>
      </c>
      <c r="AP103" s="69">
        <f>SUMIFS(Input!AU$2:AU$999,Input!$C$2:$C$999,CONCATENATE(LEFT($B$103,10),"*"),Input!$D$2:$D$999,$C$103)*IND_Mult!AQ103</f>
        <v>0</v>
      </c>
      <c r="AQ103" s="69">
        <f>SUMIFS(Input!AV$2:AV$999,Input!$C$2:$C$999,CONCATENATE(LEFT($B$103,10),"*"),Input!$D$2:$D$999,$C$103)*IND_Mult!AR103</f>
        <v>0</v>
      </c>
    </row>
    <row r="104" spans="1:43" ht="12.75">
      <c r="A104" s="6"/>
      <c r="B104" s="17" t="s">
        <v>273</v>
      </c>
      <c r="C104" s="18" t="s">
        <v>160</v>
      </c>
      <c r="D104" s="26"/>
      <c r="E104" s="16" t="s">
        <v>103</v>
      </c>
      <c r="F104" s="31"/>
      <c r="G104" s="69">
        <f>SUMIFS(Input!L$2:L$999,Input!$C$2:$C$999,CONCATENATE(LEFT($B$104,10),"*"),Input!$D$2:$D$999,$C$104)*IND_Mult!H104</f>
        <v>0.035000000000000003</v>
      </c>
      <c r="H104" s="69">
        <f>SUMIFS(Input!M$2:M$999,Input!$C$2:$C$999,CONCATENATE(LEFT($B$104,10),"*"),Input!$D$2:$D$999,$C$104)*IND_Mult!I104</f>
        <v>0.035000000000000003</v>
      </c>
      <c r="I104" s="69">
        <f>SUMIFS(Input!N$2:N$999,Input!$C$2:$C$999,CONCATENATE(LEFT($B$104,10),"*"),Input!$D$2:$D$999,$C$104)*IND_Mult!J104</f>
        <v>0.035000000000000003</v>
      </c>
      <c r="J104" s="69">
        <f>SUMIFS(Input!O$2:O$999,Input!$C$2:$C$999,CONCATENATE(LEFT($B$104,10),"*"),Input!$D$2:$D$999,$C$104)*IND_Mult!K104</f>
        <v>0.035000000000000003</v>
      </c>
      <c r="K104" s="69">
        <f>SUMIFS(Input!P$2:P$999,Input!$C$2:$C$999,CONCATENATE(LEFT($B$104,10),"*"),Input!$D$2:$D$999,$C$104)*IND_Mult!L104</f>
        <v>0.035000000000000003</v>
      </c>
      <c r="L104" s="69">
        <f>SUMIFS(Input!Q$2:Q$999,Input!$C$2:$C$999,CONCATENATE(LEFT($B$104,10),"*"),Input!$D$2:$D$999,$C$104)*IND_Mult!M104</f>
        <v>0.035000000000000003</v>
      </c>
      <c r="M104" s="69">
        <f>SUMIFS(Input!R$2:R$999,Input!$C$2:$C$999,CONCATENATE(LEFT($B$104,10),"*"),Input!$D$2:$D$999,$C$104)*IND_Mult!N104</f>
        <v>0.035000000000000003</v>
      </c>
      <c r="N104" s="69">
        <f>SUMIFS(Input!S$2:S$999,Input!$C$2:$C$999,CONCATENATE(LEFT($B$104,10),"*"),Input!$D$2:$D$999,$C$104)*IND_Mult!O104</f>
        <v>0.035000000000000003</v>
      </c>
      <c r="O104" s="69">
        <f>SUMIFS(Input!T$2:T$999,Input!$C$2:$C$999,CONCATENATE(LEFT($B$104,10),"*"),Input!$D$2:$D$999,$C$104)*IND_Mult!P104</f>
        <v>0.029750000000000002</v>
      </c>
      <c r="P104" s="69">
        <f>SUMIFS(Input!U$2:U$999,Input!$C$2:$C$999,CONCATENATE(LEFT($B$104,10),"*"),Input!$D$2:$D$999,$C$104)*IND_Mult!Q104</f>
        <v>0.035000000000000003</v>
      </c>
      <c r="Q104" s="69">
        <f>SUMIFS(Input!V$2:V$999,Input!$C$2:$C$999,CONCATENATE(LEFT($B$104,10),"*"),Input!$D$2:$D$999,$C$104)*IND_Mult!R104</f>
        <v>0.035000000000000003</v>
      </c>
      <c r="R104" s="69">
        <f>SUMIFS(Input!W$2:W$999,Input!$C$2:$C$999,CONCATENATE(LEFT($B$104,10),"*"),Input!$D$2:$D$999,$C$104)*IND_Mult!S104</f>
        <v>0.035000000000000003</v>
      </c>
      <c r="S104" s="69">
        <f>SUMIFS(Input!X$2:X$999,Input!$C$2:$C$999,CONCATENATE(LEFT($B$104,10),"*"),Input!$D$2:$D$999,$C$104)*IND_Mult!T104</f>
        <v>0.035000000000000003</v>
      </c>
      <c r="T104" s="69">
        <f>SUMIFS(Input!Y$2:Y$999,Input!$C$2:$C$999,CONCATENATE(LEFT($B$104,10),"*"),Input!$D$2:$D$999,$C$104)*IND_Mult!U104</f>
        <v>0.035000000000000003</v>
      </c>
      <c r="U104" s="69">
        <f>SUMIFS(Input!Z$2:Z$999,Input!$C$2:$C$999,CONCATENATE(LEFT($B$104,10),"*"),Input!$D$2:$D$999,$C$104)*IND_Mult!V104</f>
        <v>0.035000000000000003</v>
      </c>
      <c r="V104" s="69">
        <f>SUMIFS(Input!AA$2:AA$999,Input!$C$2:$C$999,CONCATENATE(LEFT($B$104,10),"*"),Input!$D$2:$D$999,$C$104)*IND_Mult!W104</f>
        <v>0.035000000000000003</v>
      </c>
      <c r="W104" s="69">
        <f>SUMIFS(Input!AB$2:AB$999,Input!$C$2:$C$999,CONCATENATE(LEFT($B$104,10),"*"),Input!$D$2:$D$999,$C$104)*IND_Mult!X104</f>
        <v>0.035000000000000003</v>
      </c>
      <c r="X104" s="69">
        <f>SUMIFS(Input!AC$2:AC$999,Input!$C$2:$C$999,CONCATENATE(LEFT($B$104,10),"*"),Input!$D$2:$D$999,$C$104)*IND_Mult!Y104</f>
        <v>0.035000000000000003</v>
      </c>
      <c r="Y104" s="69">
        <f>SUMIFS(Input!AD$2:AD$999,Input!$C$2:$C$999,CONCATENATE(LEFT($B$104,10),"*"),Input!$D$2:$D$999,$C$104)*IND_Mult!Z104</f>
        <v>0.035000000000000003</v>
      </c>
      <c r="Z104" s="69">
        <f>SUMIFS(Input!AE$2:AE$999,Input!$C$2:$C$999,CONCATENATE(LEFT($B$104,10),"*"),Input!$D$2:$D$999,$C$104)*IND_Mult!AA104</f>
        <v>0.035000000000000003</v>
      </c>
      <c r="AA104" s="69">
        <f>SUMIFS(Input!AF$2:AF$999,Input!$C$2:$C$999,CONCATENATE(LEFT($B$104,10),"*"),Input!$D$2:$D$999,$C$104)*IND_Mult!AB104</f>
        <v>0.035000000000000003</v>
      </c>
      <c r="AB104" s="69">
        <f>SUMIFS(Input!AG$2:AG$999,Input!$C$2:$C$999,CONCATENATE(LEFT($B$104,10),"*"),Input!$D$2:$D$999,$C$104)*IND_Mult!AC104</f>
        <v>0.035000000000000003</v>
      </c>
      <c r="AC104" s="69">
        <f>SUMIFS(Input!AH$2:AH$999,Input!$C$2:$C$999,CONCATENATE(LEFT($B$104,10),"*"),Input!$D$2:$D$999,$C$104)*IND_Mult!AD104</f>
        <v>0.035000000000000003</v>
      </c>
      <c r="AD104" s="69">
        <f>SUMIFS(Input!AI$2:AI$999,Input!$C$2:$C$999,CONCATENATE(LEFT($B$104,10),"*"),Input!$D$2:$D$999,$C$104)*IND_Mult!AE104</f>
        <v>0.035000000000000003</v>
      </c>
      <c r="AE104" s="69">
        <f>SUMIFS(Input!AJ$2:AJ$999,Input!$C$2:$C$999,CONCATENATE(LEFT($B$104,10),"*"),Input!$D$2:$D$999,$C$104)*IND_Mult!AF104</f>
        <v>0.035000000000000003</v>
      </c>
      <c r="AF104" s="69">
        <f>SUMIFS(Input!AK$2:AK$999,Input!$C$2:$C$999,CONCATENATE(LEFT($B$104,10),"*"),Input!$D$2:$D$999,$C$104)*IND_Mult!AG104</f>
        <v>0.035000000000000003</v>
      </c>
      <c r="AG104" s="69">
        <f>SUMIFS(Input!AL$2:AL$999,Input!$C$2:$C$999,CONCATENATE(LEFT($B$104,10),"*"),Input!$D$2:$D$999,$C$104)*IND_Mult!AH104</f>
        <v>0.035000000000000003</v>
      </c>
      <c r="AH104" s="69">
        <f>SUMIFS(Input!AM$2:AM$999,Input!$C$2:$C$999,CONCATENATE(LEFT($B$104,10),"*"),Input!$D$2:$D$999,$C$104)*IND_Mult!AI104</f>
        <v>0.035000000000000003</v>
      </c>
      <c r="AI104" s="69">
        <f>SUMIFS(Input!AN$2:AN$999,Input!$C$2:$C$999,CONCATENATE(LEFT($B$104,10),"*"),Input!$D$2:$D$999,$C$104)*IND_Mult!AJ104</f>
        <v>0.035000000000000003</v>
      </c>
      <c r="AJ104" s="69">
        <f>SUMIFS(Input!AO$2:AO$999,Input!$C$2:$C$999,CONCATENATE(LEFT($B$104,10),"*"),Input!$D$2:$D$999,$C$104)*IND_Mult!AK104</f>
        <v>0.035000000000000003</v>
      </c>
      <c r="AK104" s="69">
        <f>SUMIFS(Input!AP$2:AP$999,Input!$C$2:$C$999,CONCATENATE(LEFT($B$104,10),"*"),Input!$D$2:$D$999,$C$104)*IND_Mult!AL104</f>
        <v>0.035000000000000003</v>
      </c>
      <c r="AL104" s="69">
        <f>SUMIFS(Input!AQ$2:AQ$999,Input!$C$2:$C$999,CONCATENATE(LEFT($B$104,10),"*"),Input!$D$2:$D$999,$C$104)*IND_Mult!AM104</f>
        <v>0.035000000000000003</v>
      </c>
      <c r="AM104" s="69">
        <f>SUMIFS(Input!AR$2:AR$999,Input!$C$2:$C$999,CONCATENATE(LEFT($B$104,10),"*"),Input!$D$2:$D$999,$C$104)*IND_Mult!AN104</f>
        <v>0.035000000000000003</v>
      </c>
      <c r="AN104" s="69">
        <f>SUMIFS(Input!AS$2:AS$999,Input!$C$2:$C$999,CONCATENATE(LEFT($B$104,10),"*"),Input!$D$2:$D$999,$C$104)*IND_Mult!AO104</f>
        <v>0.035000000000000003</v>
      </c>
      <c r="AO104" s="69">
        <f>SUMIFS(Input!AT$2:AT$999,Input!$C$2:$C$999,CONCATENATE(LEFT($B$104,10),"*"),Input!$D$2:$D$999,$C$104)*IND_Mult!AP104</f>
        <v>0.035000000000000003</v>
      </c>
      <c r="AP104" s="69">
        <f>SUMIFS(Input!AU$2:AU$999,Input!$C$2:$C$999,CONCATENATE(LEFT($B$104,10),"*"),Input!$D$2:$D$999,$C$104)*IND_Mult!AQ104</f>
        <v>0.035000000000000003</v>
      </c>
      <c r="AQ104" s="69">
        <f>SUMIFS(Input!AV$2:AV$999,Input!$C$2:$C$999,CONCATENATE(LEFT($B$104,10),"*"),Input!$D$2:$D$999,$C$104)*IND_Mult!AR104</f>
        <v>0.035000000000000003</v>
      </c>
    </row>
    <row r="105" spans="1:43" ht="12.75">
      <c r="A105" s="6"/>
      <c r="B105" s="17" t="s">
        <v>273</v>
      </c>
      <c r="C105" s="18" t="s">
        <v>161</v>
      </c>
      <c r="D105" s="26"/>
      <c r="E105" s="16" t="s">
        <v>103</v>
      </c>
      <c r="F105" s="31"/>
      <c r="G105" s="69">
        <f>SUMIFS(Input!L$2:L$999,Input!$C$2:$C$999,CONCATENATE(LEFT($B$105,10),"*"),Input!$D$2:$D$999,$C$105)*IND_Mult!H105</f>
        <v>0.02</v>
      </c>
      <c r="H105" s="69">
        <f>SUMIFS(Input!M$2:M$999,Input!$C$2:$C$999,CONCATENATE(LEFT($B$105,10),"*"),Input!$D$2:$D$999,$C$105)*IND_Mult!I105</f>
        <v>0.02</v>
      </c>
      <c r="I105" s="69">
        <f>SUMIFS(Input!N$2:N$999,Input!$C$2:$C$999,CONCATENATE(LEFT($B$105,10),"*"),Input!$D$2:$D$999,$C$105)*IND_Mult!J105</f>
        <v>0.02</v>
      </c>
      <c r="J105" s="69">
        <f>SUMIFS(Input!O$2:O$999,Input!$C$2:$C$999,CONCATENATE(LEFT($B$105,10),"*"),Input!$D$2:$D$999,$C$105)*IND_Mult!K105</f>
        <v>0.02</v>
      </c>
      <c r="K105" s="69">
        <f>SUMIFS(Input!P$2:P$999,Input!$C$2:$C$999,CONCATENATE(LEFT($B$105,10),"*"),Input!$D$2:$D$999,$C$105)*IND_Mult!L105</f>
        <v>0.02</v>
      </c>
      <c r="L105" s="69">
        <f>SUMIFS(Input!Q$2:Q$999,Input!$C$2:$C$999,CONCATENATE(LEFT($B$105,10),"*"),Input!$D$2:$D$999,$C$105)*IND_Mult!M105</f>
        <v>0.02</v>
      </c>
      <c r="M105" s="69">
        <f>SUMIFS(Input!R$2:R$999,Input!$C$2:$C$999,CONCATENATE(LEFT($B$105,10),"*"),Input!$D$2:$D$999,$C$105)*IND_Mult!N105</f>
        <v>0.02</v>
      </c>
      <c r="N105" s="69">
        <f>SUMIFS(Input!S$2:S$999,Input!$C$2:$C$999,CONCATENATE(LEFT($B$105,10),"*"),Input!$D$2:$D$999,$C$105)*IND_Mult!O105</f>
        <v>0.02</v>
      </c>
      <c r="O105" s="69">
        <f>SUMIFS(Input!T$2:T$999,Input!$C$2:$C$999,CONCATENATE(LEFT($B$105,10),"*"),Input!$D$2:$D$999,$C$105)*IND_Mult!P105</f>
        <v>0.017000000000000001</v>
      </c>
      <c r="P105" s="69">
        <f>SUMIFS(Input!U$2:U$999,Input!$C$2:$C$999,CONCATENATE(LEFT($B$105,10),"*"),Input!$D$2:$D$999,$C$105)*IND_Mult!Q105</f>
        <v>0.02</v>
      </c>
      <c r="Q105" s="69">
        <f>SUMIFS(Input!V$2:V$999,Input!$C$2:$C$999,CONCATENATE(LEFT($B$105,10),"*"),Input!$D$2:$D$999,$C$105)*IND_Mult!R105</f>
        <v>0.02</v>
      </c>
      <c r="R105" s="69">
        <f>SUMIFS(Input!W$2:W$999,Input!$C$2:$C$999,CONCATENATE(LEFT($B$105,10),"*"),Input!$D$2:$D$999,$C$105)*IND_Mult!S105</f>
        <v>0.02</v>
      </c>
      <c r="S105" s="69">
        <f>SUMIFS(Input!X$2:X$999,Input!$C$2:$C$999,CONCATENATE(LEFT($B$105,10),"*"),Input!$D$2:$D$999,$C$105)*IND_Mult!T105</f>
        <v>0.02</v>
      </c>
      <c r="T105" s="69">
        <f>SUMIFS(Input!Y$2:Y$999,Input!$C$2:$C$999,CONCATENATE(LEFT($B$105,10),"*"),Input!$D$2:$D$999,$C$105)*IND_Mult!U105</f>
        <v>0.02</v>
      </c>
      <c r="U105" s="69">
        <f>SUMIFS(Input!Z$2:Z$999,Input!$C$2:$C$999,CONCATENATE(LEFT($B$105,10),"*"),Input!$D$2:$D$999,$C$105)*IND_Mult!V105</f>
        <v>0.02</v>
      </c>
      <c r="V105" s="69">
        <f>SUMIFS(Input!AA$2:AA$999,Input!$C$2:$C$999,CONCATENATE(LEFT($B$105,10),"*"),Input!$D$2:$D$999,$C$105)*IND_Mult!W105</f>
        <v>0.02</v>
      </c>
      <c r="W105" s="69">
        <f>SUMIFS(Input!AB$2:AB$999,Input!$C$2:$C$999,CONCATENATE(LEFT($B$105,10),"*"),Input!$D$2:$D$999,$C$105)*IND_Mult!X105</f>
        <v>0.02</v>
      </c>
      <c r="X105" s="69">
        <f>SUMIFS(Input!AC$2:AC$999,Input!$C$2:$C$999,CONCATENATE(LEFT($B$105,10),"*"),Input!$D$2:$D$999,$C$105)*IND_Mult!Y105</f>
        <v>0.02</v>
      </c>
      <c r="Y105" s="69">
        <f>SUMIFS(Input!AD$2:AD$999,Input!$C$2:$C$999,CONCATENATE(LEFT($B$105,10),"*"),Input!$D$2:$D$999,$C$105)*IND_Mult!Z105</f>
        <v>0.02</v>
      </c>
      <c r="Z105" s="69">
        <f>SUMIFS(Input!AE$2:AE$999,Input!$C$2:$C$999,CONCATENATE(LEFT($B$105,10),"*"),Input!$D$2:$D$999,$C$105)*IND_Mult!AA105</f>
        <v>0.02</v>
      </c>
      <c r="AA105" s="69">
        <f>SUMIFS(Input!AF$2:AF$999,Input!$C$2:$C$999,CONCATENATE(LEFT($B$105,10),"*"),Input!$D$2:$D$999,$C$105)*IND_Mult!AB105</f>
        <v>0.02</v>
      </c>
      <c r="AB105" s="69">
        <f>SUMIFS(Input!AG$2:AG$999,Input!$C$2:$C$999,CONCATENATE(LEFT($B$105,10),"*"),Input!$D$2:$D$999,$C$105)*IND_Mult!AC105</f>
        <v>0.02</v>
      </c>
      <c r="AC105" s="69">
        <f>SUMIFS(Input!AH$2:AH$999,Input!$C$2:$C$999,CONCATENATE(LEFT($B$105,10),"*"),Input!$D$2:$D$999,$C$105)*IND_Mult!AD105</f>
        <v>0.02</v>
      </c>
      <c r="AD105" s="69">
        <f>SUMIFS(Input!AI$2:AI$999,Input!$C$2:$C$999,CONCATENATE(LEFT($B$105,10),"*"),Input!$D$2:$D$999,$C$105)*IND_Mult!AE105</f>
        <v>0.02</v>
      </c>
      <c r="AE105" s="69">
        <f>SUMIFS(Input!AJ$2:AJ$999,Input!$C$2:$C$999,CONCATENATE(LEFT($B$105,10),"*"),Input!$D$2:$D$999,$C$105)*IND_Mult!AF105</f>
        <v>0.02</v>
      </c>
      <c r="AF105" s="69">
        <f>SUMIFS(Input!AK$2:AK$999,Input!$C$2:$C$999,CONCATENATE(LEFT($B$105,10),"*"),Input!$D$2:$D$999,$C$105)*IND_Mult!AG105</f>
        <v>0.02</v>
      </c>
      <c r="AG105" s="69">
        <f>SUMIFS(Input!AL$2:AL$999,Input!$C$2:$C$999,CONCATENATE(LEFT($B$105,10),"*"),Input!$D$2:$D$999,$C$105)*IND_Mult!AH105</f>
        <v>0.02</v>
      </c>
      <c r="AH105" s="69">
        <f>SUMIFS(Input!AM$2:AM$999,Input!$C$2:$C$999,CONCATENATE(LEFT($B$105,10),"*"),Input!$D$2:$D$999,$C$105)*IND_Mult!AI105</f>
        <v>0.02</v>
      </c>
      <c r="AI105" s="69">
        <f>SUMIFS(Input!AN$2:AN$999,Input!$C$2:$C$999,CONCATENATE(LEFT($B$105,10),"*"),Input!$D$2:$D$999,$C$105)*IND_Mult!AJ105</f>
        <v>0.02</v>
      </c>
      <c r="AJ105" s="69">
        <f>SUMIFS(Input!AO$2:AO$999,Input!$C$2:$C$999,CONCATENATE(LEFT($B$105,10),"*"),Input!$D$2:$D$999,$C$105)*IND_Mult!AK105</f>
        <v>0.02</v>
      </c>
      <c r="AK105" s="69">
        <f>SUMIFS(Input!AP$2:AP$999,Input!$C$2:$C$999,CONCATENATE(LEFT($B$105,10),"*"),Input!$D$2:$D$999,$C$105)*IND_Mult!AL105</f>
        <v>0.02</v>
      </c>
      <c r="AL105" s="69">
        <f>SUMIFS(Input!AQ$2:AQ$999,Input!$C$2:$C$999,CONCATENATE(LEFT($B$105,10),"*"),Input!$D$2:$D$999,$C$105)*IND_Mult!AM105</f>
        <v>0.02</v>
      </c>
      <c r="AM105" s="69">
        <f>SUMIFS(Input!AR$2:AR$999,Input!$C$2:$C$999,CONCATENATE(LEFT($B$105,10),"*"),Input!$D$2:$D$999,$C$105)*IND_Mult!AN105</f>
        <v>0.02</v>
      </c>
      <c r="AN105" s="69">
        <f>SUMIFS(Input!AS$2:AS$999,Input!$C$2:$C$999,CONCATENATE(LEFT($B$105,10),"*"),Input!$D$2:$D$999,$C$105)*IND_Mult!AO105</f>
        <v>0.02</v>
      </c>
      <c r="AO105" s="69">
        <f>SUMIFS(Input!AT$2:AT$999,Input!$C$2:$C$999,CONCATENATE(LEFT($B$105,10),"*"),Input!$D$2:$D$999,$C$105)*IND_Mult!AP105</f>
        <v>0.02</v>
      </c>
      <c r="AP105" s="69">
        <f>SUMIFS(Input!AU$2:AU$999,Input!$C$2:$C$999,CONCATENATE(LEFT($B$105,10),"*"),Input!$D$2:$D$999,$C$105)*IND_Mult!AQ105</f>
        <v>0.02</v>
      </c>
      <c r="AQ105" s="69">
        <f>SUMIFS(Input!AV$2:AV$999,Input!$C$2:$C$999,CONCATENATE(LEFT($B$105,10),"*"),Input!$D$2:$D$999,$C$105)*IND_Mult!AR105</f>
        <v>0.02</v>
      </c>
    </row>
    <row r="106" spans="1:43" ht="12.75">
      <c r="A106" s="6"/>
      <c r="B106" s="17" t="s">
        <v>273</v>
      </c>
      <c r="C106" s="18" t="s">
        <v>162</v>
      </c>
      <c r="D106" s="26"/>
      <c r="E106" s="16" t="s">
        <v>103</v>
      </c>
      <c r="F106" s="31"/>
      <c r="G106" s="69">
        <f>SUMIFS(Input!L$2:L$999,Input!$C$2:$C$999,CONCATENATE(LEFT($B$106,10),"*"),Input!$D$2:$D$999,$C$106)*IND_Mult!H106</f>
        <v>2.2999999999999998</v>
      </c>
      <c r="H106" s="69">
        <f>SUMIFS(Input!M$2:M$999,Input!$C$2:$C$999,CONCATENATE(LEFT($B$106,10),"*"),Input!$D$2:$D$999,$C$106)*IND_Mult!I106</f>
        <v>2.2999999999999998</v>
      </c>
      <c r="I106" s="69">
        <f>SUMIFS(Input!N$2:N$999,Input!$C$2:$C$999,CONCATENATE(LEFT($B$106,10),"*"),Input!$D$2:$D$999,$C$106)*IND_Mult!J106</f>
        <v>2.2999999999999998</v>
      </c>
      <c r="J106" s="69">
        <f>SUMIFS(Input!O$2:O$999,Input!$C$2:$C$999,CONCATENATE(LEFT($B$106,10),"*"),Input!$D$2:$D$999,$C$106)*IND_Mult!K106</f>
        <v>2.2999999999999998</v>
      </c>
      <c r="K106" s="69">
        <f>SUMIFS(Input!P$2:P$999,Input!$C$2:$C$999,CONCATENATE(LEFT($B$106,10),"*"),Input!$D$2:$D$999,$C$106)*IND_Mult!L106</f>
        <v>2.2999999999999998</v>
      </c>
      <c r="L106" s="69">
        <f>SUMIFS(Input!Q$2:Q$999,Input!$C$2:$C$999,CONCATENATE(LEFT($B$106,10),"*"),Input!$D$2:$D$999,$C$106)*IND_Mult!M106</f>
        <v>2.2999999999999998</v>
      </c>
      <c r="M106" s="69">
        <f>SUMIFS(Input!R$2:R$999,Input!$C$2:$C$999,CONCATENATE(LEFT($B$106,10),"*"),Input!$D$2:$D$999,$C$106)*IND_Mult!N106</f>
        <v>2.2999999999999998</v>
      </c>
      <c r="N106" s="69">
        <f>SUMIFS(Input!S$2:S$999,Input!$C$2:$C$999,CONCATENATE(LEFT($B$106,10),"*"),Input!$D$2:$D$999,$C$106)*IND_Mult!O106</f>
        <v>2.2999999999999998</v>
      </c>
      <c r="O106" s="69">
        <f>SUMIFS(Input!T$2:T$999,Input!$C$2:$C$999,CONCATENATE(LEFT($B$106,10),"*"),Input!$D$2:$D$999,$C$106)*IND_Mult!P106</f>
        <v>1.9549999999999998</v>
      </c>
      <c r="P106" s="69">
        <f>SUMIFS(Input!U$2:U$999,Input!$C$2:$C$999,CONCATENATE(LEFT($B$106,10),"*"),Input!$D$2:$D$999,$C$106)*IND_Mult!Q106</f>
        <v>2.2999999999999998</v>
      </c>
      <c r="Q106" s="69">
        <f>SUMIFS(Input!V$2:V$999,Input!$C$2:$C$999,CONCATENATE(LEFT($B$106,10),"*"),Input!$D$2:$D$999,$C$106)*IND_Mult!R106</f>
        <v>2.2999999999999998</v>
      </c>
      <c r="R106" s="69">
        <f>SUMIFS(Input!W$2:W$999,Input!$C$2:$C$999,CONCATENATE(LEFT($B$106,10),"*"),Input!$D$2:$D$999,$C$106)*IND_Mult!S106</f>
        <v>2.2999999999999998</v>
      </c>
      <c r="S106" s="69">
        <f>SUMIFS(Input!X$2:X$999,Input!$C$2:$C$999,CONCATENATE(LEFT($B$106,10),"*"),Input!$D$2:$D$999,$C$106)*IND_Mult!T106</f>
        <v>2.2999999999999998</v>
      </c>
      <c r="T106" s="69">
        <f>SUMIFS(Input!Y$2:Y$999,Input!$C$2:$C$999,CONCATENATE(LEFT($B$106,10),"*"),Input!$D$2:$D$999,$C$106)*IND_Mult!U106</f>
        <v>4.5999999999999996</v>
      </c>
      <c r="U106" s="69">
        <f>SUMIFS(Input!Z$2:Z$999,Input!$C$2:$C$999,CONCATENATE(LEFT($B$106,10),"*"),Input!$D$2:$D$999,$C$106)*IND_Mult!V106</f>
        <v>2.2999999999999998</v>
      </c>
      <c r="V106" s="69">
        <f>SUMIFS(Input!AA$2:AA$999,Input!$C$2:$C$999,CONCATENATE(LEFT($B$106,10),"*"),Input!$D$2:$D$999,$C$106)*IND_Mult!W106</f>
        <v>2.2999999999999998</v>
      </c>
      <c r="W106" s="69">
        <f>SUMIFS(Input!AB$2:AB$999,Input!$C$2:$C$999,CONCATENATE(LEFT($B$106,10),"*"),Input!$D$2:$D$999,$C$106)*IND_Mult!X106</f>
        <v>2.2999999999999998</v>
      </c>
      <c r="X106" s="69">
        <f>SUMIFS(Input!AC$2:AC$999,Input!$C$2:$C$999,CONCATENATE(LEFT($B$106,10),"*"),Input!$D$2:$D$999,$C$106)*IND_Mult!Y106</f>
        <v>2.2999999999999998</v>
      </c>
      <c r="Y106" s="69">
        <f>SUMIFS(Input!AD$2:AD$999,Input!$C$2:$C$999,CONCATENATE(LEFT($B$106,10),"*"),Input!$D$2:$D$999,$C$106)*IND_Mult!Z106</f>
        <v>2.2999999999999998</v>
      </c>
      <c r="Z106" s="69">
        <f>SUMIFS(Input!AE$2:AE$999,Input!$C$2:$C$999,CONCATENATE(LEFT($B$106,10),"*"),Input!$D$2:$D$999,$C$106)*IND_Mult!AA106</f>
        <v>2.2999999999999998</v>
      </c>
      <c r="AA106" s="69">
        <f>SUMIFS(Input!AF$2:AF$999,Input!$C$2:$C$999,CONCATENATE(LEFT($B$106,10),"*"),Input!$D$2:$D$999,$C$106)*IND_Mult!AB106</f>
        <v>2.2999999999999998</v>
      </c>
      <c r="AB106" s="69">
        <f>SUMIFS(Input!AG$2:AG$999,Input!$C$2:$C$999,CONCATENATE(LEFT($B$106,10),"*"),Input!$D$2:$D$999,$C$106)*IND_Mult!AC106</f>
        <v>2.2999999999999998</v>
      </c>
      <c r="AC106" s="69">
        <f>SUMIFS(Input!AH$2:AH$999,Input!$C$2:$C$999,CONCATENATE(LEFT($B$106,10),"*"),Input!$D$2:$D$999,$C$106)*IND_Mult!AD106</f>
        <v>2.2999999999999998</v>
      </c>
      <c r="AD106" s="69">
        <f>SUMIFS(Input!AI$2:AI$999,Input!$C$2:$C$999,CONCATENATE(LEFT($B$106,10),"*"),Input!$D$2:$D$999,$C$106)*IND_Mult!AE106</f>
        <v>2.2999999999999998</v>
      </c>
      <c r="AE106" s="69">
        <f>SUMIFS(Input!AJ$2:AJ$999,Input!$C$2:$C$999,CONCATENATE(LEFT($B$106,10),"*"),Input!$D$2:$D$999,$C$106)*IND_Mult!AF106</f>
        <v>2.2999999999999998</v>
      </c>
      <c r="AF106" s="69">
        <f>SUMIFS(Input!AK$2:AK$999,Input!$C$2:$C$999,CONCATENATE(LEFT($B$106,10),"*"),Input!$D$2:$D$999,$C$106)*IND_Mult!AG106</f>
        <v>2.2999999999999998</v>
      </c>
      <c r="AG106" s="69">
        <f>SUMIFS(Input!AL$2:AL$999,Input!$C$2:$C$999,CONCATENATE(LEFT($B$106,10),"*"),Input!$D$2:$D$999,$C$106)*IND_Mult!AH106</f>
        <v>2.2999999999999998</v>
      </c>
      <c r="AH106" s="69">
        <f>SUMIFS(Input!AM$2:AM$999,Input!$C$2:$C$999,CONCATENATE(LEFT($B$106,10),"*"),Input!$D$2:$D$999,$C$106)*IND_Mult!AI106</f>
        <v>2.2999999999999998</v>
      </c>
      <c r="AI106" s="69">
        <f>SUMIFS(Input!AN$2:AN$999,Input!$C$2:$C$999,CONCATENATE(LEFT($B$106,10),"*"),Input!$D$2:$D$999,$C$106)*IND_Mult!AJ106</f>
        <v>2.2999999999999998</v>
      </c>
      <c r="AJ106" s="69">
        <f>SUMIFS(Input!AO$2:AO$999,Input!$C$2:$C$999,CONCATENATE(LEFT($B$106,10),"*"),Input!$D$2:$D$999,$C$106)*IND_Mult!AK106</f>
        <v>2.2999999999999998</v>
      </c>
      <c r="AK106" s="69">
        <f>SUMIFS(Input!AP$2:AP$999,Input!$C$2:$C$999,CONCATENATE(LEFT($B$106,10),"*"),Input!$D$2:$D$999,$C$106)*IND_Mult!AL106</f>
        <v>2.2999999999999998</v>
      </c>
      <c r="AL106" s="69">
        <f>SUMIFS(Input!AQ$2:AQ$999,Input!$C$2:$C$999,CONCATENATE(LEFT($B$106,10),"*"),Input!$D$2:$D$999,$C$106)*IND_Mult!AM106</f>
        <v>2.2999999999999998</v>
      </c>
      <c r="AM106" s="69">
        <f>SUMIFS(Input!AR$2:AR$999,Input!$C$2:$C$999,CONCATENATE(LEFT($B$106,10),"*"),Input!$D$2:$D$999,$C$106)*IND_Mult!AN106</f>
        <v>2.2999999999999998</v>
      </c>
      <c r="AN106" s="69">
        <f>SUMIFS(Input!AS$2:AS$999,Input!$C$2:$C$999,CONCATENATE(LEFT($B$106,10),"*"),Input!$D$2:$D$999,$C$106)*IND_Mult!AO106</f>
        <v>2.2999999999999998</v>
      </c>
      <c r="AO106" s="69">
        <f>SUMIFS(Input!AT$2:AT$999,Input!$C$2:$C$999,CONCATENATE(LEFT($B$106,10),"*"),Input!$D$2:$D$999,$C$106)*IND_Mult!AP106</f>
        <v>2.2999999999999998</v>
      </c>
      <c r="AP106" s="69">
        <f>SUMIFS(Input!AU$2:AU$999,Input!$C$2:$C$999,CONCATENATE(LEFT($B$106,10),"*"),Input!$D$2:$D$999,$C$106)*IND_Mult!AQ106</f>
        <v>2.2999999999999998</v>
      </c>
      <c r="AQ106" s="69">
        <f>SUMIFS(Input!AV$2:AV$999,Input!$C$2:$C$999,CONCATENATE(LEFT($B$106,10),"*"),Input!$D$2:$D$999,$C$106)*IND_Mult!AR106</f>
        <v>2.2999999999999998</v>
      </c>
    </row>
    <row r="107" spans="1:43" ht="12.75">
      <c r="A107" s="6"/>
      <c r="B107" s="17" t="s">
        <v>273</v>
      </c>
      <c r="C107" s="18" t="s">
        <v>155</v>
      </c>
      <c r="D107" s="26"/>
      <c r="E107" s="16" t="s">
        <v>104</v>
      </c>
      <c r="F107" s="31"/>
      <c r="G107" s="72">
        <f>SUMIFS(Output!L$2:L$999,Output!$C$2:$C$999,CONCATENATE(LEFT($B$107,10),"*"),Output!$D$2:$D$999,$C$107)*IND_Mult!H206</f>
        <v>4.7000000000000002</v>
      </c>
      <c r="H107" s="72">
        <f>SUMIFS(Output!M$2:M$999,Output!$C$2:$C$999,CONCATENATE(LEFT($B$107,10),"*"),Output!$D$2:$D$999,$C$107)*IND_Mult!I206</f>
        <v>4.7000000000000002</v>
      </c>
      <c r="I107" s="72">
        <f>SUMIFS(Output!N$2:N$999,Output!$C$2:$C$999,CONCATENATE(LEFT($B$107,10),"*"),Output!$D$2:$D$999,$C$107)*IND_Mult!J206</f>
        <v>4.7000000000000002</v>
      </c>
      <c r="J107" s="72">
        <f>SUMIFS(Output!O$2:O$999,Output!$C$2:$C$999,CONCATENATE(LEFT($B$107,10),"*"),Output!$D$2:$D$999,$C$107)*IND_Mult!K206</f>
        <v>4.7000000000000002</v>
      </c>
      <c r="K107" s="72">
        <f>SUMIFS(Output!P$2:P$999,Output!$C$2:$C$999,CONCATENATE(LEFT($B$107,10),"*"),Output!$D$2:$D$999,$C$107)*IND_Mult!L206</f>
        <v>2.3500000000000001</v>
      </c>
      <c r="L107" s="72">
        <f>SUMIFS(Output!Q$2:Q$999,Output!$C$2:$C$999,CONCATENATE(LEFT($B$107,10),"*"),Output!$D$2:$D$999,$C$107)*IND_Mult!M206</f>
        <v>4.7000000000000002</v>
      </c>
      <c r="M107" s="72">
        <f>SUMIFS(Output!R$2:R$999,Output!$C$2:$C$999,CONCATENATE(LEFT($B$107,10),"*"),Output!$D$2:$D$999,$C$107)*IND_Mult!N206</f>
        <v>4.7000000000000002</v>
      </c>
      <c r="N107" s="72">
        <f>SUMIFS(Output!S$2:S$999,Output!$C$2:$C$999,CONCATENATE(LEFT($B$107,10),"*"),Output!$D$2:$D$999,$C$107)*IND_Mult!O206</f>
        <v>4.7000000000000002</v>
      </c>
      <c r="O107" s="72">
        <f>SUMIFS(Output!T$2:T$999,Output!$C$2:$C$999,CONCATENATE(LEFT($B$107,10),"*"),Output!$D$2:$D$999,$C$107)*IND_Mult!P206</f>
        <v>4.7000000000000002</v>
      </c>
      <c r="P107" s="72">
        <f>SUMIFS(Output!U$2:U$999,Output!$C$2:$C$999,CONCATENATE(LEFT($B$107,10),"*"),Output!$D$2:$D$999,$C$107)*IND_Mult!Q206</f>
        <v>4.7000000000000002</v>
      </c>
      <c r="Q107" s="72">
        <f>SUMIFS(Output!V$2:V$999,Output!$C$2:$C$999,CONCATENATE(LEFT($B$107,10),"*"),Output!$D$2:$D$999,$C$107)*IND_Mult!R206</f>
        <v>4.7000000000000002</v>
      </c>
      <c r="R107" s="72">
        <f>SUMIFS(Output!W$2:W$999,Output!$C$2:$C$999,CONCATENATE(LEFT($B$107,10),"*"),Output!$D$2:$D$999,$C$107)*IND_Mult!S206</f>
        <v>4.7000000000000002</v>
      </c>
      <c r="S107" s="72">
        <f>SUMIFS(Output!X$2:X$999,Output!$C$2:$C$999,CONCATENATE(LEFT($B$107,10),"*"),Output!$D$2:$D$999,$C$107)*IND_Mult!T206</f>
        <v>4.7000000000000002</v>
      </c>
      <c r="T107" s="72">
        <f>SUMIFS(Output!Y$2:Y$999,Output!$C$2:$C$999,CONCATENATE(LEFT($B$107,10),"*"),Output!$D$2:$D$999,$C$107)*IND_Mult!U206</f>
        <v>4.7000000000000002</v>
      </c>
      <c r="U107" s="72">
        <f>SUMIFS(Output!Z$2:Z$999,Output!$C$2:$C$999,CONCATENATE(LEFT($B$107,10),"*"),Output!$D$2:$D$999,$C$107)*IND_Mult!V206</f>
        <v>5.4050000000000002</v>
      </c>
      <c r="V107" s="72">
        <f>SUMIFS(Output!AA$2:AA$999,Output!$C$2:$C$999,CONCATENATE(LEFT($B$107,10),"*"),Output!$D$2:$D$999,$C$107)*IND_Mult!W206</f>
        <v>4.7000000000000002</v>
      </c>
      <c r="W107" s="72">
        <f>SUMIFS(Output!AB$2:AB$999,Output!$C$2:$C$999,CONCATENATE(LEFT($B$107,10),"*"),Output!$D$2:$D$999,$C$107)*IND_Mult!X206</f>
        <v>4.7000000000000002</v>
      </c>
      <c r="X107" s="72">
        <f>SUMIFS(Output!AC$2:AC$999,Output!$C$2:$C$999,CONCATENATE(LEFT($B$107,10),"*"),Output!$D$2:$D$999,$C$107)*IND_Mult!Y206</f>
        <v>4.7000000000000002</v>
      </c>
      <c r="Y107" s="72">
        <f>SUMIFS(Output!AD$2:AD$999,Output!$C$2:$C$999,CONCATENATE(LEFT($B$107,10),"*"),Output!$D$2:$D$999,$C$107)*IND_Mult!Z206</f>
        <v>4.7000000000000002</v>
      </c>
      <c r="Z107" s="72">
        <f>SUMIFS(Output!AE$2:AE$999,Output!$C$2:$C$999,CONCATENATE(LEFT($B$107,10),"*"),Output!$D$2:$D$999,$C$107)*IND_Mult!AA206</f>
        <v>4.7000000000000002</v>
      </c>
      <c r="AA107" s="72">
        <f>SUMIFS(Output!AF$2:AF$999,Output!$C$2:$C$999,CONCATENATE(LEFT($B$107,10),"*"),Output!$D$2:$D$999,$C$107)*IND_Mult!AB206</f>
        <v>4.7000000000000002</v>
      </c>
      <c r="AB107" s="72">
        <f>SUMIFS(Output!AG$2:AG$999,Output!$C$2:$C$999,CONCATENATE(LEFT($B$107,10),"*"),Output!$D$2:$D$999,$C$107)*IND_Mult!AC206</f>
        <v>4.7000000000000002</v>
      </c>
      <c r="AC107" s="72">
        <f>SUMIFS(Output!AH$2:AH$999,Output!$C$2:$C$999,CONCATENATE(LEFT($B$107,10),"*"),Output!$D$2:$D$999,$C$107)*IND_Mult!AD206</f>
        <v>4.7000000000000002</v>
      </c>
      <c r="AD107" s="72">
        <f>SUMIFS(Output!AI$2:AI$999,Output!$C$2:$C$999,CONCATENATE(LEFT($B$107,10),"*"),Output!$D$2:$D$999,$C$107)*IND_Mult!AE206</f>
        <v>4.7000000000000002</v>
      </c>
      <c r="AE107" s="72">
        <f>SUMIFS(Output!AJ$2:AJ$999,Output!$C$2:$C$999,CONCATENATE(LEFT($B$107,10),"*"),Output!$D$2:$D$999,$C$107)*IND_Mult!AF206</f>
        <v>4.7000000000000002</v>
      </c>
      <c r="AF107" s="72">
        <f>SUMIFS(Output!AK$2:AK$999,Output!$C$2:$C$999,CONCATENATE(LEFT($B$107,10),"*"),Output!$D$2:$D$999,$C$107)*IND_Mult!AG206</f>
        <v>4.7000000000000002</v>
      </c>
      <c r="AG107" s="72">
        <f>SUMIFS(Output!AL$2:AL$999,Output!$C$2:$C$999,CONCATENATE(LEFT($B$107,10),"*"),Output!$D$2:$D$999,$C$107)*IND_Mult!AH206</f>
        <v>4.7000000000000002</v>
      </c>
      <c r="AH107" s="72">
        <f>SUMIFS(Output!AM$2:AM$999,Output!$C$2:$C$999,CONCATENATE(LEFT($B$107,10),"*"),Output!$D$2:$D$999,$C$107)*IND_Mult!AI206</f>
        <v>4.7000000000000002</v>
      </c>
      <c r="AI107" s="72">
        <f>SUMIFS(Output!AN$2:AN$999,Output!$C$2:$C$999,CONCATENATE(LEFT($B$107,10),"*"),Output!$D$2:$D$999,$C$107)*IND_Mult!AJ206</f>
        <v>4.7000000000000002</v>
      </c>
      <c r="AJ107" s="72">
        <f>SUMIFS(Output!AO$2:AO$999,Output!$C$2:$C$999,CONCATENATE(LEFT($B$107,10),"*"),Output!$D$2:$D$999,$C$107)*IND_Mult!AK206</f>
        <v>4.7000000000000002</v>
      </c>
      <c r="AK107" s="72">
        <f>SUMIFS(Output!AP$2:AP$999,Output!$C$2:$C$999,CONCATENATE(LEFT($B$107,10),"*"),Output!$D$2:$D$999,$C$107)*IND_Mult!AL206</f>
        <v>4.7000000000000002</v>
      </c>
      <c r="AL107" s="72">
        <f>SUMIFS(Output!AQ$2:AQ$999,Output!$C$2:$C$999,CONCATENATE(LEFT($B$107,10),"*"),Output!$D$2:$D$999,$C$107)*IND_Mult!AM206</f>
        <v>4.7000000000000002</v>
      </c>
      <c r="AM107" s="72">
        <f>SUMIFS(Output!AR$2:AR$999,Output!$C$2:$C$999,CONCATENATE(LEFT($B$107,10),"*"),Output!$D$2:$D$999,$C$107)*IND_Mult!AN206</f>
        <v>4.7000000000000002</v>
      </c>
      <c r="AN107" s="72">
        <f>SUMIFS(Output!AS$2:AS$999,Output!$C$2:$C$999,CONCATENATE(LEFT($B$107,10),"*"),Output!$D$2:$D$999,$C$107)*IND_Mult!AO206</f>
        <v>4.7000000000000002</v>
      </c>
      <c r="AO107" s="72">
        <f>SUMIFS(Output!AT$2:AT$999,Output!$C$2:$C$999,CONCATENATE(LEFT($B$107,10),"*"),Output!$D$2:$D$999,$C$107)*IND_Mult!AP206</f>
        <v>4.7000000000000002</v>
      </c>
      <c r="AP107" s="72">
        <f>SUMIFS(Output!AU$2:AU$999,Output!$C$2:$C$999,CONCATENATE(LEFT($B$107,10),"*"),Output!$D$2:$D$999,$C$107)*IND_Mult!AQ206</f>
        <v>4.7000000000000002</v>
      </c>
      <c r="AQ107" s="72">
        <f>SUMIFS(Output!AV$2:AV$999,Output!$C$2:$C$999,CONCATENATE(LEFT($B$107,10),"*"),Output!$D$2:$D$999,$C$107)*IND_Mult!AR206</f>
        <v>4.7000000000000002</v>
      </c>
    </row>
    <row r="108" spans="1:43" ht="12.75">
      <c r="A108" s="6"/>
      <c r="B108" s="17" t="s">
        <v>273</v>
      </c>
      <c r="C108" s="18" t="s">
        <v>163</v>
      </c>
      <c r="D108" s="26"/>
      <c r="E108" s="16" t="s">
        <v>104</v>
      </c>
      <c r="F108" s="31"/>
      <c r="G108" s="72">
        <f>SUMIFS(Output!L$2:L$999,Output!$C$2:$C$999,CONCATENATE(LEFT($B$108,10),"*"),Output!$D$2:$D$999,$C$108)*IND_Mult!H207</f>
        <v>18</v>
      </c>
      <c r="H108" s="72">
        <f>SUMIFS(Output!M$2:M$999,Output!$C$2:$C$999,CONCATENATE(LEFT($B$108,10),"*"),Output!$D$2:$D$999,$C$108)*IND_Mult!I207</f>
        <v>18</v>
      </c>
      <c r="I108" s="72">
        <f>SUMIFS(Output!N$2:N$999,Output!$C$2:$C$999,CONCATENATE(LEFT($B$108,10),"*"),Output!$D$2:$D$999,$C$108)*IND_Mult!J207</f>
        <v>9</v>
      </c>
      <c r="J108" s="72">
        <f>SUMIFS(Output!O$2:O$999,Output!$C$2:$C$999,CONCATENATE(LEFT($B$108,10),"*"),Output!$D$2:$D$999,$C$108)*IND_Mult!K207</f>
        <v>18</v>
      </c>
      <c r="K108" s="72">
        <f>SUMIFS(Output!P$2:P$999,Output!$C$2:$C$999,CONCATENATE(LEFT($B$108,10),"*"),Output!$D$2:$D$999,$C$108)*IND_Mult!L207</f>
        <v>9</v>
      </c>
      <c r="L108" s="72">
        <f>SUMIFS(Output!Q$2:Q$999,Output!$C$2:$C$999,CONCATENATE(LEFT($B$108,10),"*"),Output!$D$2:$D$999,$C$108)*IND_Mult!M207</f>
        <v>18</v>
      </c>
      <c r="M108" s="72">
        <f>SUMIFS(Output!R$2:R$999,Output!$C$2:$C$999,CONCATENATE(LEFT($B$108,10),"*"),Output!$D$2:$D$999,$C$108)*IND_Mult!N207</f>
        <v>18</v>
      </c>
      <c r="N108" s="72">
        <f>SUMIFS(Output!S$2:S$999,Output!$C$2:$C$999,CONCATENATE(LEFT($B$108,10),"*"),Output!$D$2:$D$999,$C$108)*IND_Mult!O207</f>
        <v>18</v>
      </c>
      <c r="O108" s="72">
        <f>SUMIFS(Output!T$2:T$999,Output!$C$2:$C$999,CONCATENATE(LEFT($B$108,10),"*"),Output!$D$2:$D$999,$C$108)*IND_Mult!P207</f>
        <v>18</v>
      </c>
      <c r="P108" s="72">
        <f>SUMIFS(Output!U$2:U$999,Output!$C$2:$C$999,CONCATENATE(LEFT($B$108,10),"*"),Output!$D$2:$D$999,$C$108)*IND_Mult!Q207</f>
        <v>18</v>
      </c>
      <c r="Q108" s="72">
        <f>SUMIFS(Output!V$2:V$999,Output!$C$2:$C$999,CONCATENATE(LEFT($B$108,10),"*"),Output!$D$2:$D$999,$C$108)*IND_Mult!R207</f>
        <v>18</v>
      </c>
      <c r="R108" s="72">
        <f>SUMIFS(Output!W$2:W$999,Output!$C$2:$C$999,CONCATENATE(LEFT($B$108,10),"*"),Output!$D$2:$D$999,$C$108)*IND_Mult!S207</f>
        <v>18</v>
      </c>
      <c r="S108" s="72">
        <f>SUMIFS(Output!X$2:X$999,Output!$C$2:$C$999,CONCATENATE(LEFT($B$108,10),"*"),Output!$D$2:$D$999,$C$108)*IND_Mult!T207</f>
        <v>18</v>
      </c>
      <c r="T108" s="72">
        <f>SUMIFS(Output!Y$2:Y$999,Output!$C$2:$C$999,CONCATENATE(LEFT($B$108,10),"*"),Output!$D$2:$D$999,$C$108)*IND_Mult!U207</f>
        <v>18</v>
      </c>
      <c r="U108" s="72">
        <f>SUMIFS(Output!Z$2:Z$999,Output!$C$2:$C$999,CONCATENATE(LEFT($B$108,10),"*"),Output!$D$2:$D$999,$C$108)*IND_Mult!V207</f>
        <v>20.699999999999999</v>
      </c>
      <c r="V108" s="72">
        <f>SUMIFS(Output!AA$2:AA$999,Output!$C$2:$C$999,CONCATENATE(LEFT($B$108,10),"*"),Output!$D$2:$D$999,$C$108)*IND_Mult!W207</f>
        <v>18</v>
      </c>
      <c r="W108" s="72">
        <f>SUMIFS(Output!AB$2:AB$999,Output!$C$2:$C$999,CONCATENATE(LEFT($B$108,10),"*"),Output!$D$2:$D$999,$C$108)*IND_Mult!X207</f>
        <v>18</v>
      </c>
      <c r="X108" s="72">
        <f>SUMIFS(Output!AC$2:AC$999,Output!$C$2:$C$999,CONCATENATE(LEFT($B$108,10),"*"),Output!$D$2:$D$999,$C$108)*IND_Mult!Y207</f>
        <v>18</v>
      </c>
      <c r="Y108" s="72">
        <f>SUMIFS(Output!AD$2:AD$999,Output!$C$2:$C$999,CONCATENATE(LEFT($B$108,10),"*"),Output!$D$2:$D$999,$C$108)*IND_Mult!Z207</f>
        <v>18</v>
      </c>
      <c r="Z108" s="72">
        <f>SUMIFS(Output!AE$2:AE$999,Output!$C$2:$C$999,CONCATENATE(LEFT($B$108,10),"*"),Output!$D$2:$D$999,$C$108)*IND_Mult!AA207</f>
        <v>18</v>
      </c>
      <c r="AA108" s="72">
        <f>SUMIFS(Output!AF$2:AF$999,Output!$C$2:$C$999,CONCATENATE(LEFT($B$108,10),"*"),Output!$D$2:$D$999,$C$108)*IND_Mult!AB207</f>
        <v>18</v>
      </c>
      <c r="AB108" s="72">
        <f>SUMIFS(Output!AG$2:AG$999,Output!$C$2:$C$999,CONCATENATE(LEFT($B$108,10),"*"),Output!$D$2:$D$999,$C$108)*IND_Mult!AC207</f>
        <v>18</v>
      </c>
      <c r="AC108" s="72">
        <f>SUMIFS(Output!AH$2:AH$999,Output!$C$2:$C$999,CONCATENATE(LEFT($B$108,10),"*"),Output!$D$2:$D$999,$C$108)*IND_Mult!AD207</f>
        <v>18</v>
      </c>
      <c r="AD108" s="72">
        <f>SUMIFS(Output!AI$2:AI$999,Output!$C$2:$C$999,CONCATENATE(LEFT($B$108,10),"*"),Output!$D$2:$D$999,$C$108)*IND_Mult!AE207</f>
        <v>18</v>
      </c>
      <c r="AE108" s="72">
        <f>SUMIFS(Output!AJ$2:AJ$999,Output!$C$2:$C$999,CONCATENATE(LEFT($B$108,10),"*"),Output!$D$2:$D$999,$C$108)*IND_Mult!AF207</f>
        <v>18</v>
      </c>
      <c r="AF108" s="72">
        <f>SUMIFS(Output!AK$2:AK$999,Output!$C$2:$C$999,CONCATENATE(LEFT($B$108,10),"*"),Output!$D$2:$D$999,$C$108)*IND_Mult!AG207</f>
        <v>18</v>
      </c>
      <c r="AG108" s="72">
        <f>SUMIFS(Output!AL$2:AL$999,Output!$C$2:$C$999,CONCATENATE(LEFT($B$108,10),"*"),Output!$D$2:$D$999,$C$108)*IND_Mult!AH207</f>
        <v>18</v>
      </c>
      <c r="AH108" s="72">
        <f>SUMIFS(Output!AM$2:AM$999,Output!$C$2:$C$999,CONCATENATE(LEFT($B$108,10),"*"),Output!$D$2:$D$999,$C$108)*IND_Mult!AI207</f>
        <v>18</v>
      </c>
      <c r="AI108" s="72">
        <f>SUMIFS(Output!AN$2:AN$999,Output!$C$2:$C$999,CONCATENATE(LEFT($B$108,10),"*"),Output!$D$2:$D$999,$C$108)*IND_Mult!AJ207</f>
        <v>18</v>
      </c>
      <c r="AJ108" s="72">
        <f>SUMIFS(Output!AO$2:AO$999,Output!$C$2:$C$999,CONCATENATE(LEFT($B$108,10),"*"),Output!$D$2:$D$999,$C$108)*IND_Mult!AK207</f>
        <v>18</v>
      </c>
      <c r="AK108" s="72">
        <f>SUMIFS(Output!AP$2:AP$999,Output!$C$2:$C$999,CONCATENATE(LEFT($B$108,10),"*"),Output!$D$2:$D$999,$C$108)*IND_Mult!AL207</f>
        <v>18</v>
      </c>
      <c r="AL108" s="72">
        <f>SUMIFS(Output!AQ$2:AQ$999,Output!$C$2:$C$999,CONCATENATE(LEFT($B$108,10),"*"),Output!$D$2:$D$999,$C$108)*IND_Mult!AM207</f>
        <v>18</v>
      </c>
      <c r="AM108" s="72">
        <f>SUMIFS(Output!AR$2:AR$999,Output!$C$2:$C$999,CONCATENATE(LEFT($B$108,10),"*"),Output!$D$2:$D$999,$C$108)*IND_Mult!AN207</f>
        <v>18</v>
      </c>
      <c r="AN108" s="72">
        <f>SUMIFS(Output!AS$2:AS$999,Output!$C$2:$C$999,CONCATENATE(LEFT($B$108,10),"*"),Output!$D$2:$D$999,$C$108)*IND_Mult!AO207</f>
        <v>18</v>
      </c>
      <c r="AO108" s="72">
        <f>SUMIFS(Output!AT$2:AT$999,Output!$C$2:$C$999,CONCATENATE(LEFT($B$108,10),"*"),Output!$D$2:$D$999,$C$108)*IND_Mult!AP207</f>
        <v>18</v>
      </c>
      <c r="AP108" s="72">
        <f>SUMIFS(Output!AU$2:AU$999,Output!$C$2:$C$999,CONCATENATE(LEFT($B$108,10),"*"),Output!$D$2:$D$999,$C$108)*IND_Mult!AQ207</f>
        <v>18</v>
      </c>
      <c r="AQ108" s="72">
        <f>SUMIFS(Output!AV$2:AV$999,Output!$C$2:$C$999,CONCATENATE(LEFT($B$108,10),"*"),Output!$D$2:$D$999,$C$108)*IND_Mult!AR207</f>
        <v>18</v>
      </c>
    </row>
    <row r="109" spans="1:43" ht="12.75">
      <c r="A109" s="6"/>
      <c r="B109" s="17" t="s">
        <v>273</v>
      </c>
      <c r="C109" s="18" t="s">
        <v>101</v>
      </c>
      <c r="D109" s="26"/>
      <c r="E109" s="16" t="s">
        <v>104</v>
      </c>
      <c r="F109" s="31"/>
      <c r="G109" s="72">
        <f>SUMIFS(Output!L$2:L$999,Output!$C$2:$C$999,CONCATENATE(LEFT($B$109,10),"*"),Output!$D$2:$D$999,$C$109)*IND_Mult!H208</f>
        <v>1</v>
      </c>
      <c r="H109" s="72">
        <f>SUMIFS(Output!M$2:M$999,Output!$C$2:$C$999,CONCATENATE(LEFT($B$109,10),"*"),Output!$D$2:$D$999,$C$109)*IND_Mult!I208</f>
        <v>1</v>
      </c>
      <c r="I109" s="72">
        <f>SUMIFS(Output!N$2:N$999,Output!$C$2:$C$999,CONCATENATE(LEFT($B$109,10),"*"),Output!$D$2:$D$999,$C$109)*IND_Mult!J208</f>
        <v>1</v>
      </c>
      <c r="J109" s="72">
        <f>SUMIFS(Output!O$2:O$999,Output!$C$2:$C$999,CONCATENATE(LEFT($B$109,10),"*"),Output!$D$2:$D$999,$C$109)*IND_Mult!K208</f>
        <v>1</v>
      </c>
      <c r="K109" s="72">
        <f>SUMIFS(Output!P$2:P$999,Output!$C$2:$C$999,CONCATENATE(LEFT($B$109,10),"*"),Output!$D$2:$D$999,$C$109)*IND_Mult!L208</f>
        <v>1</v>
      </c>
      <c r="L109" s="72">
        <f>SUMIFS(Output!Q$2:Q$999,Output!$C$2:$C$999,CONCATENATE(LEFT($B$109,10),"*"),Output!$D$2:$D$999,$C$109)*IND_Mult!M208</f>
        <v>1</v>
      </c>
      <c r="M109" s="72">
        <f>SUMIFS(Output!R$2:R$999,Output!$C$2:$C$999,CONCATENATE(LEFT($B$109,10),"*"),Output!$D$2:$D$999,$C$109)*IND_Mult!N208</f>
        <v>1</v>
      </c>
      <c r="N109" s="72">
        <f>SUMIFS(Output!S$2:S$999,Output!$C$2:$C$999,CONCATENATE(LEFT($B$109,10),"*"),Output!$D$2:$D$999,$C$109)*IND_Mult!O208</f>
        <v>1</v>
      </c>
      <c r="O109" s="72">
        <f>SUMIFS(Output!T$2:T$999,Output!$C$2:$C$999,CONCATENATE(LEFT($B$109,10),"*"),Output!$D$2:$D$999,$C$109)*IND_Mult!P208</f>
        <v>1</v>
      </c>
      <c r="P109" s="72">
        <f>SUMIFS(Output!U$2:U$999,Output!$C$2:$C$999,CONCATENATE(LEFT($B$109,10),"*"),Output!$D$2:$D$999,$C$109)*IND_Mult!Q208</f>
        <v>1</v>
      </c>
      <c r="Q109" s="72">
        <f>SUMIFS(Output!V$2:V$999,Output!$C$2:$C$999,CONCATENATE(LEFT($B$109,10),"*"),Output!$D$2:$D$999,$C$109)*IND_Mult!R208</f>
        <v>1</v>
      </c>
      <c r="R109" s="72">
        <f>SUMIFS(Output!W$2:W$999,Output!$C$2:$C$999,CONCATENATE(LEFT($B$109,10),"*"),Output!$D$2:$D$999,$C$109)*IND_Mult!S208</f>
        <v>1</v>
      </c>
      <c r="S109" s="72">
        <f>SUMIFS(Output!X$2:X$999,Output!$C$2:$C$999,CONCATENATE(LEFT($B$109,10),"*"),Output!$D$2:$D$999,$C$109)*IND_Mult!T208</f>
        <v>1</v>
      </c>
      <c r="T109" s="72">
        <f>SUMIFS(Output!Y$2:Y$999,Output!$C$2:$C$999,CONCATENATE(LEFT($B$109,10),"*"),Output!$D$2:$D$999,$C$109)*IND_Mult!U208</f>
        <v>1</v>
      </c>
      <c r="U109" s="72">
        <f>SUMIFS(Output!Z$2:Z$999,Output!$C$2:$C$999,CONCATENATE(LEFT($B$109,10),"*"),Output!$D$2:$D$999,$C$109)*IND_Mult!V208</f>
        <v>1</v>
      </c>
      <c r="V109" s="72">
        <f>SUMIFS(Output!AA$2:AA$999,Output!$C$2:$C$999,CONCATENATE(LEFT($B$109,10),"*"),Output!$D$2:$D$999,$C$109)*IND_Mult!W208</f>
        <v>1</v>
      </c>
      <c r="W109" s="72">
        <f>SUMIFS(Output!AB$2:AB$999,Output!$C$2:$C$999,CONCATENATE(LEFT($B$109,10),"*"),Output!$D$2:$D$999,$C$109)*IND_Mult!X208</f>
        <v>1</v>
      </c>
      <c r="X109" s="72">
        <f>SUMIFS(Output!AC$2:AC$999,Output!$C$2:$C$999,CONCATENATE(LEFT($B$109,10),"*"),Output!$D$2:$D$999,$C$109)*IND_Mult!Y208</f>
        <v>1</v>
      </c>
      <c r="Y109" s="72">
        <f>SUMIFS(Output!AD$2:AD$999,Output!$C$2:$C$999,CONCATENATE(LEFT($B$109,10),"*"),Output!$D$2:$D$999,$C$109)*IND_Mult!Z208</f>
        <v>1</v>
      </c>
      <c r="Z109" s="72">
        <f>SUMIFS(Output!AE$2:AE$999,Output!$C$2:$C$999,CONCATENATE(LEFT($B$109,10),"*"),Output!$D$2:$D$999,$C$109)*IND_Mult!AA208</f>
        <v>1</v>
      </c>
      <c r="AA109" s="72">
        <f>SUMIFS(Output!AF$2:AF$999,Output!$C$2:$C$999,CONCATENATE(LEFT($B$109,10),"*"),Output!$D$2:$D$999,$C$109)*IND_Mult!AB208</f>
        <v>1</v>
      </c>
      <c r="AB109" s="72">
        <f>SUMIFS(Output!AG$2:AG$999,Output!$C$2:$C$999,CONCATENATE(LEFT($B$109,10),"*"),Output!$D$2:$D$999,$C$109)*IND_Mult!AC208</f>
        <v>1</v>
      </c>
      <c r="AC109" s="72">
        <f>SUMIFS(Output!AH$2:AH$999,Output!$C$2:$C$999,CONCATENATE(LEFT($B$109,10),"*"),Output!$D$2:$D$999,$C$109)*IND_Mult!AD208</f>
        <v>1</v>
      </c>
      <c r="AD109" s="72">
        <f>SUMIFS(Output!AI$2:AI$999,Output!$C$2:$C$999,CONCATENATE(LEFT($B$109,10),"*"),Output!$D$2:$D$999,$C$109)*IND_Mult!AE208</f>
        <v>1</v>
      </c>
      <c r="AE109" s="72">
        <f>SUMIFS(Output!AJ$2:AJ$999,Output!$C$2:$C$999,CONCATENATE(LEFT($B$109,10),"*"),Output!$D$2:$D$999,$C$109)*IND_Mult!AF208</f>
        <v>1</v>
      </c>
      <c r="AF109" s="72">
        <f>SUMIFS(Output!AK$2:AK$999,Output!$C$2:$C$999,CONCATENATE(LEFT($B$109,10),"*"),Output!$D$2:$D$999,$C$109)*IND_Mult!AG208</f>
        <v>1</v>
      </c>
      <c r="AG109" s="72">
        <f>SUMIFS(Output!AL$2:AL$999,Output!$C$2:$C$999,CONCATENATE(LEFT($B$109,10),"*"),Output!$D$2:$D$999,$C$109)*IND_Mult!AH208</f>
        <v>1</v>
      </c>
      <c r="AH109" s="72">
        <f>SUMIFS(Output!AM$2:AM$999,Output!$C$2:$C$999,CONCATENATE(LEFT($B$109,10),"*"),Output!$D$2:$D$999,$C$109)*IND_Mult!AI208</f>
        <v>1</v>
      </c>
      <c r="AI109" s="72">
        <f>SUMIFS(Output!AN$2:AN$999,Output!$C$2:$C$999,CONCATENATE(LEFT($B$109,10),"*"),Output!$D$2:$D$999,$C$109)*IND_Mult!AJ208</f>
        <v>1</v>
      </c>
      <c r="AJ109" s="72">
        <f>SUMIFS(Output!AO$2:AO$999,Output!$C$2:$C$999,CONCATENATE(LEFT($B$109,10),"*"),Output!$D$2:$D$999,$C$109)*IND_Mult!AK208</f>
        <v>1</v>
      </c>
      <c r="AK109" s="72">
        <f>SUMIFS(Output!AP$2:AP$999,Output!$C$2:$C$999,CONCATENATE(LEFT($B$109,10),"*"),Output!$D$2:$D$999,$C$109)*IND_Mult!AL208</f>
        <v>1</v>
      </c>
      <c r="AL109" s="72">
        <f>SUMIFS(Output!AQ$2:AQ$999,Output!$C$2:$C$999,CONCATENATE(LEFT($B$109,10),"*"),Output!$D$2:$D$999,$C$109)*IND_Mult!AM208</f>
        <v>1</v>
      </c>
      <c r="AM109" s="72">
        <f>SUMIFS(Output!AR$2:AR$999,Output!$C$2:$C$999,CONCATENATE(LEFT($B$109,10),"*"),Output!$D$2:$D$999,$C$109)*IND_Mult!AN208</f>
        <v>1</v>
      </c>
      <c r="AN109" s="72">
        <f>SUMIFS(Output!AS$2:AS$999,Output!$C$2:$C$999,CONCATENATE(LEFT($B$109,10),"*"),Output!$D$2:$D$999,$C$109)*IND_Mult!AO208</f>
        <v>1</v>
      </c>
      <c r="AO109" s="72">
        <f>SUMIFS(Output!AT$2:AT$999,Output!$C$2:$C$999,CONCATENATE(LEFT($B$109,10),"*"),Output!$D$2:$D$999,$C$109)*IND_Mult!AP208</f>
        <v>1</v>
      </c>
      <c r="AP109" s="72">
        <f>SUMIFS(Output!AU$2:AU$999,Output!$C$2:$C$999,CONCATENATE(LEFT($B$109,10),"*"),Output!$D$2:$D$999,$C$109)*IND_Mult!AQ208</f>
        <v>1</v>
      </c>
      <c r="AQ109" s="72">
        <f>SUMIFS(Output!AV$2:AV$999,Output!$C$2:$C$999,CONCATENATE(LEFT($B$109,10),"*"),Output!$D$2:$D$999,$C$109)*IND_Mult!AR208</f>
        <v>1</v>
      </c>
    </row>
    <row r="110" spans="1:43" ht="12.75">
      <c r="A110" s="6"/>
      <c r="B110" s="17" t="s">
        <v>274</v>
      </c>
      <c r="C110" s="18" t="s">
        <v>49</v>
      </c>
      <c r="D110" s="26"/>
      <c r="E110" s="16" t="s">
        <v>283</v>
      </c>
      <c r="F110" s="31"/>
      <c r="G110" s="69">
        <f>SUMIFS(Input!L$2:L$999,Input!$C$2:$C$999,CONCATENATE(LEFT($B$110,10),"*"),Input!$D$2:$D$999,$C$110)*IND_Mult!H110</f>
        <v>0</v>
      </c>
      <c r="H110" s="69">
        <f>SUMIFS(Input!M$2:M$999,Input!$C$2:$C$999,CONCATENATE(LEFT($B$110,10),"*"),Input!$D$2:$D$999,$C$110)*IND_Mult!I110</f>
        <v>0</v>
      </c>
      <c r="I110" s="69">
        <f>SUMIFS(Input!N$2:N$999,Input!$C$2:$C$999,CONCATENATE(LEFT($B$110,10),"*"),Input!$D$2:$D$999,$C$110)*IND_Mult!J110</f>
        <v>0</v>
      </c>
      <c r="J110" s="69">
        <f>SUMIFS(Input!O$2:O$999,Input!$C$2:$C$999,CONCATENATE(LEFT($B$110,10),"*"),Input!$D$2:$D$999,$C$110)*IND_Mult!K110</f>
        <v>0</v>
      </c>
      <c r="K110" s="69">
        <f>SUMIFS(Input!P$2:P$999,Input!$C$2:$C$999,CONCATENATE(LEFT($B$110,10),"*"),Input!$D$2:$D$999,$C$110)*IND_Mult!L110</f>
        <v>0</v>
      </c>
      <c r="L110" s="69">
        <f>SUMIFS(Input!Q$2:Q$999,Input!$C$2:$C$999,CONCATENATE(LEFT($B$110,10),"*"),Input!$D$2:$D$999,$C$110)*IND_Mult!M110</f>
        <v>0</v>
      </c>
      <c r="M110" s="69">
        <f>SUMIFS(Input!R$2:R$999,Input!$C$2:$C$999,CONCATENATE(LEFT($B$110,10),"*"),Input!$D$2:$D$999,$C$110)*IND_Mult!N110</f>
        <v>0</v>
      </c>
      <c r="N110" s="69">
        <f>SUMIFS(Input!S$2:S$999,Input!$C$2:$C$999,CONCATENATE(LEFT($B$110,10),"*"),Input!$D$2:$D$999,$C$110)*IND_Mult!O110</f>
        <v>0</v>
      </c>
      <c r="O110" s="69">
        <f>SUMIFS(Input!T$2:T$999,Input!$C$2:$C$999,CONCATENATE(LEFT($B$110,10),"*"),Input!$D$2:$D$999,$C$110)*IND_Mult!P110</f>
        <v>0</v>
      </c>
      <c r="P110" s="69">
        <f>SUMIFS(Input!U$2:U$999,Input!$C$2:$C$999,CONCATENATE(LEFT($B$110,10),"*"),Input!$D$2:$D$999,$C$110)*IND_Mult!Q110</f>
        <v>0</v>
      </c>
      <c r="Q110" s="69">
        <f>SUMIFS(Input!V$2:V$999,Input!$C$2:$C$999,CONCATENATE(LEFT($B$110,10),"*"),Input!$D$2:$D$999,$C$110)*IND_Mult!R110</f>
        <v>0</v>
      </c>
      <c r="R110" s="69">
        <f>SUMIFS(Input!W$2:W$999,Input!$C$2:$C$999,CONCATENATE(LEFT($B$110,10),"*"),Input!$D$2:$D$999,$C$110)*IND_Mult!S110</f>
        <v>0</v>
      </c>
      <c r="S110" s="69">
        <f>SUMIFS(Input!X$2:X$999,Input!$C$2:$C$999,CONCATENATE(LEFT($B$110,10),"*"),Input!$D$2:$D$999,$C$110)*IND_Mult!T110</f>
        <v>0</v>
      </c>
      <c r="T110" s="69">
        <f>SUMIFS(Input!Y$2:Y$999,Input!$C$2:$C$999,CONCATENATE(LEFT($B$110,10),"*"),Input!$D$2:$D$999,$C$110)*IND_Mult!U110</f>
        <v>0</v>
      </c>
      <c r="U110" s="69">
        <f>SUMIFS(Input!Z$2:Z$999,Input!$C$2:$C$999,CONCATENATE(LEFT($B$110,10),"*"),Input!$D$2:$D$999,$C$110)*IND_Mult!V110</f>
        <v>0</v>
      </c>
      <c r="V110" s="69">
        <f>SUMIFS(Input!AA$2:AA$999,Input!$C$2:$C$999,CONCATENATE(LEFT($B$110,10),"*"),Input!$D$2:$D$999,$C$110)*IND_Mult!W110</f>
        <v>0</v>
      </c>
      <c r="W110" s="69">
        <f>SUMIFS(Input!AB$2:AB$999,Input!$C$2:$C$999,CONCATENATE(LEFT($B$110,10),"*"),Input!$D$2:$D$999,$C$110)*IND_Mult!X110</f>
        <v>0</v>
      </c>
      <c r="X110" s="69">
        <f>SUMIFS(Input!AC$2:AC$999,Input!$C$2:$C$999,CONCATENATE(LEFT($B$110,10),"*"),Input!$D$2:$D$999,$C$110)*IND_Mult!Y110</f>
        <v>0</v>
      </c>
      <c r="Y110" s="69">
        <f>SUMIFS(Input!AD$2:AD$999,Input!$C$2:$C$999,CONCATENATE(LEFT($B$110,10),"*"),Input!$D$2:$D$999,$C$110)*IND_Mult!Z110</f>
        <v>0</v>
      </c>
      <c r="Z110" s="69">
        <f>SUMIFS(Input!AE$2:AE$999,Input!$C$2:$C$999,CONCATENATE(LEFT($B$110,10),"*"),Input!$D$2:$D$999,$C$110)*IND_Mult!AA110</f>
        <v>0</v>
      </c>
      <c r="AA110" s="69">
        <f>SUMIFS(Input!AF$2:AF$999,Input!$C$2:$C$999,CONCATENATE(LEFT($B$110,10),"*"),Input!$D$2:$D$999,$C$110)*IND_Mult!AB110</f>
        <v>0</v>
      </c>
      <c r="AB110" s="69">
        <f>SUMIFS(Input!AG$2:AG$999,Input!$C$2:$C$999,CONCATENATE(LEFT($B$110,10),"*"),Input!$D$2:$D$999,$C$110)*IND_Mult!AC110</f>
        <v>0</v>
      </c>
      <c r="AC110" s="69">
        <f>SUMIFS(Input!AH$2:AH$999,Input!$C$2:$C$999,CONCATENATE(LEFT($B$110,10),"*"),Input!$D$2:$D$999,$C$110)*IND_Mult!AD110</f>
        <v>0</v>
      </c>
      <c r="AD110" s="69">
        <f>SUMIFS(Input!AI$2:AI$999,Input!$C$2:$C$999,CONCATENATE(LEFT($B$110,10),"*"),Input!$D$2:$D$999,$C$110)*IND_Mult!AE110</f>
        <v>0</v>
      </c>
      <c r="AE110" s="69">
        <f>SUMIFS(Input!AJ$2:AJ$999,Input!$C$2:$C$999,CONCATENATE(LEFT($B$110,10),"*"),Input!$D$2:$D$999,$C$110)*IND_Mult!AF110</f>
        <v>0</v>
      </c>
      <c r="AF110" s="69">
        <f>SUMIFS(Input!AK$2:AK$999,Input!$C$2:$C$999,CONCATENATE(LEFT($B$110,10),"*"),Input!$D$2:$D$999,$C$110)*IND_Mult!AG110</f>
        <v>0</v>
      </c>
      <c r="AG110" s="69">
        <f>SUMIFS(Input!AL$2:AL$999,Input!$C$2:$C$999,CONCATENATE(LEFT($B$110,10),"*"),Input!$D$2:$D$999,$C$110)*IND_Mult!AH110</f>
        <v>0</v>
      </c>
      <c r="AH110" s="69">
        <f>SUMIFS(Input!AM$2:AM$999,Input!$C$2:$C$999,CONCATENATE(LEFT($B$110,10),"*"),Input!$D$2:$D$999,$C$110)*IND_Mult!AI110</f>
        <v>0</v>
      </c>
      <c r="AI110" s="69">
        <f>SUMIFS(Input!AN$2:AN$999,Input!$C$2:$C$999,CONCATENATE(LEFT($B$110,10),"*"),Input!$D$2:$D$999,$C$110)*IND_Mult!AJ110</f>
        <v>0</v>
      </c>
      <c r="AJ110" s="69">
        <f>SUMIFS(Input!AO$2:AO$999,Input!$C$2:$C$999,CONCATENATE(LEFT($B$110,10),"*"),Input!$D$2:$D$999,$C$110)*IND_Mult!AK110</f>
        <v>0</v>
      </c>
      <c r="AK110" s="69">
        <f>SUMIFS(Input!AP$2:AP$999,Input!$C$2:$C$999,CONCATENATE(LEFT($B$110,10),"*"),Input!$D$2:$D$999,$C$110)*IND_Mult!AL110</f>
        <v>0</v>
      </c>
      <c r="AL110" s="69">
        <f>SUMIFS(Input!AQ$2:AQ$999,Input!$C$2:$C$999,CONCATENATE(LEFT($B$110,10),"*"),Input!$D$2:$D$999,$C$110)*IND_Mult!AM110</f>
        <v>0</v>
      </c>
      <c r="AM110" s="69">
        <f>SUMIFS(Input!AR$2:AR$999,Input!$C$2:$C$999,CONCATENATE(LEFT($B$110,10),"*"),Input!$D$2:$D$999,$C$110)*IND_Mult!AN110</f>
        <v>0</v>
      </c>
      <c r="AN110" s="69">
        <f>SUMIFS(Input!AS$2:AS$999,Input!$C$2:$C$999,CONCATENATE(LEFT($B$110,10),"*"),Input!$D$2:$D$999,$C$110)*IND_Mult!AO110</f>
        <v>0</v>
      </c>
      <c r="AO110" s="69">
        <f>SUMIFS(Input!AT$2:AT$999,Input!$C$2:$C$999,CONCATENATE(LEFT($B$110,10),"*"),Input!$D$2:$D$999,$C$110)*IND_Mult!AP110</f>
        <v>0</v>
      </c>
      <c r="AP110" s="69">
        <f>SUMIFS(Input!AU$2:AU$999,Input!$C$2:$C$999,CONCATENATE(LEFT($B$110,10),"*"),Input!$D$2:$D$999,$C$110)*IND_Mult!AQ110</f>
        <v>0</v>
      </c>
      <c r="AQ110" s="69">
        <f>SUMIFS(Input!AV$2:AV$999,Input!$C$2:$C$999,CONCATENATE(LEFT($B$110,10),"*"),Input!$D$2:$D$999,$C$110)*IND_Mult!AR110</f>
        <v>0</v>
      </c>
    </row>
    <row r="111" spans="1:43" ht="12.75">
      <c r="A111" s="6"/>
      <c r="B111" s="17" t="s">
        <v>274</v>
      </c>
      <c r="C111" s="18" t="s">
        <v>37</v>
      </c>
      <c r="D111" s="26"/>
      <c r="E111" s="16" t="s">
        <v>103</v>
      </c>
      <c r="F111" s="31"/>
      <c r="G111" s="69">
        <f>SUMIFS(Input!L$2:L$999,Input!$C$2:$C$999,CONCATENATE(LEFT($B$111,10),"*"),Input!$D$2:$D$999,$C$111)*IND_Mult!H111</f>
        <v>8.0500000000000007</v>
      </c>
      <c r="H111" s="69">
        <f>SUMIFS(Input!M$2:M$999,Input!$C$2:$C$999,CONCATENATE(LEFT($B$111,10),"*"),Input!$D$2:$D$999,$C$111)*IND_Mult!I111</f>
        <v>7</v>
      </c>
      <c r="I111" s="69">
        <f>SUMIFS(Input!N$2:N$999,Input!$C$2:$C$999,CONCATENATE(LEFT($B$111,10),"*"),Input!$D$2:$D$999,$C$111)*IND_Mult!J111</f>
        <v>10.15</v>
      </c>
      <c r="J111" s="69">
        <f>SUMIFS(Input!O$2:O$999,Input!$C$2:$C$999,CONCATENATE(LEFT($B$111,10),"*"),Input!$D$2:$D$999,$C$111)*IND_Mult!K111</f>
        <v>7.4199999999999999</v>
      </c>
      <c r="K111" s="69">
        <f>SUMIFS(Input!P$2:P$999,Input!$C$2:$C$999,CONCATENATE(LEFT($B$111,10),"*"),Input!$D$2:$D$999,$C$111)*IND_Mult!L111</f>
        <v>8.4000000000000004</v>
      </c>
      <c r="L111" s="69">
        <f>SUMIFS(Input!Q$2:Q$999,Input!$C$2:$C$999,CONCATENATE(LEFT($B$111,10),"*"),Input!$D$2:$D$999,$C$111)*IND_Mult!M111</f>
        <v>8.4000000000000004</v>
      </c>
      <c r="M111" s="69">
        <f>SUMIFS(Input!R$2:R$999,Input!$C$2:$C$999,CONCATENATE(LEFT($B$111,10),"*"),Input!$D$2:$D$999,$C$111)*IND_Mult!N111</f>
        <v>7</v>
      </c>
      <c r="N111" s="69">
        <f>SUMIFS(Input!S$2:S$999,Input!$C$2:$C$999,CONCATENATE(LEFT($B$111,10),"*"),Input!$D$2:$D$999,$C$111)*IND_Mult!O111</f>
        <v>9.4499999999999993</v>
      </c>
      <c r="O111" s="69">
        <f>SUMIFS(Input!T$2:T$999,Input!$C$2:$C$999,CONCATENATE(LEFT($B$111,10),"*"),Input!$D$2:$D$999,$C$111)*IND_Mult!P111</f>
        <v>5.9500000000000002</v>
      </c>
      <c r="P111" s="69">
        <f>SUMIFS(Input!U$2:U$999,Input!$C$2:$C$999,CONCATENATE(LEFT($B$111,10),"*"),Input!$D$2:$D$999,$C$111)*IND_Mult!Q111</f>
        <v>7</v>
      </c>
      <c r="Q111" s="69">
        <f>SUMIFS(Input!V$2:V$999,Input!$C$2:$C$999,CONCATENATE(LEFT($B$111,10),"*"),Input!$D$2:$D$999,$C$111)*IND_Mult!R111</f>
        <v>10.395</v>
      </c>
      <c r="R111" s="69">
        <f>SUMIFS(Input!W$2:W$999,Input!$C$2:$C$999,CONCATENATE(LEFT($B$111,10),"*"),Input!$D$2:$D$999,$C$111)*IND_Mult!S111</f>
        <v>6.2999999999999998</v>
      </c>
      <c r="S111" s="69">
        <f>SUMIFS(Input!X$2:X$999,Input!$C$2:$C$999,CONCATENATE(LEFT($B$111,10),"*"),Input!$D$2:$D$999,$C$111)*IND_Mult!T111</f>
        <v>4.7249999999999996</v>
      </c>
      <c r="T111" s="69">
        <f>SUMIFS(Input!Y$2:Y$999,Input!$C$2:$C$999,CONCATENATE(LEFT($B$111,10),"*"),Input!$D$2:$D$999,$C$111)*IND_Mult!U111</f>
        <v>11.69</v>
      </c>
      <c r="U111" s="69">
        <f>SUMIFS(Input!Z$2:Z$999,Input!$C$2:$C$999,CONCATENATE(LEFT($B$111,10),"*"),Input!$D$2:$D$999,$C$111)*IND_Mult!V111</f>
        <v>7.2800000000000002</v>
      </c>
      <c r="V111" s="69">
        <f>SUMIFS(Input!AA$2:AA$999,Input!$C$2:$C$999,CONCATENATE(LEFT($B$111,10),"*"),Input!$D$2:$D$999,$C$111)*IND_Mult!W111</f>
        <v>6.9649999999999999</v>
      </c>
      <c r="W111" s="69">
        <f>SUMIFS(Input!AB$2:AB$999,Input!$C$2:$C$999,CONCATENATE(LEFT($B$111,10),"*"),Input!$D$2:$D$999,$C$111)*IND_Mult!X111</f>
        <v>7</v>
      </c>
      <c r="X111" s="69">
        <f>SUMIFS(Input!AC$2:AC$999,Input!$C$2:$C$999,CONCATENATE(LEFT($B$111,10),"*"),Input!$D$2:$D$999,$C$111)*IND_Mult!Y111</f>
        <v>7</v>
      </c>
      <c r="Y111" s="69">
        <f>SUMIFS(Input!AD$2:AD$999,Input!$C$2:$C$999,CONCATENATE(LEFT($B$111,10),"*"),Input!$D$2:$D$999,$C$111)*IND_Mult!Z111</f>
        <v>7</v>
      </c>
      <c r="Z111" s="69">
        <f>SUMIFS(Input!AE$2:AE$999,Input!$C$2:$C$999,CONCATENATE(LEFT($B$111,10),"*"),Input!$D$2:$D$999,$C$111)*IND_Mult!AA111</f>
        <v>6.8600000000000003</v>
      </c>
      <c r="AA111" s="69">
        <f>SUMIFS(Input!AF$2:AF$999,Input!$C$2:$C$999,CONCATENATE(LEFT($B$111,10),"*"),Input!$D$2:$D$999,$C$111)*IND_Mult!AB111</f>
        <v>7</v>
      </c>
      <c r="AB111" s="69">
        <f>SUMIFS(Input!AG$2:AG$999,Input!$C$2:$C$999,CONCATENATE(LEFT($B$111,10),"*"),Input!$D$2:$D$999,$C$111)*IND_Mult!AC111</f>
        <v>8.75</v>
      </c>
      <c r="AC111" s="69">
        <f>SUMIFS(Input!AH$2:AH$999,Input!$C$2:$C$999,CONCATENATE(LEFT($B$111,10),"*"),Input!$D$2:$D$999,$C$111)*IND_Mult!AD111</f>
        <v>9.3800000000000008</v>
      </c>
      <c r="AD111" s="69">
        <f>SUMIFS(Input!AI$2:AI$999,Input!$C$2:$C$999,CONCATENATE(LEFT($B$111,10),"*"),Input!$D$2:$D$999,$C$111)*IND_Mult!AE111</f>
        <v>5.4390000000000001</v>
      </c>
      <c r="AE111" s="69">
        <f>SUMIFS(Input!AJ$2:AJ$999,Input!$C$2:$C$999,CONCATENATE(LEFT($B$111,10),"*"),Input!$D$2:$D$999,$C$111)*IND_Mult!AF111</f>
        <v>7</v>
      </c>
      <c r="AF111" s="69">
        <f>SUMIFS(Input!AK$2:AK$999,Input!$C$2:$C$999,CONCATENATE(LEFT($B$111,10),"*"),Input!$D$2:$D$999,$C$111)*IND_Mult!AG111</f>
        <v>8.75</v>
      </c>
      <c r="AG111" s="69">
        <f>SUMIFS(Input!AL$2:AL$999,Input!$C$2:$C$999,CONCATENATE(LEFT($B$111,10),"*"),Input!$D$2:$D$999,$C$111)*IND_Mult!AH111</f>
        <v>7</v>
      </c>
      <c r="AH111" s="69">
        <f>SUMIFS(Input!AM$2:AM$999,Input!$C$2:$C$999,CONCATENATE(LEFT($B$111,10),"*"),Input!$D$2:$D$999,$C$111)*IND_Mult!AI111</f>
        <v>5.9500000000000002</v>
      </c>
      <c r="AI111" s="69">
        <f>SUMIFS(Input!AN$2:AN$999,Input!$C$2:$C$999,CONCATENATE(LEFT($B$111,10),"*"),Input!$D$2:$D$999,$C$111)*IND_Mult!AJ111</f>
        <v>8.2249999999999996</v>
      </c>
      <c r="AJ111" s="69">
        <f>SUMIFS(Input!AO$2:AO$999,Input!$C$2:$C$999,CONCATENATE(LEFT($B$111,10),"*"),Input!$D$2:$D$999,$C$111)*IND_Mult!AK111</f>
        <v>7.7000000000000002</v>
      </c>
      <c r="AK111" s="69">
        <f>SUMIFS(Input!AP$2:AP$999,Input!$C$2:$C$999,CONCATENATE(LEFT($B$111,10),"*"),Input!$D$2:$D$999,$C$111)*IND_Mult!AL111</f>
        <v>11.9</v>
      </c>
      <c r="AL111" s="69">
        <f>SUMIFS(Input!AQ$2:AQ$999,Input!$C$2:$C$999,CONCATENATE(LEFT($B$111,10),"*"),Input!$D$2:$D$999,$C$111)*IND_Mult!AM111</f>
        <v>7.7000000000000002</v>
      </c>
      <c r="AM111" s="69">
        <f>SUMIFS(Input!AR$2:AR$999,Input!$C$2:$C$999,CONCATENATE(LEFT($B$111,10),"*"),Input!$D$2:$D$999,$C$111)*IND_Mult!AN111</f>
        <v>7</v>
      </c>
      <c r="AN111" s="69">
        <f>SUMIFS(Input!AS$2:AS$999,Input!$C$2:$C$999,CONCATENATE(LEFT($B$111,10),"*"),Input!$D$2:$D$999,$C$111)*IND_Mult!AO111</f>
        <v>12.6</v>
      </c>
      <c r="AO111" s="69">
        <f>SUMIFS(Input!AT$2:AT$999,Input!$C$2:$C$999,CONCATENATE(LEFT($B$111,10),"*"),Input!$D$2:$D$999,$C$111)*IND_Mult!AP111</f>
        <v>6.7199999999999998</v>
      </c>
      <c r="AP111" s="69">
        <f>SUMIFS(Input!AU$2:AU$999,Input!$C$2:$C$999,CONCATENATE(LEFT($B$111,10),"*"),Input!$D$2:$D$999,$C$111)*IND_Mult!AQ111</f>
        <v>8.4000000000000004</v>
      </c>
      <c r="AQ111" s="69">
        <f>SUMIFS(Input!AV$2:AV$999,Input!$C$2:$C$999,CONCATENATE(LEFT($B$111,10),"*"),Input!$D$2:$D$999,$C$111)*IND_Mult!AR111</f>
        <v>9.8699999999999992</v>
      </c>
    </row>
    <row r="112" spans="1:43" ht="12.75">
      <c r="A112" s="6"/>
      <c r="B112" s="17" t="s">
        <v>274</v>
      </c>
      <c r="C112" s="18" t="s">
        <v>38</v>
      </c>
      <c r="D112" s="26"/>
      <c r="E112" s="16" t="s">
        <v>103</v>
      </c>
      <c r="F112" s="31"/>
      <c r="G112" s="69">
        <f>SUMIFS(Input!L$2:L$999,Input!$C$2:$C$999,CONCATENATE(LEFT($B$112,10),"*"),Input!$D$2:$D$999,$C$112)*IND_Mult!H112</f>
        <v>10.800000000000001</v>
      </c>
      <c r="H112" s="69">
        <f>SUMIFS(Input!M$2:M$999,Input!$C$2:$C$999,CONCATENATE(LEFT($B$112,10),"*"),Input!$D$2:$D$999,$C$112)*IND_Mult!I112</f>
        <v>10.800000000000001</v>
      </c>
      <c r="I112" s="69">
        <f>SUMIFS(Input!N$2:N$999,Input!$C$2:$C$999,CONCATENATE(LEFT($B$112,10),"*"),Input!$D$2:$D$999,$C$112)*IND_Mult!J112</f>
        <v>10.800000000000001</v>
      </c>
      <c r="J112" s="69">
        <f>SUMIFS(Input!O$2:O$999,Input!$C$2:$C$999,CONCATENATE(LEFT($B$112,10),"*"),Input!$D$2:$D$999,$C$112)*IND_Mult!K112</f>
        <v>10.151999999999999</v>
      </c>
      <c r="K112" s="69">
        <f>SUMIFS(Input!P$2:P$999,Input!$C$2:$C$999,CONCATENATE(LEFT($B$112,10),"*"),Input!$D$2:$D$999,$C$112)*IND_Mult!L112</f>
        <v>10.800000000000001</v>
      </c>
      <c r="L112" s="69">
        <f>SUMIFS(Input!Q$2:Q$999,Input!$C$2:$C$999,CONCATENATE(LEFT($B$112,10),"*"),Input!$D$2:$D$999,$C$112)*IND_Mult!M112</f>
        <v>10.800000000000001</v>
      </c>
      <c r="M112" s="69">
        <f>SUMIFS(Input!R$2:R$999,Input!$C$2:$C$999,CONCATENATE(LEFT($B$112,10),"*"),Input!$D$2:$D$999,$C$112)*IND_Mult!N112</f>
        <v>10.800000000000001</v>
      </c>
      <c r="N112" s="69">
        <f>SUMIFS(Input!S$2:S$999,Input!$C$2:$C$999,CONCATENATE(LEFT($B$112,10),"*"),Input!$D$2:$D$999,$C$112)*IND_Mult!O112</f>
        <v>10.800000000000001</v>
      </c>
      <c r="O112" s="69">
        <f>SUMIFS(Input!T$2:T$999,Input!$C$2:$C$999,CONCATENATE(LEFT($B$112,10),"*"),Input!$D$2:$D$999,$C$112)*IND_Mult!P112</f>
        <v>9.1799999999999997</v>
      </c>
      <c r="P112" s="69">
        <f>SUMIFS(Input!U$2:U$999,Input!$C$2:$C$999,CONCATENATE(LEFT($B$112,10),"*"),Input!$D$2:$D$999,$C$112)*IND_Mult!Q112</f>
        <v>10.800000000000001</v>
      </c>
      <c r="Q112" s="69">
        <f>SUMIFS(Input!V$2:V$999,Input!$C$2:$C$999,CONCATENATE(LEFT($B$112,10),"*"),Input!$D$2:$D$999,$C$112)*IND_Mult!R112</f>
        <v>9.6660000000000004</v>
      </c>
      <c r="R112" s="69">
        <f>SUMIFS(Input!W$2:W$999,Input!$C$2:$C$999,CONCATENATE(LEFT($B$112,10),"*"),Input!$D$2:$D$999,$C$112)*IND_Mult!S112</f>
        <v>10.800000000000001</v>
      </c>
      <c r="S112" s="69">
        <f>SUMIFS(Input!X$2:X$999,Input!$C$2:$C$999,CONCATENATE(LEFT($B$112,10),"*"),Input!$D$2:$D$999,$C$112)*IND_Mult!T112</f>
        <v>8.6400000000000006</v>
      </c>
      <c r="T112" s="69">
        <f>SUMIFS(Input!Y$2:Y$999,Input!$C$2:$C$999,CONCATENATE(LEFT($B$112,10),"*"),Input!$D$2:$D$999,$C$112)*IND_Mult!U112</f>
        <v>10.800000000000001</v>
      </c>
      <c r="U112" s="69">
        <f>SUMIFS(Input!Z$2:Z$999,Input!$C$2:$C$999,CONCATENATE(LEFT($B$112,10),"*"),Input!$D$2:$D$999,$C$112)*IND_Mult!V112</f>
        <v>10.800000000000001</v>
      </c>
      <c r="V112" s="69">
        <f>SUMIFS(Input!AA$2:AA$999,Input!$C$2:$C$999,CONCATENATE(LEFT($B$112,10),"*"),Input!$D$2:$D$999,$C$112)*IND_Mult!W112</f>
        <v>10.800000000000001</v>
      </c>
      <c r="W112" s="69">
        <f>SUMIFS(Input!AB$2:AB$999,Input!$C$2:$C$999,CONCATENATE(LEFT($B$112,10),"*"),Input!$D$2:$D$999,$C$112)*IND_Mult!X112</f>
        <v>10.800000000000001</v>
      </c>
      <c r="X112" s="69">
        <f>SUMIFS(Input!AC$2:AC$999,Input!$C$2:$C$999,CONCATENATE(LEFT($B$112,10),"*"),Input!$D$2:$D$999,$C$112)*IND_Mult!Y112</f>
        <v>10.800000000000001</v>
      </c>
      <c r="Y112" s="69">
        <f>SUMIFS(Input!AD$2:AD$999,Input!$C$2:$C$999,CONCATENATE(LEFT($B$112,10),"*"),Input!$D$2:$D$999,$C$112)*IND_Mult!Z112</f>
        <v>10.800000000000001</v>
      </c>
      <c r="Z112" s="69">
        <f>SUMIFS(Input!AE$2:AE$999,Input!$C$2:$C$999,CONCATENATE(LEFT($B$112,10),"*"),Input!$D$2:$D$999,$C$112)*IND_Mult!AA112</f>
        <v>10.800000000000001</v>
      </c>
      <c r="AA112" s="69">
        <f>SUMIFS(Input!AF$2:AF$999,Input!$C$2:$C$999,CONCATENATE(LEFT($B$112,10),"*"),Input!$D$2:$D$999,$C$112)*IND_Mult!AB112</f>
        <v>10.800000000000001</v>
      </c>
      <c r="AB112" s="69">
        <f>SUMIFS(Input!AG$2:AG$999,Input!$C$2:$C$999,CONCATENATE(LEFT($B$112,10),"*"),Input!$D$2:$D$999,$C$112)*IND_Mult!AC112</f>
        <v>10.800000000000001</v>
      </c>
      <c r="AC112" s="69">
        <f>SUMIFS(Input!AH$2:AH$999,Input!$C$2:$C$999,CONCATENATE(LEFT($B$112,10),"*"),Input!$D$2:$D$999,$C$112)*IND_Mult!AD112</f>
        <v>10.800000000000001</v>
      </c>
      <c r="AD112" s="69">
        <f>SUMIFS(Input!AI$2:AI$999,Input!$C$2:$C$999,CONCATENATE(LEFT($B$112,10),"*"),Input!$D$2:$D$999,$C$112)*IND_Mult!AE112</f>
        <v>10.800000000000001</v>
      </c>
      <c r="AE112" s="69">
        <f>SUMIFS(Input!AJ$2:AJ$999,Input!$C$2:$C$999,CONCATENATE(LEFT($B$112,10),"*"),Input!$D$2:$D$999,$C$112)*IND_Mult!AF112</f>
        <v>10.800000000000001</v>
      </c>
      <c r="AF112" s="69">
        <f>SUMIFS(Input!AK$2:AK$999,Input!$C$2:$C$999,CONCATENATE(LEFT($B$112,10),"*"),Input!$D$2:$D$999,$C$112)*IND_Mult!AG112</f>
        <v>10.800000000000001</v>
      </c>
      <c r="AG112" s="69">
        <f>SUMIFS(Input!AL$2:AL$999,Input!$C$2:$C$999,CONCATENATE(LEFT($B$112,10),"*"),Input!$D$2:$D$999,$C$112)*IND_Mult!AH112</f>
        <v>10.800000000000001</v>
      </c>
      <c r="AH112" s="69">
        <f>SUMIFS(Input!AM$2:AM$999,Input!$C$2:$C$999,CONCATENATE(LEFT($B$112,10),"*"),Input!$D$2:$D$999,$C$112)*IND_Mult!AI112</f>
        <v>10.800000000000001</v>
      </c>
      <c r="AI112" s="69">
        <f>SUMIFS(Input!AN$2:AN$999,Input!$C$2:$C$999,CONCATENATE(LEFT($B$112,10),"*"),Input!$D$2:$D$999,$C$112)*IND_Mult!AJ112</f>
        <v>10.800000000000001</v>
      </c>
      <c r="AJ112" s="69">
        <f>SUMIFS(Input!AO$2:AO$999,Input!$C$2:$C$999,CONCATENATE(LEFT($B$112,10),"*"),Input!$D$2:$D$999,$C$112)*IND_Mult!AK112</f>
        <v>10.800000000000001</v>
      </c>
      <c r="AK112" s="69">
        <f>SUMIFS(Input!AP$2:AP$999,Input!$C$2:$C$999,CONCATENATE(LEFT($B$112,10),"*"),Input!$D$2:$D$999,$C$112)*IND_Mult!AL112</f>
        <v>10.800000000000001</v>
      </c>
      <c r="AL112" s="69">
        <f>SUMIFS(Input!AQ$2:AQ$999,Input!$C$2:$C$999,CONCATENATE(LEFT($B$112,10),"*"),Input!$D$2:$D$999,$C$112)*IND_Mult!AM112</f>
        <v>10.800000000000001</v>
      </c>
      <c r="AM112" s="69">
        <f>SUMIFS(Input!AR$2:AR$999,Input!$C$2:$C$999,CONCATENATE(LEFT($B$112,10),"*"),Input!$D$2:$D$999,$C$112)*IND_Mult!AN112</f>
        <v>10.800000000000001</v>
      </c>
      <c r="AN112" s="69">
        <f>SUMIFS(Input!AS$2:AS$999,Input!$C$2:$C$999,CONCATENATE(LEFT($B$112,10),"*"),Input!$D$2:$D$999,$C$112)*IND_Mult!AO112</f>
        <v>10.800000000000001</v>
      </c>
      <c r="AO112" s="69">
        <f>SUMIFS(Input!AT$2:AT$999,Input!$C$2:$C$999,CONCATENATE(LEFT($B$112,10),"*"),Input!$D$2:$D$999,$C$112)*IND_Mult!AP112</f>
        <v>10.800000000000001</v>
      </c>
      <c r="AP112" s="69">
        <f>SUMIFS(Input!AU$2:AU$999,Input!$C$2:$C$999,CONCATENATE(LEFT($B$112,10),"*"),Input!$D$2:$D$999,$C$112)*IND_Mult!AQ112</f>
        <v>10.800000000000001</v>
      </c>
      <c r="AQ112" s="69">
        <f>SUMIFS(Input!AV$2:AV$999,Input!$C$2:$C$999,CONCATENATE(LEFT($B$112,10),"*"),Input!$D$2:$D$999,$C$112)*IND_Mult!AR112</f>
        <v>10.800000000000001</v>
      </c>
    </row>
    <row r="113" spans="1:43" ht="12.75">
      <c r="A113" s="6"/>
      <c r="B113" s="17" t="s">
        <v>274</v>
      </c>
      <c r="C113" s="18" t="s">
        <v>43</v>
      </c>
      <c r="D113" s="26"/>
      <c r="E113" s="16" t="s">
        <v>283</v>
      </c>
      <c r="F113" s="31"/>
      <c r="G113" s="69">
        <f>SUMIFS(Input!L$2:L$999,Input!$C$2:$C$999,CONCATENATE(LEFT($B$113,10),"*"),Input!$D$2:$D$999,$C$113)*IND_Mult!H113</f>
        <v>0</v>
      </c>
      <c r="H113" s="69">
        <f>SUMIFS(Input!M$2:M$999,Input!$C$2:$C$999,CONCATENATE(LEFT($B$113,10),"*"),Input!$D$2:$D$999,$C$113)*IND_Mult!I113</f>
        <v>0</v>
      </c>
      <c r="I113" s="69">
        <f>SUMIFS(Input!N$2:N$999,Input!$C$2:$C$999,CONCATENATE(LEFT($B$113,10),"*"),Input!$D$2:$D$999,$C$113)*IND_Mult!J113</f>
        <v>0</v>
      </c>
      <c r="J113" s="69">
        <f>SUMIFS(Input!O$2:O$999,Input!$C$2:$C$999,CONCATENATE(LEFT($B$113,10),"*"),Input!$D$2:$D$999,$C$113)*IND_Mult!K113</f>
        <v>0</v>
      </c>
      <c r="K113" s="69">
        <f>SUMIFS(Input!P$2:P$999,Input!$C$2:$C$999,CONCATENATE(LEFT($B$113,10),"*"),Input!$D$2:$D$999,$C$113)*IND_Mult!L113</f>
        <v>0</v>
      </c>
      <c r="L113" s="69">
        <f>SUMIFS(Input!Q$2:Q$999,Input!$C$2:$C$999,CONCATENATE(LEFT($B$113,10),"*"),Input!$D$2:$D$999,$C$113)*IND_Mult!M113</f>
        <v>0</v>
      </c>
      <c r="M113" s="69">
        <f>SUMIFS(Input!R$2:R$999,Input!$C$2:$C$999,CONCATENATE(LEFT($B$113,10),"*"),Input!$D$2:$D$999,$C$113)*IND_Mult!N113</f>
        <v>0</v>
      </c>
      <c r="N113" s="69">
        <f>SUMIFS(Input!S$2:S$999,Input!$C$2:$C$999,CONCATENATE(LEFT($B$113,10),"*"),Input!$D$2:$D$999,$C$113)*IND_Mult!O113</f>
        <v>0</v>
      </c>
      <c r="O113" s="69">
        <f>SUMIFS(Input!T$2:T$999,Input!$C$2:$C$999,CONCATENATE(LEFT($B$113,10),"*"),Input!$D$2:$D$999,$C$113)*IND_Mult!P113</f>
        <v>0</v>
      </c>
      <c r="P113" s="69">
        <f>SUMIFS(Input!U$2:U$999,Input!$C$2:$C$999,CONCATENATE(LEFT($B$113,10),"*"),Input!$D$2:$D$999,$C$113)*IND_Mult!Q113</f>
        <v>0</v>
      </c>
      <c r="Q113" s="69">
        <f>SUMIFS(Input!V$2:V$999,Input!$C$2:$C$999,CONCATENATE(LEFT($B$113,10),"*"),Input!$D$2:$D$999,$C$113)*IND_Mult!R113</f>
        <v>0</v>
      </c>
      <c r="R113" s="69">
        <f>SUMIFS(Input!W$2:W$999,Input!$C$2:$C$999,CONCATENATE(LEFT($B$113,10),"*"),Input!$D$2:$D$999,$C$113)*IND_Mult!S113</f>
        <v>0</v>
      </c>
      <c r="S113" s="69">
        <f>SUMIFS(Input!X$2:X$999,Input!$C$2:$C$999,CONCATENATE(LEFT($B$113,10),"*"),Input!$D$2:$D$999,$C$113)*IND_Mult!T113</f>
        <v>0</v>
      </c>
      <c r="T113" s="69">
        <f>SUMIFS(Input!Y$2:Y$999,Input!$C$2:$C$999,CONCATENATE(LEFT($B$113,10),"*"),Input!$D$2:$D$999,$C$113)*IND_Mult!U113</f>
        <v>0</v>
      </c>
      <c r="U113" s="69">
        <f>SUMIFS(Input!Z$2:Z$999,Input!$C$2:$C$999,CONCATENATE(LEFT($B$113,10),"*"),Input!$D$2:$D$999,$C$113)*IND_Mult!V113</f>
        <v>0</v>
      </c>
      <c r="V113" s="69">
        <f>SUMIFS(Input!AA$2:AA$999,Input!$C$2:$C$999,CONCATENATE(LEFT($B$113,10),"*"),Input!$D$2:$D$999,$C$113)*IND_Mult!W113</f>
        <v>0</v>
      </c>
      <c r="W113" s="69">
        <f>SUMIFS(Input!AB$2:AB$999,Input!$C$2:$C$999,CONCATENATE(LEFT($B$113,10),"*"),Input!$D$2:$D$999,$C$113)*IND_Mult!X113</f>
        <v>0</v>
      </c>
      <c r="X113" s="69">
        <f>SUMIFS(Input!AC$2:AC$999,Input!$C$2:$C$999,CONCATENATE(LEFT($B$113,10),"*"),Input!$D$2:$D$999,$C$113)*IND_Mult!Y113</f>
        <v>0</v>
      </c>
      <c r="Y113" s="69">
        <f>SUMIFS(Input!AD$2:AD$999,Input!$C$2:$C$999,CONCATENATE(LEFT($B$113,10),"*"),Input!$D$2:$D$999,$C$113)*IND_Mult!Z113</f>
        <v>0</v>
      </c>
      <c r="Z113" s="69">
        <f>SUMIFS(Input!AE$2:AE$999,Input!$C$2:$C$999,CONCATENATE(LEFT($B$113,10),"*"),Input!$D$2:$D$999,$C$113)*IND_Mult!AA113</f>
        <v>0</v>
      </c>
      <c r="AA113" s="69">
        <f>SUMIFS(Input!AF$2:AF$999,Input!$C$2:$C$999,CONCATENATE(LEFT($B$113,10),"*"),Input!$D$2:$D$999,$C$113)*IND_Mult!AB113</f>
        <v>0</v>
      </c>
      <c r="AB113" s="69">
        <f>SUMIFS(Input!AG$2:AG$999,Input!$C$2:$C$999,CONCATENATE(LEFT($B$113,10),"*"),Input!$D$2:$D$999,$C$113)*IND_Mult!AC113</f>
        <v>0</v>
      </c>
      <c r="AC113" s="69">
        <f>SUMIFS(Input!AH$2:AH$999,Input!$C$2:$C$999,CONCATENATE(LEFT($B$113,10),"*"),Input!$D$2:$D$999,$C$113)*IND_Mult!AD113</f>
        <v>0</v>
      </c>
      <c r="AD113" s="69">
        <f>SUMIFS(Input!AI$2:AI$999,Input!$C$2:$C$999,CONCATENATE(LEFT($B$113,10),"*"),Input!$D$2:$D$999,$C$113)*IND_Mult!AE113</f>
        <v>0</v>
      </c>
      <c r="AE113" s="69">
        <f>SUMIFS(Input!AJ$2:AJ$999,Input!$C$2:$C$999,CONCATENATE(LEFT($B$113,10),"*"),Input!$D$2:$D$999,$C$113)*IND_Mult!AF113</f>
        <v>0</v>
      </c>
      <c r="AF113" s="69">
        <f>SUMIFS(Input!AK$2:AK$999,Input!$C$2:$C$999,CONCATENATE(LEFT($B$113,10),"*"),Input!$D$2:$D$999,$C$113)*IND_Mult!AG113</f>
        <v>0</v>
      </c>
      <c r="AG113" s="69">
        <f>SUMIFS(Input!AL$2:AL$999,Input!$C$2:$C$999,CONCATENATE(LEFT($B$113,10),"*"),Input!$D$2:$D$999,$C$113)*IND_Mult!AH113</f>
        <v>0</v>
      </c>
      <c r="AH113" s="69">
        <f>SUMIFS(Input!AM$2:AM$999,Input!$C$2:$C$999,CONCATENATE(LEFT($B$113,10),"*"),Input!$D$2:$D$999,$C$113)*IND_Mult!AI113</f>
        <v>0</v>
      </c>
      <c r="AI113" s="69">
        <f>SUMIFS(Input!AN$2:AN$999,Input!$C$2:$C$999,CONCATENATE(LEFT($B$113,10),"*"),Input!$D$2:$D$999,$C$113)*IND_Mult!AJ113</f>
        <v>0</v>
      </c>
      <c r="AJ113" s="69">
        <f>SUMIFS(Input!AO$2:AO$999,Input!$C$2:$C$999,CONCATENATE(LEFT($B$113,10),"*"),Input!$D$2:$D$999,$C$113)*IND_Mult!AK113</f>
        <v>0</v>
      </c>
      <c r="AK113" s="69">
        <f>SUMIFS(Input!AP$2:AP$999,Input!$C$2:$C$999,CONCATENATE(LEFT($B$113,10),"*"),Input!$D$2:$D$999,$C$113)*IND_Mult!AL113</f>
        <v>0</v>
      </c>
      <c r="AL113" s="69">
        <f>SUMIFS(Input!AQ$2:AQ$999,Input!$C$2:$C$999,CONCATENATE(LEFT($B$113,10),"*"),Input!$D$2:$D$999,$C$113)*IND_Mult!AM113</f>
        <v>0</v>
      </c>
      <c r="AM113" s="69">
        <f>SUMIFS(Input!AR$2:AR$999,Input!$C$2:$C$999,CONCATENATE(LEFT($B$113,10),"*"),Input!$D$2:$D$999,$C$113)*IND_Mult!AN113</f>
        <v>0</v>
      </c>
      <c r="AN113" s="69">
        <f>SUMIFS(Input!AS$2:AS$999,Input!$C$2:$C$999,CONCATENATE(LEFT($B$113,10),"*"),Input!$D$2:$D$999,$C$113)*IND_Mult!AO113</f>
        <v>0</v>
      </c>
      <c r="AO113" s="69">
        <f>SUMIFS(Input!AT$2:AT$999,Input!$C$2:$C$999,CONCATENATE(LEFT($B$113,10),"*"),Input!$D$2:$D$999,$C$113)*IND_Mult!AP113</f>
        <v>0</v>
      </c>
      <c r="AP113" s="69">
        <f>SUMIFS(Input!AU$2:AU$999,Input!$C$2:$C$999,CONCATENATE(LEFT($B$113,10),"*"),Input!$D$2:$D$999,$C$113)*IND_Mult!AQ113</f>
        <v>0</v>
      </c>
      <c r="AQ113" s="69">
        <f>SUMIFS(Input!AV$2:AV$999,Input!$C$2:$C$999,CONCATENATE(LEFT($B$113,10),"*"),Input!$D$2:$D$999,$C$113)*IND_Mult!AR113</f>
        <v>0</v>
      </c>
    </row>
    <row r="114" spans="1:43" ht="12.75">
      <c r="A114" s="6"/>
      <c r="B114" s="17" t="s">
        <v>274</v>
      </c>
      <c r="C114" s="18" t="s">
        <v>59</v>
      </c>
      <c r="D114" s="26"/>
      <c r="E114" s="16" t="s">
        <v>103</v>
      </c>
      <c r="F114" s="31"/>
      <c r="G114" s="69">
        <f>SUMIFS(Input!L$2:L$999,Input!$C$2:$C$999,CONCATENATE(LEFT($B$114,10),"*"),Input!$D$2:$D$999,$C$114)*IND_Mult!H114</f>
        <v>2.5299999999999998</v>
      </c>
      <c r="H114" s="69">
        <f>SUMIFS(Input!M$2:M$999,Input!$C$2:$C$999,CONCATENATE(LEFT($B$114,10),"*"),Input!$D$2:$D$999,$C$114)*IND_Mult!I114</f>
        <v>2.5299999999999998</v>
      </c>
      <c r="I114" s="69">
        <f>SUMIFS(Input!N$2:N$999,Input!$C$2:$C$999,CONCATENATE(LEFT($B$114,10),"*"),Input!$D$2:$D$999,$C$114)*IND_Mult!J114</f>
        <v>2.5299999999999998</v>
      </c>
      <c r="J114" s="69">
        <f>SUMIFS(Input!O$2:O$999,Input!$C$2:$C$999,CONCATENATE(LEFT($B$114,10),"*"),Input!$D$2:$D$999,$C$114)*IND_Mult!K114</f>
        <v>2.5299999999999998</v>
      </c>
      <c r="K114" s="69">
        <f>SUMIFS(Input!P$2:P$999,Input!$C$2:$C$999,CONCATENATE(LEFT($B$114,10),"*"),Input!$D$2:$D$999,$C$114)*IND_Mult!L114</f>
        <v>1.2649999999999999</v>
      </c>
      <c r="L114" s="69">
        <f>SUMIFS(Input!Q$2:Q$999,Input!$C$2:$C$999,CONCATENATE(LEFT($B$114,10),"*"),Input!$D$2:$D$999,$C$114)*IND_Mult!M114</f>
        <v>3.7949999999999999</v>
      </c>
      <c r="M114" s="69">
        <f>SUMIFS(Input!R$2:R$999,Input!$C$2:$C$999,CONCATENATE(LEFT($B$114,10),"*"),Input!$D$2:$D$999,$C$114)*IND_Mult!N114</f>
        <v>2.5299999999999998</v>
      </c>
      <c r="N114" s="69">
        <f>SUMIFS(Input!S$2:S$999,Input!$C$2:$C$999,CONCATENATE(LEFT($B$114,10),"*"),Input!$D$2:$D$999,$C$114)*IND_Mult!O114</f>
        <v>1.6951000000000001</v>
      </c>
      <c r="O114" s="69">
        <f>SUMIFS(Input!T$2:T$999,Input!$C$2:$C$999,CONCATENATE(LEFT($B$114,10),"*"),Input!$D$2:$D$999,$C$114)*IND_Mult!P114</f>
        <v>2.5299999999999998</v>
      </c>
      <c r="P114" s="69">
        <f>SUMIFS(Input!U$2:U$999,Input!$C$2:$C$999,CONCATENATE(LEFT($B$114,10),"*"),Input!$D$2:$D$999,$C$114)*IND_Mult!Q114</f>
        <v>2.5299999999999998</v>
      </c>
      <c r="Q114" s="69">
        <f>SUMIFS(Input!V$2:V$999,Input!$C$2:$C$999,CONCATENATE(LEFT($B$114,10),"*"),Input!$D$2:$D$999,$C$114)*IND_Mult!R114</f>
        <v>2.5299999999999998</v>
      </c>
      <c r="R114" s="69">
        <f>SUMIFS(Input!W$2:W$999,Input!$C$2:$C$999,CONCATENATE(LEFT($B$114,10),"*"),Input!$D$2:$D$999,$C$114)*IND_Mult!S114</f>
        <v>2.5299999999999998</v>
      </c>
      <c r="S114" s="69">
        <f>SUMIFS(Input!X$2:X$999,Input!$C$2:$C$999,CONCATENATE(LEFT($B$114,10),"*"),Input!$D$2:$D$999,$C$114)*IND_Mult!T114</f>
        <v>2.5299999999999998</v>
      </c>
      <c r="T114" s="69">
        <f>SUMIFS(Input!Y$2:Y$999,Input!$C$2:$C$999,CONCATENATE(LEFT($B$114,10),"*"),Input!$D$2:$D$999,$C$114)*IND_Mult!U114</f>
        <v>2.5299999999999998</v>
      </c>
      <c r="U114" s="69">
        <f>SUMIFS(Input!Z$2:Z$999,Input!$C$2:$C$999,CONCATENATE(LEFT($B$114,10),"*"),Input!$D$2:$D$999,$C$114)*IND_Mult!V114</f>
        <v>2.5299999999999998</v>
      </c>
      <c r="V114" s="69">
        <f>SUMIFS(Input!AA$2:AA$999,Input!$C$2:$C$999,CONCATENATE(LEFT($B$114,10),"*"),Input!$D$2:$D$999,$C$114)*IND_Mult!W114</f>
        <v>2.5299999999999998</v>
      </c>
      <c r="W114" s="69">
        <f>SUMIFS(Input!AB$2:AB$999,Input!$C$2:$C$999,CONCATENATE(LEFT($B$114,10),"*"),Input!$D$2:$D$999,$C$114)*IND_Mult!X114</f>
        <v>2.5299999999999998</v>
      </c>
      <c r="X114" s="69">
        <f>SUMIFS(Input!AC$2:AC$999,Input!$C$2:$C$999,CONCATENATE(LEFT($B$114,10),"*"),Input!$D$2:$D$999,$C$114)*IND_Mult!Y114</f>
        <v>2.5299999999999998</v>
      </c>
      <c r="Y114" s="69">
        <f>SUMIFS(Input!AD$2:AD$999,Input!$C$2:$C$999,CONCATENATE(LEFT($B$114,10),"*"),Input!$D$2:$D$999,$C$114)*IND_Mult!Z114</f>
        <v>2.5299999999999998</v>
      </c>
      <c r="Z114" s="69">
        <f>SUMIFS(Input!AE$2:AE$999,Input!$C$2:$C$999,CONCATENATE(LEFT($B$114,10),"*"),Input!$D$2:$D$999,$C$114)*IND_Mult!AA114</f>
        <v>2.5299999999999998</v>
      </c>
      <c r="AA114" s="69">
        <f>SUMIFS(Input!AF$2:AF$999,Input!$C$2:$C$999,CONCATENATE(LEFT($B$114,10),"*"),Input!$D$2:$D$999,$C$114)*IND_Mult!AB114</f>
        <v>2.5299999999999998</v>
      </c>
      <c r="AB114" s="69">
        <f>SUMIFS(Input!AG$2:AG$999,Input!$C$2:$C$999,CONCATENATE(LEFT($B$114,10),"*"),Input!$D$2:$D$999,$C$114)*IND_Mult!AC114</f>
        <v>2.5299999999999998</v>
      </c>
      <c r="AC114" s="69">
        <f>SUMIFS(Input!AH$2:AH$999,Input!$C$2:$C$999,CONCATENATE(LEFT($B$114,10),"*"),Input!$D$2:$D$999,$C$114)*IND_Mult!AD114</f>
        <v>2.5299999999999998</v>
      </c>
      <c r="AD114" s="69">
        <f>SUMIFS(Input!AI$2:AI$999,Input!$C$2:$C$999,CONCATENATE(LEFT($B$114,10),"*"),Input!$D$2:$D$999,$C$114)*IND_Mult!AE114</f>
        <v>2.5299999999999998</v>
      </c>
      <c r="AE114" s="69">
        <f>SUMIFS(Input!AJ$2:AJ$999,Input!$C$2:$C$999,CONCATENATE(LEFT($B$114,10),"*"),Input!$D$2:$D$999,$C$114)*IND_Mult!AF114</f>
        <v>2.5299999999999998</v>
      </c>
      <c r="AF114" s="69">
        <f>SUMIFS(Input!AK$2:AK$999,Input!$C$2:$C$999,CONCATENATE(LEFT($B$114,10),"*"),Input!$D$2:$D$999,$C$114)*IND_Mult!AG114</f>
        <v>2.5299999999999998</v>
      </c>
      <c r="AG114" s="69">
        <f>SUMIFS(Input!AL$2:AL$999,Input!$C$2:$C$999,CONCATENATE(LEFT($B$114,10),"*"),Input!$D$2:$D$999,$C$114)*IND_Mult!AH114</f>
        <v>2.5299999999999998</v>
      </c>
      <c r="AH114" s="69">
        <f>SUMIFS(Input!AM$2:AM$999,Input!$C$2:$C$999,CONCATENATE(LEFT($B$114,10),"*"),Input!$D$2:$D$999,$C$114)*IND_Mult!AI114</f>
        <v>2.5299999999999998</v>
      </c>
      <c r="AI114" s="69">
        <f>SUMIFS(Input!AN$2:AN$999,Input!$C$2:$C$999,CONCATENATE(LEFT($B$114,10),"*"),Input!$D$2:$D$999,$C$114)*IND_Mult!AJ114</f>
        <v>2.5299999999999998</v>
      </c>
      <c r="AJ114" s="69">
        <f>SUMIFS(Input!AO$2:AO$999,Input!$C$2:$C$999,CONCATENATE(LEFT($B$114,10),"*"),Input!$D$2:$D$999,$C$114)*IND_Mult!AK114</f>
        <v>0</v>
      </c>
      <c r="AK114" s="69">
        <f>SUMIFS(Input!AP$2:AP$999,Input!$C$2:$C$999,CONCATENATE(LEFT($B$114,10),"*"),Input!$D$2:$D$999,$C$114)*IND_Mult!AL114</f>
        <v>2.5299999999999998</v>
      </c>
      <c r="AL114" s="69">
        <f>SUMIFS(Input!AQ$2:AQ$999,Input!$C$2:$C$999,CONCATENATE(LEFT($B$114,10),"*"),Input!$D$2:$D$999,$C$114)*IND_Mult!AM114</f>
        <v>2.5299999999999998</v>
      </c>
      <c r="AM114" s="69">
        <f>SUMIFS(Input!AR$2:AR$999,Input!$C$2:$C$999,CONCATENATE(LEFT($B$114,10),"*"),Input!$D$2:$D$999,$C$114)*IND_Mult!AN114</f>
        <v>2.5299999999999998</v>
      </c>
      <c r="AN114" s="69">
        <f>SUMIFS(Input!AS$2:AS$999,Input!$C$2:$C$999,CONCATENATE(LEFT($B$114,10),"*"),Input!$D$2:$D$999,$C$114)*IND_Mult!AO114</f>
        <v>2.5299999999999998</v>
      </c>
      <c r="AO114" s="69">
        <f>SUMIFS(Input!AT$2:AT$999,Input!$C$2:$C$999,CONCATENATE(LEFT($B$114,10),"*"),Input!$D$2:$D$999,$C$114)*IND_Mult!AP114</f>
        <v>2.5299999999999998</v>
      </c>
      <c r="AP114" s="69">
        <f>SUMIFS(Input!AU$2:AU$999,Input!$C$2:$C$999,CONCATENATE(LEFT($B$114,10),"*"),Input!$D$2:$D$999,$C$114)*IND_Mult!AQ114</f>
        <v>2.5299999999999998</v>
      </c>
      <c r="AQ114" s="69">
        <f>SUMIFS(Input!AV$2:AV$999,Input!$C$2:$C$999,CONCATENATE(LEFT($B$114,10),"*"),Input!$D$2:$D$999,$C$114)*IND_Mult!AR114</f>
        <v>2.5299999999999998</v>
      </c>
    </row>
    <row r="115" spans="1:43" ht="12.75">
      <c r="A115" s="6"/>
      <c r="B115" s="17" t="s">
        <v>274</v>
      </c>
      <c r="C115" s="18" t="s">
        <v>162</v>
      </c>
      <c r="D115" s="26"/>
      <c r="E115" s="16" t="s">
        <v>103</v>
      </c>
      <c r="F115" s="31"/>
      <c r="G115" s="69">
        <f>SUMIFS(Input!L$2:L$999,Input!$C$2:$C$999,CONCATENATE(LEFT($B$115,10),"*"),Input!$D$2:$D$999,$C$115)*IND_Mult!H115</f>
        <v>1.1000000000000001</v>
      </c>
      <c r="H115" s="69">
        <f>SUMIFS(Input!M$2:M$999,Input!$C$2:$C$999,CONCATENATE(LEFT($B$115,10),"*"),Input!$D$2:$D$999,$C$115)*IND_Mult!I115</f>
        <v>1.1000000000000001</v>
      </c>
      <c r="I115" s="69">
        <f>SUMIFS(Input!N$2:N$999,Input!$C$2:$C$999,CONCATENATE(LEFT($B$115,10),"*"),Input!$D$2:$D$999,$C$115)*IND_Mult!J115</f>
        <v>1.1000000000000001</v>
      </c>
      <c r="J115" s="69">
        <f>SUMIFS(Input!O$2:O$999,Input!$C$2:$C$999,CONCATENATE(LEFT($B$115,10),"*"),Input!$D$2:$D$999,$C$115)*IND_Mult!K115</f>
        <v>1.1000000000000001</v>
      </c>
      <c r="K115" s="69">
        <f>SUMIFS(Input!P$2:P$999,Input!$C$2:$C$999,CONCATENATE(LEFT($B$115,10),"*"),Input!$D$2:$D$999,$C$115)*IND_Mult!L115</f>
        <v>1.1000000000000001</v>
      </c>
      <c r="L115" s="69">
        <f>SUMIFS(Input!Q$2:Q$999,Input!$C$2:$C$999,CONCATENATE(LEFT($B$115,10),"*"),Input!$D$2:$D$999,$C$115)*IND_Mult!M115</f>
        <v>1.1000000000000001</v>
      </c>
      <c r="M115" s="69">
        <f>SUMIFS(Input!R$2:R$999,Input!$C$2:$C$999,CONCATENATE(LEFT($B$115,10),"*"),Input!$D$2:$D$999,$C$115)*IND_Mult!N115</f>
        <v>1.1000000000000001</v>
      </c>
      <c r="N115" s="69">
        <f>SUMIFS(Input!S$2:S$999,Input!$C$2:$C$999,CONCATENATE(LEFT($B$115,10),"*"),Input!$D$2:$D$999,$C$115)*IND_Mult!O115</f>
        <v>1.1000000000000001</v>
      </c>
      <c r="O115" s="69">
        <f>SUMIFS(Input!T$2:T$999,Input!$C$2:$C$999,CONCATENATE(LEFT($B$115,10),"*"),Input!$D$2:$D$999,$C$115)*IND_Mult!P115</f>
        <v>1.1000000000000001</v>
      </c>
      <c r="P115" s="69">
        <f>SUMIFS(Input!U$2:U$999,Input!$C$2:$C$999,CONCATENATE(LEFT($B$115,10),"*"),Input!$D$2:$D$999,$C$115)*IND_Mult!Q115</f>
        <v>1.1000000000000001</v>
      </c>
      <c r="Q115" s="69">
        <f>SUMIFS(Input!V$2:V$999,Input!$C$2:$C$999,CONCATENATE(LEFT($B$115,10),"*"),Input!$D$2:$D$999,$C$115)*IND_Mult!R115</f>
        <v>1.1000000000000001</v>
      </c>
      <c r="R115" s="69">
        <f>SUMIFS(Input!W$2:W$999,Input!$C$2:$C$999,CONCATENATE(LEFT($B$115,10),"*"),Input!$D$2:$D$999,$C$115)*IND_Mult!S115</f>
        <v>1.1000000000000001</v>
      </c>
      <c r="S115" s="69">
        <f>SUMIFS(Input!X$2:X$999,Input!$C$2:$C$999,CONCATENATE(LEFT($B$115,10),"*"),Input!$D$2:$D$999,$C$115)*IND_Mult!T115</f>
        <v>1.1000000000000001</v>
      </c>
      <c r="T115" s="69">
        <f>SUMIFS(Input!Y$2:Y$999,Input!$C$2:$C$999,CONCATENATE(LEFT($B$115,10),"*"),Input!$D$2:$D$999,$C$115)*IND_Mult!U115</f>
        <v>1.1000000000000001</v>
      </c>
      <c r="U115" s="69">
        <f>SUMIFS(Input!Z$2:Z$999,Input!$C$2:$C$999,CONCATENATE(LEFT($B$115,10),"*"),Input!$D$2:$D$999,$C$115)*IND_Mult!V115</f>
        <v>1.1000000000000001</v>
      </c>
      <c r="V115" s="69">
        <f>SUMIFS(Input!AA$2:AA$999,Input!$C$2:$C$999,CONCATENATE(LEFT($B$115,10),"*"),Input!$D$2:$D$999,$C$115)*IND_Mult!W115</f>
        <v>1.1000000000000001</v>
      </c>
      <c r="W115" s="69">
        <f>SUMIFS(Input!AB$2:AB$999,Input!$C$2:$C$999,CONCATENATE(LEFT($B$115,10),"*"),Input!$D$2:$D$999,$C$115)*IND_Mult!X115</f>
        <v>1.1000000000000001</v>
      </c>
      <c r="X115" s="69">
        <f>SUMIFS(Input!AC$2:AC$999,Input!$C$2:$C$999,CONCATENATE(LEFT($B$115,10),"*"),Input!$D$2:$D$999,$C$115)*IND_Mult!Y115</f>
        <v>1.1000000000000001</v>
      </c>
      <c r="Y115" s="69">
        <f>SUMIFS(Input!AD$2:AD$999,Input!$C$2:$C$999,CONCATENATE(LEFT($B$115,10),"*"),Input!$D$2:$D$999,$C$115)*IND_Mult!Z115</f>
        <v>1.1000000000000001</v>
      </c>
      <c r="Z115" s="69">
        <f>SUMIFS(Input!AE$2:AE$999,Input!$C$2:$C$999,CONCATENATE(LEFT($B$115,10),"*"),Input!$D$2:$D$999,$C$115)*IND_Mult!AA115</f>
        <v>1.1000000000000001</v>
      </c>
      <c r="AA115" s="69">
        <f>SUMIFS(Input!AF$2:AF$999,Input!$C$2:$C$999,CONCATENATE(LEFT($B$115,10),"*"),Input!$D$2:$D$999,$C$115)*IND_Mult!AB115</f>
        <v>1.1000000000000001</v>
      </c>
      <c r="AB115" s="69">
        <f>SUMIFS(Input!AG$2:AG$999,Input!$C$2:$C$999,CONCATENATE(LEFT($B$115,10),"*"),Input!$D$2:$D$999,$C$115)*IND_Mult!AC115</f>
        <v>1.1000000000000001</v>
      </c>
      <c r="AC115" s="69">
        <f>SUMIFS(Input!AH$2:AH$999,Input!$C$2:$C$999,CONCATENATE(LEFT($B$115,10),"*"),Input!$D$2:$D$999,$C$115)*IND_Mult!AD115</f>
        <v>1.1000000000000001</v>
      </c>
      <c r="AD115" s="69">
        <f>SUMIFS(Input!AI$2:AI$999,Input!$C$2:$C$999,CONCATENATE(LEFT($B$115,10),"*"),Input!$D$2:$D$999,$C$115)*IND_Mult!AE115</f>
        <v>1.1000000000000001</v>
      </c>
      <c r="AE115" s="69">
        <f>SUMIFS(Input!AJ$2:AJ$999,Input!$C$2:$C$999,CONCATENATE(LEFT($B$115,10),"*"),Input!$D$2:$D$999,$C$115)*IND_Mult!AF115</f>
        <v>1.1000000000000001</v>
      </c>
      <c r="AF115" s="69">
        <f>SUMIFS(Input!AK$2:AK$999,Input!$C$2:$C$999,CONCATENATE(LEFT($B$115,10),"*"),Input!$D$2:$D$999,$C$115)*IND_Mult!AG115</f>
        <v>1.1000000000000001</v>
      </c>
      <c r="AG115" s="69">
        <f>SUMIFS(Input!AL$2:AL$999,Input!$C$2:$C$999,CONCATENATE(LEFT($B$115,10),"*"),Input!$D$2:$D$999,$C$115)*IND_Mult!AH115</f>
        <v>1.1000000000000001</v>
      </c>
      <c r="AH115" s="69">
        <f>SUMIFS(Input!AM$2:AM$999,Input!$C$2:$C$999,CONCATENATE(LEFT($B$115,10),"*"),Input!$D$2:$D$999,$C$115)*IND_Mult!AI115</f>
        <v>1.1000000000000001</v>
      </c>
      <c r="AI115" s="69">
        <f>SUMIFS(Input!AN$2:AN$999,Input!$C$2:$C$999,CONCATENATE(LEFT($B$115,10),"*"),Input!$D$2:$D$999,$C$115)*IND_Mult!AJ115</f>
        <v>1.1000000000000001</v>
      </c>
      <c r="AJ115" s="69">
        <f>SUMIFS(Input!AO$2:AO$999,Input!$C$2:$C$999,CONCATENATE(LEFT($B$115,10),"*"),Input!$D$2:$D$999,$C$115)*IND_Mult!AK115</f>
        <v>1.1000000000000001</v>
      </c>
      <c r="AK115" s="69">
        <f>SUMIFS(Input!AP$2:AP$999,Input!$C$2:$C$999,CONCATENATE(LEFT($B$115,10),"*"),Input!$D$2:$D$999,$C$115)*IND_Mult!AL115</f>
        <v>1.1000000000000001</v>
      </c>
      <c r="AL115" s="69">
        <f>SUMIFS(Input!AQ$2:AQ$999,Input!$C$2:$C$999,CONCATENATE(LEFT($B$115,10),"*"),Input!$D$2:$D$999,$C$115)*IND_Mult!AM115</f>
        <v>1.1000000000000001</v>
      </c>
      <c r="AM115" s="69">
        <f>SUMIFS(Input!AR$2:AR$999,Input!$C$2:$C$999,CONCATENATE(LEFT($B$115,10),"*"),Input!$D$2:$D$999,$C$115)*IND_Mult!AN115</f>
        <v>1.1000000000000001</v>
      </c>
      <c r="AN115" s="69">
        <f>SUMIFS(Input!AS$2:AS$999,Input!$C$2:$C$999,CONCATENATE(LEFT($B$115,10),"*"),Input!$D$2:$D$999,$C$115)*IND_Mult!AO115</f>
        <v>1.1000000000000001</v>
      </c>
      <c r="AO115" s="69">
        <f>SUMIFS(Input!AT$2:AT$999,Input!$C$2:$C$999,CONCATENATE(LEFT($B$115,10),"*"),Input!$D$2:$D$999,$C$115)*IND_Mult!AP115</f>
        <v>1.1000000000000001</v>
      </c>
      <c r="AP115" s="69">
        <f>SUMIFS(Input!AU$2:AU$999,Input!$C$2:$C$999,CONCATENATE(LEFT($B$115,10),"*"),Input!$D$2:$D$999,$C$115)*IND_Mult!AQ115</f>
        <v>1.1000000000000001</v>
      </c>
      <c r="AQ115" s="69">
        <f>SUMIFS(Input!AV$2:AV$999,Input!$C$2:$C$999,CONCATENATE(LEFT($B$115,10),"*"),Input!$D$2:$D$999,$C$115)*IND_Mult!AR115</f>
        <v>1.1000000000000001</v>
      </c>
    </row>
    <row r="116" spans="1:43" ht="12.75">
      <c r="A116" s="6"/>
      <c r="B116" s="17" t="s">
        <v>274</v>
      </c>
      <c r="C116" s="18" t="s">
        <v>155</v>
      </c>
      <c r="D116" s="26"/>
      <c r="E116" s="16" t="s">
        <v>284</v>
      </c>
      <c r="F116" s="31"/>
      <c r="G116" s="72">
        <f>SUMIFS(Output!L$2:L$999,Output!$C$2:$C$999,CONCATENATE(LEFT($B$116,10),"*"),Output!$D$2:$D$999,$C$116)*IND_Mult!H215</f>
        <v>2.1000000000000001</v>
      </c>
      <c r="H116" s="72">
        <f>SUMIFS(Output!M$2:M$999,Output!$C$2:$C$999,CONCATENATE(LEFT($B$116,10),"*"),Output!$D$2:$D$999,$C$116)*IND_Mult!I215</f>
        <v>2.1000000000000001</v>
      </c>
      <c r="I116" s="72">
        <f>SUMIFS(Output!N$2:N$999,Output!$C$2:$C$999,CONCATENATE(LEFT($B$116,10),"*"),Output!$D$2:$D$999,$C$116)*IND_Mult!J215</f>
        <v>2.1000000000000001</v>
      </c>
      <c r="J116" s="72">
        <f>SUMIFS(Output!O$2:O$999,Output!$C$2:$C$999,CONCATENATE(LEFT($B$116,10),"*"),Output!$D$2:$D$999,$C$116)*IND_Mult!K215</f>
        <v>2.1000000000000001</v>
      </c>
      <c r="K116" s="72">
        <f>SUMIFS(Output!P$2:P$999,Output!$C$2:$C$999,CONCATENATE(LEFT($B$116,10),"*"),Output!$D$2:$D$999,$C$116)*IND_Mult!L215</f>
        <v>1.05</v>
      </c>
      <c r="L116" s="72">
        <f>SUMIFS(Output!Q$2:Q$999,Output!$C$2:$C$999,CONCATENATE(LEFT($B$116,10),"*"),Output!$D$2:$D$999,$C$116)*IND_Mult!M215</f>
        <v>2.1000000000000001</v>
      </c>
      <c r="M116" s="72">
        <f>SUMIFS(Output!R$2:R$999,Output!$C$2:$C$999,CONCATENATE(LEFT($B$116,10),"*"),Output!$D$2:$D$999,$C$116)*IND_Mult!N215</f>
        <v>2.1000000000000001</v>
      </c>
      <c r="N116" s="72">
        <f>SUMIFS(Output!S$2:S$999,Output!$C$2:$C$999,CONCATENATE(LEFT($B$116,10),"*"),Output!$D$2:$D$999,$C$116)*IND_Mult!O215</f>
        <v>2.1000000000000001</v>
      </c>
      <c r="O116" s="72">
        <f>SUMIFS(Output!T$2:T$999,Output!$C$2:$C$999,CONCATENATE(LEFT($B$116,10),"*"),Output!$D$2:$D$999,$C$116)*IND_Mult!P215</f>
        <v>2.1000000000000001</v>
      </c>
      <c r="P116" s="72">
        <f>SUMIFS(Output!U$2:U$999,Output!$C$2:$C$999,CONCATENATE(LEFT($B$116,10),"*"),Output!$D$2:$D$999,$C$116)*IND_Mult!Q215</f>
        <v>2.1000000000000001</v>
      </c>
      <c r="Q116" s="72">
        <f>SUMIFS(Output!V$2:V$999,Output!$C$2:$C$999,CONCATENATE(LEFT($B$116,10),"*"),Output!$D$2:$D$999,$C$116)*IND_Mult!R215</f>
        <v>2.1000000000000001</v>
      </c>
      <c r="R116" s="72">
        <f>SUMIFS(Output!W$2:W$999,Output!$C$2:$C$999,CONCATENATE(LEFT($B$116,10),"*"),Output!$D$2:$D$999,$C$116)*IND_Mult!S215</f>
        <v>2.1000000000000001</v>
      </c>
      <c r="S116" s="72">
        <f>SUMIFS(Output!X$2:X$999,Output!$C$2:$C$999,CONCATENATE(LEFT($B$116,10),"*"),Output!$D$2:$D$999,$C$116)*IND_Mult!T215</f>
        <v>2.1000000000000001</v>
      </c>
      <c r="T116" s="72">
        <f>SUMIFS(Output!Y$2:Y$999,Output!$C$2:$C$999,CONCATENATE(LEFT($B$116,10),"*"),Output!$D$2:$D$999,$C$116)*IND_Mult!U215</f>
        <v>2.1000000000000001</v>
      </c>
      <c r="U116" s="72">
        <f>SUMIFS(Output!Z$2:Z$999,Output!$C$2:$C$999,CONCATENATE(LEFT($B$116,10),"*"),Output!$D$2:$D$999,$C$116)*IND_Mult!V215</f>
        <v>2.1000000000000001</v>
      </c>
      <c r="V116" s="72">
        <f>SUMIFS(Output!AA$2:AA$999,Output!$C$2:$C$999,CONCATENATE(LEFT($B$116,10),"*"),Output!$D$2:$D$999,$C$116)*IND_Mult!W215</f>
        <v>2.1000000000000001</v>
      </c>
      <c r="W116" s="72">
        <f>SUMIFS(Output!AB$2:AB$999,Output!$C$2:$C$999,CONCATENATE(LEFT($B$116,10),"*"),Output!$D$2:$D$999,$C$116)*IND_Mult!X215</f>
        <v>2.1000000000000001</v>
      </c>
      <c r="X116" s="72">
        <f>SUMIFS(Output!AC$2:AC$999,Output!$C$2:$C$999,CONCATENATE(LEFT($B$116,10),"*"),Output!$D$2:$D$999,$C$116)*IND_Mult!Y215</f>
        <v>2.1000000000000001</v>
      </c>
      <c r="Y116" s="72">
        <f>SUMIFS(Output!AD$2:AD$999,Output!$C$2:$C$999,CONCATENATE(LEFT($B$116,10),"*"),Output!$D$2:$D$999,$C$116)*IND_Mult!Z215</f>
        <v>2.1000000000000001</v>
      </c>
      <c r="Z116" s="72">
        <f>SUMIFS(Output!AE$2:AE$999,Output!$C$2:$C$999,CONCATENATE(LEFT($B$116,10),"*"),Output!$D$2:$D$999,$C$116)*IND_Mult!AA215</f>
        <v>2.1000000000000001</v>
      </c>
      <c r="AA116" s="72">
        <f>SUMIFS(Output!AF$2:AF$999,Output!$C$2:$C$999,CONCATENATE(LEFT($B$116,10),"*"),Output!$D$2:$D$999,$C$116)*IND_Mult!AB215</f>
        <v>2.1000000000000001</v>
      </c>
      <c r="AB116" s="72">
        <f>SUMIFS(Output!AG$2:AG$999,Output!$C$2:$C$999,CONCATENATE(LEFT($B$116,10),"*"),Output!$D$2:$D$999,$C$116)*IND_Mult!AC215</f>
        <v>2.1000000000000001</v>
      </c>
      <c r="AC116" s="72">
        <f>SUMIFS(Output!AH$2:AH$999,Output!$C$2:$C$999,CONCATENATE(LEFT($B$116,10),"*"),Output!$D$2:$D$999,$C$116)*IND_Mult!AD215</f>
        <v>2.1000000000000001</v>
      </c>
      <c r="AD116" s="72">
        <f>SUMIFS(Output!AI$2:AI$999,Output!$C$2:$C$999,CONCATENATE(LEFT($B$116,10),"*"),Output!$D$2:$D$999,$C$116)*IND_Mult!AE215</f>
        <v>2.1000000000000001</v>
      </c>
      <c r="AE116" s="72">
        <f>SUMIFS(Output!AJ$2:AJ$999,Output!$C$2:$C$999,CONCATENATE(LEFT($B$116,10),"*"),Output!$D$2:$D$999,$C$116)*IND_Mult!AF215</f>
        <v>2.1000000000000001</v>
      </c>
      <c r="AF116" s="72">
        <f>SUMIFS(Output!AK$2:AK$999,Output!$C$2:$C$999,CONCATENATE(LEFT($B$116,10),"*"),Output!$D$2:$D$999,$C$116)*IND_Mult!AG215</f>
        <v>2.1000000000000001</v>
      </c>
      <c r="AG116" s="72">
        <f>SUMIFS(Output!AL$2:AL$999,Output!$C$2:$C$999,CONCATENATE(LEFT($B$116,10),"*"),Output!$D$2:$D$999,$C$116)*IND_Mult!AH215</f>
        <v>2.1000000000000001</v>
      </c>
      <c r="AH116" s="72">
        <f>SUMIFS(Output!AM$2:AM$999,Output!$C$2:$C$999,CONCATENATE(LEFT($B$116,10),"*"),Output!$D$2:$D$999,$C$116)*IND_Mult!AI215</f>
        <v>2.1000000000000001</v>
      </c>
      <c r="AI116" s="72">
        <f>SUMIFS(Output!AN$2:AN$999,Output!$C$2:$C$999,CONCATENATE(LEFT($B$116,10),"*"),Output!$D$2:$D$999,$C$116)*IND_Mult!AJ215</f>
        <v>2.1000000000000001</v>
      </c>
      <c r="AJ116" s="72">
        <f>SUMIFS(Output!AO$2:AO$999,Output!$C$2:$C$999,CONCATENATE(LEFT($B$116,10),"*"),Output!$D$2:$D$999,$C$116)*IND_Mult!AK215</f>
        <v>2.1000000000000001</v>
      </c>
      <c r="AK116" s="72">
        <f>SUMIFS(Output!AP$2:AP$999,Output!$C$2:$C$999,CONCATENATE(LEFT($B$116,10),"*"),Output!$D$2:$D$999,$C$116)*IND_Mult!AL215</f>
        <v>2.1000000000000001</v>
      </c>
      <c r="AL116" s="72">
        <f>SUMIFS(Output!AQ$2:AQ$999,Output!$C$2:$C$999,CONCATENATE(LEFT($B$116,10),"*"),Output!$D$2:$D$999,$C$116)*IND_Mult!AM215</f>
        <v>2.1000000000000001</v>
      </c>
      <c r="AM116" s="72">
        <f>SUMIFS(Output!AR$2:AR$999,Output!$C$2:$C$999,CONCATENATE(LEFT($B$116,10),"*"),Output!$D$2:$D$999,$C$116)*IND_Mult!AN215</f>
        <v>2.1000000000000001</v>
      </c>
      <c r="AN116" s="72">
        <f>SUMIFS(Output!AS$2:AS$999,Output!$C$2:$C$999,CONCATENATE(LEFT($B$116,10),"*"),Output!$D$2:$D$999,$C$116)*IND_Mult!AO215</f>
        <v>2.1000000000000001</v>
      </c>
      <c r="AO116" s="72">
        <f>SUMIFS(Output!AT$2:AT$999,Output!$C$2:$C$999,CONCATENATE(LEFT($B$116,10),"*"),Output!$D$2:$D$999,$C$116)*IND_Mult!AP215</f>
        <v>2.1000000000000001</v>
      </c>
      <c r="AP116" s="72">
        <f>SUMIFS(Output!AU$2:AU$999,Output!$C$2:$C$999,CONCATENATE(LEFT($B$116,10),"*"),Output!$D$2:$D$999,$C$116)*IND_Mult!AQ215</f>
        <v>2.1000000000000001</v>
      </c>
      <c r="AQ116" s="72">
        <f>SUMIFS(Output!AV$2:AV$999,Output!$C$2:$C$999,CONCATENATE(LEFT($B$116,10),"*"),Output!$D$2:$D$999,$C$116)*IND_Mult!AR215</f>
        <v>2.1000000000000001</v>
      </c>
    </row>
    <row r="117" spans="1:43" ht="12.75">
      <c r="A117" s="6"/>
      <c r="B117" s="17" t="s">
        <v>274</v>
      </c>
      <c r="C117" s="18" t="s">
        <v>59</v>
      </c>
      <c r="D117" s="26"/>
      <c r="E117" s="16" t="s">
        <v>104</v>
      </c>
      <c r="F117" s="31"/>
      <c r="G117" s="72">
        <f>SUMIFS(Output!L$2:L$999,Output!$C$2:$C$999,CONCATENATE(LEFT($B$117,10),"*"),Output!$D$2:$D$999,$C$117)*IND_Mult!H216</f>
        <v>2.5299999999999998</v>
      </c>
      <c r="H117" s="72">
        <f>SUMIFS(Output!M$2:M$999,Output!$C$2:$C$999,CONCATENATE(LEFT($B$117,10),"*"),Output!$D$2:$D$999,$C$117)*IND_Mult!I216</f>
        <v>2.5299999999999998</v>
      </c>
      <c r="I117" s="72">
        <f>SUMIFS(Output!N$2:N$999,Output!$C$2:$C$999,CONCATENATE(LEFT($B$117,10),"*"),Output!$D$2:$D$999,$C$117)*IND_Mult!J216</f>
        <v>2.5299999999999998</v>
      </c>
      <c r="J117" s="72">
        <f>SUMIFS(Output!O$2:O$999,Output!$C$2:$C$999,CONCATENATE(LEFT($B$117,10),"*"),Output!$D$2:$D$999,$C$117)*IND_Mult!K216</f>
        <v>2.5299999999999998</v>
      </c>
      <c r="K117" s="72">
        <f>SUMIFS(Output!P$2:P$999,Output!$C$2:$C$999,CONCATENATE(LEFT($B$117,10),"*"),Output!$D$2:$D$999,$C$117)*IND_Mult!L216</f>
        <v>1.2649999999999999</v>
      </c>
      <c r="L117" s="72">
        <f>SUMIFS(Output!Q$2:Q$999,Output!$C$2:$C$999,CONCATENATE(LEFT($B$117,10),"*"),Output!$D$2:$D$999,$C$117)*IND_Mult!M216</f>
        <v>3.7949999999999999</v>
      </c>
      <c r="M117" s="72">
        <f>SUMIFS(Output!R$2:R$999,Output!$C$2:$C$999,CONCATENATE(LEFT($B$117,10),"*"),Output!$D$2:$D$999,$C$117)*IND_Mult!N216</f>
        <v>2.5299999999999998</v>
      </c>
      <c r="N117" s="72">
        <f>SUMIFS(Output!S$2:S$999,Output!$C$2:$C$999,CONCATENATE(LEFT($B$117,10),"*"),Output!$D$2:$D$999,$C$117)*IND_Mult!O216</f>
        <v>1.6951000000000001</v>
      </c>
      <c r="O117" s="72">
        <f>SUMIFS(Output!T$2:T$999,Output!$C$2:$C$999,CONCATENATE(LEFT($B$117,10),"*"),Output!$D$2:$D$999,$C$117)*IND_Mult!P216</f>
        <v>2.5299999999999998</v>
      </c>
      <c r="P117" s="72">
        <f>SUMIFS(Output!U$2:U$999,Output!$C$2:$C$999,CONCATENATE(LEFT($B$117,10),"*"),Output!$D$2:$D$999,$C$117)*IND_Mult!Q216</f>
        <v>2.5299999999999998</v>
      </c>
      <c r="Q117" s="72">
        <f>SUMIFS(Output!V$2:V$999,Output!$C$2:$C$999,CONCATENATE(LEFT($B$117,10),"*"),Output!$D$2:$D$999,$C$117)*IND_Mult!R216</f>
        <v>2.5299999999999998</v>
      </c>
      <c r="R117" s="72">
        <f>SUMIFS(Output!W$2:W$999,Output!$C$2:$C$999,CONCATENATE(LEFT($B$117,10),"*"),Output!$D$2:$D$999,$C$117)*IND_Mult!S216</f>
        <v>2.5299999999999998</v>
      </c>
      <c r="S117" s="72">
        <f>SUMIFS(Output!X$2:X$999,Output!$C$2:$C$999,CONCATENATE(LEFT($B$117,10),"*"),Output!$D$2:$D$999,$C$117)*IND_Mult!T216</f>
        <v>2.5299999999999998</v>
      </c>
      <c r="T117" s="72">
        <f>SUMIFS(Output!Y$2:Y$999,Output!$C$2:$C$999,CONCATENATE(LEFT($B$117,10),"*"),Output!$D$2:$D$999,$C$117)*IND_Mult!U216</f>
        <v>2.5299999999999998</v>
      </c>
      <c r="U117" s="72">
        <f>SUMIFS(Output!Z$2:Z$999,Output!$C$2:$C$999,CONCATENATE(LEFT($B$117,10),"*"),Output!$D$2:$D$999,$C$117)*IND_Mult!V216</f>
        <v>2.5299999999999998</v>
      </c>
      <c r="V117" s="72">
        <f>SUMIFS(Output!AA$2:AA$999,Output!$C$2:$C$999,CONCATENATE(LEFT($B$117,10),"*"),Output!$D$2:$D$999,$C$117)*IND_Mult!W216</f>
        <v>2.5299999999999998</v>
      </c>
      <c r="W117" s="72">
        <f>SUMIFS(Output!AB$2:AB$999,Output!$C$2:$C$999,CONCATENATE(LEFT($B$117,10),"*"),Output!$D$2:$D$999,$C$117)*IND_Mult!X216</f>
        <v>2.5299999999999998</v>
      </c>
      <c r="X117" s="72">
        <f>SUMIFS(Output!AC$2:AC$999,Output!$C$2:$C$999,CONCATENATE(LEFT($B$117,10),"*"),Output!$D$2:$D$999,$C$117)*IND_Mult!Y216</f>
        <v>2.5299999999999998</v>
      </c>
      <c r="Y117" s="72">
        <f>SUMIFS(Output!AD$2:AD$999,Output!$C$2:$C$999,CONCATENATE(LEFT($B$117,10),"*"),Output!$D$2:$D$999,$C$117)*IND_Mult!Z216</f>
        <v>2.5299999999999998</v>
      </c>
      <c r="Z117" s="72">
        <f>SUMIFS(Output!AE$2:AE$999,Output!$C$2:$C$999,CONCATENATE(LEFT($B$117,10),"*"),Output!$D$2:$D$999,$C$117)*IND_Mult!AA216</f>
        <v>2.5299999999999998</v>
      </c>
      <c r="AA117" s="72">
        <f>SUMIFS(Output!AF$2:AF$999,Output!$C$2:$C$999,CONCATENATE(LEFT($B$117,10),"*"),Output!$D$2:$D$999,$C$117)*IND_Mult!AB216</f>
        <v>2.5299999999999998</v>
      </c>
      <c r="AB117" s="72">
        <f>SUMIFS(Output!AG$2:AG$999,Output!$C$2:$C$999,CONCATENATE(LEFT($B$117,10),"*"),Output!$D$2:$D$999,$C$117)*IND_Mult!AC216</f>
        <v>2.5299999999999998</v>
      </c>
      <c r="AC117" s="72">
        <f>SUMIFS(Output!AH$2:AH$999,Output!$C$2:$C$999,CONCATENATE(LEFT($B$117,10),"*"),Output!$D$2:$D$999,$C$117)*IND_Mult!AD216</f>
        <v>2.5299999999999998</v>
      </c>
      <c r="AD117" s="72">
        <f>SUMIFS(Output!AI$2:AI$999,Output!$C$2:$C$999,CONCATENATE(LEFT($B$117,10),"*"),Output!$D$2:$D$999,$C$117)*IND_Mult!AE216</f>
        <v>2.5299999999999998</v>
      </c>
      <c r="AE117" s="72">
        <f>SUMIFS(Output!AJ$2:AJ$999,Output!$C$2:$C$999,CONCATENATE(LEFT($B$117,10),"*"),Output!$D$2:$D$999,$C$117)*IND_Mult!AF216</f>
        <v>2.5299999999999998</v>
      </c>
      <c r="AF117" s="72">
        <f>SUMIFS(Output!AK$2:AK$999,Output!$C$2:$C$999,CONCATENATE(LEFT($B$117,10),"*"),Output!$D$2:$D$999,$C$117)*IND_Mult!AG216</f>
        <v>2.5299999999999998</v>
      </c>
      <c r="AG117" s="72">
        <f>SUMIFS(Output!AL$2:AL$999,Output!$C$2:$C$999,CONCATENATE(LEFT($B$117,10),"*"),Output!$D$2:$D$999,$C$117)*IND_Mult!AH216</f>
        <v>2.5299999999999998</v>
      </c>
      <c r="AH117" s="72">
        <f>SUMIFS(Output!AM$2:AM$999,Output!$C$2:$C$999,CONCATENATE(LEFT($B$117,10),"*"),Output!$D$2:$D$999,$C$117)*IND_Mult!AI216</f>
        <v>2.5299999999999998</v>
      </c>
      <c r="AI117" s="72">
        <f>SUMIFS(Output!AN$2:AN$999,Output!$C$2:$C$999,CONCATENATE(LEFT($B$117,10),"*"),Output!$D$2:$D$999,$C$117)*IND_Mult!AJ216</f>
        <v>2.5299999999999998</v>
      </c>
      <c r="AJ117" s="72">
        <f>SUMIFS(Output!AO$2:AO$999,Output!$C$2:$C$999,CONCATENATE(LEFT($B$117,10),"*"),Output!$D$2:$D$999,$C$117)*IND_Mult!AK216</f>
        <v>0</v>
      </c>
      <c r="AK117" s="72">
        <f>SUMIFS(Output!AP$2:AP$999,Output!$C$2:$C$999,CONCATENATE(LEFT($B$117,10),"*"),Output!$D$2:$D$999,$C$117)*IND_Mult!AL216</f>
        <v>2.5299999999999998</v>
      </c>
      <c r="AL117" s="72">
        <f>SUMIFS(Output!AQ$2:AQ$999,Output!$C$2:$C$999,CONCATENATE(LEFT($B$117,10),"*"),Output!$D$2:$D$999,$C$117)*IND_Mult!AM216</f>
        <v>2.5299999999999998</v>
      </c>
      <c r="AM117" s="72">
        <f>SUMIFS(Output!AR$2:AR$999,Output!$C$2:$C$999,CONCATENATE(LEFT($B$117,10),"*"),Output!$D$2:$D$999,$C$117)*IND_Mult!AN216</f>
        <v>2.5299999999999998</v>
      </c>
      <c r="AN117" s="72">
        <f>SUMIFS(Output!AS$2:AS$999,Output!$C$2:$C$999,CONCATENATE(LEFT($B$117,10),"*"),Output!$D$2:$D$999,$C$117)*IND_Mult!AO216</f>
        <v>2.5299999999999998</v>
      </c>
      <c r="AO117" s="72">
        <f>SUMIFS(Output!AT$2:AT$999,Output!$C$2:$C$999,CONCATENATE(LEFT($B$117,10),"*"),Output!$D$2:$D$999,$C$117)*IND_Mult!AP216</f>
        <v>2.5299999999999998</v>
      </c>
      <c r="AP117" s="72">
        <f>SUMIFS(Output!AU$2:AU$999,Output!$C$2:$C$999,CONCATENATE(LEFT($B$117,10),"*"),Output!$D$2:$D$999,$C$117)*IND_Mult!AQ216</f>
        <v>2.5299999999999998</v>
      </c>
      <c r="AQ117" s="72">
        <f>SUMIFS(Output!AV$2:AV$999,Output!$C$2:$C$999,CONCATENATE(LEFT($B$117,10),"*"),Output!$D$2:$D$999,$C$117)*IND_Mult!AR216</f>
        <v>2.5299999999999998</v>
      </c>
    </row>
    <row r="118" spans="1:43" ht="12.75">
      <c r="A118" s="6"/>
      <c r="B118" s="17" t="s">
        <v>274</v>
      </c>
      <c r="C118" s="18" t="s">
        <v>101</v>
      </c>
      <c r="D118" s="26"/>
      <c r="E118" s="16" t="s">
        <v>104</v>
      </c>
      <c r="F118" s="31"/>
      <c r="G118" s="72">
        <f>SUMIFS(Output!L$2:L$999,Output!$C$2:$C$999,CONCATENATE(LEFT($B$118,10),"*"),Output!$D$2:$D$999,$C$118)*IND_Mult!H217</f>
        <v>1</v>
      </c>
      <c r="H118" s="72">
        <f>SUMIFS(Output!M$2:M$999,Output!$C$2:$C$999,CONCATENATE(LEFT($B$118,10),"*"),Output!$D$2:$D$999,$C$118)*IND_Mult!I217</f>
        <v>1</v>
      </c>
      <c r="I118" s="72">
        <f>SUMIFS(Output!N$2:N$999,Output!$C$2:$C$999,CONCATENATE(LEFT($B$118,10),"*"),Output!$D$2:$D$999,$C$118)*IND_Mult!J217</f>
        <v>1</v>
      </c>
      <c r="J118" s="72">
        <f>SUMIFS(Output!O$2:O$999,Output!$C$2:$C$999,CONCATENATE(LEFT($B$118,10),"*"),Output!$D$2:$D$999,$C$118)*IND_Mult!K217</f>
        <v>1</v>
      </c>
      <c r="K118" s="72">
        <f>SUMIFS(Output!P$2:P$999,Output!$C$2:$C$999,CONCATENATE(LEFT($B$118,10),"*"),Output!$D$2:$D$999,$C$118)*IND_Mult!L217</f>
        <v>1</v>
      </c>
      <c r="L118" s="72">
        <f>SUMIFS(Output!Q$2:Q$999,Output!$C$2:$C$999,CONCATENATE(LEFT($B$118,10),"*"),Output!$D$2:$D$999,$C$118)*IND_Mult!M217</f>
        <v>1</v>
      </c>
      <c r="M118" s="72">
        <f>SUMIFS(Output!R$2:R$999,Output!$C$2:$C$999,CONCATENATE(LEFT($B$118,10),"*"),Output!$D$2:$D$999,$C$118)*IND_Mult!N217</f>
        <v>1</v>
      </c>
      <c r="N118" s="72">
        <f>SUMIFS(Output!S$2:S$999,Output!$C$2:$C$999,CONCATENATE(LEFT($B$118,10),"*"),Output!$D$2:$D$999,$C$118)*IND_Mult!O217</f>
        <v>1</v>
      </c>
      <c r="O118" s="72">
        <f>SUMIFS(Output!T$2:T$999,Output!$C$2:$C$999,CONCATENATE(LEFT($B$118,10),"*"),Output!$D$2:$D$999,$C$118)*IND_Mult!P217</f>
        <v>1</v>
      </c>
      <c r="P118" s="72">
        <f>SUMIFS(Output!U$2:U$999,Output!$C$2:$C$999,CONCATENATE(LEFT($B$118,10),"*"),Output!$D$2:$D$999,$C$118)*IND_Mult!Q217</f>
        <v>1</v>
      </c>
      <c r="Q118" s="72">
        <f>SUMIFS(Output!V$2:V$999,Output!$C$2:$C$999,CONCATENATE(LEFT($B$118,10),"*"),Output!$D$2:$D$999,$C$118)*IND_Mult!R217</f>
        <v>1</v>
      </c>
      <c r="R118" s="72">
        <f>SUMIFS(Output!W$2:W$999,Output!$C$2:$C$999,CONCATENATE(LEFT($B$118,10),"*"),Output!$D$2:$D$999,$C$118)*IND_Mult!S217</f>
        <v>1</v>
      </c>
      <c r="S118" s="72">
        <f>SUMIFS(Output!X$2:X$999,Output!$C$2:$C$999,CONCATENATE(LEFT($B$118,10),"*"),Output!$D$2:$D$999,$C$118)*IND_Mult!T217</f>
        <v>1</v>
      </c>
      <c r="T118" s="72">
        <f>SUMIFS(Output!Y$2:Y$999,Output!$C$2:$C$999,CONCATENATE(LEFT($B$118,10),"*"),Output!$D$2:$D$999,$C$118)*IND_Mult!U217</f>
        <v>1</v>
      </c>
      <c r="U118" s="72">
        <f>SUMIFS(Output!Z$2:Z$999,Output!$C$2:$C$999,CONCATENATE(LEFT($B$118,10),"*"),Output!$D$2:$D$999,$C$118)*IND_Mult!V217</f>
        <v>1</v>
      </c>
      <c r="V118" s="72">
        <f>SUMIFS(Output!AA$2:AA$999,Output!$C$2:$C$999,CONCATENATE(LEFT($B$118,10),"*"),Output!$D$2:$D$999,$C$118)*IND_Mult!W217</f>
        <v>1</v>
      </c>
      <c r="W118" s="72">
        <f>SUMIFS(Output!AB$2:AB$999,Output!$C$2:$C$999,CONCATENATE(LEFT($B$118,10),"*"),Output!$D$2:$D$999,$C$118)*IND_Mult!X217</f>
        <v>1</v>
      </c>
      <c r="X118" s="72">
        <f>SUMIFS(Output!AC$2:AC$999,Output!$C$2:$C$999,CONCATENATE(LEFT($B$118,10),"*"),Output!$D$2:$D$999,$C$118)*IND_Mult!Y217</f>
        <v>1</v>
      </c>
      <c r="Y118" s="72">
        <f>SUMIFS(Output!AD$2:AD$999,Output!$C$2:$C$999,CONCATENATE(LEFT($B$118,10),"*"),Output!$D$2:$D$999,$C$118)*IND_Mult!Z217</f>
        <v>1</v>
      </c>
      <c r="Z118" s="72">
        <f>SUMIFS(Output!AE$2:AE$999,Output!$C$2:$C$999,CONCATENATE(LEFT($B$118,10),"*"),Output!$D$2:$D$999,$C$118)*IND_Mult!AA217</f>
        <v>1</v>
      </c>
      <c r="AA118" s="72">
        <f>SUMIFS(Output!AF$2:AF$999,Output!$C$2:$C$999,CONCATENATE(LEFT($B$118,10),"*"),Output!$D$2:$D$999,$C$118)*IND_Mult!AB217</f>
        <v>1</v>
      </c>
      <c r="AB118" s="72">
        <f>SUMIFS(Output!AG$2:AG$999,Output!$C$2:$C$999,CONCATENATE(LEFT($B$118,10),"*"),Output!$D$2:$D$999,$C$118)*IND_Mult!AC217</f>
        <v>1</v>
      </c>
      <c r="AC118" s="72">
        <f>SUMIFS(Output!AH$2:AH$999,Output!$C$2:$C$999,CONCATENATE(LEFT($B$118,10),"*"),Output!$D$2:$D$999,$C$118)*IND_Mult!AD217</f>
        <v>1</v>
      </c>
      <c r="AD118" s="72">
        <f>SUMIFS(Output!AI$2:AI$999,Output!$C$2:$C$999,CONCATENATE(LEFT($B$118,10),"*"),Output!$D$2:$D$999,$C$118)*IND_Mult!AE217</f>
        <v>1</v>
      </c>
      <c r="AE118" s="72">
        <f>SUMIFS(Output!AJ$2:AJ$999,Output!$C$2:$C$999,CONCATENATE(LEFT($B$118,10),"*"),Output!$D$2:$D$999,$C$118)*IND_Mult!AF217</f>
        <v>1</v>
      </c>
      <c r="AF118" s="72">
        <f>SUMIFS(Output!AK$2:AK$999,Output!$C$2:$C$999,CONCATENATE(LEFT($B$118,10),"*"),Output!$D$2:$D$999,$C$118)*IND_Mult!AG217</f>
        <v>1</v>
      </c>
      <c r="AG118" s="72">
        <f>SUMIFS(Output!AL$2:AL$999,Output!$C$2:$C$999,CONCATENATE(LEFT($B$118,10),"*"),Output!$D$2:$D$999,$C$118)*IND_Mult!AH217</f>
        <v>1</v>
      </c>
      <c r="AH118" s="72">
        <f>SUMIFS(Output!AM$2:AM$999,Output!$C$2:$C$999,CONCATENATE(LEFT($B$118,10),"*"),Output!$D$2:$D$999,$C$118)*IND_Mult!AI217</f>
        <v>1</v>
      </c>
      <c r="AI118" s="72">
        <f>SUMIFS(Output!AN$2:AN$999,Output!$C$2:$C$999,CONCATENATE(LEFT($B$118,10),"*"),Output!$D$2:$D$999,$C$118)*IND_Mult!AJ217</f>
        <v>1</v>
      </c>
      <c r="AJ118" s="72">
        <f>SUMIFS(Output!AO$2:AO$999,Output!$C$2:$C$999,CONCATENATE(LEFT($B$118,10),"*"),Output!$D$2:$D$999,$C$118)*IND_Mult!AK217</f>
        <v>1</v>
      </c>
      <c r="AK118" s="72">
        <f>SUMIFS(Output!AP$2:AP$999,Output!$C$2:$C$999,CONCATENATE(LEFT($B$118,10),"*"),Output!$D$2:$D$999,$C$118)*IND_Mult!AL217</f>
        <v>1</v>
      </c>
      <c r="AL118" s="72">
        <f>SUMIFS(Output!AQ$2:AQ$999,Output!$C$2:$C$999,CONCATENATE(LEFT($B$118,10),"*"),Output!$D$2:$D$999,$C$118)*IND_Mult!AM217</f>
        <v>1</v>
      </c>
      <c r="AM118" s="72">
        <f>SUMIFS(Output!AR$2:AR$999,Output!$C$2:$C$999,CONCATENATE(LEFT($B$118,10),"*"),Output!$D$2:$D$999,$C$118)*IND_Mult!AN217</f>
        <v>1</v>
      </c>
      <c r="AN118" s="72">
        <f>SUMIFS(Output!AS$2:AS$999,Output!$C$2:$C$999,CONCATENATE(LEFT($B$118,10),"*"),Output!$D$2:$D$999,$C$118)*IND_Mult!AO217</f>
        <v>1</v>
      </c>
      <c r="AO118" s="72">
        <f>SUMIFS(Output!AT$2:AT$999,Output!$C$2:$C$999,CONCATENATE(LEFT($B$118,10),"*"),Output!$D$2:$D$999,$C$118)*IND_Mult!AP217</f>
        <v>1</v>
      </c>
      <c r="AP118" s="72">
        <f>SUMIFS(Output!AU$2:AU$999,Output!$C$2:$C$999,CONCATENATE(LEFT($B$118,10),"*"),Output!$D$2:$D$999,$C$118)*IND_Mult!AQ217</f>
        <v>1</v>
      </c>
      <c r="AQ118" s="72">
        <f>SUMIFS(Output!AV$2:AV$999,Output!$C$2:$C$999,CONCATENATE(LEFT($B$118,10),"*"),Output!$D$2:$D$999,$C$118)*IND_Mult!AR217</f>
        <v>1</v>
      </c>
    </row>
    <row r="119" spans="1:43" ht="12.75">
      <c r="A119" s="6"/>
      <c r="B119" s="17" t="s">
        <v>275</v>
      </c>
      <c r="C119" s="18" t="s">
        <v>37</v>
      </c>
      <c r="D119" s="26"/>
      <c r="E119" s="16" t="s">
        <v>103</v>
      </c>
      <c r="F119" s="31"/>
      <c r="G119" s="69">
        <f>SUMIFS(Input!L$2:L$999,Input!$C$2:$C$999,CONCATENATE(LEFT($B$119,10),"*"),Input!$D$2:$D$999,$C$119)*IND_Mult!H119</f>
        <v>1.9550000000000001</v>
      </c>
      <c r="H119" s="69">
        <f>SUMIFS(Input!M$2:M$999,Input!$C$2:$C$999,CONCATENATE(LEFT($B$119,10),"*"),Input!$D$2:$D$999,$C$119)*IND_Mult!I119</f>
        <v>1.7</v>
      </c>
      <c r="I119" s="69">
        <f>SUMIFS(Input!N$2:N$999,Input!$C$2:$C$999,CONCATENATE(LEFT($B$119,10),"*"),Input!$D$2:$D$999,$C$119)*IND_Mult!J119</f>
        <v>2.4649999999999999</v>
      </c>
      <c r="J119" s="69">
        <f>SUMIFS(Input!O$2:O$999,Input!$C$2:$C$999,CONCATENATE(LEFT($B$119,10),"*"),Input!$D$2:$D$999,$C$119)*IND_Mult!K119</f>
        <v>1.802</v>
      </c>
      <c r="K119" s="69">
        <f>SUMIFS(Input!P$2:P$999,Input!$C$2:$C$999,CONCATENATE(LEFT($B$119,10),"*"),Input!$D$2:$D$999,$C$119)*IND_Mult!L119</f>
        <v>2.04</v>
      </c>
      <c r="L119" s="69">
        <f>SUMIFS(Input!Q$2:Q$999,Input!$C$2:$C$999,CONCATENATE(LEFT($B$119,10),"*"),Input!$D$2:$D$999,$C$119)*IND_Mult!M119</f>
        <v>2.04</v>
      </c>
      <c r="M119" s="69">
        <f>SUMIFS(Input!R$2:R$999,Input!$C$2:$C$999,CONCATENATE(LEFT($B$119,10),"*"),Input!$D$2:$D$999,$C$119)*IND_Mult!N119</f>
        <v>2.05714285714286</v>
      </c>
      <c r="N119" s="69">
        <f>SUMIFS(Input!S$2:S$999,Input!$C$2:$C$999,CONCATENATE(LEFT($B$119,10),"*"),Input!$D$2:$D$999,$C$119)*IND_Mult!O119</f>
        <v>2.2949999999999999</v>
      </c>
      <c r="O119" s="69">
        <f>SUMIFS(Input!T$2:T$999,Input!$C$2:$C$999,CONCATENATE(LEFT($B$119,10),"*"),Input!$D$2:$D$999,$C$119)*IND_Mult!P119</f>
        <v>1.4449999999999998</v>
      </c>
      <c r="P119" s="69">
        <f>SUMIFS(Input!U$2:U$999,Input!$C$2:$C$999,CONCATENATE(LEFT($B$119,10),"*"),Input!$D$2:$D$999,$C$119)*IND_Mult!Q119</f>
        <v>1.7</v>
      </c>
      <c r="Q119" s="69">
        <f>SUMIFS(Input!V$2:V$999,Input!$C$2:$C$999,CONCATENATE(LEFT($B$119,10),"*"),Input!$D$2:$D$999,$C$119)*IND_Mult!R119</f>
        <v>2.5245000000000002</v>
      </c>
      <c r="R119" s="69">
        <f>SUMIFS(Input!W$2:W$999,Input!$C$2:$C$999,CONCATENATE(LEFT($B$119,10),"*"),Input!$D$2:$D$999,$C$119)*IND_Mult!S119</f>
        <v>1.53</v>
      </c>
      <c r="S119" s="69">
        <f>SUMIFS(Input!X$2:X$999,Input!$C$2:$C$999,CONCATENATE(LEFT($B$119,10),"*"),Input!$D$2:$D$999,$C$119)*IND_Mult!T119</f>
        <v>1.1475</v>
      </c>
      <c r="T119" s="69">
        <f>SUMIFS(Input!Y$2:Y$999,Input!$C$2:$C$999,CONCATENATE(LEFT($B$119,10),"*"),Input!$D$2:$D$999,$C$119)*IND_Mult!U119</f>
        <v>2.839</v>
      </c>
      <c r="U119" s="69">
        <f>SUMIFS(Input!Z$2:Z$999,Input!$C$2:$C$999,CONCATENATE(LEFT($B$119,10),"*"),Input!$D$2:$D$999,$C$119)*IND_Mult!V119</f>
        <v>1.768</v>
      </c>
      <c r="V119" s="69">
        <f>SUMIFS(Input!AA$2:AA$999,Input!$C$2:$C$999,CONCATENATE(LEFT($B$119,10),"*"),Input!$D$2:$D$999,$C$119)*IND_Mult!W119</f>
        <v>1.6915</v>
      </c>
      <c r="W119" s="69">
        <f>SUMIFS(Input!AB$2:AB$999,Input!$C$2:$C$999,CONCATENATE(LEFT($B$119,10),"*"),Input!$D$2:$D$999,$C$119)*IND_Mult!X119</f>
        <v>1.7</v>
      </c>
      <c r="X119" s="69">
        <f>SUMIFS(Input!AC$2:AC$999,Input!$C$2:$C$999,CONCATENATE(LEFT($B$119,10),"*"),Input!$D$2:$D$999,$C$119)*IND_Mult!Y119</f>
        <v>3.2469999999999999</v>
      </c>
      <c r="Y119" s="69">
        <f>SUMIFS(Input!AD$2:AD$999,Input!$C$2:$C$999,CONCATENATE(LEFT($B$119,10),"*"),Input!$D$2:$D$999,$C$119)*IND_Mult!Z119</f>
        <v>1.7</v>
      </c>
      <c r="Z119" s="69">
        <f>SUMIFS(Input!AE$2:AE$999,Input!$C$2:$C$999,CONCATENATE(LEFT($B$119,10),"*"),Input!$D$2:$D$999,$C$119)*IND_Mult!AA119</f>
        <v>1.6659999999999999</v>
      </c>
      <c r="AA119" s="69">
        <f>SUMIFS(Input!AF$2:AF$999,Input!$C$2:$C$999,CONCATENATE(LEFT($B$119,10),"*"),Input!$D$2:$D$999,$C$119)*IND_Mult!AB119</f>
        <v>1.7</v>
      </c>
      <c r="AB119" s="69">
        <f>SUMIFS(Input!AG$2:AG$999,Input!$C$2:$C$999,CONCATENATE(LEFT($B$119,10),"*"),Input!$D$2:$D$999,$C$119)*IND_Mult!AC119</f>
        <v>2.125</v>
      </c>
      <c r="AC119" s="69">
        <f>SUMIFS(Input!AH$2:AH$999,Input!$C$2:$C$999,CONCATENATE(LEFT($B$119,10),"*"),Input!$D$2:$D$999,$C$119)*IND_Mult!AD119</f>
        <v>2.278</v>
      </c>
      <c r="AD119" s="69">
        <f>SUMIFS(Input!AI$2:AI$999,Input!$C$2:$C$999,CONCATENATE(LEFT($B$119,10),"*"),Input!$D$2:$D$999,$C$119)*IND_Mult!AE119</f>
        <v>1.3209</v>
      </c>
      <c r="AE119" s="69">
        <f>SUMIFS(Input!AJ$2:AJ$999,Input!$C$2:$C$999,CONCATENATE(LEFT($B$119,10),"*"),Input!$D$2:$D$999,$C$119)*IND_Mult!AF119</f>
        <v>1.7</v>
      </c>
      <c r="AF119" s="69">
        <f>SUMIFS(Input!AK$2:AK$999,Input!$C$2:$C$999,CONCATENATE(LEFT($B$119,10),"*"),Input!$D$2:$D$999,$C$119)*IND_Mult!AG119</f>
        <v>2.125</v>
      </c>
      <c r="AG119" s="69">
        <f>SUMIFS(Input!AL$2:AL$999,Input!$C$2:$C$999,CONCATENATE(LEFT($B$119,10),"*"),Input!$D$2:$D$999,$C$119)*IND_Mult!AH119</f>
        <v>1.7</v>
      </c>
      <c r="AH119" s="69">
        <f>SUMIFS(Input!AM$2:AM$999,Input!$C$2:$C$999,CONCATENATE(LEFT($B$119,10),"*"),Input!$D$2:$D$999,$C$119)*IND_Mult!AI119</f>
        <v>1.4450000000000001</v>
      </c>
      <c r="AI119" s="69">
        <f>SUMIFS(Input!AN$2:AN$999,Input!$C$2:$C$999,CONCATENATE(LEFT($B$119,10),"*"),Input!$D$2:$D$999,$C$119)*IND_Mult!AJ119</f>
        <v>1.9975000000000001</v>
      </c>
      <c r="AJ119" s="69">
        <f>SUMIFS(Input!AO$2:AO$999,Input!$C$2:$C$999,CONCATENATE(LEFT($B$119,10),"*"),Input!$D$2:$D$999,$C$119)*IND_Mult!AK119</f>
        <v>1.8700000000000001</v>
      </c>
      <c r="AK119" s="69">
        <f>SUMIFS(Input!AP$2:AP$999,Input!$C$2:$C$999,CONCATENATE(LEFT($B$119,10),"*"),Input!$D$2:$D$999,$C$119)*IND_Mult!AL119</f>
        <v>2.8900000000000001</v>
      </c>
      <c r="AL119" s="69">
        <f>SUMIFS(Input!AQ$2:AQ$999,Input!$C$2:$C$999,CONCATENATE(LEFT($B$119,10),"*"),Input!$D$2:$D$999,$C$119)*IND_Mult!AM119</f>
        <v>1.8700000000000001</v>
      </c>
      <c r="AM119" s="69">
        <f>SUMIFS(Input!AR$2:AR$999,Input!$C$2:$C$999,CONCATENATE(LEFT($B$119,10),"*"),Input!$D$2:$D$999,$C$119)*IND_Mult!AN119</f>
        <v>1.7</v>
      </c>
      <c r="AN119" s="69">
        <f>SUMIFS(Input!AS$2:AS$999,Input!$C$2:$C$999,CONCATENATE(LEFT($B$119,10),"*"),Input!$D$2:$D$999,$C$119)*IND_Mult!AO119</f>
        <v>3.0600000000000001</v>
      </c>
      <c r="AO119" s="69">
        <f>SUMIFS(Input!AT$2:AT$999,Input!$C$2:$C$999,CONCATENATE(LEFT($B$119,10),"*"),Input!$D$2:$D$999,$C$119)*IND_Mult!AP119</f>
        <v>1.6319999999999999</v>
      </c>
      <c r="AP119" s="69">
        <f>SUMIFS(Input!AU$2:AU$999,Input!$C$2:$C$999,CONCATENATE(LEFT($B$119,10),"*"),Input!$D$2:$D$999,$C$119)*IND_Mult!AQ119</f>
        <v>2.04</v>
      </c>
      <c r="AQ119" s="69">
        <f>SUMIFS(Input!AV$2:AV$999,Input!$C$2:$C$999,CONCATENATE(LEFT($B$119,10),"*"),Input!$D$2:$D$999,$C$119)*IND_Mult!AR119</f>
        <v>2.3969999999999998</v>
      </c>
    </row>
    <row r="120" spans="1:43" ht="12.75">
      <c r="A120" s="6"/>
      <c r="B120" s="17" t="s">
        <v>275</v>
      </c>
      <c r="C120" s="18" t="s">
        <v>59</v>
      </c>
      <c r="D120" s="26"/>
      <c r="E120" s="16" t="s">
        <v>103</v>
      </c>
      <c r="F120" s="31"/>
      <c r="G120" s="69">
        <f>SUMIFS(Input!L$2:L$999,Input!$C$2:$C$999,CONCATENATE(LEFT($B$120,10),"*"),Input!$D$2:$D$999,$C$120)*IND_Mult!H120</f>
        <v>1.2749999999999999</v>
      </c>
      <c r="H120" s="69">
        <f>SUMIFS(Input!M$2:M$999,Input!$C$2:$C$999,CONCATENATE(LEFT($B$120,10),"*"),Input!$D$2:$D$999,$C$120)*IND_Mult!I120</f>
        <v>1.1839999999999999</v>
      </c>
      <c r="I120" s="69">
        <f>SUMIFS(Input!N$2:N$999,Input!$C$2:$C$999,CONCATENATE(LEFT($B$120,10),"*"),Input!$D$2:$D$999,$C$120)*IND_Mult!J120</f>
        <v>1.45</v>
      </c>
      <c r="J120" s="69">
        <f>SUMIFS(Input!O$2:O$999,Input!$C$2:$C$999,CONCATENATE(LEFT($B$120,10),"*"),Input!$D$2:$D$999,$C$120)*IND_Mult!K120</f>
        <v>1.1000000000000001</v>
      </c>
      <c r="K120" s="69">
        <f>SUMIFS(Input!P$2:P$999,Input!$C$2:$C$999,CONCATENATE(LEFT($B$120,10),"*"),Input!$D$2:$D$999,$C$120)*IND_Mult!L120</f>
        <v>1.3600000000000001</v>
      </c>
      <c r="L120" s="69">
        <f>SUMIFS(Input!Q$2:Q$999,Input!$C$2:$C$999,CONCATENATE(LEFT($B$120,10),"*"),Input!$D$2:$D$999,$C$120)*IND_Mult!M120</f>
        <v>0.81399999999999995</v>
      </c>
      <c r="M120" s="69">
        <f>SUMIFS(Input!R$2:R$999,Input!$C$2:$C$999,CONCATENATE(LEFT($B$120,10),"*"),Input!$D$2:$D$999,$C$120)*IND_Mult!N120</f>
        <v>0</v>
      </c>
      <c r="N120" s="69">
        <f>SUMIFS(Input!S$2:S$999,Input!$C$2:$C$999,CONCATENATE(LEFT($B$120,10),"*"),Input!$D$2:$D$999,$C$120)*IND_Mult!O120</f>
        <v>1.54</v>
      </c>
      <c r="O120" s="69">
        <f>SUMIFS(Input!T$2:T$999,Input!$C$2:$C$999,CONCATENATE(LEFT($B$120,10),"*"),Input!$D$2:$D$999,$C$120)*IND_Mult!P120</f>
        <v>0.91400000000000003</v>
      </c>
      <c r="P120" s="69">
        <f>SUMIFS(Input!U$2:U$999,Input!$C$2:$C$999,CONCATENATE(LEFT($B$120,10),"*"),Input!$D$2:$D$999,$C$120)*IND_Mult!Q120</f>
        <v>1</v>
      </c>
      <c r="Q120" s="69">
        <f>SUMIFS(Input!V$2:V$999,Input!$C$2:$C$999,CONCATENATE(LEFT($B$120,10),"*"),Input!$D$2:$D$999,$C$120)*IND_Mult!R120</f>
        <v>1.0900000000000001</v>
      </c>
      <c r="R120" s="69">
        <f>SUMIFS(Input!W$2:W$999,Input!$C$2:$C$999,CONCATENATE(LEFT($B$120,10),"*"),Input!$D$2:$D$999,$C$120)*IND_Mult!S120</f>
        <v>0.83199999999999996</v>
      </c>
      <c r="S120" s="69">
        <f>SUMIFS(Input!X$2:X$999,Input!$C$2:$C$999,CONCATENATE(LEFT($B$120,10),"*"),Input!$D$2:$D$999,$C$120)*IND_Mult!T120</f>
        <v>0.92500000000000004</v>
      </c>
      <c r="T120" s="69">
        <f>SUMIFS(Input!Y$2:Y$999,Input!$C$2:$C$999,CONCATENATE(LEFT($B$120,10),"*"),Input!$D$2:$D$999,$C$120)*IND_Mult!U120</f>
        <v>1.3999999999999999</v>
      </c>
      <c r="U120" s="69">
        <f>SUMIFS(Input!Z$2:Z$999,Input!$C$2:$C$999,CONCATENATE(LEFT($B$120,10),"*"),Input!$D$2:$D$999,$C$120)*IND_Mult!V120</f>
        <v>1</v>
      </c>
      <c r="V120" s="69">
        <f>SUMIFS(Input!AA$2:AA$999,Input!$C$2:$C$999,CONCATENATE(LEFT($B$120,10),"*"),Input!$D$2:$D$999,$C$120)*IND_Mult!W120</f>
        <v>0.995</v>
      </c>
      <c r="W120" s="69">
        <f>SUMIFS(Input!AB$2:AB$999,Input!$C$2:$C$999,CONCATENATE(LEFT($B$120,10),"*"),Input!$D$2:$D$999,$C$120)*IND_Mult!X120</f>
        <v>0.85999999999999999</v>
      </c>
      <c r="X120" s="69">
        <f>SUMIFS(Input!AC$2:AC$999,Input!$C$2:$C$999,CONCATENATE(LEFT($B$120,10),"*"),Input!$D$2:$D$999,$C$120)*IND_Mult!Y120</f>
        <v>0.255</v>
      </c>
      <c r="Y120" s="69">
        <f>SUMIFS(Input!AD$2:AD$999,Input!$C$2:$C$999,CONCATENATE(LEFT($B$120,10),"*"),Input!$D$2:$D$999,$C$120)*IND_Mult!Z120</f>
        <v>1</v>
      </c>
      <c r="Z120" s="69">
        <f>SUMIFS(Input!AE$2:AE$999,Input!$C$2:$C$999,CONCATENATE(LEFT($B$120,10),"*"),Input!$D$2:$D$999,$C$120)*IND_Mult!AA120</f>
        <v>0.94999999999999996</v>
      </c>
      <c r="AA120" s="69">
        <f>SUMIFS(Input!AF$2:AF$999,Input!$C$2:$C$999,CONCATENATE(LEFT($B$120,10),"*"),Input!$D$2:$D$999,$C$120)*IND_Mult!AB120</f>
        <v>1</v>
      </c>
      <c r="AB120" s="69">
        <f>SUMIFS(Input!AG$2:AG$999,Input!$C$2:$C$999,CONCATENATE(LEFT($B$120,10),"*"),Input!$D$2:$D$999,$C$120)*IND_Mult!AC120</f>
        <v>0.90000000000000002</v>
      </c>
      <c r="AC120" s="69">
        <f>SUMIFS(Input!AH$2:AH$999,Input!$C$2:$C$999,CONCATENATE(LEFT($B$120,10),"*"),Input!$D$2:$D$999,$C$120)*IND_Mult!AD120</f>
        <v>0.86499999999999999</v>
      </c>
      <c r="AD120" s="69">
        <f>SUMIFS(Input!AI$2:AI$999,Input!$C$2:$C$999,CONCATENATE(LEFT($B$120,10),"*"),Input!$D$2:$D$999,$C$120)*IND_Mult!AE120</f>
        <v>0.77700000000000002</v>
      </c>
      <c r="AE120" s="69">
        <f>SUMIFS(Input!AJ$2:AJ$999,Input!$C$2:$C$999,CONCATENATE(LEFT($B$120,10),"*"),Input!$D$2:$D$999,$C$120)*IND_Mult!AF120</f>
        <v>1</v>
      </c>
      <c r="AF120" s="69">
        <f>SUMIFS(Input!AK$2:AK$999,Input!$C$2:$C$999,CONCATENATE(LEFT($B$120,10),"*"),Input!$D$2:$D$999,$C$120)*IND_Mult!AG120</f>
        <v>0.61499999999999999</v>
      </c>
      <c r="AG120" s="69">
        <f>SUMIFS(Input!AL$2:AL$999,Input!$C$2:$C$999,CONCATENATE(LEFT($B$120,10),"*"),Input!$D$2:$D$999,$C$120)*IND_Mult!AH120</f>
        <v>1</v>
      </c>
      <c r="AH120" s="69">
        <f>SUMIFS(Input!AM$2:AM$999,Input!$C$2:$C$999,CONCATENATE(LEFT($B$120,10),"*"),Input!$D$2:$D$999,$C$120)*IND_Mult!AI120</f>
        <v>0.96499999999999997</v>
      </c>
      <c r="AI120" s="69">
        <f>SUMIFS(Input!AN$2:AN$999,Input!$C$2:$C$999,CONCATENATE(LEFT($B$120,10),"*"),Input!$D$2:$D$999,$C$120)*IND_Mult!AJ120</f>
        <v>0.81699999999999995</v>
      </c>
      <c r="AJ120" s="69">
        <f>SUMIFS(Input!AO$2:AO$999,Input!$C$2:$C$999,CONCATENATE(LEFT($B$120,10),"*"),Input!$D$2:$D$999,$C$120)*IND_Mult!AK120</f>
        <v>1.1000000000000001</v>
      </c>
      <c r="AK120" s="69">
        <f>SUMIFS(Input!AP$2:AP$999,Input!$C$2:$C$999,CONCATENATE(LEFT($B$120,10),"*"),Input!$D$2:$D$999,$C$120)*IND_Mult!AL120</f>
        <v>1.8500000000000001</v>
      </c>
      <c r="AL120" s="69">
        <f>SUMIFS(Input!AQ$2:AQ$999,Input!$C$2:$C$999,CONCATENATE(LEFT($B$120,10),"*"),Input!$D$2:$D$999,$C$120)*IND_Mult!AM120</f>
        <v>1.05</v>
      </c>
      <c r="AM120" s="69">
        <f>SUMIFS(Input!AR$2:AR$999,Input!$C$2:$C$999,CONCATENATE(LEFT($B$120,10),"*"),Input!$D$2:$D$999,$C$120)*IND_Mult!AN120</f>
        <v>1</v>
      </c>
      <c r="AN120" s="69">
        <f>SUMIFS(Input!AS$2:AS$999,Input!$C$2:$C$999,CONCATENATE(LEFT($B$120,10),"*"),Input!$D$2:$D$999,$C$120)*IND_Mult!AO120</f>
        <v>1.4750000000000001</v>
      </c>
      <c r="AO120" s="69">
        <f>SUMIFS(Input!AT$2:AT$999,Input!$C$2:$C$999,CONCATENATE(LEFT($B$120,10),"*"),Input!$D$2:$D$999,$C$120)*IND_Mult!AP120</f>
        <v>0.97499999999999998</v>
      </c>
      <c r="AP120" s="69">
        <f>SUMIFS(Input!AU$2:AU$999,Input!$C$2:$C$999,CONCATENATE(LEFT($B$120,10),"*"),Input!$D$2:$D$999,$C$120)*IND_Mult!AQ120</f>
        <v>1.45</v>
      </c>
      <c r="AQ120" s="69">
        <f>SUMIFS(Input!AV$2:AV$999,Input!$C$2:$C$999,CONCATENATE(LEFT($B$120,10),"*"),Input!$D$2:$D$999,$C$120)*IND_Mult!AR120</f>
        <v>0.91000000000000003</v>
      </c>
    </row>
    <row r="121" spans="1:43" ht="12.75">
      <c r="A121" s="6"/>
      <c r="B121" s="17" t="s">
        <v>275</v>
      </c>
      <c r="C121" s="18" t="s">
        <v>82</v>
      </c>
      <c r="D121" s="26"/>
      <c r="E121" s="16" t="s">
        <v>283</v>
      </c>
      <c r="F121" s="31"/>
      <c r="G121" s="69">
        <f>SUMIFS(Input!L$2:L$999,Input!$C$2:$C$999,CONCATENATE(LEFT($B$121,10),"*"),Input!$D$2:$D$999,$C$121)*IND_Mult!H121</f>
        <v>0</v>
      </c>
      <c r="H121" s="69">
        <f>SUMIFS(Input!M$2:M$999,Input!$C$2:$C$999,CONCATENATE(LEFT($B$121,10),"*"),Input!$D$2:$D$999,$C$121)*IND_Mult!I121</f>
        <v>0</v>
      </c>
      <c r="I121" s="69">
        <f>SUMIFS(Input!N$2:N$999,Input!$C$2:$C$999,CONCATENATE(LEFT($B$121,10),"*"),Input!$D$2:$D$999,$C$121)*IND_Mult!J121</f>
        <v>0</v>
      </c>
      <c r="J121" s="69">
        <f>SUMIFS(Input!O$2:O$999,Input!$C$2:$C$999,CONCATENATE(LEFT($B$121,10),"*"),Input!$D$2:$D$999,$C$121)*IND_Mult!K121</f>
        <v>0</v>
      </c>
      <c r="K121" s="69">
        <f>SUMIFS(Input!P$2:P$999,Input!$C$2:$C$999,CONCATENATE(LEFT($B$121,10),"*"),Input!$D$2:$D$999,$C$121)*IND_Mult!L121</f>
        <v>0</v>
      </c>
      <c r="L121" s="69">
        <f>SUMIFS(Input!Q$2:Q$999,Input!$C$2:$C$999,CONCATENATE(LEFT($B$121,10),"*"),Input!$D$2:$D$999,$C$121)*IND_Mult!M121</f>
        <v>0</v>
      </c>
      <c r="M121" s="69">
        <f>SUMIFS(Input!R$2:R$999,Input!$C$2:$C$999,CONCATENATE(LEFT($B$121,10),"*"),Input!$D$2:$D$999,$C$121)*IND_Mult!N121</f>
        <v>0</v>
      </c>
      <c r="N121" s="69">
        <f>SUMIFS(Input!S$2:S$999,Input!$C$2:$C$999,CONCATENATE(LEFT($B$121,10),"*"),Input!$D$2:$D$999,$C$121)*IND_Mult!O121</f>
        <v>0</v>
      </c>
      <c r="O121" s="69">
        <f>SUMIFS(Input!T$2:T$999,Input!$C$2:$C$999,CONCATENATE(LEFT($B$121,10),"*"),Input!$D$2:$D$999,$C$121)*IND_Mult!P121</f>
        <v>0</v>
      </c>
      <c r="P121" s="69">
        <f>SUMIFS(Input!U$2:U$999,Input!$C$2:$C$999,CONCATENATE(LEFT($B$121,10),"*"),Input!$D$2:$D$999,$C$121)*IND_Mult!Q121</f>
        <v>0</v>
      </c>
      <c r="Q121" s="69">
        <f>SUMIFS(Input!V$2:V$999,Input!$C$2:$C$999,CONCATENATE(LEFT($B$121,10),"*"),Input!$D$2:$D$999,$C$121)*IND_Mult!R121</f>
        <v>0</v>
      </c>
      <c r="R121" s="69">
        <f>SUMIFS(Input!W$2:W$999,Input!$C$2:$C$999,CONCATENATE(LEFT($B$121,10),"*"),Input!$D$2:$D$999,$C$121)*IND_Mult!S121</f>
        <v>0</v>
      </c>
      <c r="S121" s="69">
        <f>SUMIFS(Input!X$2:X$999,Input!$C$2:$C$999,CONCATENATE(LEFT($B$121,10),"*"),Input!$D$2:$D$999,$C$121)*IND_Mult!T121</f>
        <v>0</v>
      </c>
      <c r="T121" s="69">
        <f>SUMIFS(Input!Y$2:Y$999,Input!$C$2:$C$999,CONCATENATE(LEFT($B$121,10),"*"),Input!$D$2:$D$999,$C$121)*IND_Mult!U121</f>
        <v>0</v>
      </c>
      <c r="U121" s="69">
        <f>SUMIFS(Input!Z$2:Z$999,Input!$C$2:$C$999,CONCATENATE(LEFT($B$121,10),"*"),Input!$D$2:$D$999,$C$121)*IND_Mult!V121</f>
        <v>0</v>
      </c>
      <c r="V121" s="69">
        <f>SUMIFS(Input!AA$2:AA$999,Input!$C$2:$C$999,CONCATENATE(LEFT($B$121,10),"*"),Input!$D$2:$D$999,$C$121)*IND_Mult!W121</f>
        <v>0</v>
      </c>
      <c r="W121" s="69">
        <f>SUMIFS(Input!AB$2:AB$999,Input!$C$2:$C$999,CONCATENATE(LEFT($B$121,10),"*"),Input!$D$2:$D$999,$C$121)*IND_Mult!X121</f>
        <v>0</v>
      </c>
      <c r="X121" s="69">
        <f>SUMIFS(Input!AC$2:AC$999,Input!$C$2:$C$999,CONCATENATE(LEFT($B$121,10),"*"),Input!$D$2:$D$999,$C$121)*IND_Mult!Y121</f>
        <v>0</v>
      </c>
      <c r="Y121" s="69">
        <f>SUMIFS(Input!AD$2:AD$999,Input!$C$2:$C$999,CONCATENATE(LEFT($B$121,10),"*"),Input!$D$2:$D$999,$C$121)*IND_Mult!Z121</f>
        <v>0</v>
      </c>
      <c r="Z121" s="69">
        <f>SUMIFS(Input!AE$2:AE$999,Input!$C$2:$C$999,CONCATENATE(LEFT($B$121,10),"*"),Input!$D$2:$D$999,$C$121)*IND_Mult!AA121</f>
        <v>0</v>
      </c>
      <c r="AA121" s="69">
        <f>SUMIFS(Input!AF$2:AF$999,Input!$C$2:$C$999,CONCATENATE(LEFT($B$121,10),"*"),Input!$D$2:$D$999,$C$121)*IND_Mult!AB121</f>
        <v>0</v>
      </c>
      <c r="AB121" s="69">
        <f>SUMIFS(Input!AG$2:AG$999,Input!$C$2:$C$999,CONCATENATE(LEFT($B$121,10),"*"),Input!$D$2:$D$999,$C$121)*IND_Mult!AC121</f>
        <v>0</v>
      </c>
      <c r="AC121" s="69">
        <f>SUMIFS(Input!AH$2:AH$999,Input!$C$2:$C$999,CONCATENATE(LEFT($B$121,10),"*"),Input!$D$2:$D$999,$C$121)*IND_Mult!AD121</f>
        <v>0</v>
      </c>
      <c r="AD121" s="69">
        <f>SUMIFS(Input!AI$2:AI$999,Input!$C$2:$C$999,CONCATENATE(LEFT($B$121,10),"*"),Input!$D$2:$D$999,$C$121)*IND_Mult!AE121</f>
        <v>0</v>
      </c>
      <c r="AE121" s="69">
        <f>SUMIFS(Input!AJ$2:AJ$999,Input!$C$2:$C$999,CONCATENATE(LEFT($B$121,10),"*"),Input!$D$2:$D$999,$C$121)*IND_Mult!AF121</f>
        <v>0</v>
      </c>
      <c r="AF121" s="69">
        <f>SUMIFS(Input!AK$2:AK$999,Input!$C$2:$C$999,CONCATENATE(LEFT($B$121,10),"*"),Input!$D$2:$D$999,$C$121)*IND_Mult!AG121</f>
        <v>0</v>
      </c>
      <c r="AG121" s="69">
        <f>SUMIFS(Input!AL$2:AL$999,Input!$C$2:$C$999,CONCATENATE(LEFT($B$121,10),"*"),Input!$D$2:$D$999,$C$121)*IND_Mult!AH121</f>
        <v>0</v>
      </c>
      <c r="AH121" s="69">
        <f>SUMIFS(Input!AM$2:AM$999,Input!$C$2:$C$999,CONCATENATE(LEFT($B$121,10),"*"),Input!$D$2:$D$999,$C$121)*IND_Mult!AI121</f>
        <v>0</v>
      </c>
      <c r="AI121" s="69">
        <f>SUMIFS(Input!AN$2:AN$999,Input!$C$2:$C$999,CONCATENATE(LEFT($B$121,10),"*"),Input!$D$2:$D$999,$C$121)*IND_Mult!AJ121</f>
        <v>0</v>
      </c>
      <c r="AJ121" s="69">
        <f>SUMIFS(Input!AO$2:AO$999,Input!$C$2:$C$999,CONCATENATE(LEFT($B$121,10),"*"),Input!$D$2:$D$999,$C$121)*IND_Mult!AK121</f>
        <v>0</v>
      </c>
      <c r="AK121" s="69">
        <f>SUMIFS(Input!AP$2:AP$999,Input!$C$2:$C$999,CONCATENATE(LEFT($B$121,10),"*"),Input!$D$2:$D$999,$C$121)*IND_Mult!AL121</f>
        <v>0</v>
      </c>
      <c r="AL121" s="69">
        <f>SUMIFS(Input!AQ$2:AQ$999,Input!$C$2:$C$999,CONCATENATE(LEFT($B$121,10),"*"),Input!$D$2:$D$999,$C$121)*IND_Mult!AM121</f>
        <v>0</v>
      </c>
      <c r="AM121" s="69">
        <f>SUMIFS(Input!AR$2:AR$999,Input!$C$2:$C$999,CONCATENATE(LEFT($B$121,10),"*"),Input!$D$2:$D$999,$C$121)*IND_Mult!AN121</f>
        <v>0</v>
      </c>
      <c r="AN121" s="69">
        <f>SUMIFS(Input!AS$2:AS$999,Input!$C$2:$C$999,CONCATENATE(LEFT($B$121,10),"*"),Input!$D$2:$D$999,$C$121)*IND_Mult!AO121</f>
        <v>0</v>
      </c>
      <c r="AO121" s="69">
        <f>SUMIFS(Input!AT$2:AT$999,Input!$C$2:$C$999,CONCATENATE(LEFT($B$121,10),"*"),Input!$D$2:$D$999,$C$121)*IND_Mult!AP121</f>
        <v>0</v>
      </c>
      <c r="AP121" s="69">
        <f>SUMIFS(Input!AU$2:AU$999,Input!$C$2:$C$999,CONCATENATE(LEFT($B$121,10),"*"),Input!$D$2:$D$999,$C$121)*IND_Mult!AQ121</f>
        <v>0</v>
      </c>
      <c r="AQ121" s="69">
        <f>SUMIFS(Input!AV$2:AV$999,Input!$C$2:$C$999,CONCATENATE(LEFT($B$121,10),"*"),Input!$D$2:$D$999,$C$121)*IND_Mult!AR121</f>
        <v>0</v>
      </c>
    </row>
    <row r="122" spans="1:43" ht="12.75">
      <c r="A122" s="6"/>
      <c r="B122" s="17" t="s">
        <v>275</v>
      </c>
      <c r="C122" s="18" t="s">
        <v>158</v>
      </c>
      <c r="D122" s="26"/>
      <c r="E122" s="16" t="s">
        <v>103</v>
      </c>
      <c r="F122" s="31"/>
      <c r="G122" s="69">
        <f>SUMIFS(Input!L$2:L$999,Input!$C$2:$C$999,CONCATENATE(LEFT($B$122,10),"*"),Input!$D$2:$D$999,$C$122)*IND_Mult!H122</f>
        <v>1.1499999999999999</v>
      </c>
      <c r="H122" s="69">
        <f>SUMIFS(Input!M$2:M$999,Input!$C$2:$C$999,CONCATENATE(LEFT($B$122,10),"*"),Input!$D$2:$D$999,$C$122)*IND_Mult!I122</f>
        <v>1.1499999999999999</v>
      </c>
      <c r="I122" s="69">
        <f>SUMIFS(Input!N$2:N$999,Input!$C$2:$C$999,CONCATENATE(LEFT($B$122,10),"*"),Input!$D$2:$D$999,$C$122)*IND_Mult!J122</f>
        <v>1.1499999999999999</v>
      </c>
      <c r="J122" s="69">
        <f>SUMIFS(Input!O$2:O$999,Input!$C$2:$C$999,CONCATENATE(LEFT($B$122,10),"*"),Input!$D$2:$D$999,$C$122)*IND_Mult!K122</f>
        <v>1.1499999999999999</v>
      </c>
      <c r="K122" s="69">
        <f>SUMIFS(Input!P$2:P$999,Input!$C$2:$C$999,CONCATENATE(LEFT($B$122,10),"*"),Input!$D$2:$D$999,$C$122)*IND_Mult!L122</f>
        <v>1.1499999999999999</v>
      </c>
      <c r="L122" s="69">
        <f>SUMIFS(Input!Q$2:Q$999,Input!$C$2:$C$999,CONCATENATE(LEFT($B$122,10),"*"),Input!$D$2:$D$999,$C$122)*IND_Mult!M122</f>
        <v>1.1499999999999999</v>
      </c>
      <c r="M122" s="69">
        <f>SUMIFS(Input!R$2:R$999,Input!$C$2:$C$999,CONCATENATE(LEFT($B$122,10),"*"),Input!$D$2:$D$999,$C$122)*IND_Mult!N122</f>
        <v>1.1499999999999999</v>
      </c>
      <c r="N122" s="69">
        <f>SUMIFS(Input!S$2:S$999,Input!$C$2:$C$999,CONCATENATE(LEFT($B$122,10),"*"),Input!$D$2:$D$999,$C$122)*IND_Mult!O122</f>
        <v>1.1499999999999999</v>
      </c>
      <c r="O122" s="69">
        <f>SUMIFS(Input!T$2:T$999,Input!$C$2:$C$999,CONCATENATE(LEFT($B$122,10),"*"),Input!$D$2:$D$999,$C$122)*IND_Mult!P122</f>
        <v>1.1499999999999999</v>
      </c>
      <c r="P122" s="69">
        <f>SUMIFS(Input!U$2:U$999,Input!$C$2:$C$999,CONCATENATE(LEFT($B$122,10),"*"),Input!$D$2:$D$999,$C$122)*IND_Mult!Q122</f>
        <v>1.1499999999999999</v>
      </c>
      <c r="Q122" s="69">
        <f>SUMIFS(Input!V$2:V$999,Input!$C$2:$C$999,CONCATENATE(LEFT($B$122,10),"*"),Input!$D$2:$D$999,$C$122)*IND_Mult!R122</f>
        <v>1.1499999999999999</v>
      </c>
      <c r="R122" s="69">
        <f>SUMIFS(Input!W$2:W$999,Input!$C$2:$C$999,CONCATENATE(LEFT($B$122,10),"*"),Input!$D$2:$D$999,$C$122)*IND_Mult!S122</f>
        <v>1.1499999999999999</v>
      </c>
      <c r="S122" s="69">
        <f>SUMIFS(Input!X$2:X$999,Input!$C$2:$C$999,CONCATENATE(LEFT($B$122,10),"*"),Input!$D$2:$D$999,$C$122)*IND_Mult!T122</f>
        <v>1.1499999999999999</v>
      </c>
      <c r="T122" s="69">
        <f>SUMIFS(Input!Y$2:Y$999,Input!$C$2:$C$999,CONCATENATE(LEFT($B$122,10),"*"),Input!$D$2:$D$999,$C$122)*IND_Mult!U122</f>
        <v>1.1499999999999999</v>
      </c>
      <c r="U122" s="69">
        <f>SUMIFS(Input!Z$2:Z$999,Input!$C$2:$C$999,CONCATENATE(LEFT($B$122,10),"*"),Input!$D$2:$D$999,$C$122)*IND_Mult!V122</f>
        <v>1.1499999999999999</v>
      </c>
      <c r="V122" s="69">
        <f>SUMIFS(Input!AA$2:AA$999,Input!$C$2:$C$999,CONCATENATE(LEFT($B$122,10),"*"),Input!$D$2:$D$999,$C$122)*IND_Mult!W122</f>
        <v>1.1499999999999999</v>
      </c>
      <c r="W122" s="69">
        <f>SUMIFS(Input!AB$2:AB$999,Input!$C$2:$C$999,CONCATENATE(LEFT($B$122,10),"*"),Input!$D$2:$D$999,$C$122)*IND_Mult!X122</f>
        <v>1.1499999999999999</v>
      </c>
      <c r="X122" s="69">
        <f>SUMIFS(Input!AC$2:AC$999,Input!$C$2:$C$999,CONCATENATE(LEFT($B$122,10),"*"),Input!$D$2:$D$999,$C$122)*IND_Mult!Y122</f>
        <v>1.1499999999999999</v>
      </c>
      <c r="Y122" s="69">
        <f>SUMIFS(Input!AD$2:AD$999,Input!$C$2:$C$999,CONCATENATE(LEFT($B$122,10),"*"),Input!$D$2:$D$999,$C$122)*IND_Mult!Z122</f>
        <v>1.1499999999999999</v>
      </c>
      <c r="Z122" s="69">
        <f>SUMIFS(Input!AE$2:AE$999,Input!$C$2:$C$999,CONCATENATE(LEFT($B$122,10),"*"),Input!$D$2:$D$999,$C$122)*IND_Mult!AA122</f>
        <v>1.1499999999999999</v>
      </c>
      <c r="AA122" s="69">
        <f>SUMIFS(Input!AF$2:AF$999,Input!$C$2:$C$999,CONCATENATE(LEFT($B$122,10),"*"),Input!$D$2:$D$999,$C$122)*IND_Mult!AB122</f>
        <v>1.1499999999999999</v>
      </c>
      <c r="AB122" s="69">
        <f>SUMIFS(Input!AG$2:AG$999,Input!$C$2:$C$999,CONCATENATE(LEFT($B$122,10),"*"),Input!$D$2:$D$999,$C$122)*IND_Mult!AC122</f>
        <v>1.1499999999999999</v>
      </c>
      <c r="AC122" s="69">
        <f>SUMIFS(Input!AH$2:AH$999,Input!$C$2:$C$999,CONCATENATE(LEFT($B$122,10),"*"),Input!$D$2:$D$999,$C$122)*IND_Mult!AD122</f>
        <v>1.1499999999999999</v>
      </c>
      <c r="AD122" s="69">
        <f>SUMIFS(Input!AI$2:AI$999,Input!$C$2:$C$999,CONCATENATE(LEFT($B$122,10),"*"),Input!$D$2:$D$999,$C$122)*IND_Mult!AE122</f>
        <v>1.1499999999999999</v>
      </c>
      <c r="AE122" s="69">
        <f>SUMIFS(Input!AJ$2:AJ$999,Input!$C$2:$C$999,CONCATENATE(LEFT($B$122,10),"*"),Input!$D$2:$D$999,$C$122)*IND_Mult!AF122</f>
        <v>1.1499999999999999</v>
      </c>
      <c r="AF122" s="69">
        <f>SUMIFS(Input!AK$2:AK$999,Input!$C$2:$C$999,CONCATENATE(LEFT($B$122,10),"*"),Input!$D$2:$D$999,$C$122)*IND_Mult!AG122</f>
        <v>1.1499999999999999</v>
      </c>
      <c r="AG122" s="69">
        <f>SUMIFS(Input!AL$2:AL$999,Input!$C$2:$C$999,CONCATENATE(LEFT($B$122,10),"*"),Input!$D$2:$D$999,$C$122)*IND_Mult!AH122</f>
        <v>1.1499999999999999</v>
      </c>
      <c r="AH122" s="69">
        <f>SUMIFS(Input!AM$2:AM$999,Input!$C$2:$C$999,CONCATENATE(LEFT($B$122,10),"*"),Input!$D$2:$D$999,$C$122)*IND_Mult!AI122</f>
        <v>1.1499999999999999</v>
      </c>
      <c r="AI122" s="69">
        <f>SUMIFS(Input!AN$2:AN$999,Input!$C$2:$C$999,CONCATENATE(LEFT($B$122,10),"*"),Input!$D$2:$D$999,$C$122)*IND_Mult!AJ122</f>
        <v>1.1499999999999999</v>
      </c>
      <c r="AJ122" s="69">
        <f>SUMIFS(Input!AO$2:AO$999,Input!$C$2:$C$999,CONCATENATE(LEFT($B$122,10),"*"),Input!$D$2:$D$999,$C$122)*IND_Mult!AK122</f>
        <v>1.1499999999999999</v>
      </c>
      <c r="AK122" s="69">
        <f>SUMIFS(Input!AP$2:AP$999,Input!$C$2:$C$999,CONCATENATE(LEFT($B$122,10),"*"),Input!$D$2:$D$999,$C$122)*IND_Mult!AL122</f>
        <v>1.1499999999999999</v>
      </c>
      <c r="AL122" s="69">
        <f>SUMIFS(Input!AQ$2:AQ$999,Input!$C$2:$C$999,CONCATENATE(LEFT($B$122,10),"*"),Input!$D$2:$D$999,$C$122)*IND_Mult!AM122</f>
        <v>1.1499999999999999</v>
      </c>
      <c r="AM122" s="69">
        <f>SUMIFS(Input!AR$2:AR$999,Input!$C$2:$C$999,CONCATENATE(LEFT($B$122,10),"*"),Input!$D$2:$D$999,$C$122)*IND_Mult!AN122</f>
        <v>1.1499999999999999</v>
      </c>
      <c r="AN122" s="69">
        <f>SUMIFS(Input!AS$2:AS$999,Input!$C$2:$C$999,CONCATENATE(LEFT($B$122,10),"*"),Input!$D$2:$D$999,$C$122)*IND_Mult!AO122</f>
        <v>1.1499999999999999</v>
      </c>
      <c r="AO122" s="69">
        <f>SUMIFS(Input!AT$2:AT$999,Input!$C$2:$C$999,CONCATENATE(LEFT($B$122,10),"*"),Input!$D$2:$D$999,$C$122)*IND_Mult!AP122</f>
        <v>1.1499999999999999</v>
      </c>
      <c r="AP122" s="69">
        <f>SUMIFS(Input!AU$2:AU$999,Input!$C$2:$C$999,CONCATENATE(LEFT($B$122,10),"*"),Input!$D$2:$D$999,$C$122)*IND_Mult!AQ122</f>
        <v>1.1499999999999999</v>
      </c>
      <c r="AQ122" s="69">
        <f>SUMIFS(Input!AV$2:AV$999,Input!$C$2:$C$999,CONCATENATE(LEFT($B$122,10),"*"),Input!$D$2:$D$999,$C$122)*IND_Mult!AR122</f>
        <v>1.1499999999999999</v>
      </c>
    </row>
    <row r="123" spans="1:43" ht="12.75">
      <c r="A123" s="6"/>
      <c r="B123" s="17" t="s">
        <v>275</v>
      </c>
      <c r="C123" s="18" t="s">
        <v>101</v>
      </c>
      <c r="D123" s="26"/>
      <c r="E123" s="16" t="s">
        <v>104</v>
      </c>
      <c r="F123" s="31"/>
      <c r="G123" s="72">
        <f>SUMIFS(Output!L$2:L$999,Output!$C$2:$C$999,CONCATENATE(LEFT($B$123,10),"*"),Output!$D$2:$D$999,$C$123)*IND_Mult!H222</f>
        <v>1</v>
      </c>
      <c r="H123" s="72">
        <f>SUMIFS(Output!M$2:M$999,Output!$C$2:$C$999,CONCATENATE(LEFT($B$123,10),"*"),Output!$D$2:$D$999,$C$123)*IND_Mult!I222</f>
        <v>1</v>
      </c>
      <c r="I123" s="72">
        <f>SUMIFS(Output!N$2:N$999,Output!$C$2:$C$999,CONCATENATE(LEFT($B$123,10),"*"),Output!$D$2:$D$999,$C$123)*IND_Mult!J222</f>
        <v>1</v>
      </c>
      <c r="J123" s="72">
        <f>SUMIFS(Output!O$2:O$999,Output!$C$2:$C$999,CONCATENATE(LEFT($B$123,10),"*"),Output!$D$2:$D$999,$C$123)*IND_Mult!K222</f>
        <v>1</v>
      </c>
      <c r="K123" s="72">
        <f>SUMIFS(Output!P$2:P$999,Output!$C$2:$C$999,CONCATENATE(LEFT($B$123,10),"*"),Output!$D$2:$D$999,$C$123)*IND_Mult!L222</f>
        <v>1</v>
      </c>
      <c r="L123" s="72">
        <f>SUMIFS(Output!Q$2:Q$999,Output!$C$2:$C$999,CONCATENATE(LEFT($B$123,10),"*"),Output!$D$2:$D$999,$C$123)*IND_Mult!M222</f>
        <v>1</v>
      </c>
      <c r="M123" s="72">
        <f>SUMIFS(Output!R$2:R$999,Output!$C$2:$C$999,CONCATENATE(LEFT($B$123,10),"*"),Output!$D$2:$D$999,$C$123)*IND_Mult!N222</f>
        <v>1</v>
      </c>
      <c r="N123" s="72">
        <f>SUMIFS(Output!S$2:S$999,Output!$C$2:$C$999,CONCATENATE(LEFT($B$123,10),"*"),Output!$D$2:$D$999,$C$123)*IND_Mult!O222</f>
        <v>1</v>
      </c>
      <c r="O123" s="72">
        <f>SUMIFS(Output!T$2:T$999,Output!$C$2:$C$999,CONCATENATE(LEFT($B$123,10),"*"),Output!$D$2:$D$999,$C$123)*IND_Mult!P222</f>
        <v>1</v>
      </c>
      <c r="P123" s="72">
        <f>SUMIFS(Output!U$2:U$999,Output!$C$2:$C$999,CONCATENATE(LEFT($B$123,10),"*"),Output!$D$2:$D$999,$C$123)*IND_Mult!Q222</f>
        <v>1</v>
      </c>
      <c r="Q123" s="72">
        <f>SUMIFS(Output!V$2:V$999,Output!$C$2:$C$999,CONCATENATE(LEFT($B$123,10),"*"),Output!$D$2:$D$999,$C$123)*IND_Mult!R222</f>
        <v>1</v>
      </c>
      <c r="R123" s="72">
        <f>SUMIFS(Output!W$2:W$999,Output!$C$2:$C$999,CONCATENATE(LEFT($B$123,10),"*"),Output!$D$2:$D$999,$C$123)*IND_Mult!S222</f>
        <v>1</v>
      </c>
      <c r="S123" s="72">
        <f>SUMIFS(Output!X$2:X$999,Output!$C$2:$C$999,CONCATENATE(LEFT($B$123,10),"*"),Output!$D$2:$D$999,$C$123)*IND_Mult!T222</f>
        <v>1</v>
      </c>
      <c r="T123" s="72">
        <f>SUMIFS(Output!Y$2:Y$999,Output!$C$2:$C$999,CONCATENATE(LEFT($B$123,10),"*"),Output!$D$2:$D$999,$C$123)*IND_Mult!U222</f>
        <v>1</v>
      </c>
      <c r="U123" s="72">
        <f>SUMIFS(Output!Z$2:Z$999,Output!$C$2:$C$999,CONCATENATE(LEFT($B$123,10),"*"),Output!$D$2:$D$999,$C$123)*IND_Mult!V222</f>
        <v>1</v>
      </c>
      <c r="V123" s="72">
        <f>SUMIFS(Output!AA$2:AA$999,Output!$C$2:$C$999,CONCATENATE(LEFT($B$123,10),"*"),Output!$D$2:$D$999,$C$123)*IND_Mult!W222</f>
        <v>1</v>
      </c>
      <c r="W123" s="72">
        <f>SUMIFS(Output!AB$2:AB$999,Output!$C$2:$C$999,CONCATENATE(LEFT($B$123,10),"*"),Output!$D$2:$D$999,$C$123)*IND_Mult!X222</f>
        <v>1</v>
      </c>
      <c r="X123" s="72">
        <f>SUMIFS(Output!AC$2:AC$999,Output!$C$2:$C$999,CONCATENATE(LEFT($B$123,10),"*"),Output!$D$2:$D$999,$C$123)*IND_Mult!Y222</f>
        <v>1</v>
      </c>
      <c r="Y123" s="72">
        <f>SUMIFS(Output!AD$2:AD$999,Output!$C$2:$C$999,CONCATENATE(LEFT($B$123,10),"*"),Output!$D$2:$D$999,$C$123)*IND_Mult!Z222</f>
        <v>1</v>
      </c>
      <c r="Z123" s="72">
        <f>SUMIFS(Output!AE$2:AE$999,Output!$C$2:$C$999,CONCATENATE(LEFT($B$123,10),"*"),Output!$D$2:$D$999,$C$123)*IND_Mult!AA222</f>
        <v>1</v>
      </c>
      <c r="AA123" s="72">
        <f>SUMIFS(Output!AF$2:AF$999,Output!$C$2:$C$999,CONCATENATE(LEFT($B$123,10),"*"),Output!$D$2:$D$999,$C$123)*IND_Mult!AB222</f>
        <v>1</v>
      </c>
      <c r="AB123" s="72">
        <f>SUMIFS(Output!AG$2:AG$999,Output!$C$2:$C$999,CONCATENATE(LEFT($B$123,10),"*"),Output!$D$2:$D$999,$C$123)*IND_Mult!AC222</f>
        <v>1</v>
      </c>
      <c r="AC123" s="72">
        <f>SUMIFS(Output!AH$2:AH$999,Output!$C$2:$C$999,CONCATENATE(LEFT($B$123,10),"*"),Output!$D$2:$D$999,$C$123)*IND_Mult!AD222</f>
        <v>1</v>
      </c>
      <c r="AD123" s="72">
        <f>SUMIFS(Output!AI$2:AI$999,Output!$C$2:$C$999,CONCATENATE(LEFT($B$123,10),"*"),Output!$D$2:$D$999,$C$123)*IND_Mult!AE222</f>
        <v>1</v>
      </c>
      <c r="AE123" s="72">
        <f>SUMIFS(Output!AJ$2:AJ$999,Output!$C$2:$C$999,CONCATENATE(LEFT($B$123,10),"*"),Output!$D$2:$D$999,$C$123)*IND_Mult!AF222</f>
        <v>1</v>
      </c>
      <c r="AF123" s="72">
        <f>SUMIFS(Output!AK$2:AK$999,Output!$C$2:$C$999,CONCATENATE(LEFT($B$123,10),"*"),Output!$D$2:$D$999,$C$123)*IND_Mult!AG222</f>
        <v>1</v>
      </c>
      <c r="AG123" s="72">
        <f>SUMIFS(Output!AL$2:AL$999,Output!$C$2:$C$999,CONCATENATE(LEFT($B$123,10),"*"),Output!$D$2:$D$999,$C$123)*IND_Mult!AH222</f>
        <v>1</v>
      </c>
      <c r="AH123" s="72">
        <f>SUMIFS(Output!AM$2:AM$999,Output!$C$2:$C$999,CONCATENATE(LEFT($B$123,10),"*"),Output!$D$2:$D$999,$C$123)*IND_Mult!AI222</f>
        <v>1</v>
      </c>
      <c r="AI123" s="72">
        <f>SUMIFS(Output!AN$2:AN$999,Output!$C$2:$C$999,CONCATENATE(LEFT($B$123,10),"*"),Output!$D$2:$D$999,$C$123)*IND_Mult!AJ222</f>
        <v>1</v>
      </c>
      <c r="AJ123" s="72">
        <f>SUMIFS(Output!AO$2:AO$999,Output!$C$2:$C$999,CONCATENATE(LEFT($B$123,10),"*"),Output!$D$2:$D$999,$C$123)*IND_Mult!AK222</f>
        <v>1</v>
      </c>
      <c r="AK123" s="72">
        <f>SUMIFS(Output!AP$2:AP$999,Output!$C$2:$C$999,CONCATENATE(LEFT($B$123,10),"*"),Output!$D$2:$D$999,$C$123)*IND_Mult!AL222</f>
        <v>1</v>
      </c>
      <c r="AL123" s="72">
        <f>SUMIFS(Output!AQ$2:AQ$999,Output!$C$2:$C$999,CONCATENATE(LEFT($B$123,10),"*"),Output!$D$2:$D$999,$C$123)*IND_Mult!AM222</f>
        <v>1</v>
      </c>
      <c r="AM123" s="72">
        <f>SUMIFS(Output!AR$2:AR$999,Output!$C$2:$C$999,CONCATENATE(LEFT($B$123,10),"*"),Output!$D$2:$D$999,$C$123)*IND_Mult!AN222</f>
        <v>1</v>
      </c>
      <c r="AN123" s="72">
        <f>SUMIFS(Output!AS$2:AS$999,Output!$C$2:$C$999,CONCATENATE(LEFT($B$123,10),"*"),Output!$D$2:$D$999,$C$123)*IND_Mult!AO222</f>
        <v>1</v>
      </c>
      <c r="AO123" s="72">
        <f>SUMIFS(Output!AT$2:AT$999,Output!$C$2:$C$999,CONCATENATE(LEFT($B$123,10),"*"),Output!$D$2:$D$999,$C$123)*IND_Mult!AP222</f>
        <v>1</v>
      </c>
      <c r="AP123" s="72">
        <f>SUMIFS(Output!AU$2:AU$999,Output!$C$2:$C$999,CONCATENATE(LEFT($B$123,10),"*"),Output!$D$2:$D$999,$C$123)*IND_Mult!AQ222</f>
        <v>1</v>
      </c>
      <c r="AQ123" s="72">
        <f>SUMIFS(Output!AV$2:AV$999,Output!$C$2:$C$999,CONCATENATE(LEFT($B$123,10),"*"),Output!$D$2:$D$999,$C$123)*IND_Mult!AR222</f>
        <v>1</v>
      </c>
    </row>
    <row r="124" spans="2:43" ht="12.75">
      <c r="B124" t="s">
        <v>434</v>
      </c>
      <c r="C124" t="s">
        <v>48</v>
      </c>
      <c r="E124" s="16" t="s">
        <v>103</v>
      </c>
      <c r="G124" s="77">
        <f>SUMIFS(Input!L$2:L$999,Input!$B$2:$B$999,IND_Trans!$E124,Input!$C$2:$C$999,LEFT(IND_Trans!$B124,10)&amp;"*",Input!$D$2:$D$999,IND_Trans!$C124)</f>
        <v>0</v>
      </c>
      <c r="H124" s="77">
        <f>SUMIFS(Input!M$2:M$999,Input!$B$2:$B$999,IND_Trans!$E124,Input!$C$2:$C$999,LEFT(IND_Trans!$B124,10)&amp;"*",Input!$D$2:$D$999,IND_Trans!$C124)</f>
        <v>0.77463658062725504</v>
      </c>
      <c r="I124" s="77">
        <f>SUMIFS(Input!N$2:N$999,Input!$B$2:$B$999,IND_Trans!$E124,Input!$C$2:$C$999,LEFT(IND_Trans!$B124,10)&amp;"*",Input!$D$2:$D$999,IND_Trans!$C124)</f>
        <v>6.2294865147598797</v>
      </c>
      <c r="J124" s="77">
        <f>SUMIFS(Input!O$2:O$999,Input!$B$2:$B$999,IND_Trans!$E124,Input!$C$2:$C$999,LEFT(IND_Trans!$B124,10)&amp;"*",Input!$D$2:$D$999,IND_Trans!$C124)</f>
        <v>0.86528858083531901</v>
      </c>
      <c r="K124" s="77">
        <f>SUMIFS(Input!P$2:P$999,Input!$B$2:$B$999,IND_Trans!$E124,Input!$C$2:$C$999,LEFT(IND_Trans!$B124,10)&amp;"*",Input!$D$2:$D$999,IND_Trans!$C124)</f>
        <v>0</v>
      </c>
      <c r="L124" s="77">
        <f>SUMIFS(Input!Q$2:Q$999,Input!$B$2:$B$999,IND_Trans!$E124,Input!$C$2:$C$999,LEFT(IND_Trans!$B124,10)&amp;"*",Input!$D$2:$D$999,IND_Trans!$C124)</f>
        <v>0</v>
      </c>
      <c r="M124" s="77">
        <f>SUMIFS(Input!R$2:R$999,Input!$B$2:$B$999,IND_Trans!$E124,Input!$C$2:$C$999,LEFT(IND_Trans!$B124,10)&amp;"*",Input!$D$2:$D$999,IND_Trans!$C124)</f>
        <v>0</v>
      </c>
      <c r="N124" s="77">
        <f>SUMIFS(Input!S$2:S$999,Input!$B$2:$B$999,IND_Trans!$E124,Input!$C$2:$C$999,LEFT(IND_Trans!$B124,10)&amp;"*",Input!$D$2:$D$999,IND_Trans!$C124)</f>
        <v>1.4316330939134401</v>
      </c>
      <c r="O124" s="77">
        <f>SUMIFS(Input!T$2:T$999,Input!$B$2:$B$999,IND_Trans!$E124,Input!$C$2:$C$999,LEFT(IND_Trans!$B124,10)&amp;"*",Input!$D$2:$D$999,IND_Trans!$C124)</f>
        <v>1.0236834451289101</v>
      </c>
      <c r="P124" s="77">
        <f>SUMIFS(Input!U$2:U$999,Input!$B$2:$B$999,IND_Trans!$E124,Input!$C$2:$C$999,LEFT(IND_Trans!$B124,10)&amp;"*",Input!$D$2:$D$999,IND_Trans!$C124)</f>
        <v>0</v>
      </c>
      <c r="Q124" s="77">
        <f>SUMIFS(Input!V$2:V$999,Input!$B$2:$B$999,IND_Trans!$E124,Input!$C$2:$C$999,LEFT(IND_Trans!$B124,10)&amp;"*",Input!$D$2:$D$999,IND_Trans!$C124)</f>
        <v>0</v>
      </c>
      <c r="R124" s="77">
        <f>SUMIFS(Input!W$2:W$999,Input!$B$2:$B$999,IND_Trans!$E124,Input!$C$2:$C$999,LEFT(IND_Trans!$B124,10)&amp;"*",Input!$D$2:$D$999,IND_Trans!$C124)</f>
        <v>0</v>
      </c>
      <c r="S124" s="77">
        <f>SUMIFS(Input!X$2:X$999,Input!$B$2:$B$999,IND_Trans!$E124,Input!$C$2:$C$999,LEFT(IND_Trans!$B124,10)&amp;"*",Input!$D$2:$D$999,IND_Trans!$C124)</f>
        <v>0.32537682172795701</v>
      </c>
      <c r="T124" s="77">
        <f>SUMIFS(Input!Y$2:Y$999,Input!$B$2:$B$999,IND_Trans!$E124,Input!$C$2:$C$999,LEFT(IND_Trans!$B124,10)&amp;"*",Input!$D$2:$D$999,IND_Trans!$C124)</f>
        <v>0.92000000000000004</v>
      </c>
      <c r="U124" s="77">
        <f>SUMIFS(Input!Z$2:Z$999,Input!$B$2:$B$999,IND_Trans!$E124,Input!$C$2:$C$999,LEFT(IND_Trans!$B124,10)&amp;"*",Input!$D$2:$D$999,IND_Trans!$C124)</f>
        <v>0.39921669126508402</v>
      </c>
      <c r="V124" s="77">
        <f>SUMIFS(Input!AA$2:AA$999,Input!$B$2:$B$999,IND_Trans!$E124,Input!$C$2:$C$999,LEFT(IND_Trans!$B124,10)&amp;"*",Input!$D$2:$D$999,IND_Trans!$C124)</f>
        <v>0</v>
      </c>
      <c r="W124" s="77">
        <f>SUMIFS(Input!AB$2:AB$999,Input!$B$2:$B$999,IND_Trans!$E124,Input!$C$2:$C$999,LEFT(IND_Trans!$B124,10)&amp;"*",Input!$D$2:$D$999,IND_Trans!$C124)</f>
        <v>1.62783766388558</v>
      </c>
      <c r="X124" s="77">
        <f>SUMIFS(Input!AC$2:AC$999,Input!$B$2:$B$999,IND_Trans!$E124,Input!$C$2:$C$999,LEFT(IND_Trans!$B124,10)&amp;"*",Input!$D$2:$D$999,IND_Trans!$C124)</f>
        <v>0</v>
      </c>
      <c r="Y124" s="77">
        <f>SUMIFS(Input!AD$2:AD$999,Input!$B$2:$B$999,IND_Trans!$E124,Input!$C$2:$C$999,LEFT(IND_Trans!$B124,10)&amp;"*",Input!$D$2:$D$999,IND_Trans!$C124)</f>
        <v>0</v>
      </c>
      <c r="Z124" s="77">
        <f>SUMIFS(Input!AE$2:AE$999,Input!$B$2:$B$999,IND_Trans!$E124,Input!$C$2:$C$999,LEFT(IND_Trans!$B124,10)&amp;"*",Input!$D$2:$D$999,IND_Trans!$C124)</f>
        <v>0</v>
      </c>
      <c r="AA124" s="77">
        <f>SUMIFS(Input!AF$2:AF$999,Input!$B$2:$B$999,IND_Trans!$E124,Input!$C$2:$C$999,LEFT(IND_Trans!$B124,10)&amp;"*",Input!$D$2:$D$999,IND_Trans!$C124)</f>
        <v>0</v>
      </c>
      <c r="AB124" s="77">
        <f>SUMIFS(Input!AG$2:AG$999,Input!$B$2:$B$999,IND_Trans!$E124,Input!$C$2:$C$999,LEFT(IND_Trans!$B124,10)&amp;"*",Input!$D$2:$D$999,IND_Trans!$C124)</f>
        <v>0</v>
      </c>
      <c r="AC124" s="77">
        <f>SUMIFS(Input!AH$2:AH$999,Input!$B$2:$B$999,IND_Trans!$E124,Input!$C$2:$C$999,LEFT(IND_Trans!$B124,10)&amp;"*",Input!$D$2:$D$999,IND_Trans!$C124)</f>
        <v>0</v>
      </c>
      <c r="AD124" s="77">
        <f>SUMIFS(Input!AI$2:AI$999,Input!$B$2:$B$999,IND_Trans!$E124,Input!$C$2:$C$999,LEFT(IND_Trans!$B124,10)&amp;"*",Input!$D$2:$D$999,IND_Trans!$C124)</f>
        <v>0</v>
      </c>
      <c r="AE124" s="77">
        <f>SUMIFS(Input!AJ$2:AJ$999,Input!$B$2:$B$999,IND_Trans!$E124,Input!$C$2:$C$999,LEFT(IND_Trans!$B124,10)&amp;"*",Input!$D$2:$D$999,IND_Trans!$C124)</f>
        <v>0</v>
      </c>
      <c r="AF124" s="77">
        <f>SUMIFS(Input!AK$2:AK$999,Input!$B$2:$B$999,IND_Trans!$E124,Input!$C$2:$C$999,LEFT(IND_Trans!$B124,10)&amp;"*",Input!$D$2:$D$999,IND_Trans!$C124)</f>
        <v>0</v>
      </c>
      <c r="AG124" s="77">
        <f>SUMIFS(Input!AL$2:AL$999,Input!$B$2:$B$999,IND_Trans!$E124,Input!$C$2:$C$999,LEFT(IND_Trans!$B124,10)&amp;"*",Input!$D$2:$D$999,IND_Trans!$C124)</f>
        <v>0</v>
      </c>
      <c r="AH124" s="77">
        <f>SUMIFS(Input!AM$2:AM$999,Input!$B$2:$B$999,IND_Trans!$E124,Input!$C$2:$C$999,LEFT(IND_Trans!$B124,10)&amp;"*",Input!$D$2:$D$999,IND_Trans!$C124)</f>
        <v>1.1539584460983301</v>
      </c>
      <c r="AI124" s="77">
        <f>SUMIFS(Input!AN$2:AN$999,Input!$B$2:$B$999,IND_Trans!$E124,Input!$C$2:$C$999,LEFT(IND_Trans!$B124,10)&amp;"*",Input!$D$2:$D$999,IND_Trans!$C124)</f>
        <v>0.90858560311283998</v>
      </c>
      <c r="AJ124" s="77">
        <f>SUMIFS(Input!AO$2:AO$999,Input!$B$2:$B$999,IND_Trans!$E124,Input!$C$2:$C$999,LEFT(IND_Trans!$B124,10)&amp;"*",Input!$D$2:$D$999,IND_Trans!$C124)</f>
        <v>1.24713773301639</v>
      </c>
      <c r="AK124" s="77">
        <f>SUMIFS(Input!AP$2:AP$999,Input!$B$2:$B$999,IND_Trans!$E124,Input!$C$2:$C$999,LEFT(IND_Trans!$B124,10)&amp;"*",Input!$D$2:$D$999,IND_Trans!$C124)</f>
        <v>0</v>
      </c>
      <c r="AL124" s="77">
        <f>SUMIFS(Input!AQ$2:AQ$999,Input!$B$2:$B$999,IND_Trans!$E124,Input!$C$2:$C$999,LEFT(IND_Trans!$B124,10)&amp;"*",Input!$D$2:$D$999,IND_Trans!$C124)</f>
        <v>1.5111638504434299</v>
      </c>
      <c r="AM124" s="77">
        <f>SUMIFS(Input!AR$2:AR$999,Input!$B$2:$B$999,IND_Trans!$E124,Input!$C$2:$C$999,LEFT(IND_Trans!$B124,10)&amp;"*",Input!$D$2:$D$999,IND_Trans!$C124)</f>
        <v>1.8437240031897899</v>
      </c>
      <c r="AN124" s="77">
        <f>SUMIFS(Input!AS$2:AS$999,Input!$B$2:$B$999,IND_Trans!$E124,Input!$C$2:$C$999,LEFT(IND_Trans!$B124,10)&amp;"*",Input!$D$2:$D$999,IND_Trans!$C124)</f>
        <v>0.172600025484936</v>
      </c>
      <c r="AO124" s="77">
        <f>SUMIFS(Input!AT$2:AT$999,Input!$B$2:$B$999,IND_Trans!$E124,Input!$C$2:$C$999,LEFT(IND_Trans!$B124,10)&amp;"*",Input!$D$2:$D$999,IND_Trans!$C124)</f>
        <v>0</v>
      </c>
      <c r="AP124" s="77">
        <f>SUMIFS(Input!AU$2:AU$999,Input!$B$2:$B$999,IND_Trans!$E124,Input!$C$2:$C$999,LEFT(IND_Trans!$B124,10)&amp;"*",Input!$D$2:$D$999,IND_Trans!$C124)</f>
        <v>2.49869636264456</v>
      </c>
      <c r="AQ124" s="77">
        <f>SUMIFS(Input!AV$2:AV$999,Input!$B$2:$B$999,IND_Trans!$E124,Input!$C$2:$C$999,LEFT(IND_Trans!$B124,10)&amp;"*",Input!$D$2:$D$999,IND_Trans!$C124)</f>
        <v>0.949927927438459</v>
      </c>
    </row>
    <row r="125" spans="2:43" ht="12.75">
      <c r="B125" t="s">
        <v>434</v>
      </c>
      <c r="C125" t="s">
        <v>49</v>
      </c>
      <c r="E125" s="16" t="s">
        <v>103</v>
      </c>
      <c r="G125" s="77">
        <f>SUMIFS(Input!L$2:L$999,Input!$B$2:$B$999,IND_Trans!$E125,Input!$C$2:$C$999,LEFT(IND_Trans!$B125,10)&amp;"*",Input!$D$2:$D$999,IND_Trans!$C125)</f>
        <v>0</v>
      </c>
      <c r="H125" s="77">
        <f>SUMIFS(Input!M$2:M$999,Input!$B$2:$B$999,IND_Trans!$E125,Input!$C$2:$C$999,LEFT(IND_Trans!$B125,10)&amp;"*",Input!$D$2:$D$999,IND_Trans!$C125)</f>
        <v>0.00763252844851513</v>
      </c>
      <c r="I125" s="77">
        <f>SUMIFS(Input!N$2:N$999,Input!$B$2:$B$999,IND_Trans!$E125,Input!$C$2:$C$999,LEFT(IND_Trans!$B125,10)&amp;"*",Input!$D$2:$D$999,IND_Trans!$C125)</f>
        <v>0</v>
      </c>
      <c r="J125" s="77">
        <f>SUMIFS(Input!O$2:O$999,Input!$B$2:$B$999,IND_Trans!$E125,Input!$C$2:$C$999,LEFT(IND_Trans!$B125,10)&amp;"*",Input!$D$2:$D$999,IND_Trans!$C125)</f>
        <v>0</v>
      </c>
      <c r="K125" s="77">
        <f>SUMIFS(Input!P$2:P$999,Input!$B$2:$B$999,IND_Trans!$E125,Input!$C$2:$C$999,LEFT(IND_Trans!$B125,10)&amp;"*",Input!$D$2:$D$999,IND_Trans!$C125)</f>
        <v>0</v>
      </c>
      <c r="L125" s="77">
        <f>SUMIFS(Input!Q$2:Q$999,Input!$B$2:$B$999,IND_Trans!$E125,Input!$C$2:$C$999,LEFT(IND_Trans!$B125,10)&amp;"*",Input!$D$2:$D$999,IND_Trans!$C125)</f>
        <v>0.28999999999999998</v>
      </c>
      <c r="M125" s="77">
        <f>SUMIFS(Input!R$2:R$999,Input!$B$2:$B$999,IND_Trans!$E125,Input!$C$2:$C$999,LEFT(IND_Trans!$B125,10)&amp;"*",Input!$D$2:$D$999,IND_Trans!$C125)</f>
        <v>0</v>
      </c>
      <c r="N125" s="77">
        <f>SUMIFS(Input!S$2:S$999,Input!$B$2:$B$999,IND_Trans!$E125,Input!$C$2:$C$999,LEFT(IND_Trans!$B125,10)&amp;"*",Input!$D$2:$D$999,IND_Trans!$C125)</f>
        <v>0.185</v>
      </c>
      <c r="O125" s="77">
        <f>SUMIFS(Input!T$2:T$999,Input!$B$2:$B$999,IND_Trans!$E125,Input!$C$2:$C$999,LEFT(IND_Trans!$B125,10)&amp;"*",Input!$D$2:$D$999,IND_Trans!$C125)</f>
        <v>0</v>
      </c>
      <c r="P125" s="77">
        <f>SUMIFS(Input!U$2:U$999,Input!$B$2:$B$999,IND_Trans!$E125,Input!$C$2:$C$999,LEFT(IND_Trans!$B125,10)&amp;"*",Input!$D$2:$D$999,IND_Trans!$C125)</f>
        <v>0</v>
      </c>
      <c r="Q125" s="77">
        <f>SUMIFS(Input!V$2:V$999,Input!$B$2:$B$999,IND_Trans!$E125,Input!$C$2:$C$999,LEFT(IND_Trans!$B125,10)&amp;"*",Input!$D$2:$D$999,IND_Trans!$C125)</f>
        <v>0</v>
      </c>
      <c r="R125" s="77">
        <f>SUMIFS(Input!W$2:W$999,Input!$B$2:$B$999,IND_Trans!$E125,Input!$C$2:$C$999,LEFT(IND_Trans!$B125,10)&amp;"*",Input!$D$2:$D$999,IND_Trans!$C125)</f>
        <v>0</v>
      </c>
      <c r="S125" s="77">
        <f>SUMIFS(Input!X$2:X$999,Input!$B$2:$B$999,IND_Trans!$E125,Input!$C$2:$C$999,LEFT(IND_Trans!$B125,10)&amp;"*",Input!$D$2:$D$999,IND_Trans!$C125)</f>
        <v>0.55000000000000004</v>
      </c>
      <c r="T125" s="77">
        <f>SUMIFS(Input!Y$2:Y$999,Input!$B$2:$B$999,IND_Trans!$E125,Input!$C$2:$C$999,LEFT(IND_Trans!$B125,10)&amp;"*",Input!$D$2:$D$999,IND_Trans!$C125)</f>
        <v>0</v>
      </c>
      <c r="U125" s="77">
        <f>SUMIFS(Input!Z$2:Z$999,Input!$B$2:$B$999,IND_Trans!$E125,Input!$C$2:$C$999,LEFT(IND_Trans!$B125,10)&amp;"*",Input!$D$2:$D$999,IND_Trans!$C125)</f>
        <v>2.3100000000000001</v>
      </c>
      <c r="V125" s="77">
        <f>SUMIFS(Input!AA$2:AA$999,Input!$B$2:$B$999,IND_Trans!$E125,Input!$C$2:$C$999,LEFT(IND_Trans!$B125,10)&amp;"*",Input!$D$2:$D$999,IND_Trans!$C125)</f>
        <v>0</v>
      </c>
      <c r="W125" s="77">
        <f>SUMIFS(Input!AB$2:AB$999,Input!$B$2:$B$999,IND_Trans!$E125,Input!$C$2:$C$999,LEFT(IND_Trans!$B125,10)&amp;"*",Input!$D$2:$D$999,IND_Trans!$C125)</f>
        <v>0</v>
      </c>
      <c r="X125" s="77">
        <f>SUMIFS(Input!AC$2:AC$999,Input!$B$2:$B$999,IND_Trans!$E125,Input!$C$2:$C$999,LEFT(IND_Trans!$B125,10)&amp;"*",Input!$D$2:$D$999,IND_Trans!$C125)</f>
        <v>0</v>
      </c>
      <c r="Y125" s="77">
        <f>SUMIFS(Input!AD$2:AD$999,Input!$B$2:$B$999,IND_Trans!$E125,Input!$C$2:$C$999,LEFT(IND_Trans!$B125,10)&amp;"*",Input!$D$2:$D$999,IND_Trans!$C125)</f>
        <v>0</v>
      </c>
      <c r="Z125" s="77">
        <f>SUMIFS(Input!AE$2:AE$999,Input!$B$2:$B$999,IND_Trans!$E125,Input!$C$2:$C$999,LEFT(IND_Trans!$B125,10)&amp;"*",Input!$D$2:$D$999,IND_Trans!$C125)</f>
        <v>0.20912856179349501</v>
      </c>
      <c r="AA125" s="77">
        <f>SUMIFS(Input!AF$2:AF$999,Input!$B$2:$B$999,IND_Trans!$E125,Input!$C$2:$C$999,LEFT(IND_Trans!$B125,10)&amp;"*",Input!$D$2:$D$999,IND_Trans!$C125)</f>
        <v>0</v>
      </c>
      <c r="AB125" s="77">
        <f>SUMIFS(Input!AG$2:AG$999,Input!$B$2:$B$999,IND_Trans!$E125,Input!$C$2:$C$999,LEFT(IND_Trans!$B125,10)&amp;"*",Input!$D$2:$D$999,IND_Trans!$C125)</f>
        <v>0</v>
      </c>
      <c r="AC125" s="77">
        <f>SUMIFS(Input!AH$2:AH$999,Input!$B$2:$B$999,IND_Trans!$E125,Input!$C$2:$C$999,LEFT(IND_Trans!$B125,10)&amp;"*",Input!$D$2:$D$999,IND_Trans!$C125)</f>
        <v>0.27000000000000002</v>
      </c>
      <c r="AD125" s="77">
        <f>SUMIFS(Input!AI$2:AI$999,Input!$B$2:$B$999,IND_Trans!$E125,Input!$C$2:$C$999,LEFT(IND_Trans!$B125,10)&amp;"*",Input!$D$2:$D$999,IND_Trans!$C125)</f>
        <v>0.037999999999999999</v>
      </c>
      <c r="AE125" s="77">
        <f>SUMIFS(Input!AJ$2:AJ$999,Input!$B$2:$B$999,IND_Trans!$E125,Input!$C$2:$C$999,LEFT(IND_Trans!$B125,10)&amp;"*",Input!$D$2:$D$999,IND_Trans!$C125)</f>
        <v>0.66000000000000003</v>
      </c>
      <c r="AF125" s="77">
        <f>SUMIFS(Input!AK$2:AK$999,Input!$B$2:$B$999,IND_Trans!$E125,Input!$C$2:$C$999,LEFT(IND_Trans!$B125,10)&amp;"*",Input!$D$2:$D$999,IND_Trans!$C125)</f>
        <v>12.949999999999999</v>
      </c>
      <c r="AG125" s="77">
        <f>SUMIFS(Input!AL$2:AL$999,Input!$B$2:$B$999,IND_Trans!$E125,Input!$C$2:$C$999,LEFT(IND_Trans!$B125,10)&amp;"*",Input!$D$2:$D$999,IND_Trans!$C125)</f>
        <v>0</v>
      </c>
      <c r="AH125" s="77">
        <f>SUMIFS(Input!AM$2:AM$999,Input!$B$2:$B$999,IND_Trans!$E125,Input!$C$2:$C$999,LEFT(IND_Trans!$B125,10)&amp;"*",Input!$D$2:$D$999,IND_Trans!$C125)</f>
        <v>0</v>
      </c>
      <c r="AI125" s="77">
        <f>SUMIFS(Input!AN$2:AN$999,Input!$B$2:$B$999,IND_Trans!$E125,Input!$C$2:$C$999,LEFT(IND_Trans!$B125,10)&amp;"*",Input!$D$2:$D$999,IND_Trans!$C125)</f>
        <v>7.6976151750972797</v>
      </c>
      <c r="AJ125" s="77">
        <f>SUMIFS(Input!AO$2:AO$999,Input!$B$2:$B$999,IND_Trans!$E125,Input!$C$2:$C$999,LEFT(IND_Trans!$B125,10)&amp;"*",Input!$D$2:$D$999,IND_Trans!$C125)</f>
        <v>0.22</v>
      </c>
      <c r="AK125" s="77">
        <f>SUMIFS(Input!AP$2:AP$999,Input!$B$2:$B$999,IND_Trans!$E125,Input!$C$2:$C$999,LEFT(IND_Trans!$B125,10)&amp;"*",Input!$D$2:$D$999,IND_Trans!$C125)</f>
        <v>0.128</v>
      </c>
      <c r="AL125" s="77">
        <f>SUMIFS(Input!AQ$2:AQ$999,Input!$B$2:$B$999,IND_Trans!$E125,Input!$C$2:$C$999,LEFT(IND_Trans!$B125,10)&amp;"*",Input!$D$2:$D$999,IND_Trans!$C125)</f>
        <v>0.0088645549053540697</v>
      </c>
      <c r="AM125" s="77">
        <f>SUMIFS(Input!AR$2:AR$999,Input!$B$2:$B$999,IND_Trans!$E125,Input!$C$2:$C$999,LEFT(IND_Trans!$B125,10)&amp;"*",Input!$D$2:$D$999,IND_Trans!$C125)</f>
        <v>0</v>
      </c>
      <c r="AN125" s="77">
        <f>SUMIFS(Input!AS$2:AS$999,Input!$B$2:$B$999,IND_Trans!$E125,Input!$C$2:$C$999,LEFT(IND_Trans!$B125,10)&amp;"*",Input!$D$2:$D$999,IND_Trans!$C125)</f>
        <v>0.33000000000000002</v>
      </c>
      <c r="AO125" s="77">
        <f>SUMIFS(Input!AT$2:AT$999,Input!$B$2:$B$999,IND_Trans!$E125,Input!$C$2:$C$999,LEFT(IND_Trans!$B125,10)&amp;"*",Input!$D$2:$D$999,IND_Trans!$C125)</f>
        <v>0</v>
      </c>
      <c r="AP125" s="77">
        <f>SUMIFS(Input!AU$2:AU$999,Input!$B$2:$B$999,IND_Trans!$E125,Input!$C$2:$C$999,LEFT(IND_Trans!$B125,10)&amp;"*",Input!$D$2:$D$999,IND_Trans!$C125)</f>
        <v>0.23499999999999999</v>
      </c>
      <c r="AQ125" s="77">
        <f>SUMIFS(Input!AV$2:AV$999,Input!$B$2:$B$999,IND_Trans!$E125,Input!$C$2:$C$999,LEFT(IND_Trans!$B125,10)&amp;"*",Input!$D$2:$D$999,IND_Trans!$C125)</f>
        <v>1.1156171492729401</v>
      </c>
    </row>
    <row r="126" spans="2:43" ht="12.75">
      <c r="B126" t="s">
        <v>434</v>
      </c>
      <c r="C126" t="s">
        <v>50</v>
      </c>
      <c r="E126" s="16" t="s">
        <v>103</v>
      </c>
      <c r="G126" s="77">
        <f>SUMIFS(Input!L$2:L$999,Input!$B$2:$B$999,IND_Trans!$E126,Input!$C$2:$C$999,LEFT(IND_Trans!$B126,10)&amp;"*",Input!$D$2:$D$999,IND_Trans!$C126)</f>
        <v>0</v>
      </c>
      <c r="H126" s="77">
        <f>SUMIFS(Input!M$2:M$999,Input!$B$2:$B$999,IND_Trans!$E126,Input!$C$2:$C$999,LEFT(IND_Trans!$B126,10)&amp;"*",Input!$D$2:$D$999,IND_Trans!$C126)</f>
        <v>0.704829308909242</v>
      </c>
      <c r="I126" s="77">
        <f>SUMIFS(Input!N$2:N$999,Input!$B$2:$B$999,IND_Trans!$E126,Input!$C$2:$C$999,LEFT(IND_Trans!$B126,10)&amp;"*",Input!$D$2:$D$999,IND_Trans!$C126)</f>
        <v>0</v>
      </c>
      <c r="J126" s="77">
        <f>SUMIFS(Input!O$2:O$999,Input!$B$2:$B$999,IND_Trans!$E126,Input!$C$2:$C$999,LEFT(IND_Trans!$B126,10)&amp;"*",Input!$D$2:$D$999,IND_Trans!$C126)</f>
        <v>0.78756393672394298</v>
      </c>
      <c r="K126" s="77">
        <f>SUMIFS(Input!P$2:P$999,Input!$B$2:$B$999,IND_Trans!$E126,Input!$C$2:$C$999,LEFT(IND_Trans!$B126,10)&amp;"*",Input!$D$2:$D$999,IND_Trans!$C126)</f>
        <v>0</v>
      </c>
      <c r="L126" s="77">
        <f>SUMIFS(Input!Q$2:Q$999,Input!$B$2:$B$999,IND_Trans!$E126,Input!$C$2:$C$999,LEFT(IND_Trans!$B126,10)&amp;"*",Input!$D$2:$D$999,IND_Trans!$C126)</f>
        <v>0</v>
      </c>
      <c r="M126" s="77">
        <f>SUMIFS(Input!R$2:R$999,Input!$B$2:$B$999,IND_Trans!$E126,Input!$C$2:$C$999,LEFT(IND_Trans!$B126,10)&amp;"*",Input!$D$2:$D$999,IND_Trans!$C126)</f>
        <v>0</v>
      </c>
      <c r="N126" s="77">
        <f>SUMIFS(Input!S$2:S$999,Input!$B$2:$B$999,IND_Trans!$E126,Input!$C$2:$C$999,LEFT(IND_Trans!$B126,10)&amp;"*",Input!$D$2:$D$999,IND_Trans!$C126)</f>
        <v>0.510222691565407</v>
      </c>
      <c r="O126" s="77">
        <f>SUMIFS(Input!T$2:T$999,Input!$B$2:$B$999,IND_Trans!$E126,Input!$C$2:$C$999,LEFT(IND_Trans!$B126,10)&amp;"*",Input!$D$2:$D$999,IND_Trans!$C126)</f>
        <v>0.372934411362081</v>
      </c>
      <c r="P126" s="77">
        <f>SUMIFS(Input!U$2:U$999,Input!$B$2:$B$999,IND_Trans!$E126,Input!$C$2:$C$999,LEFT(IND_Trans!$B126,10)&amp;"*",Input!$D$2:$D$999,IND_Trans!$C126)</f>
        <v>0</v>
      </c>
      <c r="Q126" s="77">
        <f>SUMIFS(Input!V$2:V$999,Input!$B$2:$B$999,IND_Trans!$E126,Input!$C$2:$C$999,LEFT(IND_Trans!$B126,10)&amp;"*",Input!$D$2:$D$999,IND_Trans!$C126)</f>
        <v>0</v>
      </c>
      <c r="R126" s="77">
        <f>SUMIFS(Input!W$2:W$999,Input!$B$2:$B$999,IND_Trans!$E126,Input!$C$2:$C$999,LEFT(IND_Trans!$B126,10)&amp;"*",Input!$D$2:$D$999,IND_Trans!$C126)</f>
        <v>0</v>
      </c>
      <c r="S126" s="77">
        <f>SUMIFS(Input!X$2:X$999,Input!$B$2:$B$999,IND_Trans!$E126,Input!$C$2:$C$999,LEFT(IND_Trans!$B126,10)&amp;"*",Input!$D$2:$D$999,IND_Trans!$C126)</f>
        <v>0.209083724453895</v>
      </c>
      <c r="T126" s="77">
        <f>SUMIFS(Input!Y$2:Y$999,Input!$B$2:$B$999,IND_Trans!$E126,Input!$C$2:$C$999,LEFT(IND_Trans!$B126,10)&amp;"*",Input!$D$2:$D$999,IND_Trans!$C126)</f>
        <v>0.88</v>
      </c>
      <c r="U126" s="77">
        <f>SUMIFS(Input!Z$2:Z$999,Input!$B$2:$B$999,IND_Trans!$E126,Input!$C$2:$C$999,LEFT(IND_Trans!$B126,10)&amp;"*",Input!$D$2:$D$999,IND_Trans!$C126)</f>
        <v>0.64182185707798101</v>
      </c>
      <c r="V126" s="77">
        <f>SUMIFS(Input!AA$2:AA$999,Input!$B$2:$B$999,IND_Trans!$E126,Input!$C$2:$C$999,LEFT(IND_Trans!$B126,10)&amp;"*",Input!$D$2:$D$999,IND_Trans!$C126)</f>
        <v>0</v>
      </c>
      <c r="W126" s="77">
        <f>SUMIFS(Input!AB$2:AB$999,Input!$B$2:$B$999,IND_Trans!$E126,Input!$C$2:$C$999,LEFT(IND_Trans!$B126,10)&amp;"*",Input!$D$2:$D$999,IND_Trans!$C126)</f>
        <v>1.7640175208581601</v>
      </c>
      <c r="X126" s="77">
        <f>SUMIFS(Input!AC$2:AC$999,Input!$B$2:$B$999,IND_Trans!$E126,Input!$C$2:$C$999,LEFT(IND_Trans!$B126,10)&amp;"*",Input!$D$2:$D$999,IND_Trans!$C126)</f>
        <v>0</v>
      </c>
      <c r="Y126" s="77">
        <f>SUMIFS(Input!AD$2:AD$999,Input!$B$2:$B$999,IND_Trans!$E126,Input!$C$2:$C$999,LEFT(IND_Trans!$B126,10)&amp;"*",Input!$D$2:$D$999,IND_Trans!$C126)</f>
        <v>0</v>
      </c>
      <c r="Z126" s="77">
        <f>SUMIFS(Input!AE$2:AE$999,Input!$B$2:$B$999,IND_Trans!$E126,Input!$C$2:$C$999,LEFT(IND_Trans!$B126,10)&amp;"*",Input!$D$2:$D$999,IND_Trans!$C126)</f>
        <v>0</v>
      </c>
      <c r="AA126" s="77">
        <f>SUMIFS(Input!AF$2:AF$999,Input!$B$2:$B$999,IND_Trans!$E126,Input!$C$2:$C$999,LEFT(IND_Trans!$B126,10)&amp;"*",Input!$D$2:$D$999,IND_Trans!$C126)</f>
        <v>0</v>
      </c>
      <c r="AB126" s="77">
        <f>SUMIFS(Input!AG$2:AG$999,Input!$B$2:$B$999,IND_Trans!$E126,Input!$C$2:$C$999,LEFT(IND_Trans!$B126,10)&amp;"*",Input!$D$2:$D$999,IND_Trans!$C126)</f>
        <v>0</v>
      </c>
      <c r="AC126" s="77">
        <f>SUMIFS(Input!AH$2:AH$999,Input!$B$2:$B$999,IND_Trans!$E126,Input!$C$2:$C$999,LEFT(IND_Trans!$B126,10)&amp;"*",Input!$D$2:$D$999,IND_Trans!$C126)</f>
        <v>0</v>
      </c>
      <c r="AD126" s="77">
        <f>SUMIFS(Input!AI$2:AI$999,Input!$B$2:$B$999,IND_Trans!$E126,Input!$C$2:$C$999,LEFT(IND_Trans!$B126,10)&amp;"*",Input!$D$2:$D$999,IND_Trans!$C126)</f>
        <v>0</v>
      </c>
      <c r="AE126" s="77">
        <f>SUMIFS(Input!AJ$2:AJ$999,Input!$B$2:$B$999,IND_Trans!$E126,Input!$C$2:$C$999,LEFT(IND_Trans!$B126,10)&amp;"*",Input!$D$2:$D$999,IND_Trans!$C126)</f>
        <v>0</v>
      </c>
      <c r="AF126" s="77">
        <f>SUMIFS(Input!AK$2:AK$999,Input!$B$2:$B$999,IND_Trans!$E126,Input!$C$2:$C$999,LEFT(IND_Trans!$B126,10)&amp;"*",Input!$D$2:$D$999,IND_Trans!$C126)</f>
        <v>0</v>
      </c>
      <c r="AG126" s="77">
        <f>SUMIFS(Input!AL$2:AL$999,Input!$B$2:$B$999,IND_Trans!$E126,Input!$C$2:$C$999,LEFT(IND_Trans!$B126,10)&amp;"*",Input!$D$2:$D$999,IND_Trans!$C126)</f>
        <v>0</v>
      </c>
      <c r="AH126" s="77">
        <f>SUMIFS(Input!AM$2:AM$999,Input!$B$2:$B$999,IND_Trans!$E126,Input!$C$2:$C$999,LEFT(IND_Trans!$B126,10)&amp;"*",Input!$D$2:$D$999,IND_Trans!$C126)</f>
        <v>1.0495270620959301</v>
      </c>
      <c r="AI126" s="77">
        <f>SUMIFS(Input!AN$2:AN$999,Input!$B$2:$B$999,IND_Trans!$E126,Input!$C$2:$C$999,LEFT(IND_Trans!$B126,10)&amp;"*",Input!$D$2:$D$999,IND_Trans!$C126)</f>
        <v>0</v>
      </c>
      <c r="AJ126" s="77">
        <f>SUMIFS(Input!AO$2:AO$999,Input!$B$2:$B$999,IND_Trans!$E126,Input!$C$2:$C$999,LEFT(IND_Trans!$B126,10)&amp;"*",Input!$D$2:$D$999,IND_Trans!$C126)</f>
        <v>0.92827918803953402</v>
      </c>
      <c r="AK126" s="77">
        <f>SUMIFS(Input!AP$2:AP$999,Input!$B$2:$B$999,IND_Trans!$E126,Input!$C$2:$C$999,LEFT(IND_Trans!$B126,10)&amp;"*",Input!$D$2:$D$999,IND_Trans!$C126)</f>
        <v>0</v>
      </c>
      <c r="AL126" s="77">
        <f>SUMIFS(Input!AQ$2:AQ$999,Input!$B$2:$B$999,IND_Trans!$E126,Input!$C$2:$C$999,LEFT(IND_Trans!$B126,10)&amp;"*",Input!$D$2:$D$999,IND_Trans!$C126)</f>
        <v>0</v>
      </c>
      <c r="AM126" s="77">
        <f>SUMIFS(Input!AR$2:AR$999,Input!$B$2:$B$999,IND_Trans!$E126,Input!$C$2:$C$999,LEFT(IND_Trans!$B126,10)&amp;"*",Input!$D$2:$D$999,IND_Trans!$C126)</f>
        <v>0</v>
      </c>
      <c r="AN126" s="77">
        <f>SUMIFS(Input!AS$2:AS$999,Input!$B$2:$B$999,IND_Trans!$E126,Input!$C$2:$C$999,LEFT(IND_Trans!$B126,10)&amp;"*",Input!$D$2:$D$999,IND_Trans!$C126)</f>
        <v>0.30799671687990099</v>
      </c>
      <c r="AO126" s="77">
        <f>SUMIFS(Input!AT$2:AT$999,Input!$B$2:$B$999,IND_Trans!$E126,Input!$C$2:$C$999,LEFT(IND_Trans!$B126,10)&amp;"*",Input!$D$2:$D$999,IND_Trans!$C126)</f>
        <v>0</v>
      </c>
      <c r="AP126" s="77">
        <f>SUMIFS(Input!AU$2:AU$999,Input!$B$2:$B$999,IND_Trans!$E126,Input!$C$2:$C$999,LEFT(IND_Trans!$B126,10)&amp;"*",Input!$D$2:$D$999,IND_Trans!$C126)</f>
        <v>1.63182517455815</v>
      </c>
      <c r="AQ126" s="77">
        <f>SUMIFS(Input!AV$2:AV$999,Input!$B$2:$B$999,IND_Trans!$E126,Input!$C$2:$C$999,LEFT(IND_Trans!$B126,10)&amp;"*",Input!$D$2:$D$999,IND_Trans!$C126)</f>
        <v>0.24297425417138699</v>
      </c>
    </row>
    <row r="127" spans="2:43" ht="12.75">
      <c r="B127" t="s">
        <v>434</v>
      </c>
      <c r="C127" t="s">
        <v>51</v>
      </c>
      <c r="E127" s="16" t="s">
        <v>103</v>
      </c>
      <c r="G127" s="77">
        <f>SUMIFS(Input!L$2:L$999,Input!$B$2:$B$999,IND_Trans!$E127,Input!$C$2:$C$999,LEFT(IND_Trans!$B127,10)&amp;"*",Input!$D$2:$D$999,IND_Trans!$C127)</f>
        <v>0</v>
      </c>
      <c r="H127" s="77">
        <f>SUMIFS(Input!M$2:M$999,Input!$B$2:$B$999,IND_Trans!$E127,Input!$C$2:$C$999,LEFT(IND_Trans!$B127,10)&amp;"*",Input!$D$2:$D$999,IND_Trans!$C127)</f>
        <v>2.2711676380793802</v>
      </c>
      <c r="I127" s="77">
        <f>SUMIFS(Input!N$2:N$999,Input!$B$2:$B$999,IND_Trans!$E127,Input!$C$2:$C$999,LEFT(IND_Trans!$B127,10)&amp;"*",Input!$D$2:$D$999,IND_Trans!$C127)</f>
        <v>0</v>
      </c>
      <c r="J127" s="77">
        <f>SUMIFS(Input!O$2:O$999,Input!$B$2:$B$999,IND_Trans!$E127,Input!$C$2:$C$999,LEFT(IND_Trans!$B127,10)&amp;"*",Input!$D$2:$D$999,IND_Trans!$C127)</f>
        <v>0.0271977753982184</v>
      </c>
      <c r="K127" s="77">
        <f>SUMIFS(Input!P$2:P$999,Input!$B$2:$B$999,IND_Trans!$E127,Input!$C$2:$C$999,LEFT(IND_Trans!$B127,10)&amp;"*",Input!$D$2:$D$999,IND_Trans!$C127)</f>
        <v>0</v>
      </c>
      <c r="L127" s="77">
        <f>SUMIFS(Input!Q$2:Q$999,Input!$B$2:$B$999,IND_Trans!$E127,Input!$C$2:$C$999,LEFT(IND_Trans!$B127,10)&amp;"*",Input!$D$2:$D$999,IND_Trans!$C127)</f>
        <v>0.042248120300751903</v>
      </c>
      <c r="M127" s="77">
        <f>SUMIFS(Input!R$2:R$999,Input!$B$2:$B$999,IND_Trans!$E127,Input!$C$2:$C$999,LEFT(IND_Trans!$B127,10)&amp;"*",Input!$D$2:$D$999,IND_Trans!$C127)</f>
        <v>0</v>
      </c>
      <c r="N127" s="77">
        <f>SUMIFS(Input!S$2:S$999,Input!$B$2:$B$999,IND_Trans!$E127,Input!$C$2:$C$999,LEFT(IND_Trans!$B127,10)&amp;"*",Input!$D$2:$D$999,IND_Trans!$C127)</f>
        <v>2.2844392281442398</v>
      </c>
      <c r="O127" s="77">
        <f>SUMIFS(Input!T$2:T$999,Input!$B$2:$B$999,IND_Trans!$E127,Input!$C$2:$C$999,LEFT(IND_Trans!$B127,10)&amp;"*",Input!$D$2:$D$999,IND_Trans!$C127)</f>
        <v>0</v>
      </c>
      <c r="P127" s="77">
        <f>SUMIFS(Input!U$2:U$999,Input!$B$2:$B$999,IND_Trans!$E127,Input!$C$2:$C$999,LEFT(IND_Trans!$B127,10)&amp;"*",Input!$D$2:$D$999,IND_Trans!$C127)</f>
        <v>0</v>
      </c>
      <c r="Q127" s="77">
        <f>SUMIFS(Input!V$2:V$999,Input!$B$2:$B$999,IND_Trans!$E127,Input!$C$2:$C$999,LEFT(IND_Trans!$B127,10)&amp;"*",Input!$D$2:$D$999,IND_Trans!$C127)</f>
        <v>0</v>
      </c>
      <c r="R127" s="77">
        <f>SUMIFS(Input!W$2:W$999,Input!$B$2:$B$999,IND_Trans!$E127,Input!$C$2:$C$999,LEFT(IND_Trans!$B127,10)&amp;"*",Input!$D$2:$D$999,IND_Trans!$C127)</f>
        <v>0</v>
      </c>
      <c r="S127" s="77">
        <f>SUMIFS(Input!X$2:X$999,Input!$B$2:$B$999,IND_Trans!$E127,Input!$C$2:$C$999,LEFT(IND_Trans!$B127,10)&amp;"*",Input!$D$2:$D$999,IND_Trans!$C127)</f>
        <v>0.045249620273205497</v>
      </c>
      <c r="T127" s="77">
        <f>SUMIFS(Input!Y$2:Y$999,Input!$B$2:$B$999,IND_Trans!$E127,Input!$C$2:$C$999,LEFT(IND_Trans!$B127,10)&amp;"*",Input!$D$2:$D$999,IND_Trans!$C127)</f>
        <v>4.0599999999999996</v>
      </c>
      <c r="U127" s="77">
        <f>SUMIFS(Input!Z$2:Z$999,Input!$B$2:$B$999,IND_Trans!$E127,Input!$C$2:$C$999,LEFT(IND_Trans!$B127,10)&amp;"*",Input!$D$2:$D$999,IND_Trans!$C127)</f>
        <v>0.029504723595431999</v>
      </c>
      <c r="V127" s="77">
        <f>SUMIFS(Input!AA$2:AA$999,Input!$B$2:$B$999,IND_Trans!$E127,Input!$C$2:$C$999,LEFT(IND_Trans!$B127,10)&amp;"*",Input!$D$2:$D$999,IND_Trans!$C127)</f>
        <v>1.2</v>
      </c>
      <c r="W127" s="77">
        <f>SUMIFS(Input!AB$2:AB$999,Input!$B$2:$B$999,IND_Trans!$E127,Input!$C$2:$C$999,LEFT(IND_Trans!$B127,10)&amp;"*",Input!$D$2:$D$999,IND_Trans!$C127)</f>
        <v>1.61047405244339</v>
      </c>
      <c r="X127" s="77">
        <f>SUMIFS(Input!AC$2:AC$999,Input!$B$2:$B$999,IND_Trans!$E127,Input!$C$2:$C$999,LEFT(IND_Trans!$B127,10)&amp;"*",Input!$D$2:$D$999,IND_Trans!$C127)</f>
        <v>0</v>
      </c>
      <c r="Y127" s="77">
        <f>SUMIFS(Input!AD$2:AD$999,Input!$B$2:$B$999,IND_Trans!$E127,Input!$C$2:$C$999,LEFT(IND_Trans!$B127,10)&amp;"*",Input!$D$2:$D$999,IND_Trans!$C127)</f>
        <v>0</v>
      </c>
      <c r="Z127" s="77">
        <f>SUMIFS(Input!AE$2:AE$999,Input!$B$2:$B$999,IND_Trans!$E127,Input!$C$2:$C$999,LEFT(IND_Trans!$B127,10)&amp;"*",Input!$D$2:$D$999,IND_Trans!$C127)</f>
        <v>0.0499878682123902</v>
      </c>
      <c r="AA127" s="77">
        <f>SUMIFS(Input!AF$2:AF$999,Input!$B$2:$B$999,IND_Trans!$E127,Input!$C$2:$C$999,LEFT(IND_Trans!$B127,10)&amp;"*",Input!$D$2:$D$999,IND_Trans!$C127)</f>
        <v>0</v>
      </c>
      <c r="AB127" s="77">
        <f>SUMIFS(Input!AG$2:AG$999,Input!$B$2:$B$999,IND_Trans!$E127,Input!$C$2:$C$999,LEFT(IND_Trans!$B127,10)&amp;"*",Input!$D$2:$D$999,IND_Trans!$C127)</f>
        <v>0.93333333333333302</v>
      </c>
      <c r="AC127" s="77">
        <f>SUMIFS(Input!AH$2:AH$999,Input!$B$2:$B$999,IND_Trans!$E127,Input!$C$2:$C$999,LEFT(IND_Trans!$B127,10)&amp;"*",Input!$D$2:$D$999,IND_Trans!$C127)</f>
        <v>0.010989010989011</v>
      </c>
      <c r="AD127" s="77">
        <f>SUMIFS(Input!AI$2:AI$999,Input!$B$2:$B$999,IND_Trans!$E127,Input!$C$2:$C$999,LEFT(IND_Trans!$B127,10)&amp;"*",Input!$D$2:$D$999,IND_Trans!$C127)</f>
        <v>0.13129770992366399</v>
      </c>
      <c r="AE127" s="77">
        <f>SUMIFS(Input!AJ$2:AJ$999,Input!$B$2:$B$999,IND_Trans!$E127,Input!$C$2:$C$999,LEFT(IND_Trans!$B127,10)&amp;"*",Input!$D$2:$D$999,IND_Trans!$C127)</f>
        <v>0.20999999999999999</v>
      </c>
      <c r="AF127" s="77">
        <f>SUMIFS(Input!AK$2:AK$999,Input!$B$2:$B$999,IND_Trans!$E127,Input!$C$2:$C$999,LEFT(IND_Trans!$B127,10)&amp;"*",Input!$D$2:$D$999,IND_Trans!$C127)</f>
        <v>2.5463917525773199</v>
      </c>
      <c r="AG127" s="77">
        <f>SUMIFS(Input!AL$2:AL$999,Input!$B$2:$B$999,IND_Trans!$E127,Input!$C$2:$C$999,LEFT(IND_Trans!$B127,10)&amp;"*",Input!$D$2:$D$999,IND_Trans!$C127)</f>
        <v>0</v>
      </c>
      <c r="AH127" s="77">
        <f>SUMIFS(Input!AM$2:AM$999,Input!$B$2:$B$999,IND_Trans!$E127,Input!$C$2:$C$999,LEFT(IND_Trans!$B127,10)&amp;"*",Input!$D$2:$D$999,IND_Trans!$C127)</f>
        <v>0</v>
      </c>
      <c r="AI127" s="77">
        <f>SUMIFS(Input!AN$2:AN$999,Input!$B$2:$B$999,IND_Trans!$E127,Input!$C$2:$C$999,LEFT(IND_Trans!$B127,10)&amp;"*",Input!$D$2:$D$999,IND_Trans!$C127)</f>
        <v>10.550000000000001</v>
      </c>
      <c r="AJ127" s="77">
        <f>SUMIFS(Input!AO$2:AO$999,Input!$B$2:$B$999,IND_Trans!$E127,Input!$C$2:$C$999,LEFT(IND_Trans!$B127,10)&amp;"*",Input!$D$2:$D$999,IND_Trans!$C127)</f>
        <v>0</v>
      </c>
      <c r="AK127" s="77">
        <f>SUMIFS(Input!AP$2:AP$999,Input!$B$2:$B$999,IND_Trans!$E127,Input!$C$2:$C$999,LEFT(IND_Trans!$B127,10)&amp;"*",Input!$D$2:$D$999,IND_Trans!$C127)</f>
        <v>0</v>
      </c>
      <c r="AL127" s="77">
        <f>SUMIFS(Input!AQ$2:AQ$999,Input!$B$2:$B$999,IND_Trans!$E127,Input!$C$2:$C$999,LEFT(IND_Trans!$B127,10)&amp;"*",Input!$D$2:$D$999,IND_Trans!$C127)</f>
        <v>0.65000000000000002</v>
      </c>
      <c r="AM127" s="77">
        <f>SUMIFS(Input!AR$2:AR$999,Input!$B$2:$B$999,IND_Trans!$E127,Input!$C$2:$C$999,LEFT(IND_Trans!$B127,10)&amp;"*",Input!$D$2:$D$999,IND_Trans!$C127)</f>
        <v>0.085108600478469895</v>
      </c>
      <c r="AN127" s="77">
        <f>SUMIFS(Input!AS$2:AS$999,Input!$B$2:$B$999,IND_Trans!$E127,Input!$C$2:$C$999,LEFT(IND_Trans!$B127,10)&amp;"*",Input!$D$2:$D$999,IND_Trans!$C127)</f>
        <v>0.55798229281881995</v>
      </c>
      <c r="AO127" s="77">
        <f>SUMIFS(Input!AT$2:AT$999,Input!$B$2:$B$999,IND_Trans!$E127,Input!$C$2:$C$999,LEFT(IND_Trans!$B127,10)&amp;"*",Input!$D$2:$D$999,IND_Trans!$C127)</f>
        <v>0.37623762376237602</v>
      </c>
      <c r="AP127" s="77">
        <f>SUMIFS(Input!AU$2:AU$999,Input!$B$2:$B$999,IND_Trans!$E127,Input!$C$2:$C$999,LEFT(IND_Trans!$B127,10)&amp;"*",Input!$D$2:$D$999,IND_Trans!$C127)</f>
        <v>0.21952084278856501</v>
      </c>
      <c r="AQ127" s="77">
        <f>SUMIFS(Input!AV$2:AV$999,Input!$B$2:$B$999,IND_Trans!$E127,Input!$C$2:$C$999,LEFT(IND_Trans!$B127,10)&amp;"*",Input!$D$2:$D$999,IND_Trans!$C127)</f>
        <v>0</v>
      </c>
    </row>
    <row r="128" spans="2:43" ht="12.75">
      <c r="B128" t="s">
        <v>434</v>
      </c>
      <c r="C128" t="s">
        <v>37</v>
      </c>
      <c r="E128" s="16" t="s">
        <v>103</v>
      </c>
      <c r="G128" s="77">
        <f>SUMIFS(Input!L$2:L$999,Input!$B$2:$B$999,IND_Trans!$E128,Input!$C$2:$C$999,LEFT(IND_Trans!$B128,10)&amp;"*",Input!$D$2:$D$999,IND_Trans!$C128)</f>
        <v>0</v>
      </c>
      <c r="H128" s="77">
        <f>SUMIFS(Input!M$2:M$999,Input!$B$2:$B$999,IND_Trans!$E128,Input!$C$2:$C$999,LEFT(IND_Trans!$B128,10)&amp;"*",Input!$D$2:$D$999,IND_Trans!$C128)</f>
        <v>0.51546849847349396</v>
      </c>
      <c r="I128" s="77">
        <f>SUMIFS(Input!N$2:N$999,Input!$B$2:$B$999,IND_Trans!$E128,Input!$C$2:$C$999,LEFT(IND_Trans!$B128,10)&amp;"*",Input!$D$2:$D$999,IND_Trans!$C128)</f>
        <v>2.28101648647413</v>
      </c>
      <c r="J128" s="77">
        <f>SUMIFS(Input!O$2:O$999,Input!$B$2:$B$999,IND_Trans!$E128,Input!$C$2:$C$999,LEFT(IND_Trans!$B128,10)&amp;"*",Input!$D$2:$D$999,IND_Trans!$C128)</f>
        <v>0.83499999999999996</v>
      </c>
      <c r="K128" s="77">
        <f>SUMIFS(Input!P$2:P$999,Input!$B$2:$B$999,IND_Trans!$E128,Input!$C$2:$C$999,LEFT(IND_Trans!$B128,10)&amp;"*",Input!$D$2:$D$999,IND_Trans!$C128)</f>
        <v>1.9251075268817199</v>
      </c>
      <c r="L128" s="77">
        <f>SUMIFS(Input!Q$2:Q$999,Input!$B$2:$B$999,IND_Trans!$E128,Input!$C$2:$C$999,LEFT(IND_Trans!$B128,10)&amp;"*",Input!$D$2:$D$999,IND_Trans!$C128)</f>
        <v>1.9065714285714299</v>
      </c>
      <c r="M128" s="77">
        <f>SUMIFS(Input!R$2:R$999,Input!$B$2:$B$999,IND_Trans!$E128,Input!$C$2:$C$999,LEFT(IND_Trans!$B128,10)&amp;"*",Input!$D$2:$D$999,IND_Trans!$C128)</f>
        <v>0</v>
      </c>
      <c r="N128" s="77">
        <f>SUMIFS(Input!S$2:S$999,Input!$B$2:$B$999,IND_Trans!$E128,Input!$C$2:$C$999,LEFT(IND_Trans!$B128,10)&amp;"*",Input!$D$2:$D$999,IND_Trans!$C128)</f>
        <v>0.88952997355299601</v>
      </c>
      <c r="O128" s="77">
        <f>SUMIFS(Input!T$2:T$999,Input!$B$2:$B$999,IND_Trans!$E128,Input!$C$2:$C$999,LEFT(IND_Trans!$B128,10)&amp;"*",Input!$D$2:$D$999,IND_Trans!$C128)</f>
        <v>1.0417823043577501</v>
      </c>
      <c r="P128" s="77">
        <f>SUMIFS(Input!U$2:U$999,Input!$B$2:$B$999,IND_Trans!$E128,Input!$C$2:$C$999,LEFT(IND_Trans!$B128,10)&amp;"*",Input!$D$2:$D$999,IND_Trans!$C128)</f>
        <v>2.3230769230769202</v>
      </c>
      <c r="Q128" s="77">
        <f>SUMIFS(Input!V$2:V$999,Input!$B$2:$B$999,IND_Trans!$E128,Input!$C$2:$C$999,LEFT(IND_Trans!$B128,10)&amp;"*",Input!$D$2:$D$999,IND_Trans!$C128)</f>
        <v>0</v>
      </c>
      <c r="R128" s="77">
        <f>SUMIFS(Input!W$2:W$999,Input!$B$2:$B$999,IND_Trans!$E128,Input!$C$2:$C$999,LEFT(IND_Trans!$B128,10)&amp;"*",Input!$D$2:$D$999,IND_Trans!$C128)</f>
        <v>0.39186051619989098</v>
      </c>
      <c r="S128" s="77">
        <f>SUMIFS(Input!X$2:X$999,Input!$B$2:$B$999,IND_Trans!$E128,Input!$C$2:$C$999,LEFT(IND_Trans!$B128,10)&amp;"*",Input!$D$2:$D$999,IND_Trans!$C128)</f>
        <v>1.2814179532368599</v>
      </c>
      <c r="T128" s="77">
        <f>SUMIFS(Input!Y$2:Y$999,Input!$B$2:$B$999,IND_Trans!$E128,Input!$C$2:$C$999,LEFT(IND_Trans!$B128,10)&amp;"*",Input!$D$2:$D$999,IND_Trans!$C128)</f>
        <v>0.088999999999999996</v>
      </c>
      <c r="U128" s="77">
        <f>SUMIFS(Input!Z$2:Z$999,Input!$B$2:$B$999,IND_Trans!$E128,Input!$C$2:$C$999,LEFT(IND_Trans!$B128,10)&amp;"*",Input!$D$2:$D$999,IND_Trans!$C128)</f>
        <v>0.68482284397301196</v>
      </c>
      <c r="V128" s="77">
        <f>SUMIFS(Input!AA$2:AA$999,Input!$B$2:$B$999,IND_Trans!$E128,Input!$C$2:$C$999,LEFT(IND_Trans!$B128,10)&amp;"*",Input!$D$2:$D$999,IND_Trans!$C128)</f>
        <v>5.6631578947368402</v>
      </c>
      <c r="W128" s="77">
        <f>SUMIFS(Input!AB$2:AB$999,Input!$B$2:$B$999,IND_Trans!$E128,Input!$C$2:$C$999,LEFT(IND_Trans!$B128,10)&amp;"*",Input!$D$2:$D$999,IND_Trans!$C128)</f>
        <v>0.066738402860548399</v>
      </c>
      <c r="X128" s="77">
        <f>SUMIFS(Input!AC$2:AC$999,Input!$B$2:$B$999,IND_Trans!$E128,Input!$C$2:$C$999,LEFT(IND_Trans!$B128,10)&amp;"*",Input!$D$2:$D$999,IND_Trans!$C128)</f>
        <v>0</v>
      </c>
      <c r="Y128" s="77">
        <f>SUMIFS(Input!AD$2:AD$999,Input!$B$2:$B$999,IND_Trans!$E128,Input!$C$2:$C$999,LEFT(IND_Trans!$B128,10)&amp;"*",Input!$D$2:$D$999,IND_Trans!$C128)</f>
        <v>0</v>
      </c>
      <c r="Z128" s="77">
        <f>SUMIFS(Input!AE$2:AE$999,Input!$B$2:$B$999,IND_Trans!$E128,Input!$C$2:$C$999,LEFT(IND_Trans!$B128,10)&amp;"*",Input!$D$2:$D$999,IND_Trans!$C128)</f>
        <v>0.85232339991123995</v>
      </c>
      <c r="AA128" s="77">
        <f>SUMIFS(Input!AF$2:AF$999,Input!$B$2:$B$999,IND_Trans!$E128,Input!$C$2:$C$999,LEFT(IND_Trans!$B128,10)&amp;"*",Input!$D$2:$D$999,IND_Trans!$C128)</f>
        <v>11.644500000000001</v>
      </c>
      <c r="AB128" s="77">
        <f>SUMIFS(Input!AG$2:AG$999,Input!$B$2:$B$999,IND_Trans!$E128,Input!$C$2:$C$999,LEFT(IND_Trans!$B128,10)&amp;"*",Input!$D$2:$D$999,IND_Trans!$C128)</f>
        <v>0.266666666666667</v>
      </c>
      <c r="AC128" s="77">
        <f>SUMIFS(Input!AH$2:AH$999,Input!$B$2:$B$999,IND_Trans!$E128,Input!$C$2:$C$999,LEFT(IND_Trans!$B128,10)&amp;"*",Input!$D$2:$D$999,IND_Trans!$C128)</f>
        <v>1.0123704866562</v>
      </c>
      <c r="AD128" s="77">
        <f>SUMIFS(Input!AI$2:AI$999,Input!$B$2:$B$999,IND_Trans!$E128,Input!$C$2:$C$999,LEFT(IND_Trans!$B128,10)&amp;"*",Input!$D$2:$D$999,IND_Trans!$C128)</f>
        <v>0.013740458015267199</v>
      </c>
      <c r="AE128" s="77">
        <f>SUMIFS(Input!AJ$2:AJ$999,Input!$B$2:$B$999,IND_Trans!$E128,Input!$C$2:$C$999,LEFT(IND_Trans!$B128,10)&amp;"*",Input!$D$2:$D$999,IND_Trans!$C128)</f>
        <v>0.60499999999999998</v>
      </c>
      <c r="AF128" s="77">
        <f>SUMIFS(Input!AK$2:AK$999,Input!$B$2:$B$999,IND_Trans!$E128,Input!$C$2:$C$999,LEFT(IND_Trans!$B128,10)&amp;"*",Input!$D$2:$D$999,IND_Trans!$C128)</f>
        <v>14.0584192439863</v>
      </c>
      <c r="AG128" s="77">
        <f>SUMIFS(Input!AL$2:AL$999,Input!$B$2:$B$999,IND_Trans!$E128,Input!$C$2:$C$999,LEFT(IND_Trans!$B128,10)&amp;"*",Input!$D$2:$D$999,IND_Trans!$C128)</f>
        <v>0</v>
      </c>
      <c r="AH128" s="77">
        <f>SUMIFS(Input!AM$2:AM$999,Input!$B$2:$B$999,IND_Trans!$E128,Input!$C$2:$C$999,LEFT(IND_Trans!$B128,10)&amp;"*",Input!$D$2:$D$999,IND_Trans!$C128)</f>
        <v>0</v>
      </c>
      <c r="AI128" s="77">
        <f>SUMIFS(Input!AN$2:AN$999,Input!$B$2:$B$999,IND_Trans!$E128,Input!$C$2:$C$999,LEFT(IND_Trans!$B128,10)&amp;"*",Input!$D$2:$D$999,IND_Trans!$C128)</f>
        <v>31.649999999999999</v>
      </c>
      <c r="AJ128" s="77">
        <f>SUMIFS(Input!AO$2:AO$999,Input!$B$2:$B$999,IND_Trans!$E128,Input!$C$2:$C$999,LEFT(IND_Trans!$B128,10)&amp;"*",Input!$D$2:$D$999,IND_Trans!$C128)</f>
        <v>1.0149999999999999</v>
      </c>
      <c r="AK128" s="77">
        <f>SUMIFS(Input!AP$2:AP$999,Input!$B$2:$B$999,IND_Trans!$E128,Input!$C$2:$C$999,LEFT(IND_Trans!$B128,10)&amp;"*",Input!$D$2:$D$999,IND_Trans!$C128)</f>
        <v>0.79430421909696503</v>
      </c>
      <c r="AL128" s="77">
        <f>SUMIFS(Input!AQ$2:AQ$999,Input!$B$2:$B$999,IND_Trans!$E128,Input!$C$2:$C$999,LEFT(IND_Trans!$B128,10)&amp;"*",Input!$D$2:$D$999,IND_Trans!$C128)</f>
        <v>4.7991534046627304</v>
      </c>
      <c r="AM128" s="77">
        <f>SUMIFS(Input!AR$2:AR$999,Input!$B$2:$B$999,IND_Trans!$E128,Input!$C$2:$C$999,LEFT(IND_Trans!$B128,10)&amp;"*",Input!$D$2:$D$999,IND_Trans!$C128)</f>
        <v>0.55500000000000005</v>
      </c>
      <c r="AN128" s="77">
        <f>SUMIFS(Input!AS$2:AS$999,Input!$B$2:$B$999,IND_Trans!$E128,Input!$C$2:$C$999,LEFT(IND_Trans!$B128,10)&amp;"*",Input!$D$2:$D$999,IND_Trans!$C128)</f>
        <v>0.216718131654973</v>
      </c>
      <c r="AO128" s="77">
        <f>SUMIFS(Input!AT$2:AT$999,Input!$B$2:$B$999,IND_Trans!$E128,Input!$C$2:$C$999,LEFT(IND_Trans!$B128,10)&amp;"*",Input!$D$2:$D$999,IND_Trans!$C128)</f>
        <v>2.3844884488448801</v>
      </c>
      <c r="AP128" s="77">
        <f>SUMIFS(Input!AU$2:AU$999,Input!$B$2:$B$999,IND_Trans!$E128,Input!$C$2:$C$999,LEFT(IND_Trans!$B128,10)&amp;"*",Input!$D$2:$D$999,IND_Trans!$C128)</f>
        <v>0.42432464215579302</v>
      </c>
      <c r="AQ128" s="77">
        <f>SUMIFS(Input!AV$2:AV$999,Input!$B$2:$B$999,IND_Trans!$E128,Input!$C$2:$C$999,LEFT(IND_Trans!$B128,10)&amp;"*",Input!$D$2:$D$999,IND_Trans!$C128)</f>
        <v>0</v>
      </c>
    </row>
    <row r="129" spans="2:43" ht="12.75">
      <c r="B129" t="s">
        <v>434</v>
      </c>
      <c r="C129" t="s">
        <v>38</v>
      </c>
      <c r="E129" s="16" t="s">
        <v>103</v>
      </c>
      <c r="G129" s="77">
        <f>SUMIFS(Input!L$2:L$999,Input!$B$2:$B$999,IND_Trans!$E129,Input!$C$2:$C$999,LEFT(IND_Trans!$B129,10)&amp;"*",Input!$D$2:$D$999,IND_Trans!$C129)</f>
        <v>0</v>
      </c>
      <c r="H129" s="77">
        <f>SUMIFS(Input!M$2:M$999,Input!$B$2:$B$999,IND_Trans!$E129,Input!$C$2:$C$999,LEFT(IND_Trans!$B129,10)&amp;"*",Input!$D$2:$D$999,IND_Trans!$C129)</f>
        <v>2.1567721343324999</v>
      </c>
      <c r="I129" s="77">
        <f>SUMIFS(Input!N$2:N$999,Input!$B$2:$B$999,IND_Trans!$E129,Input!$C$2:$C$999,LEFT(IND_Trans!$B129,10)&amp;"*",Input!$D$2:$D$999,IND_Trans!$C129)</f>
        <v>1.6245911601555301</v>
      </c>
      <c r="J129" s="77">
        <f>SUMIFS(Input!O$2:O$999,Input!$B$2:$B$999,IND_Trans!$E129,Input!$C$2:$C$999,LEFT(IND_Trans!$B129,10)&amp;"*",Input!$D$2:$D$999,IND_Trans!$C129)</f>
        <v>2.0302171077386202</v>
      </c>
      <c r="K129" s="77">
        <f>SUMIFS(Input!P$2:P$999,Input!$B$2:$B$999,IND_Trans!$E129,Input!$C$2:$C$999,LEFT(IND_Trans!$B129,10)&amp;"*",Input!$D$2:$D$999,IND_Trans!$C129)</f>
        <v>2.1418279569892502</v>
      </c>
      <c r="L129" s="77">
        <f>SUMIFS(Input!Q$2:Q$999,Input!$B$2:$B$999,IND_Trans!$E129,Input!$C$2:$C$999,LEFT(IND_Trans!$B129,10)&amp;"*",Input!$D$2:$D$999,IND_Trans!$C129)</f>
        <v>1.68645112781955</v>
      </c>
      <c r="M129" s="77">
        <f>SUMIFS(Input!R$2:R$999,Input!$B$2:$B$999,IND_Trans!$E129,Input!$C$2:$C$999,LEFT(IND_Trans!$B129,10)&amp;"*",Input!$D$2:$D$999,IND_Trans!$C129)</f>
        <v>0</v>
      </c>
      <c r="N129" s="77">
        <f>SUMIFS(Input!S$2:S$999,Input!$B$2:$B$999,IND_Trans!$E129,Input!$C$2:$C$999,LEFT(IND_Trans!$B129,10)&amp;"*",Input!$D$2:$D$999,IND_Trans!$C129)</f>
        <v>2.2917060155162798</v>
      </c>
      <c r="O129" s="77">
        <f>SUMIFS(Input!T$2:T$999,Input!$B$2:$B$999,IND_Trans!$E129,Input!$C$2:$C$999,LEFT(IND_Trans!$B129,10)&amp;"*",Input!$D$2:$D$999,IND_Trans!$C129)</f>
        <v>2.1013540953684702</v>
      </c>
      <c r="P129" s="77">
        <f>SUMIFS(Input!U$2:U$999,Input!$B$2:$B$999,IND_Trans!$E129,Input!$C$2:$C$999,LEFT(IND_Trans!$B129,10)&amp;"*",Input!$D$2:$D$999,IND_Trans!$C129)</f>
        <v>2.9653846153846199</v>
      </c>
      <c r="Q129" s="77">
        <f>SUMIFS(Input!V$2:V$999,Input!$B$2:$B$999,IND_Trans!$E129,Input!$C$2:$C$999,LEFT(IND_Trans!$B129,10)&amp;"*",Input!$D$2:$D$999,IND_Trans!$C129)</f>
        <v>0</v>
      </c>
      <c r="R129" s="77">
        <f>SUMIFS(Input!W$2:W$999,Input!$B$2:$B$999,IND_Trans!$E129,Input!$C$2:$C$999,LEFT(IND_Trans!$B129,10)&amp;"*",Input!$D$2:$D$999,IND_Trans!$C129)</f>
        <v>0.14556672158154901</v>
      </c>
      <c r="S129" s="77">
        <f>SUMIFS(Input!X$2:X$999,Input!$B$2:$B$999,IND_Trans!$E129,Input!$C$2:$C$999,LEFT(IND_Trans!$B129,10)&amp;"*",Input!$D$2:$D$999,IND_Trans!$C129)</f>
        <v>0.22877543902588299</v>
      </c>
      <c r="T129" s="77">
        <f>SUMIFS(Input!Y$2:Y$999,Input!$B$2:$B$999,IND_Trans!$E129,Input!$C$2:$C$999,LEFT(IND_Trans!$B129,10)&amp;"*",Input!$D$2:$D$999,IND_Trans!$C129)</f>
        <v>0.089999999999999997</v>
      </c>
      <c r="U129" s="77">
        <f>SUMIFS(Input!Z$2:Z$999,Input!$B$2:$B$999,IND_Trans!$E129,Input!$C$2:$C$999,LEFT(IND_Trans!$B129,10)&amp;"*",Input!$D$2:$D$999,IND_Trans!$C129)</f>
        <v>1.7690029842999899</v>
      </c>
      <c r="V129" s="77">
        <f>SUMIFS(Input!AA$2:AA$999,Input!$B$2:$B$999,IND_Trans!$E129,Input!$C$2:$C$999,LEFT(IND_Trans!$B129,10)&amp;"*",Input!$D$2:$D$999,IND_Trans!$C129)</f>
        <v>7.7947368421052596</v>
      </c>
      <c r="W129" s="77">
        <f>SUMIFS(Input!AB$2:AB$999,Input!$B$2:$B$999,IND_Trans!$E129,Input!$C$2:$C$999,LEFT(IND_Trans!$B129,10)&amp;"*",Input!$D$2:$D$999,IND_Trans!$C129)</f>
        <v>1.42284266984505</v>
      </c>
      <c r="X129" s="77">
        <f>SUMIFS(Input!AC$2:AC$999,Input!$B$2:$B$999,IND_Trans!$E129,Input!$C$2:$C$999,LEFT(IND_Trans!$B129,10)&amp;"*",Input!$D$2:$D$999,IND_Trans!$C129)</f>
        <v>0</v>
      </c>
      <c r="Y129" s="77">
        <f>SUMIFS(Input!AD$2:AD$999,Input!$B$2:$B$999,IND_Trans!$E129,Input!$C$2:$C$999,LEFT(IND_Trans!$B129,10)&amp;"*",Input!$D$2:$D$999,IND_Trans!$C129)</f>
        <v>0</v>
      </c>
      <c r="Z129" s="77">
        <f>SUMIFS(Input!AE$2:AE$999,Input!$B$2:$B$999,IND_Trans!$E129,Input!$C$2:$C$999,LEFT(IND_Trans!$B129,10)&amp;"*",Input!$D$2:$D$999,IND_Trans!$C129)</f>
        <v>1.9119480799720201</v>
      </c>
      <c r="AA129" s="77">
        <f>SUMIFS(Input!AF$2:AF$999,Input!$B$2:$B$999,IND_Trans!$E129,Input!$C$2:$C$999,LEFT(IND_Trans!$B129,10)&amp;"*",Input!$D$2:$D$999,IND_Trans!$C129)</f>
        <v>0</v>
      </c>
      <c r="AB129" s="77">
        <f>SUMIFS(Input!AG$2:AG$999,Input!$B$2:$B$999,IND_Trans!$E129,Input!$C$2:$C$999,LEFT(IND_Trans!$B129,10)&amp;"*",Input!$D$2:$D$999,IND_Trans!$C129)</f>
        <v>0</v>
      </c>
      <c r="AC129" s="77">
        <f>SUMIFS(Input!AH$2:AH$999,Input!$B$2:$B$999,IND_Trans!$E129,Input!$C$2:$C$999,LEFT(IND_Trans!$B129,10)&amp;"*",Input!$D$2:$D$999,IND_Trans!$C129)</f>
        <v>1.8181632653061199</v>
      </c>
      <c r="AD129" s="77">
        <f>SUMIFS(Input!AI$2:AI$999,Input!$B$2:$B$999,IND_Trans!$E129,Input!$C$2:$C$999,LEFT(IND_Trans!$B129,10)&amp;"*",Input!$D$2:$D$999,IND_Trans!$C129)</f>
        <v>4.0988549618320604</v>
      </c>
      <c r="AE129" s="77">
        <f>SUMIFS(Input!AJ$2:AJ$999,Input!$B$2:$B$999,IND_Trans!$E129,Input!$C$2:$C$999,LEFT(IND_Trans!$B129,10)&amp;"*",Input!$D$2:$D$999,IND_Trans!$C129)</f>
        <v>0</v>
      </c>
      <c r="AF129" s="77">
        <f>SUMIFS(Input!AK$2:AK$999,Input!$B$2:$B$999,IND_Trans!$E129,Input!$C$2:$C$999,LEFT(IND_Trans!$B129,10)&amp;"*",Input!$D$2:$D$999,IND_Trans!$C129)</f>
        <v>3.3934707903780099</v>
      </c>
      <c r="AG129" s="77">
        <f>SUMIFS(Input!AL$2:AL$999,Input!$B$2:$B$999,IND_Trans!$E129,Input!$C$2:$C$999,LEFT(IND_Trans!$B129,10)&amp;"*",Input!$D$2:$D$999,IND_Trans!$C129)</f>
        <v>0</v>
      </c>
      <c r="AH129" s="77">
        <f>SUMIFS(Input!AM$2:AM$999,Input!$B$2:$B$999,IND_Trans!$E129,Input!$C$2:$C$999,LEFT(IND_Trans!$B129,10)&amp;"*",Input!$D$2:$D$999,IND_Trans!$C129)</f>
        <v>1.4583549842129</v>
      </c>
      <c r="AI129" s="77">
        <f>SUMIFS(Input!AN$2:AN$999,Input!$B$2:$B$999,IND_Trans!$E129,Input!$C$2:$C$999,LEFT(IND_Trans!$B129,10)&amp;"*",Input!$D$2:$D$999,IND_Trans!$C129)</f>
        <v>0</v>
      </c>
      <c r="AJ129" s="77">
        <f>SUMIFS(Input!AO$2:AO$999,Input!$B$2:$B$999,IND_Trans!$E129,Input!$C$2:$C$999,LEFT(IND_Trans!$B129,10)&amp;"*",Input!$D$2:$D$999,IND_Trans!$C129)</f>
        <v>1.7854979356937299</v>
      </c>
      <c r="AK129" s="77">
        <f>SUMIFS(Input!AP$2:AP$999,Input!$B$2:$B$999,IND_Trans!$E129,Input!$C$2:$C$999,LEFT(IND_Trans!$B129,10)&amp;"*",Input!$D$2:$D$999,IND_Trans!$C129)</f>
        <v>0.76128793486306401</v>
      </c>
      <c r="AL129" s="77">
        <f>SUMIFS(Input!AQ$2:AQ$999,Input!$B$2:$B$999,IND_Trans!$E129,Input!$C$2:$C$999,LEFT(IND_Trans!$B129,10)&amp;"*",Input!$D$2:$D$999,IND_Trans!$C129)</f>
        <v>4.4413625369524299</v>
      </c>
      <c r="AM129" s="77">
        <f>SUMIFS(Input!AR$2:AR$999,Input!$B$2:$B$999,IND_Trans!$E129,Input!$C$2:$C$999,LEFT(IND_Trans!$B129,10)&amp;"*",Input!$D$2:$D$999,IND_Trans!$C129)</f>
        <v>0.740074960127592</v>
      </c>
      <c r="AN129" s="77">
        <f>SUMIFS(Input!AS$2:AS$999,Input!$B$2:$B$999,IND_Trans!$E129,Input!$C$2:$C$999,LEFT(IND_Trans!$B129,10)&amp;"*",Input!$D$2:$D$999,IND_Trans!$C129)</f>
        <v>0</v>
      </c>
      <c r="AO129" s="77">
        <f>SUMIFS(Input!AT$2:AT$999,Input!$B$2:$B$999,IND_Trans!$E129,Input!$C$2:$C$999,LEFT(IND_Trans!$B129,10)&amp;"*",Input!$D$2:$D$999,IND_Trans!$C129)</f>
        <v>4.4686468646864697</v>
      </c>
      <c r="AP129" s="77">
        <f>SUMIFS(Input!AU$2:AU$999,Input!$B$2:$B$999,IND_Trans!$E129,Input!$C$2:$C$999,LEFT(IND_Trans!$B129,10)&amp;"*",Input!$D$2:$D$999,IND_Trans!$C129)</f>
        <v>1.3785577132882401</v>
      </c>
      <c r="AQ129" s="77">
        <f>SUMIFS(Input!AV$2:AV$999,Input!$B$2:$B$999,IND_Trans!$E129,Input!$C$2:$C$999,LEFT(IND_Trans!$B129,10)&amp;"*",Input!$D$2:$D$999,IND_Trans!$C129)</f>
        <v>1.6543815016994501</v>
      </c>
    </row>
    <row r="130" spans="2:43" ht="12.75">
      <c r="B130" t="s">
        <v>434</v>
      </c>
      <c r="C130" t="s">
        <v>43</v>
      </c>
      <c r="E130" s="16" t="s">
        <v>103</v>
      </c>
      <c r="G130" s="77">
        <f>SUMIFS(Input!L$2:L$999,Input!$B$2:$B$999,IND_Trans!$E130,Input!$C$2:$C$999,LEFT(IND_Trans!$B130,10)&amp;"*",Input!$D$2:$D$999,IND_Trans!$C130)</f>
        <v>1.14082051282051</v>
      </c>
      <c r="H130" s="77">
        <f>SUMIFS(Input!M$2:M$999,Input!$B$2:$B$999,IND_Trans!$E130,Input!$C$2:$C$999,LEFT(IND_Trans!$B130,10)&amp;"*",Input!$D$2:$D$999,IND_Trans!$C130)</f>
        <v>1.15666994171524</v>
      </c>
      <c r="I130" s="77">
        <f>SUMIFS(Input!N$2:N$999,Input!$B$2:$B$999,IND_Trans!$E130,Input!$C$2:$C$999,LEFT(IND_Trans!$B130,10)&amp;"*",Input!$D$2:$D$999,IND_Trans!$C130)</f>
        <v>0</v>
      </c>
      <c r="J130" s="77">
        <f>SUMIFS(Input!O$2:O$999,Input!$B$2:$B$999,IND_Trans!$E130,Input!$C$2:$C$999,LEFT(IND_Trans!$B130,10)&amp;"*",Input!$D$2:$D$999,IND_Trans!$C130)</f>
        <v>0</v>
      </c>
      <c r="K130" s="77">
        <f>SUMIFS(Input!P$2:P$999,Input!$B$2:$B$999,IND_Trans!$E130,Input!$C$2:$C$999,LEFT(IND_Trans!$B130,10)&amp;"*",Input!$D$2:$D$999,IND_Trans!$C130)</f>
        <v>0</v>
      </c>
      <c r="L130" s="77">
        <f>SUMIFS(Input!Q$2:Q$999,Input!$B$2:$B$999,IND_Trans!$E130,Input!$C$2:$C$999,LEFT(IND_Trans!$B130,10)&amp;"*",Input!$D$2:$D$999,IND_Trans!$C130)</f>
        <v>0.030060150375939801</v>
      </c>
      <c r="M130" s="77">
        <f>SUMIFS(Input!R$2:R$999,Input!$B$2:$B$999,IND_Trans!$E130,Input!$C$2:$C$999,LEFT(IND_Trans!$B130,10)&amp;"*",Input!$D$2:$D$999,IND_Trans!$C130)</f>
        <v>0</v>
      </c>
      <c r="N130" s="77">
        <f>SUMIFS(Input!S$2:S$999,Input!$B$2:$B$999,IND_Trans!$E130,Input!$C$2:$C$999,LEFT(IND_Trans!$B130,10)&amp;"*",Input!$D$2:$D$999,IND_Trans!$C130)</f>
        <v>0.143272552297976</v>
      </c>
      <c r="O130" s="77">
        <f>SUMIFS(Input!T$2:T$999,Input!$B$2:$B$999,IND_Trans!$E130,Input!$C$2:$C$999,LEFT(IND_Trans!$B130,10)&amp;"*",Input!$D$2:$D$999,IND_Trans!$C130)</f>
        <v>0.132763198722336</v>
      </c>
      <c r="P130" s="77">
        <f>SUMIFS(Input!U$2:U$999,Input!$B$2:$B$999,IND_Trans!$E130,Input!$C$2:$C$999,LEFT(IND_Trans!$B130,10)&amp;"*",Input!$D$2:$D$999,IND_Trans!$C130)</f>
        <v>0.15769230769230799</v>
      </c>
      <c r="Q130" s="77">
        <f>SUMIFS(Input!V$2:V$999,Input!$B$2:$B$999,IND_Trans!$E130,Input!$C$2:$C$999,LEFT(IND_Trans!$B130,10)&amp;"*",Input!$D$2:$D$999,IND_Trans!$C130)</f>
        <v>0</v>
      </c>
      <c r="R130" s="77">
        <f>SUMIFS(Input!W$2:W$999,Input!$B$2:$B$999,IND_Trans!$E130,Input!$C$2:$C$999,LEFT(IND_Trans!$B130,10)&amp;"*",Input!$D$2:$D$999,IND_Trans!$C130)</f>
        <v>0.065897858319604596</v>
      </c>
      <c r="S130" s="77">
        <f>SUMIFS(Input!X$2:X$999,Input!$B$2:$B$999,IND_Trans!$E130,Input!$C$2:$C$999,LEFT(IND_Trans!$B130,10)&amp;"*",Input!$D$2:$D$999,IND_Trans!$C130)</f>
        <v>0.84923938719941305</v>
      </c>
      <c r="T130" s="77">
        <f>SUMIFS(Input!Y$2:Y$999,Input!$B$2:$B$999,IND_Trans!$E130,Input!$C$2:$C$999,LEFT(IND_Trans!$B130,10)&amp;"*",Input!$D$2:$D$999,IND_Trans!$C130)</f>
        <v>2.4849999999999999</v>
      </c>
      <c r="U130" s="77">
        <f>SUMIFS(Input!Z$2:Z$999,Input!$B$2:$B$999,IND_Trans!$E130,Input!$C$2:$C$999,LEFT(IND_Trans!$B130,10)&amp;"*",Input!$D$2:$D$999,IND_Trans!$C130)</f>
        <v>0</v>
      </c>
      <c r="V130" s="77">
        <f>SUMIFS(Input!AA$2:AA$999,Input!$B$2:$B$999,IND_Trans!$E130,Input!$C$2:$C$999,LEFT(IND_Trans!$B130,10)&amp;"*",Input!$D$2:$D$999,IND_Trans!$C130)</f>
        <v>0.326315789473684</v>
      </c>
      <c r="W130" s="77">
        <f>SUMIFS(Input!AB$2:AB$999,Input!$B$2:$B$999,IND_Trans!$E130,Input!$C$2:$C$999,LEFT(IND_Trans!$B130,10)&amp;"*",Input!$D$2:$D$999,IND_Trans!$C130)</f>
        <v>0</v>
      </c>
      <c r="X130" s="77">
        <f>SUMIFS(Input!AC$2:AC$999,Input!$B$2:$B$999,IND_Trans!$E130,Input!$C$2:$C$999,LEFT(IND_Trans!$B130,10)&amp;"*",Input!$D$2:$D$999,IND_Trans!$C130)</f>
        <v>0</v>
      </c>
      <c r="Y130" s="77">
        <f>SUMIFS(Input!AD$2:AD$999,Input!$B$2:$B$999,IND_Trans!$E130,Input!$C$2:$C$999,LEFT(IND_Trans!$B130,10)&amp;"*",Input!$D$2:$D$999,IND_Trans!$C130)</f>
        <v>0</v>
      </c>
      <c r="Z130" s="77">
        <f>SUMIFS(Input!AE$2:AE$999,Input!$B$2:$B$999,IND_Trans!$E130,Input!$C$2:$C$999,LEFT(IND_Trans!$B130,10)&amp;"*",Input!$D$2:$D$999,IND_Trans!$C130)</f>
        <v>0.00602993221917816</v>
      </c>
      <c r="AA130" s="77">
        <f>SUMIFS(Input!AF$2:AF$999,Input!$B$2:$B$999,IND_Trans!$E130,Input!$C$2:$C$999,LEFT(IND_Trans!$B130,10)&amp;"*",Input!$D$2:$D$999,IND_Trans!$C130)</f>
        <v>0</v>
      </c>
      <c r="AB130" s="77">
        <f>SUMIFS(Input!AG$2:AG$999,Input!$B$2:$B$999,IND_Trans!$E130,Input!$C$2:$C$999,LEFT(IND_Trans!$B130,10)&amp;"*",Input!$D$2:$D$999,IND_Trans!$C130)</f>
        <v>0</v>
      </c>
      <c r="AC130" s="77">
        <f>SUMIFS(Input!AH$2:AH$999,Input!$B$2:$B$999,IND_Trans!$E130,Input!$C$2:$C$999,LEFT(IND_Trans!$B130,10)&amp;"*",Input!$D$2:$D$999,IND_Trans!$C130)</f>
        <v>0</v>
      </c>
      <c r="AD130" s="77">
        <f>SUMIFS(Input!AI$2:AI$999,Input!$B$2:$B$999,IND_Trans!$E130,Input!$C$2:$C$999,LEFT(IND_Trans!$B130,10)&amp;"*",Input!$D$2:$D$999,IND_Trans!$C130)</f>
        <v>1.4809160305343501</v>
      </c>
      <c r="AE130" s="77">
        <f>SUMIFS(Input!AJ$2:AJ$999,Input!$B$2:$B$999,IND_Trans!$E130,Input!$C$2:$C$999,LEFT(IND_Trans!$B130,10)&amp;"*",Input!$D$2:$D$999,IND_Trans!$C130)</f>
        <v>3.145</v>
      </c>
      <c r="AF130" s="77">
        <f>SUMIFS(Input!AK$2:AK$999,Input!$B$2:$B$999,IND_Trans!$E130,Input!$C$2:$C$999,LEFT(IND_Trans!$B130,10)&amp;"*",Input!$D$2:$D$999,IND_Trans!$C130)</f>
        <v>10.6357388316151</v>
      </c>
      <c r="AG130" s="77">
        <f>SUMIFS(Input!AL$2:AL$999,Input!$B$2:$B$999,IND_Trans!$E130,Input!$C$2:$C$999,LEFT(IND_Trans!$B130,10)&amp;"*",Input!$D$2:$D$999,IND_Trans!$C130)</f>
        <v>0</v>
      </c>
      <c r="AH130" s="77">
        <f>SUMIFS(Input!AM$2:AM$999,Input!$B$2:$B$999,IND_Trans!$E130,Input!$C$2:$C$999,LEFT(IND_Trans!$B130,10)&amp;"*",Input!$D$2:$D$999,IND_Trans!$C130)</f>
        <v>0</v>
      </c>
      <c r="AI130" s="77">
        <f>SUMIFS(Input!AN$2:AN$999,Input!$B$2:$B$999,IND_Trans!$E130,Input!$C$2:$C$999,LEFT(IND_Trans!$B130,10)&amp;"*",Input!$D$2:$D$999,IND_Trans!$C130)</f>
        <v>0.068093385214007804</v>
      </c>
      <c r="AJ130" s="77">
        <f>SUMIFS(Input!AO$2:AO$999,Input!$B$2:$B$999,IND_Trans!$E130,Input!$C$2:$C$999,LEFT(IND_Trans!$B130,10)&amp;"*",Input!$D$2:$D$999,IND_Trans!$C130)</f>
        <v>0</v>
      </c>
      <c r="AK130" s="77">
        <f>SUMIFS(Input!AP$2:AP$999,Input!$B$2:$B$999,IND_Trans!$E130,Input!$C$2:$C$999,LEFT(IND_Trans!$B130,10)&amp;"*",Input!$D$2:$D$999,IND_Trans!$C130)</f>
        <v>0.029607698001480401</v>
      </c>
      <c r="AL130" s="77">
        <f>SUMIFS(Input!AQ$2:AQ$999,Input!$B$2:$B$999,IND_Trans!$E130,Input!$C$2:$C$999,LEFT(IND_Trans!$B130,10)&amp;"*",Input!$D$2:$D$999,IND_Trans!$C130)</f>
        <v>0</v>
      </c>
      <c r="AM130" s="77">
        <f>SUMIFS(Input!AR$2:AR$999,Input!$B$2:$B$999,IND_Trans!$E130,Input!$C$2:$C$999,LEFT(IND_Trans!$B130,10)&amp;"*",Input!$D$2:$D$999,IND_Trans!$C130)</f>
        <v>0</v>
      </c>
      <c r="AN130" s="77">
        <f>SUMIFS(Input!AS$2:AS$999,Input!$B$2:$B$999,IND_Trans!$E130,Input!$C$2:$C$999,LEFT(IND_Trans!$B130,10)&amp;"*",Input!$D$2:$D$999,IND_Trans!$C130)</f>
        <v>0.81792841106066905</v>
      </c>
      <c r="AO130" s="77">
        <f>SUMIFS(Input!AT$2:AT$999,Input!$B$2:$B$999,IND_Trans!$E130,Input!$C$2:$C$999,LEFT(IND_Trans!$B130,10)&amp;"*",Input!$D$2:$D$999,IND_Trans!$C130)</f>
        <v>0</v>
      </c>
      <c r="AP130" s="77">
        <f>SUMIFS(Input!AU$2:AU$999,Input!$B$2:$B$999,IND_Trans!$E130,Input!$C$2:$C$999,LEFT(IND_Trans!$B130,10)&amp;"*",Input!$D$2:$D$999,IND_Trans!$C130)</f>
        <v>0</v>
      </c>
      <c r="AQ130" s="77">
        <f>SUMIFS(Input!AV$2:AV$999,Input!$B$2:$B$999,IND_Trans!$E130,Input!$C$2:$C$999,LEFT(IND_Trans!$B130,10)&amp;"*",Input!$D$2:$D$999,IND_Trans!$C130)</f>
        <v>0</v>
      </c>
    </row>
    <row r="131" spans="2:43" ht="12.75">
      <c r="B131" t="s">
        <v>434</v>
      </c>
      <c r="C131" t="s">
        <v>39</v>
      </c>
      <c r="E131" s="16" t="s">
        <v>103</v>
      </c>
      <c r="G131" s="77">
        <f>SUMIFS(Input!L$2:L$999,Input!$B$2:$B$999,IND_Trans!$E131,Input!$C$2:$C$999,LEFT(IND_Trans!$B131,10)&amp;"*",Input!$D$2:$D$999,IND_Trans!$C131)</f>
        <v>0.32764102564102598</v>
      </c>
      <c r="H131" s="77">
        <f>SUMIFS(Input!M$2:M$999,Input!$B$2:$B$999,IND_Trans!$E131,Input!$C$2:$C$999,LEFT(IND_Trans!$B131,10)&amp;"*",Input!$D$2:$D$999,IND_Trans!$C131)</f>
        <v>0</v>
      </c>
      <c r="I131" s="77">
        <f>SUMIFS(Input!N$2:N$999,Input!$B$2:$B$999,IND_Trans!$E131,Input!$C$2:$C$999,LEFT(IND_Trans!$B131,10)&amp;"*",Input!$D$2:$D$999,IND_Trans!$C131)</f>
        <v>0</v>
      </c>
      <c r="J131" s="77">
        <f>SUMIFS(Input!O$2:O$999,Input!$B$2:$B$999,IND_Trans!$E131,Input!$C$2:$C$999,LEFT(IND_Trans!$B131,10)&amp;"*",Input!$D$2:$D$999,IND_Trans!$C131)</f>
        <v>0.064593001379656304</v>
      </c>
      <c r="K131" s="77">
        <f>SUMIFS(Input!P$2:P$999,Input!$B$2:$B$999,IND_Trans!$E131,Input!$C$2:$C$999,LEFT(IND_Trans!$B131,10)&amp;"*",Input!$D$2:$D$999,IND_Trans!$C131)</f>
        <v>0</v>
      </c>
      <c r="L131" s="77">
        <f>SUMIFS(Input!Q$2:Q$999,Input!$B$2:$B$999,IND_Trans!$E131,Input!$C$2:$C$999,LEFT(IND_Trans!$B131,10)&amp;"*",Input!$D$2:$D$999,IND_Trans!$C131)</f>
        <v>0.288263157894737</v>
      </c>
      <c r="M131" s="77">
        <f>SUMIFS(Input!R$2:R$999,Input!$B$2:$B$999,IND_Trans!$E131,Input!$C$2:$C$999,LEFT(IND_Trans!$B131,10)&amp;"*",Input!$D$2:$D$999,IND_Trans!$C131)</f>
        <v>0</v>
      </c>
      <c r="N131" s="77">
        <f>SUMIFS(Input!S$2:S$999,Input!$B$2:$B$999,IND_Trans!$E131,Input!$C$2:$C$999,LEFT(IND_Trans!$B131,10)&amp;"*",Input!$D$2:$D$999,IND_Trans!$C131)</f>
        <v>0</v>
      </c>
      <c r="O131" s="77">
        <f>SUMIFS(Input!T$2:T$999,Input!$B$2:$B$999,IND_Trans!$E131,Input!$C$2:$C$999,LEFT(IND_Trans!$B131,10)&amp;"*",Input!$D$2:$D$999,IND_Trans!$C131)</f>
        <v>0.0293634496919918</v>
      </c>
      <c r="P131" s="77">
        <f>SUMIFS(Input!U$2:U$999,Input!$B$2:$B$999,IND_Trans!$E131,Input!$C$2:$C$999,LEFT(IND_Trans!$B131,10)&amp;"*",Input!$D$2:$D$999,IND_Trans!$C131)</f>
        <v>0.15384615384615399</v>
      </c>
      <c r="Q131" s="77">
        <f>SUMIFS(Input!V$2:V$999,Input!$B$2:$B$999,IND_Trans!$E131,Input!$C$2:$C$999,LEFT(IND_Trans!$B131,10)&amp;"*",Input!$D$2:$D$999,IND_Trans!$C131)</f>
        <v>0</v>
      </c>
      <c r="R131" s="77">
        <f>SUMIFS(Input!W$2:W$999,Input!$B$2:$B$999,IND_Trans!$E131,Input!$C$2:$C$999,LEFT(IND_Trans!$B131,10)&amp;"*",Input!$D$2:$D$999,IND_Trans!$C131)</f>
        <v>0.023613399231191701</v>
      </c>
      <c r="S131" s="77">
        <f>SUMIFS(Input!X$2:X$999,Input!$B$2:$B$999,IND_Trans!$E131,Input!$C$2:$C$999,LEFT(IND_Trans!$B131,10)&amp;"*",Input!$D$2:$D$999,IND_Trans!$C131)</f>
        <v>0.13651104448387699</v>
      </c>
      <c r="T131" s="77">
        <f>SUMIFS(Input!Y$2:Y$999,Input!$B$2:$B$999,IND_Trans!$E131,Input!$C$2:$C$999,LEFT(IND_Trans!$B131,10)&amp;"*",Input!$D$2:$D$999,IND_Trans!$C131)</f>
        <v>0.042431761786600498</v>
      </c>
      <c r="U131" s="77">
        <f>SUMIFS(Input!Z$2:Z$999,Input!$B$2:$B$999,IND_Trans!$E131,Input!$C$2:$C$999,LEFT(IND_Trans!$B131,10)&amp;"*",Input!$D$2:$D$999,IND_Trans!$C131)</f>
        <v>0.016673154275334098</v>
      </c>
      <c r="V131" s="77">
        <f>SUMIFS(Input!AA$2:AA$999,Input!$B$2:$B$999,IND_Trans!$E131,Input!$C$2:$C$999,LEFT(IND_Trans!$B131,10)&amp;"*",Input!$D$2:$D$999,IND_Trans!$C131)</f>
        <v>0</v>
      </c>
      <c r="W131" s="77">
        <f>SUMIFS(Input!AB$2:AB$999,Input!$B$2:$B$999,IND_Trans!$E131,Input!$C$2:$C$999,LEFT(IND_Trans!$B131,10)&amp;"*",Input!$D$2:$D$999,IND_Trans!$C131)</f>
        <v>0.050059594755661498</v>
      </c>
      <c r="X131" s="77">
        <f>SUMIFS(Input!AC$2:AC$999,Input!$B$2:$B$999,IND_Trans!$E131,Input!$C$2:$C$999,LEFT(IND_Trans!$B131,10)&amp;"*",Input!$D$2:$D$999,IND_Trans!$C131)</f>
        <v>0</v>
      </c>
      <c r="Y131" s="77">
        <f>SUMIFS(Input!AD$2:AD$999,Input!$B$2:$B$999,IND_Trans!$E131,Input!$C$2:$C$999,LEFT(IND_Trans!$B131,10)&amp;"*",Input!$D$2:$D$999,IND_Trans!$C131)</f>
        <v>0</v>
      </c>
      <c r="Z131" s="77">
        <f>SUMIFS(Input!AE$2:AE$999,Input!$B$2:$B$999,IND_Trans!$E131,Input!$C$2:$C$999,LEFT(IND_Trans!$B131,10)&amp;"*",Input!$D$2:$D$999,IND_Trans!$C131)</f>
        <v>0.033087378640776703</v>
      </c>
      <c r="AA131" s="77">
        <f>SUMIFS(Input!AF$2:AF$999,Input!$B$2:$B$999,IND_Trans!$E131,Input!$C$2:$C$999,LEFT(IND_Trans!$B131,10)&amp;"*",Input!$D$2:$D$999,IND_Trans!$C131)</f>
        <v>0</v>
      </c>
      <c r="AB131" s="77">
        <f>SUMIFS(Input!AG$2:AG$999,Input!$B$2:$B$999,IND_Trans!$E131,Input!$C$2:$C$999,LEFT(IND_Trans!$B131,10)&amp;"*",Input!$D$2:$D$999,IND_Trans!$C131)</f>
        <v>0</v>
      </c>
      <c r="AC131" s="77">
        <f>SUMIFS(Input!AH$2:AH$999,Input!$B$2:$B$999,IND_Trans!$E131,Input!$C$2:$C$999,LEFT(IND_Trans!$B131,10)&amp;"*",Input!$D$2:$D$999,IND_Trans!$C131)</f>
        <v>0.0333594976452119</v>
      </c>
      <c r="AD131" s="77">
        <f>SUMIFS(Input!AI$2:AI$999,Input!$B$2:$B$999,IND_Trans!$E131,Input!$C$2:$C$999,LEFT(IND_Trans!$B131,10)&amp;"*",Input!$D$2:$D$999,IND_Trans!$C131)</f>
        <v>0</v>
      </c>
      <c r="AE131" s="77">
        <f>SUMIFS(Input!AJ$2:AJ$999,Input!$B$2:$B$999,IND_Trans!$E131,Input!$C$2:$C$999,LEFT(IND_Trans!$B131,10)&amp;"*",Input!$D$2:$D$999,IND_Trans!$C131)</f>
        <v>0</v>
      </c>
      <c r="AF131" s="77">
        <f>SUMIFS(Input!AK$2:AK$999,Input!$B$2:$B$999,IND_Trans!$E131,Input!$C$2:$C$999,LEFT(IND_Trans!$B131,10)&amp;"*",Input!$D$2:$D$999,IND_Trans!$C131)</f>
        <v>0.59106529209622005</v>
      </c>
      <c r="AG131" s="77">
        <f>SUMIFS(Input!AL$2:AL$999,Input!$B$2:$B$999,IND_Trans!$E131,Input!$C$2:$C$999,LEFT(IND_Trans!$B131,10)&amp;"*",Input!$D$2:$D$999,IND_Trans!$C131)</f>
        <v>0</v>
      </c>
      <c r="AH131" s="77">
        <f>SUMIFS(Input!AM$2:AM$999,Input!$B$2:$B$999,IND_Trans!$E131,Input!$C$2:$C$999,LEFT(IND_Trans!$B131,10)&amp;"*",Input!$D$2:$D$999,IND_Trans!$C131)</f>
        <v>0.0192452262817621</v>
      </c>
      <c r="AI131" s="77">
        <f>SUMIFS(Input!AN$2:AN$999,Input!$B$2:$B$999,IND_Trans!$E131,Input!$C$2:$C$999,LEFT(IND_Trans!$B131,10)&amp;"*",Input!$D$2:$D$999,IND_Trans!$C131)</f>
        <v>0.58754863813229596</v>
      </c>
      <c r="AJ131" s="77">
        <f>SUMIFS(Input!AO$2:AO$999,Input!$B$2:$B$999,IND_Trans!$E131,Input!$C$2:$C$999,LEFT(IND_Trans!$B131,10)&amp;"*",Input!$D$2:$D$999,IND_Trans!$C131)</f>
        <v>0.0106343050168898</v>
      </c>
      <c r="AK131" s="77">
        <f>SUMIFS(Input!AP$2:AP$999,Input!$B$2:$B$999,IND_Trans!$E131,Input!$C$2:$C$999,LEFT(IND_Trans!$B131,10)&amp;"*",Input!$D$2:$D$999,IND_Trans!$C131)</f>
        <v>0.062916358253145802</v>
      </c>
      <c r="AL131" s="77">
        <f>SUMIFS(Input!AQ$2:AQ$999,Input!$B$2:$B$999,IND_Trans!$E131,Input!$C$2:$C$999,LEFT(IND_Trans!$B131,10)&amp;"*",Input!$D$2:$D$999,IND_Trans!$C131)</f>
        <v>0.011287288363343201</v>
      </c>
      <c r="AM131" s="77">
        <f>SUMIFS(Input!AR$2:AR$999,Input!$B$2:$B$999,IND_Trans!$E131,Input!$C$2:$C$999,LEFT(IND_Trans!$B131,10)&amp;"*",Input!$D$2:$D$999,IND_Trans!$C131)</f>
        <v>0.035885167464114798</v>
      </c>
      <c r="AN131" s="77">
        <f>SUMIFS(Input!AS$2:AS$999,Input!$B$2:$B$999,IND_Trans!$E131,Input!$C$2:$C$999,LEFT(IND_Trans!$B131,10)&amp;"*",Input!$D$2:$D$999,IND_Trans!$C131)</f>
        <v>0.11514651258770101</v>
      </c>
      <c r="AO131" s="77">
        <f>SUMIFS(Input!AT$2:AT$999,Input!$B$2:$B$999,IND_Trans!$E131,Input!$C$2:$C$999,LEFT(IND_Trans!$B131,10)&amp;"*",Input!$D$2:$D$999,IND_Trans!$C131)</f>
        <v>0.069306930693069299</v>
      </c>
      <c r="AP131" s="77">
        <f>SUMIFS(Input!AU$2:AU$999,Input!$B$2:$B$999,IND_Trans!$E131,Input!$C$2:$C$999,LEFT(IND_Trans!$B131,10)&amp;"*",Input!$D$2:$D$999,IND_Trans!$C131)</f>
        <v>0</v>
      </c>
      <c r="AQ131" s="77">
        <f>SUMIFS(Input!AV$2:AV$999,Input!$B$2:$B$999,IND_Trans!$E131,Input!$C$2:$C$999,LEFT(IND_Trans!$B131,10)&amp;"*",Input!$D$2:$D$999,IND_Trans!$C131)</f>
        <v>0</v>
      </c>
    </row>
    <row r="132" spans="2:43" ht="12.75">
      <c r="B132" t="s">
        <v>434</v>
      </c>
      <c r="C132" t="s">
        <v>44</v>
      </c>
      <c r="E132" s="16" t="s">
        <v>103</v>
      </c>
      <c r="G132" s="77">
        <f>SUMIFS(Input!L$2:L$999,Input!$B$2:$B$999,IND_Trans!$E132,Input!$C$2:$C$999,LEFT(IND_Trans!$B132,10)&amp;"*",Input!$D$2:$D$999,IND_Trans!$C132)</f>
        <v>0</v>
      </c>
      <c r="H132" s="77">
        <f>SUMIFS(Input!M$2:M$999,Input!$B$2:$B$999,IND_Trans!$E132,Input!$C$2:$C$999,LEFT(IND_Trans!$B132,10)&amp;"*",Input!$D$2:$D$999,IND_Trans!$C132)</f>
        <v>0</v>
      </c>
      <c r="I132" s="77">
        <f>SUMIFS(Input!N$2:N$999,Input!$B$2:$B$999,IND_Trans!$E132,Input!$C$2:$C$999,LEFT(IND_Trans!$B132,10)&amp;"*",Input!$D$2:$D$999,IND_Trans!$C132)</f>
        <v>0</v>
      </c>
      <c r="J132" s="77">
        <f>SUMIFS(Input!O$2:O$999,Input!$B$2:$B$999,IND_Trans!$E132,Input!$C$2:$C$999,LEFT(IND_Trans!$B132,10)&amp;"*",Input!$D$2:$D$999,IND_Trans!$C132)</f>
        <v>0</v>
      </c>
      <c r="K132" s="77">
        <f>SUMIFS(Input!P$2:P$999,Input!$B$2:$B$999,IND_Trans!$E132,Input!$C$2:$C$999,LEFT(IND_Trans!$B132,10)&amp;"*",Input!$D$2:$D$999,IND_Trans!$C132)</f>
        <v>0</v>
      </c>
      <c r="L132" s="77">
        <f>SUMIFS(Input!Q$2:Q$999,Input!$B$2:$B$999,IND_Trans!$E132,Input!$C$2:$C$999,LEFT(IND_Trans!$B132,10)&amp;"*",Input!$D$2:$D$999,IND_Trans!$C132)</f>
        <v>0</v>
      </c>
      <c r="M132" s="77">
        <f>SUMIFS(Input!R$2:R$999,Input!$B$2:$B$999,IND_Trans!$E132,Input!$C$2:$C$999,LEFT(IND_Trans!$B132,10)&amp;"*",Input!$D$2:$D$999,IND_Trans!$C132)</f>
        <v>0</v>
      </c>
      <c r="N132" s="77">
        <f>SUMIFS(Input!S$2:S$999,Input!$B$2:$B$999,IND_Trans!$E132,Input!$C$2:$C$999,LEFT(IND_Trans!$B132,10)&amp;"*",Input!$D$2:$D$999,IND_Trans!$C132)</f>
        <v>0</v>
      </c>
      <c r="O132" s="77">
        <f>SUMIFS(Input!T$2:T$999,Input!$B$2:$B$999,IND_Trans!$E132,Input!$C$2:$C$999,LEFT(IND_Trans!$B132,10)&amp;"*",Input!$D$2:$D$999,IND_Trans!$C132)</f>
        <v>0.0473676705452886</v>
      </c>
      <c r="P132" s="77">
        <f>SUMIFS(Input!U$2:U$999,Input!$B$2:$B$999,IND_Trans!$E132,Input!$C$2:$C$999,LEFT(IND_Trans!$B132,10)&amp;"*",Input!$D$2:$D$999,IND_Trans!$C132)</f>
        <v>0.17692307692307699</v>
      </c>
      <c r="Q132" s="77">
        <f>SUMIFS(Input!V$2:V$999,Input!$B$2:$B$999,IND_Trans!$E132,Input!$C$2:$C$999,LEFT(IND_Trans!$B132,10)&amp;"*",Input!$D$2:$D$999,IND_Trans!$C132)</f>
        <v>0</v>
      </c>
      <c r="R132" s="77">
        <f>SUMIFS(Input!W$2:W$999,Input!$B$2:$B$999,IND_Trans!$E132,Input!$C$2:$C$999,LEFT(IND_Trans!$B132,10)&amp;"*",Input!$D$2:$D$999,IND_Trans!$C132)</f>
        <v>0</v>
      </c>
      <c r="S132" s="77">
        <f>SUMIFS(Input!X$2:X$999,Input!$B$2:$B$999,IND_Trans!$E132,Input!$C$2:$C$999,LEFT(IND_Trans!$B132,10)&amp;"*",Input!$D$2:$D$999,IND_Trans!$C132)</f>
        <v>0.090069142752248699</v>
      </c>
      <c r="T132" s="77">
        <f>SUMIFS(Input!Y$2:Y$999,Input!$B$2:$B$999,IND_Trans!$E132,Input!$C$2:$C$999,LEFT(IND_Trans!$B132,10)&amp;"*",Input!$D$2:$D$999,IND_Trans!$C132)</f>
        <v>0.96999999999999997</v>
      </c>
      <c r="U132" s="77">
        <f>SUMIFS(Input!Z$2:Z$999,Input!$B$2:$B$999,IND_Trans!$E132,Input!$C$2:$C$999,LEFT(IND_Trans!$B132,10)&amp;"*",Input!$D$2:$D$999,IND_Trans!$C132)</f>
        <v>0</v>
      </c>
      <c r="V132" s="77">
        <f>SUMIFS(Input!AA$2:AA$999,Input!$B$2:$B$999,IND_Trans!$E132,Input!$C$2:$C$999,LEFT(IND_Trans!$B132,10)&amp;"*",Input!$D$2:$D$999,IND_Trans!$C132)</f>
        <v>0</v>
      </c>
      <c r="W132" s="77">
        <f>SUMIFS(Input!AB$2:AB$999,Input!$B$2:$B$999,IND_Trans!$E132,Input!$C$2:$C$999,LEFT(IND_Trans!$B132,10)&amp;"*",Input!$D$2:$D$999,IND_Trans!$C132)</f>
        <v>0</v>
      </c>
      <c r="X132" s="77">
        <f>SUMIFS(Input!AC$2:AC$999,Input!$B$2:$B$999,IND_Trans!$E132,Input!$C$2:$C$999,LEFT(IND_Trans!$B132,10)&amp;"*",Input!$D$2:$D$999,IND_Trans!$C132)</f>
        <v>0</v>
      </c>
      <c r="Y132" s="77">
        <f>SUMIFS(Input!AD$2:AD$999,Input!$B$2:$B$999,IND_Trans!$E132,Input!$C$2:$C$999,LEFT(IND_Trans!$B132,10)&amp;"*",Input!$D$2:$D$999,IND_Trans!$C132)</f>
        <v>0</v>
      </c>
      <c r="Z132" s="77">
        <f>SUMIFS(Input!AE$2:AE$999,Input!$B$2:$B$999,IND_Trans!$E132,Input!$C$2:$C$999,LEFT(IND_Trans!$B132,10)&amp;"*",Input!$D$2:$D$999,IND_Trans!$C132)</f>
        <v>0.013360088948410899</v>
      </c>
      <c r="AA132" s="77">
        <f>SUMIFS(Input!AF$2:AF$999,Input!$B$2:$B$999,IND_Trans!$E132,Input!$C$2:$C$999,LEFT(IND_Trans!$B132,10)&amp;"*",Input!$D$2:$D$999,IND_Trans!$C132)</f>
        <v>0</v>
      </c>
      <c r="AB132" s="77">
        <f>SUMIFS(Input!AG$2:AG$999,Input!$B$2:$B$999,IND_Trans!$E132,Input!$C$2:$C$999,LEFT(IND_Trans!$B132,10)&amp;"*",Input!$D$2:$D$999,IND_Trans!$C132)</f>
        <v>0</v>
      </c>
      <c r="AC132" s="77">
        <f>SUMIFS(Input!AH$2:AH$999,Input!$B$2:$B$999,IND_Trans!$E132,Input!$C$2:$C$999,LEFT(IND_Trans!$B132,10)&amp;"*",Input!$D$2:$D$999,IND_Trans!$C132)</f>
        <v>0</v>
      </c>
      <c r="AD132" s="77">
        <f>SUMIFS(Input!AI$2:AI$999,Input!$B$2:$B$999,IND_Trans!$E132,Input!$C$2:$C$999,LEFT(IND_Trans!$B132,10)&amp;"*",Input!$D$2:$D$999,IND_Trans!$C132)</f>
        <v>0</v>
      </c>
      <c r="AE132" s="77">
        <f>SUMIFS(Input!AJ$2:AJ$999,Input!$B$2:$B$999,IND_Trans!$E132,Input!$C$2:$C$999,LEFT(IND_Trans!$B132,10)&amp;"*",Input!$D$2:$D$999,IND_Trans!$C132)</f>
        <v>4.4400000000000004</v>
      </c>
      <c r="AF132" s="77">
        <f>SUMIFS(Input!AK$2:AK$999,Input!$B$2:$B$999,IND_Trans!$E132,Input!$C$2:$C$999,LEFT(IND_Trans!$B132,10)&amp;"*",Input!$D$2:$D$999,IND_Trans!$C132)</f>
        <v>0</v>
      </c>
      <c r="AG132" s="77">
        <f>SUMIFS(Input!AL$2:AL$999,Input!$B$2:$B$999,IND_Trans!$E132,Input!$C$2:$C$999,LEFT(IND_Trans!$B132,10)&amp;"*",Input!$D$2:$D$999,IND_Trans!$C132)</f>
        <v>0</v>
      </c>
      <c r="AH132" s="77">
        <f>SUMIFS(Input!AM$2:AM$999,Input!$B$2:$B$999,IND_Trans!$E132,Input!$C$2:$C$999,LEFT(IND_Trans!$B132,10)&amp;"*",Input!$D$2:$D$999,IND_Trans!$C132)</f>
        <v>0</v>
      </c>
      <c r="AI132" s="77">
        <f>SUMIFS(Input!AN$2:AN$999,Input!$B$2:$B$999,IND_Trans!$E132,Input!$C$2:$C$999,LEFT(IND_Trans!$B132,10)&amp;"*",Input!$D$2:$D$999,IND_Trans!$C132)</f>
        <v>0.26848249027237397</v>
      </c>
      <c r="AJ132" s="77">
        <f>SUMIFS(Input!AO$2:AO$999,Input!$B$2:$B$999,IND_Trans!$E132,Input!$C$2:$C$999,LEFT(IND_Trans!$B132,10)&amp;"*",Input!$D$2:$D$999,IND_Trans!$C132)</f>
        <v>0</v>
      </c>
      <c r="AK132" s="77">
        <f>SUMIFS(Input!AP$2:AP$999,Input!$B$2:$B$999,IND_Trans!$E132,Input!$C$2:$C$999,LEFT(IND_Trans!$B132,10)&amp;"*",Input!$D$2:$D$999,IND_Trans!$C132)</f>
        <v>0.034048852701702402</v>
      </c>
      <c r="AL132" s="77">
        <f>SUMIFS(Input!AQ$2:AQ$999,Input!$B$2:$B$999,IND_Trans!$E132,Input!$C$2:$C$999,LEFT(IND_Trans!$B132,10)&amp;"*",Input!$D$2:$D$999,IND_Trans!$C132)</f>
        <v>0</v>
      </c>
      <c r="AM132" s="77">
        <f>SUMIFS(Input!AR$2:AR$999,Input!$B$2:$B$999,IND_Trans!$E132,Input!$C$2:$C$999,LEFT(IND_Trans!$B132,10)&amp;"*",Input!$D$2:$D$999,IND_Trans!$C132)</f>
        <v>0</v>
      </c>
      <c r="AN132" s="77">
        <f>SUMIFS(Input!AS$2:AS$999,Input!$B$2:$B$999,IND_Trans!$E132,Input!$C$2:$C$999,LEFT(IND_Trans!$B132,10)&amp;"*",Input!$D$2:$D$999,IND_Trans!$C132)</f>
        <v>1.33588526619893</v>
      </c>
      <c r="AO132" s="77">
        <f>SUMIFS(Input!AT$2:AT$999,Input!$B$2:$B$999,IND_Trans!$E132,Input!$C$2:$C$999,LEFT(IND_Trans!$B132,10)&amp;"*",Input!$D$2:$D$999,IND_Trans!$C132)</f>
        <v>0.15181518151815199</v>
      </c>
      <c r="AP132" s="77">
        <f>SUMIFS(Input!AU$2:AU$999,Input!$B$2:$B$999,IND_Trans!$E132,Input!$C$2:$C$999,LEFT(IND_Trans!$B132,10)&amp;"*",Input!$D$2:$D$999,IND_Trans!$C132)</f>
        <v>0</v>
      </c>
      <c r="AQ132" s="77">
        <f>SUMIFS(Input!AV$2:AV$999,Input!$B$2:$B$999,IND_Trans!$E132,Input!$C$2:$C$999,LEFT(IND_Trans!$B132,10)&amp;"*",Input!$D$2:$D$999,IND_Trans!$C132)</f>
        <v>0</v>
      </c>
    </row>
    <row r="133" spans="2:43" ht="12.75">
      <c r="B133" t="s">
        <v>434</v>
      </c>
      <c r="C133" t="s">
        <v>52</v>
      </c>
      <c r="E133" s="16" t="s">
        <v>103</v>
      </c>
      <c r="G133" s="77">
        <f>SUMIFS(Input!L$2:L$999,Input!$B$2:$B$999,IND_Trans!$E133,Input!$C$2:$C$999,LEFT(IND_Trans!$B133,10)&amp;"*",Input!$D$2:$D$999,IND_Trans!$C133)</f>
        <v>1</v>
      </c>
      <c r="H133" s="77">
        <f>SUMIFS(Input!M$2:M$999,Input!$B$2:$B$999,IND_Trans!$E133,Input!$C$2:$C$999,LEFT(IND_Trans!$B133,10)&amp;"*",Input!$D$2:$D$999,IND_Trans!$C133)</f>
        <v>1</v>
      </c>
      <c r="I133" s="77">
        <f>SUMIFS(Input!N$2:N$999,Input!$B$2:$B$999,IND_Trans!$E133,Input!$C$2:$C$999,LEFT(IND_Trans!$B133,10)&amp;"*",Input!$D$2:$D$999,IND_Trans!$C133)</f>
        <v>1</v>
      </c>
      <c r="J133" s="77">
        <f>SUMIFS(Input!O$2:O$999,Input!$B$2:$B$999,IND_Trans!$E133,Input!$C$2:$C$999,LEFT(IND_Trans!$B133,10)&amp;"*",Input!$D$2:$D$999,IND_Trans!$C133)</f>
        <v>1</v>
      </c>
      <c r="K133" s="77">
        <f>SUMIFS(Input!P$2:P$999,Input!$B$2:$B$999,IND_Trans!$E133,Input!$C$2:$C$999,LEFT(IND_Trans!$B133,10)&amp;"*",Input!$D$2:$D$999,IND_Trans!$C133)</f>
        <v>1</v>
      </c>
      <c r="L133" s="77">
        <f>SUMIFS(Input!Q$2:Q$999,Input!$B$2:$B$999,IND_Trans!$E133,Input!$C$2:$C$999,LEFT(IND_Trans!$B133,10)&amp;"*",Input!$D$2:$D$999,IND_Trans!$C133)</f>
        <v>1</v>
      </c>
      <c r="M133" s="77">
        <f>SUMIFS(Input!R$2:R$999,Input!$B$2:$B$999,IND_Trans!$E133,Input!$C$2:$C$999,LEFT(IND_Trans!$B133,10)&amp;"*",Input!$D$2:$D$999,IND_Trans!$C133)</f>
        <v>0</v>
      </c>
      <c r="N133" s="77">
        <f>SUMIFS(Input!S$2:S$999,Input!$B$2:$B$999,IND_Trans!$E133,Input!$C$2:$C$999,LEFT(IND_Trans!$B133,10)&amp;"*",Input!$D$2:$D$999,IND_Trans!$C133)</f>
        <v>1</v>
      </c>
      <c r="O133" s="77">
        <f>SUMIFS(Input!T$2:T$999,Input!$B$2:$B$999,IND_Trans!$E133,Input!$C$2:$C$999,LEFT(IND_Trans!$B133,10)&amp;"*",Input!$D$2:$D$999,IND_Trans!$C133)</f>
        <v>1</v>
      </c>
      <c r="P133" s="77">
        <f>SUMIFS(Input!U$2:U$999,Input!$B$2:$B$999,IND_Trans!$E133,Input!$C$2:$C$999,LEFT(IND_Trans!$B133,10)&amp;"*",Input!$D$2:$D$999,IND_Trans!$C133)</f>
        <v>1</v>
      </c>
      <c r="Q133" s="77">
        <f>SUMIFS(Input!V$2:V$999,Input!$B$2:$B$999,IND_Trans!$E133,Input!$C$2:$C$999,LEFT(IND_Trans!$B133,10)&amp;"*",Input!$D$2:$D$999,IND_Trans!$C133)</f>
        <v>0</v>
      </c>
      <c r="R133" s="77">
        <f>SUMIFS(Input!W$2:W$999,Input!$B$2:$B$999,IND_Trans!$E133,Input!$C$2:$C$999,LEFT(IND_Trans!$B133,10)&amp;"*",Input!$D$2:$D$999,IND_Trans!$C133)</f>
        <v>1</v>
      </c>
      <c r="S133" s="77">
        <f>SUMIFS(Input!X$2:X$999,Input!$B$2:$B$999,IND_Trans!$E133,Input!$C$2:$C$999,LEFT(IND_Trans!$B133,10)&amp;"*",Input!$D$2:$D$999,IND_Trans!$C133)</f>
        <v>1</v>
      </c>
      <c r="T133" s="77">
        <f>SUMIFS(Input!Y$2:Y$999,Input!$B$2:$B$999,IND_Trans!$E133,Input!$C$2:$C$999,LEFT(IND_Trans!$B133,10)&amp;"*",Input!$D$2:$D$999,IND_Trans!$C133)</f>
        <v>1</v>
      </c>
      <c r="U133" s="77">
        <f>SUMIFS(Input!Z$2:Z$999,Input!$B$2:$B$999,IND_Trans!$E133,Input!$C$2:$C$999,LEFT(IND_Trans!$B133,10)&amp;"*",Input!$D$2:$D$999,IND_Trans!$C133)</f>
        <v>1</v>
      </c>
      <c r="V133" s="77">
        <f>SUMIFS(Input!AA$2:AA$999,Input!$B$2:$B$999,IND_Trans!$E133,Input!$C$2:$C$999,LEFT(IND_Trans!$B133,10)&amp;"*",Input!$D$2:$D$999,IND_Trans!$C133)</f>
        <v>1</v>
      </c>
      <c r="W133" s="77">
        <f>SUMIFS(Input!AB$2:AB$999,Input!$B$2:$B$999,IND_Trans!$E133,Input!$C$2:$C$999,LEFT(IND_Trans!$B133,10)&amp;"*",Input!$D$2:$D$999,IND_Trans!$C133)</f>
        <v>1</v>
      </c>
      <c r="X133" s="77">
        <f>SUMIFS(Input!AC$2:AC$999,Input!$B$2:$B$999,IND_Trans!$E133,Input!$C$2:$C$999,LEFT(IND_Trans!$B133,10)&amp;"*",Input!$D$2:$D$999,IND_Trans!$C133)</f>
        <v>0</v>
      </c>
      <c r="Y133" s="77">
        <f>SUMIFS(Input!AD$2:AD$999,Input!$B$2:$B$999,IND_Trans!$E133,Input!$C$2:$C$999,LEFT(IND_Trans!$B133,10)&amp;"*",Input!$D$2:$D$999,IND_Trans!$C133)</f>
        <v>0</v>
      </c>
      <c r="Z133" s="77">
        <f>SUMIFS(Input!AE$2:AE$999,Input!$B$2:$B$999,IND_Trans!$E133,Input!$C$2:$C$999,LEFT(IND_Trans!$B133,10)&amp;"*",Input!$D$2:$D$999,IND_Trans!$C133)</f>
        <v>1</v>
      </c>
      <c r="AA133" s="77">
        <f>SUMIFS(Input!AF$2:AF$999,Input!$B$2:$B$999,IND_Trans!$E133,Input!$C$2:$C$999,LEFT(IND_Trans!$B133,10)&amp;"*",Input!$D$2:$D$999,IND_Trans!$C133)</f>
        <v>1</v>
      </c>
      <c r="AB133" s="77">
        <f>SUMIFS(Input!AG$2:AG$999,Input!$B$2:$B$999,IND_Trans!$E133,Input!$C$2:$C$999,LEFT(IND_Trans!$B133,10)&amp;"*",Input!$D$2:$D$999,IND_Trans!$C133)</f>
        <v>1</v>
      </c>
      <c r="AC133" s="77">
        <f>SUMIFS(Input!AH$2:AH$999,Input!$B$2:$B$999,IND_Trans!$E133,Input!$C$2:$C$999,LEFT(IND_Trans!$B133,10)&amp;"*",Input!$D$2:$D$999,IND_Trans!$C133)</f>
        <v>1</v>
      </c>
      <c r="AD133" s="77">
        <f>SUMIFS(Input!AI$2:AI$999,Input!$B$2:$B$999,IND_Trans!$E133,Input!$C$2:$C$999,LEFT(IND_Trans!$B133,10)&amp;"*",Input!$D$2:$D$999,IND_Trans!$C133)</f>
        <v>1</v>
      </c>
      <c r="AE133" s="77">
        <f>SUMIFS(Input!AJ$2:AJ$999,Input!$B$2:$B$999,IND_Trans!$E133,Input!$C$2:$C$999,LEFT(IND_Trans!$B133,10)&amp;"*",Input!$D$2:$D$999,IND_Trans!$C133)</f>
        <v>1</v>
      </c>
      <c r="AF133" s="77">
        <f>SUMIFS(Input!AK$2:AK$999,Input!$B$2:$B$999,IND_Trans!$E133,Input!$C$2:$C$999,LEFT(IND_Trans!$B133,10)&amp;"*",Input!$D$2:$D$999,IND_Trans!$C133)</f>
        <v>1</v>
      </c>
      <c r="AG133" s="77">
        <f>SUMIFS(Input!AL$2:AL$999,Input!$B$2:$B$999,IND_Trans!$E133,Input!$C$2:$C$999,LEFT(IND_Trans!$B133,10)&amp;"*",Input!$D$2:$D$999,IND_Trans!$C133)</f>
        <v>0</v>
      </c>
      <c r="AH133" s="77">
        <f>SUMIFS(Input!AM$2:AM$999,Input!$B$2:$B$999,IND_Trans!$E133,Input!$C$2:$C$999,LEFT(IND_Trans!$B133,10)&amp;"*",Input!$D$2:$D$999,IND_Trans!$C133)</f>
        <v>1</v>
      </c>
      <c r="AI133" s="77">
        <f>SUMIFS(Input!AN$2:AN$999,Input!$B$2:$B$999,IND_Trans!$E133,Input!$C$2:$C$999,LEFT(IND_Trans!$B133,10)&amp;"*",Input!$D$2:$D$999,IND_Trans!$C133)</f>
        <v>1</v>
      </c>
      <c r="AJ133" s="77">
        <f>SUMIFS(Input!AO$2:AO$999,Input!$B$2:$B$999,IND_Trans!$E133,Input!$C$2:$C$999,LEFT(IND_Trans!$B133,10)&amp;"*",Input!$D$2:$D$999,IND_Trans!$C133)</f>
        <v>1</v>
      </c>
      <c r="AK133" s="77">
        <f>SUMIFS(Input!AP$2:AP$999,Input!$B$2:$B$999,IND_Trans!$E133,Input!$C$2:$C$999,LEFT(IND_Trans!$B133,10)&amp;"*",Input!$D$2:$D$999,IND_Trans!$C133)</f>
        <v>1</v>
      </c>
      <c r="AL133" s="77">
        <f>SUMIFS(Input!AQ$2:AQ$999,Input!$B$2:$B$999,IND_Trans!$E133,Input!$C$2:$C$999,LEFT(IND_Trans!$B133,10)&amp;"*",Input!$D$2:$D$999,IND_Trans!$C133)</f>
        <v>1</v>
      </c>
      <c r="AM133" s="77">
        <f>SUMIFS(Input!AR$2:AR$999,Input!$B$2:$B$999,IND_Trans!$E133,Input!$C$2:$C$999,LEFT(IND_Trans!$B133,10)&amp;"*",Input!$D$2:$D$999,IND_Trans!$C133)</f>
        <v>1</v>
      </c>
      <c r="AN133" s="77">
        <f>SUMIFS(Input!AS$2:AS$999,Input!$B$2:$B$999,IND_Trans!$E133,Input!$C$2:$C$999,LEFT(IND_Trans!$B133,10)&amp;"*",Input!$D$2:$D$999,IND_Trans!$C133)</f>
        <v>1</v>
      </c>
      <c r="AO133" s="77">
        <f>SUMIFS(Input!AT$2:AT$999,Input!$B$2:$B$999,IND_Trans!$E133,Input!$C$2:$C$999,LEFT(IND_Trans!$B133,10)&amp;"*",Input!$D$2:$D$999,IND_Trans!$C133)</f>
        <v>1</v>
      </c>
      <c r="AP133" s="77">
        <f>SUMIFS(Input!AU$2:AU$999,Input!$B$2:$B$999,IND_Trans!$E133,Input!$C$2:$C$999,LEFT(IND_Trans!$B133,10)&amp;"*",Input!$D$2:$D$999,IND_Trans!$C133)</f>
        <v>1</v>
      </c>
      <c r="AQ133" s="77">
        <f>SUMIFS(Input!AV$2:AV$999,Input!$B$2:$B$999,IND_Trans!$E133,Input!$C$2:$C$999,LEFT(IND_Trans!$B133,10)&amp;"*",Input!$D$2:$D$999,IND_Trans!$C133)</f>
        <v>1</v>
      </c>
    </row>
    <row r="134" spans="2:43" ht="12.75">
      <c r="B134" t="s">
        <v>434</v>
      </c>
      <c r="C134" t="s">
        <v>47</v>
      </c>
      <c r="E134" s="16" t="s">
        <v>103</v>
      </c>
      <c r="G134" s="77">
        <f>SUMIFS(Input!L$2:L$999,Input!$B$2:$B$999,IND_Trans!$E134,Input!$C$2:$C$999,LEFT(IND_Trans!$B134,10)&amp;"*",Input!$D$2:$D$999,IND_Trans!$C134)</f>
        <v>0</v>
      </c>
      <c r="H134" s="77">
        <f>SUMIFS(Input!M$2:M$999,Input!$B$2:$B$999,IND_Trans!$E134,Input!$C$2:$C$999,LEFT(IND_Trans!$B134,10)&amp;"*",Input!$D$2:$D$999,IND_Trans!$C134)</f>
        <v>0.115</v>
      </c>
      <c r="I134" s="77">
        <f>SUMIFS(Input!N$2:N$999,Input!$B$2:$B$999,IND_Trans!$E134,Input!$C$2:$C$999,LEFT(IND_Trans!$B134,10)&amp;"*",Input!$D$2:$D$999,IND_Trans!$C134)</f>
        <v>0</v>
      </c>
      <c r="J134" s="77">
        <f>SUMIFS(Input!O$2:O$999,Input!$B$2:$B$999,IND_Trans!$E134,Input!$C$2:$C$999,LEFT(IND_Trans!$B134,10)&amp;"*",Input!$D$2:$D$999,IND_Trans!$C134)</f>
        <v>0.23999999999999999</v>
      </c>
      <c r="K134" s="77">
        <f>SUMIFS(Input!P$2:P$999,Input!$B$2:$B$999,IND_Trans!$E134,Input!$C$2:$C$999,LEFT(IND_Trans!$B134,10)&amp;"*",Input!$D$2:$D$999,IND_Trans!$C134)</f>
        <v>0</v>
      </c>
      <c r="L134" s="77">
        <f>SUMIFS(Input!Q$2:Q$999,Input!$B$2:$B$999,IND_Trans!$E134,Input!$C$2:$C$999,LEFT(IND_Trans!$B134,10)&amp;"*",Input!$D$2:$D$999,IND_Trans!$C134)</f>
        <v>0</v>
      </c>
      <c r="M134" s="77">
        <f>SUMIFS(Input!R$2:R$999,Input!$B$2:$B$999,IND_Trans!$E134,Input!$C$2:$C$999,LEFT(IND_Trans!$B134,10)&amp;"*",Input!$D$2:$D$999,IND_Trans!$C134)</f>
        <v>0</v>
      </c>
      <c r="N134" s="77">
        <f>SUMIFS(Input!S$2:S$999,Input!$B$2:$B$999,IND_Trans!$E134,Input!$C$2:$C$999,LEFT(IND_Trans!$B134,10)&amp;"*",Input!$D$2:$D$999,IND_Trans!$C134)</f>
        <v>0.92000000000000004</v>
      </c>
      <c r="O134" s="77">
        <f>SUMIFS(Input!T$2:T$999,Input!$B$2:$B$999,IND_Trans!$E134,Input!$C$2:$C$999,LEFT(IND_Trans!$B134,10)&amp;"*",Input!$D$2:$D$999,IND_Trans!$C134)</f>
        <v>0.030574560803102901</v>
      </c>
      <c r="P134" s="77">
        <f>SUMIFS(Input!U$2:U$999,Input!$B$2:$B$999,IND_Trans!$E134,Input!$C$2:$C$999,LEFT(IND_Trans!$B134,10)&amp;"*",Input!$D$2:$D$999,IND_Trans!$C134)</f>
        <v>0.54230769230769205</v>
      </c>
      <c r="Q134" s="77">
        <f>SUMIFS(Input!V$2:V$999,Input!$B$2:$B$999,IND_Trans!$E134,Input!$C$2:$C$999,LEFT(IND_Trans!$B134,10)&amp;"*",Input!$D$2:$D$999,IND_Trans!$C134)</f>
        <v>0</v>
      </c>
      <c r="R134" s="77">
        <f>SUMIFS(Input!W$2:W$999,Input!$B$2:$B$999,IND_Trans!$E134,Input!$C$2:$C$999,LEFT(IND_Trans!$B134,10)&amp;"*",Input!$D$2:$D$999,IND_Trans!$C134)</f>
        <v>0</v>
      </c>
      <c r="S134" s="77">
        <f>SUMIFS(Input!X$2:X$999,Input!$B$2:$B$999,IND_Trans!$E134,Input!$C$2:$C$999,LEFT(IND_Trans!$B134,10)&amp;"*",Input!$D$2:$D$999,IND_Trans!$C134)</f>
        <v>0</v>
      </c>
      <c r="T134" s="77">
        <f>SUMIFS(Input!Y$2:Y$999,Input!$B$2:$B$999,IND_Trans!$E134,Input!$C$2:$C$999,LEFT(IND_Trans!$B134,10)&amp;"*",Input!$D$2:$D$999,IND_Trans!$C134)</f>
        <v>0.64500000000000002</v>
      </c>
      <c r="U134" s="77">
        <f>SUMIFS(Input!Z$2:Z$999,Input!$B$2:$B$999,IND_Trans!$E134,Input!$C$2:$C$999,LEFT(IND_Trans!$B134,10)&amp;"*",Input!$D$2:$D$999,IND_Trans!$C134)</f>
        <v>0</v>
      </c>
      <c r="V134" s="77">
        <f>SUMIFS(Input!AA$2:AA$999,Input!$B$2:$B$999,IND_Trans!$E134,Input!$C$2:$C$999,LEFT(IND_Trans!$B134,10)&amp;"*",Input!$D$2:$D$999,IND_Trans!$C134)</f>
        <v>0.0105263157894737</v>
      </c>
      <c r="W134" s="77">
        <f>SUMIFS(Input!AB$2:AB$999,Input!$B$2:$B$999,IND_Trans!$E134,Input!$C$2:$C$999,LEFT(IND_Trans!$B134,10)&amp;"*",Input!$D$2:$D$999,IND_Trans!$C134)</f>
        <v>0.439213349225268</v>
      </c>
      <c r="X134" s="77">
        <f>SUMIFS(Input!AC$2:AC$999,Input!$B$2:$B$999,IND_Trans!$E134,Input!$C$2:$C$999,LEFT(IND_Trans!$B134,10)&amp;"*",Input!$D$2:$D$999,IND_Trans!$C134)</f>
        <v>0</v>
      </c>
      <c r="Y134" s="77">
        <f>SUMIFS(Input!AD$2:AD$999,Input!$B$2:$B$999,IND_Trans!$E134,Input!$C$2:$C$999,LEFT(IND_Trans!$B134,10)&amp;"*",Input!$D$2:$D$999,IND_Trans!$C134)</f>
        <v>0</v>
      </c>
      <c r="Z134" s="77">
        <f>SUMIFS(Input!AE$2:AE$999,Input!$B$2:$B$999,IND_Trans!$E134,Input!$C$2:$C$999,LEFT(IND_Trans!$B134,10)&amp;"*",Input!$D$2:$D$999,IND_Trans!$C134)</f>
        <v>0.05273595107318</v>
      </c>
      <c r="AA134" s="77">
        <f>SUMIFS(Input!AF$2:AF$999,Input!$B$2:$B$999,IND_Trans!$E134,Input!$C$2:$C$999,LEFT(IND_Trans!$B134,10)&amp;"*",Input!$D$2:$D$999,IND_Trans!$C134)</f>
        <v>0</v>
      </c>
      <c r="AB134" s="77">
        <f>SUMIFS(Input!AG$2:AG$999,Input!$B$2:$B$999,IND_Trans!$E134,Input!$C$2:$C$999,LEFT(IND_Trans!$B134,10)&amp;"*",Input!$D$2:$D$999,IND_Trans!$C134)</f>
        <v>0.10000000000000001</v>
      </c>
      <c r="AC134" s="77">
        <f>SUMIFS(Input!AH$2:AH$999,Input!$B$2:$B$999,IND_Trans!$E134,Input!$C$2:$C$999,LEFT(IND_Trans!$B134,10)&amp;"*",Input!$D$2:$D$999,IND_Trans!$C134)</f>
        <v>0</v>
      </c>
      <c r="AD134" s="77">
        <f>SUMIFS(Input!AI$2:AI$999,Input!$B$2:$B$999,IND_Trans!$E134,Input!$C$2:$C$999,LEFT(IND_Trans!$B134,10)&amp;"*",Input!$D$2:$D$999,IND_Trans!$C134)</f>
        <v>0</v>
      </c>
      <c r="AE134" s="77">
        <f>SUMIFS(Input!AJ$2:AJ$999,Input!$B$2:$B$999,IND_Trans!$E134,Input!$C$2:$C$999,LEFT(IND_Trans!$B134,10)&amp;"*",Input!$D$2:$D$999,IND_Trans!$C134)</f>
        <v>0</v>
      </c>
      <c r="AF134" s="77">
        <f>SUMIFS(Input!AK$2:AK$999,Input!$B$2:$B$999,IND_Trans!$E134,Input!$C$2:$C$999,LEFT(IND_Trans!$B134,10)&amp;"*",Input!$D$2:$D$999,IND_Trans!$C134)</f>
        <v>0.63230240549828198</v>
      </c>
      <c r="AG134" s="77">
        <f>SUMIFS(Input!AL$2:AL$999,Input!$B$2:$B$999,IND_Trans!$E134,Input!$C$2:$C$999,LEFT(IND_Trans!$B134,10)&amp;"*",Input!$D$2:$D$999,IND_Trans!$C134)</f>
        <v>0</v>
      </c>
      <c r="AH134" s="77">
        <f>SUMIFS(Input!AM$2:AM$999,Input!$B$2:$B$999,IND_Trans!$E134,Input!$C$2:$C$999,LEFT(IND_Trans!$B134,10)&amp;"*",Input!$D$2:$D$999,IND_Trans!$C134)</f>
        <v>0</v>
      </c>
      <c r="AI134" s="77">
        <f>SUMIFS(Input!AN$2:AN$999,Input!$B$2:$B$999,IND_Trans!$E134,Input!$C$2:$C$999,LEFT(IND_Trans!$B134,10)&amp;"*",Input!$D$2:$D$999,IND_Trans!$C134)</f>
        <v>1.29</v>
      </c>
      <c r="AJ134" s="77">
        <f>SUMIFS(Input!AO$2:AO$999,Input!$B$2:$B$999,IND_Trans!$E134,Input!$C$2:$C$999,LEFT(IND_Trans!$B134,10)&amp;"*",Input!$D$2:$D$999,IND_Trans!$C134)</f>
        <v>1</v>
      </c>
      <c r="AK134" s="77">
        <f>SUMIFS(Input!AP$2:AP$999,Input!$B$2:$B$999,IND_Trans!$E134,Input!$C$2:$C$999,LEFT(IND_Trans!$B134,10)&amp;"*",Input!$D$2:$D$999,IND_Trans!$C134)</f>
        <v>0</v>
      </c>
      <c r="AL134" s="77">
        <f>SUMIFS(Input!AQ$2:AQ$999,Input!$B$2:$B$999,IND_Trans!$E134,Input!$C$2:$C$999,LEFT(IND_Trans!$B134,10)&amp;"*",Input!$D$2:$D$999,IND_Trans!$C134)</f>
        <v>0.125</v>
      </c>
      <c r="AM134" s="77">
        <f>SUMIFS(Input!AR$2:AR$999,Input!$B$2:$B$999,IND_Trans!$E134,Input!$C$2:$C$999,LEFT(IND_Trans!$B134,10)&amp;"*",Input!$D$2:$D$999,IND_Trans!$C134)</f>
        <v>0.799043062200957</v>
      </c>
      <c r="AN134" s="77">
        <f>SUMIFS(Input!AS$2:AS$999,Input!$B$2:$B$999,IND_Trans!$E134,Input!$C$2:$C$999,LEFT(IND_Trans!$B134,10)&amp;"*",Input!$D$2:$D$999,IND_Trans!$C134)</f>
        <v>0</v>
      </c>
      <c r="AO134" s="77">
        <f>SUMIFS(Input!AT$2:AT$999,Input!$B$2:$B$999,IND_Trans!$E134,Input!$C$2:$C$999,LEFT(IND_Trans!$B134,10)&amp;"*",Input!$D$2:$D$999,IND_Trans!$C134)</f>
        <v>0.24422442244224399</v>
      </c>
      <c r="AP134" s="77">
        <f>SUMIFS(Input!AU$2:AU$999,Input!$B$2:$B$999,IND_Trans!$E134,Input!$C$2:$C$999,LEFT(IND_Trans!$B134,10)&amp;"*",Input!$D$2:$D$999,IND_Trans!$C134)</f>
        <v>0.78000000000000003</v>
      </c>
      <c r="AQ134" s="77">
        <f>SUMIFS(Input!AV$2:AV$999,Input!$B$2:$B$999,IND_Trans!$E134,Input!$C$2:$C$999,LEFT(IND_Trans!$B134,10)&amp;"*",Input!$D$2:$D$999,IND_Trans!$C134)</f>
        <v>0.027333904402468901</v>
      </c>
    </row>
    <row r="139" spans="7:7" ht="12.75">
      <c r="G139" s="80"/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Q7"/>
  <sheetViews>
    <sheetView workbookViewId="0" topLeftCell="A1">
      <selection pane="topLeft" activeCell="K5" sqref="K5"/>
    </sheetView>
  </sheetViews>
  <sheetFormatPr defaultRowHeight="12.75"/>
  <cols>
    <col min="9" max="9" width="10.7142857142857" bestFit="1" customWidth="1"/>
    <col min="11" max="11" width="38" bestFit="1" customWidth="1"/>
  </cols>
  <sheetData>
    <row r="2" spans="2:17" ht="12.75">
      <c r="B2" s="3" t="s">
        <v>7</v>
      </c>
      <c r="J2" s="61"/>
      <c r="K2" s="1"/>
      <c r="L2" s="1"/>
      <c r="M2" s="1"/>
      <c r="N2" s="1"/>
      <c r="O2" s="1"/>
      <c r="P2" s="1"/>
      <c r="Q2" s="1"/>
    </row>
    <row r="3" spans="2:17" ht="13.5" thickBot="1">
      <c r="B3" s="4" t="s">
        <v>85</v>
      </c>
      <c r="C3" s="4" t="s">
        <v>86</v>
      </c>
      <c r="D3" s="4" t="s">
        <v>87</v>
      </c>
      <c r="E3" s="4" t="s">
        <v>88</v>
      </c>
      <c r="F3" s="4" t="s">
        <v>435</v>
      </c>
      <c r="G3" s="4" t="s">
        <v>436</v>
      </c>
      <c r="H3" s="4" t="s">
        <v>192</v>
      </c>
      <c r="I3" s="79" t="s">
        <v>64</v>
      </c>
      <c r="J3" s="5" t="s">
        <v>437</v>
      </c>
      <c r="K3" s="5" t="s">
        <v>89</v>
      </c>
      <c r="L3" s="5" t="s">
        <v>175</v>
      </c>
      <c r="M3" s="5" t="s">
        <v>90</v>
      </c>
      <c r="N3" s="5" t="s">
        <v>174</v>
      </c>
      <c r="O3" s="5" t="s">
        <v>176</v>
      </c>
      <c r="P3" s="5" t="s">
        <v>91</v>
      </c>
      <c r="Q3" s="5" t="s">
        <v>438</v>
      </c>
    </row>
    <row r="4" spans="4:11" ht="12.75">
      <c r="D4" t="s">
        <v>439</v>
      </c>
      <c r="G4" s="22" t="s">
        <v>457</v>
      </c>
      <c r="I4">
        <v>2011</v>
      </c>
      <c r="K4" t="s">
        <v>460</v>
      </c>
    </row>
    <row r="5" spans="4:11" ht="12.75">
      <c r="D5" t="s">
        <v>439</v>
      </c>
      <c r="G5" s="22" t="s">
        <v>458</v>
      </c>
      <c r="I5">
        <v>2011</v>
      </c>
      <c r="K5" t="s">
        <v>460</v>
      </c>
    </row>
    <row r="6" spans="4:11" ht="12.75">
      <c r="D6" t="s">
        <v>439</v>
      </c>
      <c r="G6" s="22" t="s">
        <v>459</v>
      </c>
      <c r="I6">
        <v>2010</v>
      </c>
      <c r="K6" t="s">
        <v>441</v>
      </c>
    </row>
    <row r="7" spans="4:12" ht="12.75">
      <c r="D7" t="s">
        <v>439</v>
      </c>
      <c r="G7" s="22" t="s">
        <v>457</v>
      </c>
      <c r="I7">
        <v>2011</v>
      </c>
      <c r="L7" t="s">
        <v>440</v>
      </c>
    </row>
  </sheetData>
  <pageMargins left="0.7" right="0.7" top="0.75" bottom="0.75" header="0.3" footer="0.3"/>
  <pageSetup orientation="portrait" paperSize="9"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TechSelection</vt:lpstr>
      <vt:lpstr>INTERPOLSET</vt:lpstr>
      <vt:lpstr>CO2_Storage_Potential</vt:lpstr>
      <vt:lpstr>SUP_CCS</vt:lpstr>
      <vt:lpstr>CHPEmissions</vt:lpstr>
      <vt:lpstr>CO2 Transport Data</vt:lpstr>
      <vt:lpstr>FillData</vt:lpstr>
      <vt:lpstr>Input</vt:lpstr>
      <vt:lpstr>Output</vt:lpstr>
      <vt:lpstr>IND_Mult</vt:lpstr>
      <vt:lpstr>IND_Trans</vt:lpstr>
      <vt:lpstr>START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Lehtilä Antti</cp:lastModifiedBy>
  <cp:lastPrinted>2007-01-05T10:33:44Z</cp:lastPrinted>
  <dcterms:created xsi:type="dcterms:W3CDTF">2001-09-28T18:48:17Z</dcterms:created>
  <dcterms:modified xsi:type="dcterms:W3CDTF">2025-11-05T14:02:17Z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44346630573272</vt:r8>
  </property>
</Properties>
</file>