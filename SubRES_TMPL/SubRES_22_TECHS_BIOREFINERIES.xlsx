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defaultThemeVersion="124226"/>
  <mc:AlternateContent xmlns:mc="http://schemas.openxmlformats.org/markup-compatibility/2006">
    <mc:Choice Requires="x15">
      <x15ac:absPath xmlns:x15ac="http://schemas.microsoft.com/office/spreadsheetml/2010/11/ac" url="C:\Veda\Veda_models\JRCEU\SubRES_TMPL\"/>
    </mc:Choice>
  </mc:AlternateContent>
  <xr:revisionPtr revIDLastSave="0" documentId="13_ncr:1_{2702CC3B-E19D-4FE5-AB09-D3656EF74DFD}" xr6:coauthVersionLast="47" xr6:coauthVersionMax="47" xr10:uidLastSave="{00000000-0000-0000-0000-000000000000}"/>
  <bookViews>
    <workbookView xWindow="-96" yWindow="0" windowWidth="15552" windowHeight="16656" firstSheet="1" activeTab="3" xr2:uid="{00000000-000D-0000-FFFF-FFFF00000000}"/>
  </bookViews>
  <sheets>
    <sheet name="SUP_Supply" sheetId="8" r:id="rId1"/>
    <sheet name="SUP_Gen1" sheetId="7" r:id="rId2"/>
    <sheet name="SUP_Gen2" sheetId="13" r:id="rId3"/>
    <sheet name="SUP_Blending" sheetId="10" r:id="rId4"/>
    <sheet name="UPS_BiofuelAcct" sheetId="11" r:id="rId5"/>
    <sheet name="AGRBIO" sheetId="14" r:id="rId6"/>
  </sheets>
  <externalReferences>
    <externalReference r:id="rId7"/>
  </externalReferences>
  <definedNames>
    <definedName name="FID_1">[1]AGR_Fuels!$A$2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9" i="10" l="1"/>
  <c r="H139" i="10"/>
  <c r="I139" i="10"/>
  <c r="J139" i="10"/>
  <c r="K139" i="10"/>
  <c r="L139" i="10"/>
  <c r="G140" i="10"/>
  <c r="H140" i="10"/>
  <c r="I140" i="10"/>
  <c r="J140" i="10"/>
  <c r="K140" i="10"/>
  <c r="L140" i="10"/>
  <c r="G141" i="10"/>
  <c r="H141" i="10"/>
  <c r="I141" i="10"/>
  <c r="J141" i="10"/>
  <c r="K141" i="10"/>
  <c r="L141" i="10"/>
  <c r="G142" i="10"/>
  <c r="H142" i="10"/>
  <c r="I142" i="10"/>
  <c r="J142" i="10"/>
  <c r="K142" i="10"/>
  <c r="L142" i="10"/>
  <c r="G143" i="10"/>
  <c r="H143" i="10"/>
  <c r="I143" i="10"/>
  <c r="J143" i="10"/>
  <c r="K143" i="10"/>
  <c r="L143" i="10"/>
  <c r="G144" i="10"/>
  <c r="H144" i="10"/>
  <c r="I144" i="10"/>
  <c r="J144" i="10"/>
  <c r="K144" i="10"/>
  <c r="L144" i="10"/>
  <c r="F144" i="10"/>
  <c r="F143" i="10"/>
  <c r="F142" i="10"/>
  <c r="F141" i="10"/>
  <c r="F140" i="10"/>
  <c r="F139" i="10"/>
  <c r="G137" i="10"/>
  <c r="H137" i="10"/>
  <c r="I137" i="10"/>
  <c r="J137" i="10"/>
  <c r="K137" i="10"/>
  <c r="L137" i="10"/>
  <c r="G138" i="10"/>
  <c r="H138" i="10"/>
  <c r="I138" i="10"/>
  <c r="J138" i="10"/>
  <c r="K138" i="10"/>
  <c r="L138" i="10"/>
  <c r="F138" i="10"/>
  <c r="F137" i="10"/>
  <c r="G131" i="10"/>
  <c r="H131" i="10"/>
  <c r="I131" i="10"/>
  <c r="J131" i="10"/>
  <c r="K131" i="10"/>
  <c r="L131" i="10"/>
  <c r="G132" i="10"/>
  <c r="H132" i="10"/>
  <c r="I132" i="10"/>
  <c r="J132" i="10"/>
  <c r="K132" i="10"/>
  <c r="L132" i="10"/>
  <c r="G133" i="10"/>
  <c r="H133" i="10"/>
  <c r="I133" i="10"/>
  <c r="J133" i="10"/>
  <c r="K133" i="10"/>
  <c r="L133" i="10"/>
  <c r="G134" i="10"/>
  <c r="H134" i="10"/>
  <c r="I134" i="10"/>
  <c r="J134" i="10"/>
  <c r="K134" i="10"/>
  <c r="L134" i="10"/>
  <c r="G135" i="10"/>
  <c r="H135" i="10"/>
  <c r="I135" i="10"/>
  <c r="J135" i="10"/>
  <c r="K135" i="10"/>
  <c r="L135" i="10"/>
  <c r="G136" i="10"/>
  <c r="H136" i="10"/>
  <c r="I136" i="10"/>
  <c r="J136" i="10"/>
  <c r="K136" i="10"/>
  <c r="L136" i="10"/>
  <c r="F136" i="10"/>
  <c r="F135" i="10"/>
  <c r="F134" i="10"/>
  <c r="F133" i="10"/>
  <c r="F132" i="10"/>
  <c r="F131" i="10"/>
  <c r="L127" i="10"/>
  <c r="L128" i="10"/>
  <c r="L129" i="10"/>
  <c r="L130" i="10"/>
  <c r="F127" i="10"/>
  <c r="F128" i="10"/>
  <c r="F129" i="10"/>
  <c r="F130" i="10"/>
  <c r="H129" i="10"/>
  <c r="I129" i="10"/>
  <c r="J129" i="10"/>
  <c r="K129" i="10"/>
  <c r="H130" i="10"/>
  <c r="I130" i="10"/>
  <c r="J130" i="10"/>
  <c r="K130" i="10"/>
  <c r="G130" i="10"/>
  <c r="G129" i="10"/>
  <c r="H127" i="10"/>
  <c r="I127" i="10"/>
  <c r="J127" i="10"/>
  <c r="K127" i="10"/>
  <c r="H128" i="10"/>
  <c r="I128" i="10"/>
  <c r="J128" i="10"/>
  <c r="K128" i="10"/>
  <c r="G128" i="10"/>
  <c r="G127" i="10"/>
  <c r="X91" i="10"/>
  <c r="Y91" i="10"/>
  <c r="Z91" i="10"/>
  <c r="AA91" i="10"/>
  <c r="W91" i="10"/>
  <c r="X94" i="10"/>
  <c r="Y94" i="10"/>
  <c r="Z94" i="10"/>
  <c r="AA94" i="10"/>
  <c r="W94" i="10"/>
  <c r="W105" i="10"/>
  <c r="X109" i="10"/>
  <c r="Y109" i="10"/>
  <c r="Z109" i="10"/>
  <c r="AA109" i="10"/>
  <c r="W109" i="10"/>
  <c r="X113" i="10"/>
  <c r="Y113" i="10"/>
  <c r="Z113" i="10"/>
  <c r="AA113" i="10"/>
  <c r="W113" i="10"/>
  <c r="X117" i="10"/>
  <c r="W117" i="10"/>
  <c r="M114" i="10"/>
  <c r="N114" i="10" s="1"/>
  <c r="O114" i="10" s="1"/>
  <c r="P114" i="10" s="1"/>
  <c r="Q114" i="10" s="1"/>
  <c r="L114" i="10"/>
  <c r="W92" i="10"/>
  <c r="X92" i="10"/>
  <c r="Y92" i="10"/>
  <c r="Z92" i="10"/>
  <c r="AA92" i="10"/>
  <c r="V92" i="10"/>
  <c r="L92" i="10" s="1"/>
  <c r="V95" i="10"/>
  <c r="V90" i="10"/>
  <c r="W90" i="10"/>
  <c r="X90" i="10"/>
  <c r="Y90" i="10"/>
  <c r="Z90" i="10"/>
  <c r="AA90" i="10"/>
  <c r="U90" i="10"/>
  <c r="V93" i="10"/>
  <c r="W93" i="10"/>
  <c r="X93" i="10"/>
  <c r="Y93" i="10"/>
  <c r="Z93" i="10"/>
  <c r="AA93" i="10"/>
  <c r="U93" i="10"/>
  <c r="O91" i="10"/>
  <c r="P91" i="10"/>
  <c r="Q91" i="10"/>
  <c r="O94" i="10"/>
  <c r="P94" i="10"/>
  <c r="Q94" i="10"/>
  <c r="N94" i="10"/>
  <c r="N91" i="10"/>
  <c r="M94" i="10"/>
  <c r="M91" i="10"/>
  <c r="L91" i="10"/>
  <c r="L94" i="10"/>
  <c r="L95" i="10"/>
  <c r="K95" i="10"/>
  <c r="K92" i="10"/>
  <c r="U92" i="10"/>
  <c r="U95" i="10"/>
  <c r="L93" i="10"/>
  <c r="M93" i="10"/>
  <c r="N93" i="10"/>
  <c r="O93" i="10"/>
  <c r="P93" i="10"/>
  <c r="Q93" i="10"/>
  <c r="K93" i="10"/>
  <c r="Q90" i="10"/>
  <c r="P90" i="10"/>
  <c r="N90" i="10"/>
  <c r="M90" i="10"/>
  <c r="L90" i="10"/>
  <c r="K90" i="10"/>
  <c r="O90" i="10"/>
  <c r="Q112" i="10" l="1"/>
  <c r="P112" i="10"/>
  <c r="O112" i="10"/>
  <c r="N112" i="10"/>
  <c r="M112" i="10"/>
  <c r="L112" i="10"/>
  <c r="K112" i="10"/>
  <c r="J112" i="10"/>
  <c r="I112" i="10"/>
  <c r="H112" i="10"/>
  <c r="J116" i="10"/>
  <c r="I116" i="10"/>
  <c r="Q116" i="10"/>
  <c r="P116" i="10"/>
  <c r="O116" i="10"/>
  <c r="N116" i="10"/>
  <c r="M116" i="10"/>
  <c r="L116" i="10"/>
  <c r="K116" i="10"/>
  <c r="H116" i="10"/>
  <c r="N106" i="10"/>
  <c r="O106" i="10" s="1"/>
  <c r="P106" i="10" s="1"/>
  <c r="Q106" i="10" s="1"/>
  <c r="M106" i="10"/>
  <c r="L106" i="10"/>
  <c r="W106" i="10"/>
  <c r="V106" i="10"/>
  <c r="U106" i="10"/>
  <c r="K106" i="10" s="1"/>
  <c r="T106" i="10"/>
  <c r="J106" i="10" s="1"/>
  <c r="S106" i="10"/>
  <c r="H106" i="10" s="1"/>
  <c r="I106" i="10" s="1"/>
  <c r="Q107" i="10"/>
  <c r="P107" i="10"/>
  <c r="O107" i="10"/>
  <c r="N107" i="10"/>
  <c r="M107" i="10"/>
  <c r="L107" i="10"/>
  <c r="K107" i="10"/>
  <c r="J107" i="10"/>
  <c r="I107" i="10"/>
  <c r="H107" i="10"/>
  <c r="X120" i="10"/>
  <c r="Y120" i="10" s="1"/>
  <c r="Z120" i="10" s="1"/>
  <c r="AA120" i="10" s="1"/>
  <c r="W120" i="10"/>
  <c r="N118" i="10"/>
  <c r="O118" i="10"/>
  <c r="P118" i="10"/>
  <c r="Q118" i="10"/>
  <c r="M118" i="10"/>
  <c r="L109" i="10"/>
  <c r="L113" i="10"/>
  <c r="L117" i="10"/>
  <c r="V114" i="10"/>
  <c r="V110" i="10"/>
  <c r="K101" i="10"/>
  <c r="L101" i="10"/>
  <c r="J101" i="10"/>
  <c r="I101" i="10"/>
  <c r="H101" i="10"/>
  <c r="M101" i="10"/>
  <c r="N101" i="10" s="1"/>
  <c r="O101" i="10" s="1"/>
  <c r="P101" i="10" s="1"/>
  <c r="Q101" i="10" s="1"/>
  <c r="V103" i="10"/>
  <c r="V101" i="10" s="1"/>
  <c r="U103" i="10"/>
  <c r="T103" i="10"/>
  <c r="T101" i="10" s="1"/>
  <c r="S103" i="10"/>
  <c r="S101" i="10"/>
  <c r="U101" i="10"/>
  <c r="W104" i="10"/>
  <c r="K104" i="10"/>
  <c r="L118" i="10"/>
  <c r="K110" i="10"/>
  <c r="J110" i="10"/>
  <c r="I110" i="10"/>
  <c r="H110" i="10"/>
  <c r="K114" i="10"/>
  <c r="I114" i="10"/>
  <c r="J114" i="10"/>
  <c r="H114" i="10"/>
  <c r="L110" i="10"/>
  <c r="L105" i="10"/>
  <c r="V104" i="10"/>
  <c r="M87" i="10"/>
  <c r="N87" i="10"/>
  <c r="O87" i="10"/>
  <c r="P87" i="10"/>
  <c r="Q87" i="10"/>
  <c r="L87" i="10"/>
  <c r="N88" i="10"/>
  <c r="O88" i="10"/>
  <c r="P88" i="10"/>
  <c r="M88" i="10"/>
  <c r="N89" i="10"/>
  <c r="O89" i="10"/>
  <c r="P89" i="10"/>
  <c r="M89" i="10"/>
  <c r="L88" i="10"/>
  <c r="H8" i="14"/>
  <c r="H9" i="14" s="1"/>
  <c r="I8" i="14"/>
  <c r="I9" i="14" s="1"/>
  <c r="J8" i="14"/>
  <c r="J9" i="14" s="1"/>
  <c r="K8" i="14"/>
  <c r="K9" i="14" s="1"/>
  <c r="L8" i="14"/>
  <c r="L9" i="14" s="1"/>
  <c r="M8" i="14"/>
  <c r="M9" i="14" s="1"/>
  <c r="N8" i="14"/>
  <c r="N9" i="14" s="1"/>
  <c r="G8" i="14"/>
  <c r="G9" i="14"/>
  <c r="H6" i="14"/>
  <c r="I6" i="14"/>
  <c r="J6" i="14"/>
  <c r="K6" i="14"/>
  <c r="L6" i="14"/>
  <c r="M6" i="14"/>
  <c r="N6" i="14"/>
  <c r="G6" i="14"/>
  <c r="Y104" i="10" l="1"/>
  <c r="X104" i="10"/>
  <c r="L104" i="10"/>
  <c r="O100" i="10"/>
  <c r="P100" i="10"/>
  <c r="Q100" i="10"/>
  <c r="N100" i="10"/>
  <c r="Q117" i="10"/>
  <c r="Q119" i="10" s="1"/>
  <c r="O113" i="10"/>
  <c r="O117" i="10" s="1"/>
  <c r="O119" i="10" s="1"/>
  <c r="P113" i="10"/>
  <c r="P117" i="10" s="1"/>
  <c r="P119" i="10" s="1"/>
  <c r="Q113" i="10"/>
  <c r="N113" i="10"/>
  <c r="N117" i="10" s="1"/>
  <c r="N119" i="10" s="1"/>
  <c r="O109" i="10"/>
  <c r="P109" i="10"/>
  <c r="Q109" i="10"/>
  <c r="N109" i="10"/>
  <c r="Q97" i="10"/>
  <c r="Q108" i="10"/>
  <c r="N115" i="10"/>
  <c r="O115" i="10"/>
  <c r="P115" i="10"/>
  <c r="Q115" i="10" s="1"/>
  <c r="N110" i="10"/>
  <c r="O110" i="10"/>
  <c r="P110" i="10"/>
  <c r="Q110" i="10" s="1"/>
  <c r="N111" i="10"/>
  <c r="O111" i="10"/>
  <c r="P111" i="10"/>
  <c r="Q111" i="10" s="1"/>
  <c r="N108" i="10"/>
  <c r="O108" i="10"/>
  <c r="P108" i="10"/>
  <c r="N96" i="10"/>
  <c r="O96" i="10"/>
  <c r="P96" i="10"/>
  <c r="Q96" i="10" s="1"/>
  <c r="N97" i="10"/>
  <c r="O97" i="10"/>
  <c r="P97" i="10"/>
  <c r="N98" i="10"/>
  <c r="O98" i="10"/>
  <c r="P98" i="10"/>
  <c r="Q98" i="10" s="1"/>
  <c r="N99" i="10"/>
  <c r="O99" i="10"/>
  <c r="P99" i="10"/>
  <c r="Q99" i="10" s="1"/>
  <c r="G54" i="13"/>
  <c r="J78" i="13"/>
  <c r="E78" i="13"/>
  <c r="J76" i="13"/>
  <c r="J73" i="13"/>
  <c r="K73" i="13" s="1"/>
  <c r="J72" i="13"/>
  <c r="F73" i="13"/>
  <c r="E73" i="13"/>
  <c r="E72" i="13"/>
  <c r="J69" i="13"/>
  <c r="J68" i="13"/>
  <c r="J65" i="13"/>
  <c r="J63" i="13" s="1"/>
  <c r="J62" i="13"/>
  <c r="K67" i="13"/>
  <c r="J64" i="13"/>
  <c r="F69" i="13"/>
  <c r="E69" i="13"/>
  <c r="E68" i="13"/>
  <c r="F67" i="13"/>
  <c r="E63" i="13"/>
  <c r="E65" i="13"/>
  <c r="E64" i="13"/>
  <c r="E62" i="13"/>
  <c r="C25" i="10"/>
  <c r="AA104" i="10" l="1"/>
  <c r="Z104" i="10"/>
  <c r="K69" i="13"/>
  <c r="L27" i="10"/>
  <c r="L21" i="10" l="1"/>
  <c r="C30" i="10" l="1"/>
  <c r="D30" i="10" s="1"/>
  <c r="F30" i="10" s="1"/>
  <c r="H30" i="10" s="1"/>
  <c r="D28" i="10"/>
  <c r="F28" i="10" s="1"/>
  <c r="H28" i="10" s="1"/>
  <c r="D29" i="10"/>
  <c r="E29" i="10"/>
  <c r="F29" i="10" l="1"/>
  <c r="H29" i="10" s="1"/>
  <c r="H31" i="10" s="1"/>
  <c r="I28" i="10" s="1"/>
  <c r="F31" i="10" l="1"/>
  <c r="F32" i="10" s="1"/>
  <c r="I29" i="10"/>
  <c r="I30" i="10"/>
  <c r="I31" i="10" l="1"/>
  <c r="W60" i="10" l="1"/>
  <c r="W61" i="10"/>
  <c r="W62" i="10"/>
  <c r="W63" i="10"/>
  <c r="W64" i="10"/>
  <c r="W59" i="10"/>
  <c r="V60" i="10"/>
  <c r="V61" i="10"/>
  <c r="V62" i="10"/>
  <c r="V63" i="10"/>
  <c r="V64" i="10"/>
  <c r="V59" i="10"/>
  <c r="G48" i="13" l="1"/>
  <c r="G53" i="13"/>
  <c r="J52" i="13"/>
  <c r="C50" i="13"/>
  <c r="B50" i="13"/>
  <c r="J47" i="13"/>
  <c r="C44" i="13"/>
  <c r="B44" i="13"/>
  <c r="G39" i="13"/>
  <c r="G38" i="13"/>
  <c r="E32" i="13"/>
  <c r="F32" i="13"/>
  <c r="E31" i="13"/>
  <c r="F31" i="13"/>
  <c r="G32" i="13" s="1"/>
  <c r="G20" i="13"/>
  <c r="I31" i="13" s="1"/>
  <c r="G27" i="13"/>
  <c r="G26" i="13"/>
  <c r="G53" i="7"/>
  <c r="O29" i="8"/>
  <c r="D27" i="8"/>
  <c r="C27" i="8"/>
  <c r="I80" i="7"/>
  <c r="G50" i="7"/>
  <c r="I77" i="7"/>
  <c r="H66" i="7"/>
  <c r="G42" i="7"/>
  <c r="G28" i="7"/>
  <c r="K32" i="8"/>
  <c r="N32" i="8"/>
  <c r="H65" i="7"/>
  <c r="O56" i="8" s="1"/>
  <c r="P55" i="8"/>
  <c r="G29" i="7"/>
  <c r="D27" i="7"/>
  <c r="G18" i="7"/>
  <c r="I78" i="7"/>
  <c r="H67" i="7"/>
  <c r="G51" i="7"/>
  <c r="G43" i="7"/>
  <c r="S64" i="8"/>
  <c r="S63" i="8"/>
  <c r="S62" i="8"/>
  <c r="E51" i="7"/>
  <c r="N12" i="8"/>
  <c r="N10" i="8"/>
  <c r="N8" i="8"/>
  <c r="N6" i="8"/>
  <c r="C31"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ese-veda04</author>
    <author>Amit</author>
    <author>lorned</author>
  </authors>
  <commentList>
    <comment ref="M2" authorId="0" shapeId="0" xr:uid="{00000000-0006-0000-0000-000001000000}">
      <text>
        <r>
          <rPr>
            <b/>
            <sz val="8"/>
            <color indexed="81"/>
            <rFont val="Tahoma"/>
            <family val="2"/>
          </rPr>
          <t>Amit Kanudia:</t>
        </r>
        <r>
          <rPr>
            <sz val="8"/>
            <color indexed="81"/>
            <rFont val="Tahoma"/>
            <family val="2"/>
          </rPr>
          <t xml:space="preserve">
Converting the PJ potentials into kt
</t>
        </r>
      </text>
    </comment>
    <comment ref="M19" authorId="1" shapeId="0" xr:uid="{00000000-0006-0000-0000-000002000000}">
      <text>
        <r>
          <rPr>
            <b/>
            <sz val="9"/>
            <color indexed="81"/>
            <rFont val="Tahoma"/>
            <family val="2"/>
          </rPr>
          <t>ese-veda04:</t>
        </r>
        <r>
          <rPr>
            <sz val="9"/>
            <color indexed="81"/>
            <rFont val="Tahoma"/>
            <family val="2"/>
          </rPr>
          <t xml:space="preserve">
Confirmed with Pelin Bolat that the used H2 is gaseous
RDM: new name (New Hydrogen chain)</t>
        </r>
      </text>
    </comment>
    <comment ref="O20" authorId="0" shapeId="0" xr:uid="{00000000-0006-0000-0000-000003000000}">
      <text>
        <r>
          <rPr>
            <b/>
            <sz val="8"/>
            <color indexed="81"/>
            <rFont val="Tahoma"/>
            <family val="2"/>
          </rPr>
          <t>Amit Kanudia:</t>
        </r>
        <r>
          <rPr>
            <sz val="8"/>
            <color indexed="81"/>
            <rFont val="Tahoma"/>
            <family val="2"/>
          </rPr>
          <t xml:space="preserve">
20-04-2011
Exp prices removed; FAME cheaper than feedstock!
</t>
        </r>
      </text>
    </comment>
    <comment ref="B27" authorId="1" shapeId="0" xr:uid="{00000000-0006-0000-0000-00000E000000}">
      <text>
        <r>
          <rPr>
            <b/>
            <sz val="9"/>
            <color indexed="81"/>
            <rFont val="Tahoma"/>
            <family val="2"/>
          </rPr>
          <t>ese-veda04:</t>
        </r>
        <r>
          <rPr>
            <sz val="9"/>
            <color indexed="81"/>
            <rFont val="Tahoma"/>
            <family val="2"/>
          </rPr>
          <t xml:space="preserve">
Before IMP</t>
        </r>
      </text>
    </comment>
    <comment ref="C27" authorId="1" shapeId="0" xr:uid="{00000000-0006-0000-0000-00000F000000}">
      <text>
        <r>
          <rPr>
            <b/>
            <sz val="9"/>
            <color indexed="81"/>
            <rFont val="Tahoma"/>
            <family val="2"/>
          </rPr>
          <t>ese-veda04:</t>
        </r>
        <r>
          <rPr>
            <sz val="9"/>
            <color indexed="81"/>
            <rFont val="Tahoma"/>
            <family val="2"/>
          </rPr>
          <t xml:space="preserve">
Before IMPH2</t>
        </r>
      </text>
    </comment>
    <comment ref="D27" authorId="1" shapeId="0" xr:uid="{00000000-0006-0000-0000-000010000000}">
      <text>
        <r>
          <rPr>
            <b/>
            <sz val="9"/>
            <color indexed="81"/>
            <rFont val="Tahoma"/>
            <family val="2"/>
          </rPr>
          <t>ese-veda04:</t>
        </r>
        <r>
          <rPr>
            <sz val="9"/>
            <color indexed="81"/>
            <rFont val="Tahoma"/>
            <family val="2"/>
          </rPr>
          <t xml:space="preserve">
Before Import of H2</t>
        </r>
      </text>
    </comment>
    <comment ref="E27" authorId="1" shapeId="0" xr:uid="{00000000-0006-0000-0000-000011000000}">
      <text>
        <r>
          <rPr>
            <b/>
            <sz val="9"/>
            <color indexed="81"/>
            <rFont val="Tahoma"/>
            <family val="2"/>
          </rPr>
          <t>ese-veda04:</t>
        </r>
        <r>
          <rPr>
            <sz val="9"/>
            <color indexed="81"/>
            <rFont val="Tahoma"/>
            <family val="2"/>
          </rPr>
          <t xml:space="preserve">
Before kt</t>
        </r>
      </text>
    </comment>
    <comment ref="O29" authorId="0" shapeId="0" xr:uid="{00000000-0006-0000-0000-000007000000}">
      <text>
        <r>
          <rPr>
            <b/>
            <sz val="8"/>
            <color indexed="81"/>
            <rFont val="Tahoma"/>
            <family val="2"/>
          </rPr>
          <t>Amit Kanudia:</t>
        </r>
        <r>
          <rPr>
            <sz val="8"/>
            <color indexed="81"/>
            <rFont val="Tahoma"/>
            <family val="2"/>
          </rPr>
          <t xml:space="preserve">
2/6/2014
m$/t
</t>
        </r>
      </text>
    </comment>
    <comment ref="N31" authorId="0" shapeId="0" xr:uid="{00000000-0006-0000-0000-000008000000}">
      <text>
        <r>
          <rPr>
            <b/>
            <sz val="8"/>
            <color indexed="81"/>
            <rFont val="Tahoma"/>
            <family val="2"/>
          </rPr>
          <t>Amit Kanudia:</t>
        </r>
        <r>
          <rPr>
            <sz val="8"/>
            <color indexed="81"/>
            <rFont val="Tahoma"/>
            <family val="2"/>
          </rPr>
          <t xml:space="preserve">
8/5/2012
only in the beginning..</t>
        </r>
      </text>
    </comment>
    <comment ref="P31" authorId="2" shapeId="0" xr:uid="{00000000-0006-0000-0000-000009000000}">
      <text>
        <r>
          <rPr>
            <b/>
            <sz val="8"/>
            <color indexed="81"/>
            <rFont val="Tahoma"/>
            <family val="2"/>
          </rPr>
          <t>Amit:</t>
        </r>
        <r>
          <rPr>
            <sz val="8"/>
            <color indexed="81"/>
            <rFont val="Tahoma"/>
            <family val="2"/>
          </rPr>
          <t xml:space="preserve">
8/12/2012
trying to suppress a huge import in 2015… to be investigated
</t>
        </r>
      </text>
    </comment>
    <comment ref="N32" authorId="0" shapeId="0" xr:uid="{00000000-0006-0000-0000-00000A000000}">
      <text>
        <r>
          <rPr>
            <b/>
            <sz val="8"/>
            <color indexed="81"/>
            <rFont val="Tahoma"/>
            <family val="2"/>
          </rPr>
          <t>Amit Kanudia:</t>
        </r>
        <r>
          <rPr>
            <sz val="8"/>
            <color indexed="81"/>
            <rFont val="Tahoma"/>
            <family val="2"/>
          </rPr>
          <t xml:space="preserve">
19-04-2011
Adding this to address infeas on production part of NREAP. Making it unattractive… should be checked like dummies
</t>
        </r>
      </text>
    </comment>
    <comment ref="O38" authorId="0" shapeId="0" xr:uid="{00000000-0006-0000-0000-00000B000000}">
      <text>
        <r>
          <rPr>
            <b/>
            <sz val="8"/>
            <color indexed="81"/>
            <rFont val="Tahoma"/>
            <family val="2"/>
          </rPr>
          <t>Amit Kanudia:</t>
        </r>
        <r>
          <rPr>
            <sz val="8"/>
            <color indexed="81"/>
            <rFont val="Tahoma"/>
            <family val="2"/>
          </rPr>
          <t xml:space="preserve">
20-04-2011
Exp prices removed; FAME cheaper than feedstock!
</t>
        </r>
      </text>
    </comment>
    <comment ref="E46" authorId="0" shapeId="0" xr:uid="{00000000-0006-0000-0000-000004000000}">
      <text>
        <r>
          <rPr>
            <b/>
            <sz val="8"/>
            <color indexed="81"/>
            <rFont val="Tahoma"/>
            <family val="2"/>
          </rPr>
          <t>Amit Kanudia:</t>
        </r>
        <r>
          <rPr>
            <sz val="8"/>
            <color indexed="81"/>
            <rFont val="Tahoma"/>
            <family val="2"/>
          </rPr>
          <t xml:space="preserve">
2/6/2014
scaling issues
</t>
        </r>
      </text>
    </comment>
    <comment ref="B51" authorId="1" shapeId="0" xr:uid="{00000000-0006-0000-0000-000005000000}">
      <text>
        <r>
          <rPr>
            <b/>
            <sz val="9"/>
            <color indexed="81"/>
            <rFont val="Tahoma"/>
            <family val="2"/>
          </rPr>
          <t>ese-veda04:</t>
        </r>
        <r>
          <rPr>
            <sz val="9"/>
            <color indexed="81"/>
            <rFont val="Tahoma"/>
            <family val="2"/>
          </rPr>
          <t xml:space="preserve">
Before MAT</t>
        </r>
      </text>
    </comment>
    <comment ref="E51" authorId="1" shapeId="0" xr:uid="{00000000-0006-0000-0000-000006000000}">
      <text>
        <r>
          <rPr>
            <b/>
            <sz val="9"/>
            <color indexed="81"/>
            <rFont val="Tahoma"/>
            <family val="2"/>
          </rPr>
          <t>ese-veda04:</t>
        </r>
        <r>
          <rPr>
            <sz val="9"/>
            <color indexed="81"/>
            <rFont val="Tahoma"/>
            <family val="2"/>
          </rPr>
          <t xml:space="preserve">
Before kt but we added conversion factor in SUP_Gen1</t>
        </r>
      </text>
    </comment>
    <comment ref="O52" authorId="0" shapeId="0" xr:uid="{00000000-0006-0000-0000-00000C000000}">
      <text>
        <r>
          <rPr>
            <b/>
            <sz val="8"/>
            <color indexed="81"/>
            <rFont val="Tahoma"/>
            <family val="2"/>
          </rPr>
          <t>Amit Kanudia:</t>
        </r>
        <r>
          <rPr>
            <sz val="8"/>
            <color indexed="81"/>
            <rFont val="Tahoma"/>
            <family val="2"/>
          </rPr>
          <t xml:space="preserve">
20-04-2011
Exp prices removed; FAME cheaper than feedstock!
</t>
        </r>
      </text>
    </comment>
    <comment ref="O56" authorId="3" shapeId="0" xr:uid="{00000000-0006-0000-0000-00000D000000}">
      <text>
        <r>
          <rPr>
            <b/>
            <sz val="8"/>
            <color indexed="81"/>
            <rFont val="Tahoma"/>
            <family val="2"/>
          </rPr>
          <t>lorned:</t>
        </r>
        <r>
          <rPr>
            <sz val="8"/>
            <color indexed="81"/>
            <rFont val="Tahoma"/>
            <family val="2"/>
          </rPr>
          <t xml:space="preserve">
0.59 € par tonne d'ETBE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Johanna Markkanen</author>
    <author>Amit Kanudia</author>
    <author>ese-veda04</author>
  </authors>
  <commentList>
    <comment ref="H32" authorId="0" shapeId="0" xr:uid="{5DC0368E-7F25-4940-862C-BF469FD004B4}">
      <text>
        <r>
          <rPr>
            <b/>
            <sz val="9"/>
            <color indexed="81"/>
            <rFont val="Tahoma"/>
            <family val="2"/>
          </rPr>
          <t>Johanna Markkanen:</t>
        </r>
        <r>
          <rPr>
            <sz val="9"/>
            <color indexed="81"/>
            <rFont val="Tahoma"/>
            <family val="2"/>
          </rPr>
          <t xml:space="preserve">
kt</t>
        </r>
      </text>
    </comment>
    <comment ref="F33" authorId="0" shapeId="0" xr:uid="{3977E88B-8AEE-4630-A47C-422DA5287ECB}">
      <text>
        <r>
          <rPr>
            <b/>
            <sz val="9"/>
            <color indexed="81"/>
            <rFont val="Tahoma"/>
            <family val="2"/>
          </rPr>
          <t>Johanna Markkanen:</t>
        </r>
        <r>
          <rPr>
            <sz val="9"/>
            <color indexed="81"/>
            <rFont val="Tahoma"/>
            <family val="2"/>
          </rPr>
          <t xml:space="preserve">
collect production of non-adv biofuels, in PJ
</t>
        </r>
      </text>
    </comment>
    <comment ref="H33" authorId="0" shapeId="0" xr:uid="{33485D95-87B9-47BD-93BA-ED98A91201B9}">
      <text>
        <r>
          <rPr>
            <b/>
            <sz val="9"/>
            <color indexed="81"/>
            <rFont val="Tahoma"/>
            <family val="2"/>
          </rPr>
          <t>Johanna Markkanen:</t>
        </r>
        <r>
          <rPr>
            <sz val="9"/>
            <color indexed="81"/>
            <rFont val="Tahoma"/>
            <family val="2"/>
          </rPr>
          <t xml:space="preserve">
PJ</t>
        </r>
      </text>
    </comment>
    <comment ref="H46" authorId="0" shapeId="0" xr:uid="{A1080978-6A21-4813-AB0A-2E27F9511090}">
      <text>
        <r>
          <rPr>
            <b/>
            <sz val="9"/>
            <color indexed="81"/>
            <rFont val="Tahoma"/>
            <family val="2"/>
          </rPr>
          <t>Johanna Markkanen:</t>
        </r>
        <r>
          <rPr>
            <sz val="9"/>
            <color indexed="81"/>
            <rFont val="Tahoma"/>
            <family val="2"/>
          </rPr>
          <t xml:space="preserve">
kt</t>
        </r>
      </text>
    </comment>
    <comment ref="F47" authorId="0" shapeId="0" xr:uid="{47E6B69F-E444-4C1F-8F56-CF069FE335AF}">
      <text>
        <r>
          <rPr>
            <b/>
            <sz val="9"/>
            <color indexed="81"/>
            <rFont val="Tahoma"/>
            <family val="2"/>
          </rPr>
          <t>Johanna Markkanen:</t>
        </r>
        <r>
          <rPr>
            <sz val="9"/>
            <color indexed="81"/>
            <rFont val="Tahoma"/>
            <family val="2"/>
          </rPr>
          <t xml:space="preserve">
collect production of non-adv biofuels, in PJ
</t>
        </r>
      </text>
    </comment>
    <comment ref="H47" authorId="0" shapeId="0" xr:uid="{32398258-6F91-4DBA-85AD-C1295D592490}">
      <text>
        <r>
          <rPr>
            <b/>
            <sz val="9"/>
            <color indexed="81"/>
            <rFont val="Tahoma"/>
            <family val="2"/>
          </rPr>
          <t>Johanna Markkanen:</t>
        </r>
        <r>
          <rPr>
            <sz val="9"/>
            <color indexed="81"/>
            <rFont val="Tahoma"/>
            <family val="2"/>
          </rPr>
          <t xml:space="preserve">
PJ</t>
        </r>
      </text>
    </comment>
    <comment ref="G53" authorId="1" shapeId="0" xr:uid="{00000000-0006-0000-0100-000001000000}">
      <text>
        <r>
          <rPr>
            <b/>
            <sz val="8"/>
            <color indexed="81"/>
            <rFont val="Tahoma"/>
            <family val="2"/>
          </rPr>
          <t>Amit Kanudia:</t>
        </r>
        <r>
          <rPr>
            <sz val="8"/>
            <color indexed="81"/>
            <rFont val="Tahoma"/>
            <family val="2"/>
          </rPr>
          <t xml:space="preserve">
2/6/2014
changed to t from kt</t>
        </r>
      </text>
    </comment>
    <comment ref="H65" authorId="1" shapeId="0" xr:uid="{00000000-0006-0000-0100-000002000000}">
      <text>
        <r>
          <rPr>
            <b/>
            <sz val="8"/>
            <color indexed="81"/>
            <rFont val="Tahoma"/>
            <family val="2"/>
          </rPr>
          <t>Amit Kanudia:</t>
        </r>
        <r>
          <rPr>
            <sz val="8"/>
            <color indexed="81"/>
            <rFont val="Tahoma"/>
            <family val="2"/>
          </rPr>
          <t xml:space="preserve">
06-04-2011
Changed units to kg to avoid scaling issues</t>
        </r>
      </text>
    </comment>
    <comment ref="I80" authorId="2" shapeId="0" xr:uid="{00000000-0006-0000-0100-000003000000}">
      <text>
        <r>
          <rPr>
            <b/>
            <sz val="9"/>
            <color indexed="81"/>
            <rFont val="Tahoma"/>
            <family val="2"/>
          </rPr>
          <t>ese-veda04:</t>
        </r>
        <r>
          <rPr>
            <sz val="9"/>
            <color indexed="81"/>
            <rFont val="Tahoma"/>
            <family val="2"/>
          </rPr>
          <t xml:space="preserve">
Although other inputs of this process are in kt, here we corrected to PJ because we want this commodity to be supplied also by SYNH2G. Before BRF2 was only supplied via H2 import which is clearly wrong.
SSimoes and WNijs 07/10/2013</t>
        </r>
      </text>
    </comment>
    <comment ref="J82" authorId="0" shapeId="0" xr:uid="{62DE2189-AF85-4992-B340-6B95DB02CF0D}">
      <text>
        <r>
          <rPr>
            <b/>
            <sz val="9"/>
            <color indexed="81"/>
            <rFont val="Tahoma"/>
            <family val="2"/>
          </rPr>
          <t>Johanna Markkanen:</t>
        </r>
        <r>
          <rPr>
            <sz val="9"/>
            <color indexed="81"/>
            <rFont val="Tahoma"/>
            <family val="2"/>
          </rPr>
          <t xml:space="preserve">
kt</t>
        </r>
      </text>
    </comment>
    <comment ref="G83" authorId="0" shapeId="0" xr:uid="{FFB14C62-A810-493C-9FA8-BAA5D88A500D}">
      <text>
        <r>
          <rPr>
            <b/>
            <sz val="9"/>
            <color indexed="81"/>
            <rFont val="Tahoma"/>
            <family val="2"/>
          </rPr>
          <t>Johanna Markkanen:</t>
        </r>
        <r>
          <rPr>
            <sz val="9"/>
            <color indexed="81"/>
            <rFont val="Tahoma"/>
            <family val="2"/>
          </rPr>
          <t xml:space="preserve">
collect production of non-adv biofuels, in PJ
</t>
        </r>
      </text>
    </comment>
    <comment ref="J83" authorId="0" shapeId="0" xr:uid="{64C693AA-FF41-4DC7-91FB-EE4A569ECC71}">
      <text>
        <r>
          <rPr>
            <b/>
            <sz val="9"/>
            <color indexed="81"/>
            <rFont val="Tahoma"/>
            <family val="2"/>
          </rPr>
          <t>Johanna Markkanen:</t>
        </r>
        <r>
          <rPr>
            <sz val="9"/>
            <color indexed="81"/>
            <rFont val="Tahoma"/>
            <family val="2"/>
          </rPr>
          <t xml:space="preserve">
PJ</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E27" authorId="0" shapeId="0" xr:uid="{00000000-0006-0000-0200-000001000000}">
      <text>
        <r>
          <rPr>
            <b/>
            <sz val="8"/>
            <color indexed="81"/>
            <rFont val="Tahoma"/>
            <family val="2"/>
          </rPr>
          <t>Amit Kanudia:</t>
        </r>
        <r>
          <rPr>
            <sz val="8"/>
            <color indexed="81"/>
            <rFont val="Tahoma"/>
            <family val="2"/>
          </rPr>
          <t xml:space="preserve">
21-04-2011
changed from BIONAP
</t>
        </r>
      </text>
    </comment>
    <comment ref="G27" authorId="0" shapeId="0" xr:uid="{00000000-0006-0000-0200-000002000000}">
      <text>
        <r>
          <rPr>
            <b/>
            <sz val="8"/>
            <color indexed="81"/>
            <rFont val="Tahoma"/>
            <family val="2"/>
          </rPr>
          <t>Amit Kanudia:</t>
        </r>
        <r>
          <rPr>
            <sz val="8"/>
            <color indexed="81"/>
            <rFont val="Tahoma"/>
            <family val="2"/>
          </rPr>
          <t xml:space="preserve">
21-04-2011
kt to PJ (@44MJ/kg)</t>
        </r>
      </text>
    </comment>
    <comment ref="E54" authorId="0" shapeId="0" xr:uid="{00000000-0006-0000-0200-000003000000}">
      <text>
        <r>
          <rPr>
            <b/>
            <sz val="8"/>
            <color indexed="81"/>
            <rFont val="Tahoma"/>
            <family val="2"/>
          </rPr>
          <t>Amit Kanudia:</t>
        </r>
        <r>
          <rPr>
            <sz val="8"/>
            <color indexed="81"/>
            <rFont val="Tahoma"/>
            <family val="2"/>
          </rPr>
          <t xml:space="preserve">
21-04-2011
changed from BIONAP
</t>
        </r>
      </text>
    </comment>
    <comment ref="G54" authorId="0" shapeId="0" xr:uid="{00000000-0006-0000-0200-000004000000}">
      <text>
        <r>
          <rPr>
            <b/>
            <sz val="8"/>
            <color indexed="81"/>
            <rFont val="Tahoma"/>
            <family val="2"/>
          </rPr>
          <t>Amit Kanudia:</t>
        </r>
        <r>
          <rPr>
            <sz val="8"/>
            <color indexed="81"/>
            <rFont val="Tahoma"/>
            <family val="2"/>
          </rPr>
          <t xml:space="preserve">
21-04-2011
kt to PJ (@44MJ/kg)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Johanna Markkanen</author>
    <author>lorned</author>
  </authors>
  <commentList>
    <comment ref="H38" authorId="0" shapeId="0" xr:uid="{E6A44DE8-7177-4ADA-AEF9-C0BA120AD5AB}">
      <text>
        <r>
          <rPr>
            <b/>
            <sz val="9"/>
            <color indexed="81"/>
            <rFont val="Tahoma"/>
            <family val="2"/>
          </rPr>
          <t>Johanna Markkanen:</t>
        </r>
        <r>
          <rPr>
            <sz val="9"/>
            <color indexed="81"/>
            <rFont val="Tahoma"/>
            <family val="2"/>
          </rPr>
          <t xml:space="preserve">
Limit non-advanced biofuel portion to 7%</t>
        </r>
      </text>
    </comment>
    <comment ref="H39" authorId="0" shapeId="0" xr:uid="{AC19E10D-644A-4619-B867-1FC1EEB95655}">
      <text>
        <r>
          <rPr>
            <b/>
            <sz val="9"/>
            <color indexed="81"/>
            <rFont val="Tahoma"/>
            <family val="2"/>
          </rPr>
          <t>Johanna Markkanen:</t>
        </r>
        <r>
          <rPr>
            <sz val="9"/>
            <color indexed="81"/>
            <rFont val="Tahoma"/>
            <family val="2"/>
          </rPr>
          <t xml:space="preserve">
Limit non-advanced biofuel portion to 7%</t>
        </r>
      </text>
    </comment>
    <comment ref="L42" authorId="0" shapeId="0" xr:uid="{CE0619CC-5608-4544-B34F-44A615E4ED19}">
      <text>
        <r>
          <rPr>
            <b/>
            <sz val="9"/>
            <color indexed="81"/>
            <rFont val="Tahoma"/>
            <family val="2"/>
          </rPr>
          <t>Johanna Markkanen:</t>
        </r>
        <r>
          <rPr>
            <sz val="9"/>
            <color indexed="81"/>
            <rFont val="Tahoma"/>
            <family val="2"/>
          </rPr>
          <t xml:space="preserve">
Added +2% for flexibility
</t>
        </r>
      </text>
    </comment>
    <comment ref="M46" authorId="0" shapeId="0" xr:uid="{B3A0611A-F68F-4688-B671-8ABD6C210337}">
      <text>
        <r>
          <rPr>
            <b/>
            <sz val="9"/>
            <color indexed="81"/>
            <rFont val="Tahoma"/>
            <family val="2"/>
          </rPr>
          <t>Johanna Markkanen:</t>
        </r>
        <r>
          <rPr>
            <sz val="9"/>
            <color indexed="81"/>
            <rFont val="Tahoma"/>
            <family val="2"/>
          </rPr>
          <t xml:space="preserve">
Assumption: 2% is the minimum until 2050. however, we should allow somewhat more, but not too much because the model makes otherwise too much RFNBOs. </t>
        </r>
      </text>
    </comment>
    <comment ref="M49" authorId="0" shapeId="0" xr:uid="{F9DE005C-3374-4FF8-A7E2-624D516E4F9F}">
      <text>
        <r>
          <rPr>
            <b/>
            <sz val="9"/>
            <color indexed="81"/>
            <rFont val="Tahoma"/>
            <family val="2"/>
          </rPr>
          <t>Johanna Markkanen:</t>
        </r>
        <r>
          <rPr>
            <sz val="9"/>
            <color indexed="81"/>
            <rFont val="Tahoma"/>
            <family val="2"/>
          </rPr>
          <t xml:space="preserve">
Assumption: 2% is the minimum until 2050. however, we should allow somewhat more, but not too much because the model makes otherwise too much RFNBOs. </t>
        </r>
      </text>
    </comment>
    <comment ref="M50" authorId="0" shapeId="0" xr:uid="{4B90C2FD-2EF9-4853-885E-E06F7E9A1EBD}">
      <text>
        <r>
          <rPr>
            <b/>
            <sz val="9"/>
            <color indexed="81"/>
            <rFont val="Tahoma"/>
            <family val="2"/>
          </rPr>
          <t>Johanna Markkanen:</t>
        </r>
        <r>
          <rPr>
            <sz val="9"/>
            <color indexed="81"/>
            <rFont val="Tahoma"/>
            <family val="2"/>
          </rPr>
          <t xml:space="preserve">
Assumption: Based on required GHG intensity reductions in ReFuelEU Maritime; however, this applies to all energy used onboard ships, not just fuel. Therefore, -5% flexibility added</t>
        </r>
      </text>
    </comment>
    <comment ref="K52" authorId="0" shapeId="0" xr:uid="{4BA54C03-5557-4FAB-8A7D-371EC971F798}">
      <text>
        <r>
          <rPr>
            <b/>
            <sz val="9"/>
            <color indexed="81"/>
            <rFont val="Tahoma"/>
            <family val="2"/>
          </rPr>
          <t>Johanna Markkanen:</t>
        </r>
        <r>
          <rPr>
            <sz val="9"/>
            <color indexed="81"/>
            <rFont val="Tahoma"/>
            <family val="2"/>
          </rPr>
          <t xml:space="preserve">
7% upper cap for biofuels from oil crops</t>
        </r>
      </text>
    </comment>
    <comment ref="K54" authorId="0" shapeId="0" xr:uid="{B0CAA1C9-311E-4D10-8B20-511725ABC949}">
      <text>
        <r>
          <rPr>
            <b/>
            <sz val="9"/>
            <color indexed="81"/>
            <rFont val="Tahoma"/>
            <family val="2"/>
          </rPr>
          <t>Johanna Markkanen:</t>
        </r>
        <r>
          <rPr>
            <sz val="9"/>
            <color indexed="81"/>
            <rFont val="Tahoma"/>
            <family val="2"/>
          </rPr>
          <t xml:space="preserve">
assumption</t>
        </r>
      </text>
    </comment>
    <comment ref="P54" authorId="0" shapeId="0" xr:uid="{887ABAAD-4D98-49F6-AE5C-4B7E64FCC88F}">
      <text>
        <r>
          <rPr>
            <b/>
            <sz val="9"/>
            <color indexed="81"/>
            <rFont val="Tahoma"/>
            <family val="2"/>
          </rPr>
          <t>Johanna Markkanen:</t>
        </r>
        <r>
          <rPr>
            <sz val="9"/>
            <color indexed="81"/>
            <rFont val="Tahoma"/>
            <family val="2"/>
          </rPr>
          <t xml:space="preserve">
assumption, not based on anything</t>
        </r>
      </text>
    </comment>
    <comment ref="L60" authorId="0" shapeId="0" xr:uid="{1C61F260-831F-4E14-A583-EB7CBF439D68}">
      <text>
        <r>
          <rPr>
            <b/>
            <sz val="9"/>
            <color indexed="81"/>
            <rFont val="Tahoma"/>
            <family val="2"/>
          </rPr>
          <t>Johanna Markkanen:</t>
        </r>
        <r>
          <rPr>
            <sz val="9"/>
            <color indexed="81"/>
            <rFont val="Tahoma"/>
            <family val="2"/>
          </rPr>
          <t xml:space="preserve">
Energy content counted as double</t>
        </r>
      </text>
    </comment>
    <comment ref="B142" authorId="1" shapeId="0" xr:uid="{00000000-0006-0000-0300-000003000000}">
      <text>
        <r>
          <rPr>
            <b/>
            <sz val="8"/>
            <color indexed="81"/>
            <rFont val="Tahoma"/>
            <family val="2"/>
          </rPr>
          <t>lorned:</t>
        </r>
        <r>
          <rPr>
            <sz val="8"/>
            <color indexed="81"/>
            <rFont val="Tahoma"/>
            <family val="2"/>
          </rPr>
          <t xml:space="preserve">
mini 4% vol EMHV</t>
        </r>
      </text>
    </comment>
    <comment ref="B149" authorId="1" shapeId="0" xr:uid="{00000000-0006-0000-0300-000004000000}">
      <text>
        <r>
          <rPr>
            <b/>
            <sz val="8"/>
            <color indexed="81"/>
            <rFont val="Tahoma"/>
            <family val="2"/>
          </rPr>
          <t>lorned:</t>
        </r>
        <r>
          <rPr>
            <sz val="8"/>
            <color indexed="81"/>
            <rFont val="Tahoma"/>
            <family val="2"/>
          </rPr>
          <t xml:space="preserve">
mini 7,5% vol ETBE</t>
        </r>
      </text>
    </comment>
    <comment ref="B150" authorId="1" shapeId="0" xr:uid="{00000000-0006-0000-0300-000005000000}">
      <text>
        <r>
          <rPr>
            <b/>
            <sz val="8"/>
            <color indexed="81"/>
            <rFont val="Tahoma"/>
            <family val="2"/>
          </rPr>
          <t>lorned:</t>
        </r>
        <r>
          <rPr>
            <sz val="8"/>
            <color indexed="81"/>
            <rFont val="Tahoma"/>
            <family val="2"/>
          </rPr>
          <t xml:space="preserve">
mini 0,4% vol ETOH Pur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lorned</author>
  </authors>
  <commentList>
    <comment ref="B75" authorId="0" shapeId="0" xr:uid="{00000000-0006-0000-0400-000001000000}">
      <text>
        <r>
          <rPr>
            <b/>
            <sz val="8"/>
            <color indexed="81"/>
            <rFont val="Tahoma"/>
            <family val="2"/>
          </rPr>
          <t>lorned:</t>
        </r>
        <r>
          <rPr>
            <sz val="8"/>
            <color indexed="81"/>
            <rFont val="Tahoma"/>
            <family val="2"/>
          </rPr>
          <t xml:space="preserve">
mini 4% vol EMHV</t>
        </r>
      </text>
    </comment>
    <comment ref="B82" authorId="0" shapeId="0" xr:uid="{00000000-0006-0000-0400-000002000000}">
      <text>
        <r>
          <rPr>
            <b/>
            <sz val="8"/>
            <color indexed="81"/>
            <rFont val="Tahoma"/>
            <family val="2"/>
          </rPr>
          <t>lorned:</t>
        </r>
        <r>
          <rPr>
            <sz val="8"/>
            <color indexed="81"/>
            <rFont val="Tahoma"/>
            <family val="2"/>
          </rPr>
          <t xml:space="preserve">
mini 7,5% vol ETBE</t>
        </r>
      </text>
    </comment>
    <comment ref="B83" authorId="0" shapeId="0" xr:uid="{00000000-0006-0000-0400-000003000000}">
      <text>
        <r>
          <rPr>
            <b/>
            <sz val="8"/>
            <color indexed="81"/>
            <rFont val="Tahoma"/>
            <family val="2"/>
          </rPr>
          <t>lorned:</t>
        </r>
        <r>
          <rPr>
            <sz val="8"/>
            <color indexed="81"/>
            <rFont val="Tahoma"/>
            <family val="2"/>
          </rPr>
          <t xml:space="preserve">
mini 0,4% vol ETOH Pur</t>
        </r>
      </text>
    </comment>
  </commentList>
</comments>
</file>

<file path=xl/sharedStrings.xml><?xml version="1.0" encoding="utf-8"?>
<sst xmlns="http://schemas.openxmlformats.org/spreadsheetml/2006/main" count="1241" uniqueCount="453">
  <si>
    <t>TechName</t>
  </si>
  <si>
    <t>TechDesc</t>
  </si>
  <si>
    <t>Comm-IN</t>
  </si>
  <si>
    <t>Comm-OUT</t>
  </si>
  <si>
    <t>Life</t>
  </si>
  <si>
    <t>FIXOM</t>
  </si>
  <si>
    <t>CommName</t>
  </si>
  <si>
    <t>Csets</t>
  </si>
  <si>
    <t>CommDesc</t>
  </si>
  <si>
    <t>Unit</t>
  </si>
  <si>
    <t>LimType</t>
  </si>
  <si>
    <t>CTSLvl</t>
  </si>
  <si>
    <t>PeakTS</t>
  </si>
  <si>
    <t>Ctype</t>
  </si>
  <si>
    <t>START</t>
  </si>
  <si>
    <t>Sets</t>
  </si>
  <si>
    <t>EFF</t>
  </si>
  <si>
    <t>~FI_Process</t>
  </si>
  <si>
    <t>Tact</t>
  </si>
  <si>
    <t>Tcap</t>
  </si>
  <si>
    <t>Tslvl</t>
  </si>
  <si>
    <t>PrimaryCG</t>
  </si>
  <si>
    <t>Vintage</t>
  </si>
  <si>
    <t>Input</t>
  </si>
  <si>
    <t>Output</t>
  </si>
  <si>
    <t>VAROM</t>
  </si>
  <si>
    <t>NRG</t>
  </si>
  <si>
    <t>RAGOILFS</t>
  </si>
  <si>
    <t>Agriculture resources oilseeds</t>
  </si>
  <si>
    <t>kt</t>
  </si>
  <si>
    <t>MAT</t>
  </si>
  <si>
    <t>RAGCAKE</t>
  </si>
  <si>
    <t>Agriculture by-product cake from crushing</t>
  </si>
  <si>
    <t>BIOOILFS</t>
  </si>
  <si>
    <t>Vegetable oil feedstocks from crushing unit</t>
  </si>
  <si>
    <t>BRFHTH</t>
  </si>
  <si>
    <t>Vapor input for biofuel process</t>
  </si>
  <si>
    <t>BRFWAT</t>
  </si>
  <si>
    <t>Water input for biofuel process</t>
  </si>
  <si>
    <t>BRFCA1</t>
  </si>
  <si>
    <t>Other non energetic inputs for esterfipH</t>
  </si>
  <si>
    <t>BRFCA2</t>
  </si>
  <si>
    <t>Other non energetic inputs for esterfip</t>
  </si>
  <si>
    <t>BIOEMHV</t>
  </si>
  <si>
    <t>BIOGLY1</t>
  </si>
  <si>
    <t>Glycerine by-product from esterfipH</t>
  </si>
  <si>
    <t>BIOGLY2</t>
  </si>
  <si>
    <t>Glycerine by-product from esterfip</t>
  </si>
  <si>
    <t>BIOSAP</t>
  </si>
  <si>
    <t>Saponified fatty acids by-product from esterfip</t>
  </si>
  <si>
    <t>BIOSTAFS</t>
  </si>
  <si>
    <t>Starch grain feedstocks</t>
  </si>
  <si>
    <t>BRFEZ1</t>
  </si>
  <si>
    <t>Other non energetic inputs for ethamido</t>
  </si>
  <si>
    <t>BIOETHA</t>
  </si>
  <si>
    <t>BIODDGS</t>
  </si>
  <si>
    <t>Distillers Grains with Solubles by-product from ethamido</t>
  </si>
  <si>
    <t>BIOSUGFS</t>
  </si>
  <si>
    <t>Sugarbeet feedstocks</t>
  </si>
  <si>
    <t>BRFEZ2</t>
  </si>
  <si>
    <t>Other non energetic inputs for ethsucri-levures</t>
  </si>
  <si>
    <t>BRFEZ3</t>
  </si>
  <si>
    <t>Other non energetic inputs for ethsucri-autres</t>
  </si>
  <si>
    <t>BIOPULP</t>
  </si>
  <si>
    <t>Sugarbeet pulp by-product from ethsucri</t>
  </si>
  <si>
    <t>BIOSTIL</t>
  </si>
  <si>
    <t>Stillage by-product from ethsucri</t>
  </si>
  <si>
    <t>PRE</t>
  </si>
  <si>
    <t>CRUSHING</t>
  </si>
  <si>
    <t>Oilseeds crushing</t>
  </si>
  <si>
    <t>NO</t>
  </si>
  <si>
    <t>Transesterification of vegetable oils</t>
  </si>
  <si>
    <t>YES</t>
  </si>
  <si>
    <t>IMP</t>
  </si>
  <si>
    <t>IMPBRFCA1</t>
  </si>
  <si>
    <t>Import of other non energetic input for esterfipH</t>
  </si>
  <si>
    <t>IMPBRFCA2</t>
  </si>
  <si>
    <t>Import of other non energetic input for esterfip</t>
  </si>
  <si>
    <t>EXP</t>
  </si>
  <si>
    <t>EXPCAKE</t>
  </si>
  <si>
    <t>Export of oilcake from crushing</t>
  </si>
  <si>
    <t>EXPGLY1</t>
  </si>
  <si>
    <t>Export of glycerine from esterfipH</t>
  </si>
  <si>
    <t>EXPGLY2</t>
  </si>
  <si>
    <t>Export of glycerine from esterfip</t>
  </si>
  <si>
    <t>EXPSAP</t>
  </si>
  <si>
    <t>Export of saponified fatty acids from esterfip</t>
  </si>
  <si>
    <t>Ethanol production from starch crops</t>
  </si>
  <si>
    <t>Ethanol production from sugar crops</t>
  </si>
  <si>
    <t>IMPBRFEZ1</t>
  </si>
  <si>
    <t>Import of other non energetic input for ethamido</t>
  </si>
  <si>
    <t>IMPBRFEZ2</t>
  </si>
  <si>
    <t>Import of other non energetic input for ethsucri-levures</t>
  </si>
  <si>
    <t>IMPBRFEZ3</t>
  </si>
  <si>
    <t>Import of other non energetic input for ethsucri-autres</t>
  </si>
  <si>
    <t>EXPDDGS</t>
  </si>
  <si>
    <t>Export of Dried Distillers Grains with Solubles from ethamido</t>
  </si>
  <si>
    <t>EXPSTIL</t>
  </si>
  <si>
    <t>Export of stillage from ethsucri</t>
  </si>
  <si>
    <t>EXPPULP</t>
  </si>
  <si>
    <t>Export of sugarbeete pulp from ethsucri</t>
  </si>
  <si>
    <t>EXPEMHV</t>
  </si>
  <si>
    <t>Export of EMHV</t>
  </si>
  <si>
    <t>IMPBIOOIL</t>
  </si>
  <si>
    <t>Import of vegetable oil for biofuel units</t>
  </si>
  <si>
    <t>COST</t>
  </si>
  <si>
    <t>BNDACT~UP</t>
  </si>
  <si>
    <t>BNDACT~2010~UP</t>
  </si>
  <si>
    <t>\I:</t>
  </si>
  <si>
    <t>M€/kt</t>
  </si>
  <si>
    <t>[PJ]</t>
  </si>
  <si>
    <t>BNDACT~FX</t>
  </si>
  <si>
    <t>BNDACT~2010~FX</t>
  </si>
  <si>
    <t>Export of sugarbeet pulp from ethsucri</t>
  </si>
  <si>
    <t>INPUT</t>
  </si>
  <si>
    <t>OUTPUT</t>
  </si>
  <si>
    <t>LIFE</t>
  </si>
  <si>
    <t>[M€/kt]</t>
  </si>
  <si>
    <t>NCAP_PASTI~2002</t>
  </si>
  <si>
    <t>INVCOST~2010</t>
  </si>
  <si>
    <t>INVCOST~2015</t>
  </si>
  <si>
    <t>INVCOST~2020</t>
  </si>
  <si>
    <t>INVCOST~2025</t>
  </si>
  <si>
    <t>INVCOST~2030</t>
  </si>
  <si>
    <t>BNDACT~LO</t>
  </si>
  <si>
    <t>BNDACT~2010~LO</t>
  </si>
  <si>
    <t>[kt]</t>
  </si>
  <si>
    <t>~FI_T: EUR07</t>
  </si>
  <si>
    <t>NCAP_PASTI~2005</t>
  </si>
  <si>
    <t>PTRAGOIL</t>
  </si>
  <si>
    <t xml:space="preserve">Transport 150km and Blending of oilseed </t>
  </si>
  <si>
    <t>PTBIOSTA</t>
  </si>
  <si>
    <t>Transport 150km and Blending of starch grain</t>
  </si>
  <si>
    <t>PTBIOSUG</t>
  </si>
  <si>
    <t>PTBIOLGC</t>
  </si>
  <si>
    <t>Transport 150km and Blending of lignocellulosic feedstocks</t>
  </si>
  <si>
    <t>PRE,DISTR</t>
  </si>
  <si>
    <t>FLO_COST</t>
  </si>
  <si>
    <t>M€/kt MB</t>
  </si>
  <si>
    <t>BIOLGCFS</t>
  </si>
  <si>
    <t>MJ/kg</t>
  </si>
  <si>
    <t>kt/PJ</t>
  </si>
  <si>
    <t>BRFCA3</t>
  </si>
  <si>
    <t>other non energetic input for HVO</t>
  </si>
  <si>
    <t>BRFH2</t>
  </si>
  <si>
    <t>Hydrogen for biofuel process</t>
  </si>
  <si>
    <t>BIOHVO</t>
  </si>
  <si>
    <t>Hydrotreated vegetable oil</t>
  </si>
  <si>
    <t>BIOPROP</t>
  </si>
  <si>
    <t>Propane by-product from HVO</t>
  </si>
  <si>
    <t>IMPBRFCA3</t>
  </si>
  <si>
    <t>Import of other non energetic input for HVO</t>
  </si>
  <si>
    <t>EXPPROP</t>
  </si>
  <si>
    <t>Export of propane from HVO process</t>
  </si>
  <si>
    <t>M€/Unit</t>
  </si>
  <si>
    <t>BRFEZ4</t>
  </si>
  <si>
    <t>Other non energetic inputs for ethlgc</t>
  </si>
  <si>
    <t>ELCG2BIO</t>
  </si>
  <si>
    <t>Electricity by-product from biofuel processes</t>
  </si>
  <si>
    <t>PJ</t>
  </si>
  <si>
    <t>BRFCO2</t>
  </si>
  <si>
    <t>CO2 by-product from biofuel process</t>
  </si>
  <si>
    <t>BIOBTLFTDSL</t>
  </si>
  <si>
    <t>FT-diesel from lignocellulosic biomass</t>
  </si>
  <si>
    <t>BIONAPHTA</t>
  </si>
  <si>
    <t>Naphta by-product from BTL process</t>
  </si>
  <si>
    <t>Ethanol production from lignocellulosic biomass</t>
  </si>
  <si>
    <t>IMPBRFEZ4</t>
  </si>
  <si>
    <t>Import of Other non energetic inputs for ethlgc</t>
  </si>
  <si>
    <t>EXPCO2</t>
  </si>
  <si>
    <t>Export of CO2 by-product from ethanol G2</t>
  </si>
  <si>
    <t>FT-diesel production from lignocellulosic biomass</t>
  </si>
  <si>
    <t>EXPNAPHTBTL</t>
  </si>
  <si>
    <t>Export of naphta from BTL</t>
  </si>
  <si>
    <t>Years</t>
  </si>
  <si>
    <t>Transport 150km and Blending of sugar crop</t>
  </si>
  <si>
    <t>OILGSL</t>
  </si>
  <si>
    <t>BIOETBE</t>
  </si>
  <si>
    <t>BLDGSLSP95</t>
  </si>
  <si>
    <t>BLDGSLSP95E10</t>
  </si>
  <si>
    <t>Blending of gasoline SP95-E10 fuels</t>
  </si>
  <si>
    <t>BLDGSLE85</t>
  </si>
  <si>
    <t>Blending of gasoline SP95-E85 fuels</t>
  </si>
  <si>
    <t>BLDDSL</t>
  </si>
  <si>
    <t>BLDJET</t>
  </si>
  <si>
    <t>Blending of jet fuels</t>
  </si>
  <si>
    <t>CEFF</t>
  </si>
  <si>
    <t>kg/m3</t>
  </si>
  <si>
    <t>Essence</t>
  </si>
  <si>
    <t>ethanol</t>
  </si>
  <si>
    <t>ETBE</t>
  </si>
  <si>
    <t>Gazole</t>
  </si>
  <si>
    <t>EMHV</t>
  </si>
  <si>
    <t>HVO pour GO</t>
  </si>
  <si>
    <t>Go FT</t>
  </si>
  <si>
    <t>Jet</t>
  </si>
  <si>
    <t>Jet FT</t>
  </si>
  <si>
    <t>HVO pour jet</t>
  </si>
  <si>
    <t>LO</t>
  </si>
  <si>
    <t>OILDST</t>
  </si>
  <si>
    <t>SYNDST</t>
  </si>
  <si>
    <t>TRAGSLSP95</t>
  </si>
  <si>
    <t>TRAGSLSP95E10</t>
  </si>
  <si>
    <t>TRAGSLE85</t>
  </si>
  <si>
    <t>TRADST</t>
  </si>
  <si>
    <t>TRAJTK</t>
  </si>
  <si>
    <t>~FI_T</t>
  </si>
  <si>
    <t>ETBE production</t>
  </si>
  <si>
    <t>ISOBUTYL</t>
  </si>
  <si>
    <t>CATACHEM</t>
  </si>
  <si>
    <t>Isobutylène</t>
  </si>
  <si>
    <t>Catalysts and chemicals for ETBE</t>
  </si>
  <si>
    <t>Ethyl tertio butyl ether from bioethanol</t>
  </si>
  <si>
    <t>SUPELC</t>
  </si>
  <si>
    <t>SUPHTH</t>
  </si>
  <si>
    <t>SUPGAS</t>
  </si>
  <si>
    <t>Comm-IN-A</t>
  </si>
  <si>
    <t>Cap2Act</t>
  </si>
  <si>
    <t>AF</t>
  </si>
  <si>
    <t>*</t>
  </si>
  <si>
    <t>OILKER</t>
  </si>
  <si>
    <t>IMPBRFWAT</t>
  </si>
  <si>
    <t>Import of water for biofuel process</t>
  </si>
  <si>
    <t>OILGSLkt</t>
  </si>
  <si>
    <t>Transesterification of vegetable oils.1GenBiofuel.</t>
  </si>
  <si>
    <t>Ethanol production from starch crops.1GenBiofuel.</t>
  </si>
  <si>
    <t>Ethanol production from sugar crops.1GenBiofuel.</t>
  </si>
  <si>
    <t>Hydrotreated vegetable oil.1GenBiofuel.</t>
  </si>
  <si>
    <t>ETBE production.1GenBiofuel.</t>
  </si>
  <si>
    <t>Ethanol production from lignocellulosic biomass.2GenBiofuel.</t>
  </si>
  <si>
    <t>FT-diesel production from lignocellulosic biomass.2GenBiofuel.</t>
  </si>
  <si>
    <t>BRF1_ETHAMIDO</t>
  </si>
  <si>
    <t>BRF1_ETHSUCRI</t>
  </si>
  <si>
    <t>BRF1_PREETBE</t>
  </si>
  <si>
    <t>BRF1_HVO</t>
  </si>
  <si>
    <t>BRF2_ETHLGC</t>
  </si>
  <si>
    <t>BRF2_BTLFTDSL</t>
  </si>
  <si>
    <t>IMPISOBUT</t>
  </si>
  <si>
    <t>import of isobutylene</t>
  </si>
  <si>
    <t>IMPCATACHEM</t>
  </si>
  <si>
    <t>import of cata and chem for ETBE</t>
  </si>
  <si>
    <t>BRF1_TRANSESTER</t>
  </si>
  <si>
    <t>COST~2030</t>
  </si>
  <si>
    <t>kg</t>
  </si>
  <si>
    <t>IMPBIOSUGFS</t>
  </si>
  <si>
    <t>Import of sugar-based ethanol feedstock (to be reviewed)</t>
  </si>
  <si>
    <t>OILNAP</t>
  </si>
  <si>
    <t>ELCHIG</t>
  </si>
  <si>
    <t>* this deals with the structure to account for biofuel component in final energy consumption</t>
  </si>
  <si>
    <t>TBiofuel-g1</t>
  </si>
  <si>
    <t>TBiofuel-g2</t>
  </si>
  <si>
    <t>MIN</t>
  </si>
  <si>
    <t>AcctTBiofSup</t>
  </si>
  <si>
    <t>Accounting process - supply of accounting commodities</t>
  </si>
  <si>
    <t>PJ-a</t>
  </si>
  <si>
    <t>AcctTBiof-g1</t>
  </si>
  <si>
    <t>Accounting process - FIRST generation biofuels consumption</t>
  </si>
  <si>
    <t>these processes will collect biofuel consumption at the blending stage</t>
  </si>
  <si>
    <t>AcctTBiof-g2</t>
  </si>
  <si>
    <t>Accounting process - SECOND generation biofuels consumption</t>
  </si>
  <si>
    <t>BNDACT~2020~UP</t>
  </si>
  <si>
    <t>BNDACT~0~UP</t>
  </si>
  <si>
    <t>COST~2015</t>
  </si>
  <si>
    <t>H2TOBRF</t>
  </si>
  <si>
    <t>Convert Hydrogen to commodity used for BRF</t>
  </si>
  <si>
    <t>t</t>
  </si>
  <si>
    <t/>
  </si>
  <si>
    <t>OILHFO</t>
  </si>
  <si>
    <t>SYNH2CT</t>
  </si>
  <si>
    <t>Old data for ELCHIG from BRF2_ETHLGC</t>
  </si>
  <si>
    <t>Old data ELCHIG from BRF2_BTLFTDSL</t>
  </si>
  <si>
    <t>MovedToSysSettings</t>
  </si>
  <si>
    <t>BRF2_ETHLGC_CCS</t>
  </si>
  <si>
    <t>Ethanol production from lign. biomass. CCS 2GenBiofuel.</t>
  </si>
  <si>
    <t>BRF2_BTLFTDSL_CCS</t>
  </si>
  <si>
    <t>FT-diesel production from lign biomass. CCS 2GenBiofuel.</t>
  </si>
  <si>
    <t>INVCOST~2014</t>
  </si>
  <si>
    <t>\I:NCAP_COST~2002</t>
  </si>
  <si>
    <t>\I:NCAP_COST~2005</t>
  </si>
  <si>
    <t>TRAHFO00</t>
  </si>
  <si>
    <t>Blending heavy fuel oil</t>
  </si>
  <si>
    <t>TRALFO00</t>
  </si>
  <si>
    <t>Blending light fuel oil</t>
  </si>
  <si>
    <t>TRAHFO</t>
  </si>
  <si>
    <t>TRALFO</t>
  </si>
  <si>
    <t>P2LKER</t>
  </si>
  <si>
    <t>P2LDST</t>
  </si>
  <si>
    <t>P2LGSL</t>
  </si>
  <si>
    <t>SYNDST2SYNKER</t>
  </si>
  <si>
    <t>Convert SYNDST to SYNKER</t>
  </si>
  <si>
    <t>BIOCRP1b</t>
  </si>
  <si>
    <t>BIOCRP1a</t>
  </si>
  <si>
    <t>BIOCRP1c</t>
  </si>
  <si>
    <t>BIOWOOFUEL</t>
  </si>
  <si>
    <t>BLD_RFNBO_JET</t>
  </si>
  <si>
    <t>RFNBOJET</t>
  </si>
  <si>
    <t>BLD_BIO_JET</t>
  </si>
  <si>
    <t>BIOJET</t>
  </si>
  <si>
    <t>BLD_RFNBO_NAV</t>
  </si>
  <si>
    <t>BIONAV</t>
  </si>
  <si>
    <t>BLD_BIO_NAV</t>
  </si>
  <si>
    <t>SYNKER</t>
  </si>
  <si>
    <t>BRF_kt2PJ-BIOFT</t>
  </si>
  <si>
    <t>BRF_kt2PJ-BIOHVO</t>
  </si>
  <si>
    <t>BIOHVOkt</t>
  </si>
  <si>
    <t>BIOBTLFTDSLkt</t>
  </si>
  <si>
    <t>kt to PJ conversion of BIOHVO</t>
  </si>
  <si>
    <t>kt to PJ conversion of BIOBTLFTDSL</t>
  </si>
  <si>
    <t>BIOEMHVkt</t>
  </si>
  <si>
    <t>BRF_kt2PJ-BIOEMHV</t>
  </si>
  <si>
    <t>kt to PJ conversion of BIOEMHV</t>
  </si>
  <si>
    <t>RFNBONAV</t>
  </si>
  <si>
    <t>Blending RFNBO for aviation</t>
  </si>
  <si>
    <t>Blending RFNBO for maritime</t>
  </si>
  <si>
    <t>Blending biofuels for maritime</t>
  </si>
  <si>
    <t>Blending biofuels for aviation</t>
  </si>
  <si>
    <t>ReFuelAviation targets</t>
  </si>
  <si>
    <t>ReFuelMaritime targets</t>
  </si>
  <si>
    <t>with some flexibility</t>
  </si>
  <si>
    <t>as not all maritime transport</t>
  </si>
  <si>
    <t>(Extra-EU) not covered by legislation</t>
  </si>
  <si>
    <t>All of these processes are now using PJ in and out</t>
  </si>
  <si>
    <t>so EFF = 1</t>
  </si>
  <si>
    <t>Min SAF share</t>
  </si>
  <si>
    <t>Min RFNBO share</t>
  </si>
  <si>
    <t>Min BIO share</t>
  </si>
  <si>
    <t>Max fossil share</t>
  </si>
  <si>
    <t>Fuel / Sector</t>
  </si>
  <si>
    <t>2035 (Indicative)</t>
  </si>
  <si>
    <t>Diesel (road)</t>
  </si>
  <si>
    <t>~9.0 % renewable</t>
  </si>
  <si>
    <t>11.4% renewable</t>
  </si>
  <si>
    <t>~16.0% renewable</t>
  </si>
  <si>
    <t>Gasoline (road)</t>
  </si>
  <si>
    <t>~9.5 % renewable</t>
  </si>
  <si>
    <t>10.5% renewable</t>
  </si>
  <si>
    <t>~14.5% renewable</t>
  </si>
  <si>
    <t>Methane fuels (CNG/LNG)</t>
  </si>
  <si>
    <t>rising in draft</t>
  </si>
  <si>
    <t>~15.0% renewable</t>
  </si>
  <si>
    <t>~21.0% renewable</t>
  </si>
  <si>
    <t>Advanced biofuels + RFNBO (transport)</t>
  </si>
  <si>
    <t>—</t>
  </si>
  <si>
    <t>5.5% combined, incl. ≥1% RFNBO</t>
  </si>
  <si>
    <t>Rail transport</t>
  </si>
  <si>
    <t>Covered by sector-wide transport target, no specific mandates for bio/RFNBO</t>
  </si>
  <si>
    <t>BLDDSL_RAI</t>
  </si>
  <si>
    <t>RFNBORAI</t>
  </si>
  <si>
    <t>TRADST_RAI</t>
  </si>
  <si>
    <t>BLD_RFNBO_RAI</t>
  </si>
  <si>
    <r>
      <rPr>
        <b/>
        <sz val="9"/>
        <rFont val="Arial"/>
        <family val="2"/>
      </rPr>
      <t>RED III requirements</t>
    </r>
    <r>
      <rPr>
        <sz val="9"/>
        <rFont val="Arial"/>
        <family val="2"/>
      </rPr>
      <t xml:space="preserve"> for all regions</t>
    </r>
  </si>
  <si>
    <t>this conversion is needed, as the production process outputs kt, not PJ</t>
  </si>
  <si>
    <t>5.5% total from advanced biofuels (not FAME) + RFNBOs by 2030</t>
  </si>
  <si>
    <t>2X division because double-counting allowed regionally</t>
  </si>
  <si>
    <t>TRA_NONAVD_BIO</t>
  </si>
  <si>
    <t>BRF_kt2PJ-BIOETHA</t>
  </si>
  <si>
    <t>BIOETHAkt</t>
  </si>
  <si>
    <t>kt to PJ conversion of BIOETHA</t>
  </si>
  <si>
    <t>BIOETBEkt</t>
  </si>
  <si>
    <t>BRF_kt2PJ-BIOETBE</t>
  </si>
  <si>
    <t>PJ/kt</t>
  </si>
  <si>
    <t>max 22%</t>
  </si>
  <si>
    <t>vol-%</t>
  </si>
  <si>
    <t>vol (l)</t>
  </si>
  <si>
    <t>density (kg/l)</t>
  </si>
  <si>
    <t>mass (kg)</t>
  </si>
  <si>
    <t>bioetbe m-%</t>
  </si>
  <si>
    <t>energy-%</t>
  </si>
  <si>
    <t>Blending of diesel fuels for rail transport</t>
  </si>
  <si>
    <t>Blending of diesel fuels for road transport</t>
  </si>
  <si>
    <t>Blending of gasoline SP95-E5 fuels</t>
  </si>
  <si>
    <t>P2LKER_FOS</t>
  </si>
  <si>
    <t>P2LDST_FOS</t>
  </si>
  <si>
    <t>BLD_RFNBO_DSL</t>
  </si>
  <si>
    <t>Blending RFNBO for road transport diesel</t>
  </si>
  <si>
    <t>Blending RFNBO for rail diesel</t>
  </si>
  <si>
    <t>RFNBODSL</t>
  </si>
  <si>
    <t>BLD_RFNBO_GSL</t>
  </si>
  <si>
    <t>Blending RFNBO for road transport gasolene</t>
  </si>
  <si>
    <t>P2LGSL_FOS</t>
  </si>
  <si>
    <t>RFNBOGSL</t>
  </si>
  <si>
    <t>TRAGAS00</t>
  </si>
  <si>
    <t>GASNAT</t>
  </si>
  <si>
    <t>GASP2G</t>
  </si>
  <si>
    <t>BIOGAS</t>
  </si>
  <si>
    <t>BLD_RFNBO_GAS</t>
  </si>
  <si>
    <t>GASP2G_FOS</t>
  </si>
  <si>
    <t>RFNBOGAS</t>
  </si>
  <si>
    <t xml:space="preserve">Blending RFNBO for road transport gas </t>
  </si>
  <si>
    <t>TRAGAS</t>
  </si>
  <si>
    <t>Blending methane for transport</t>
  </si>
  <si>
    <t>ktCO2</t>
  </si>
  <si>
    <t>input feedstock</t>
  </si>
  <si>
    <t>input etha feedstock</t>
  </si>
  <si>
    <t>BIOLGCFS kt to PJ</t>
  </si>
  <si>
    <t>kt biomass/kt CO2</t>
  </si>
  <si>
    <t>PJ biomass/kt CO2</t>
  </si>
  <si>
    <t>INVCOST EUR2020</t>
  </si>
  <si>
    <t>factor EUR07 to EUR20</t>
  </si>
  <si>
    <t>FIXOM + VAROM</t>
  </si>
  <si>
    <t>per ktCO2 CC</t>
  </si>
  <si>
    <t>OPEX</t>
  </si>
  <si>
    <t>CAPEX</t>
  </si>
  <si>
    <t>fuel demand</t>
  </si>
  <si>
    <t>output biofuel</t>
  </si>
  <si>
    <t>kt bioethanol/ktCO2 captured</t>
  </si>
  <si>
    <t>kt FT diesel/kt CO2 captured</t>
  </si>
  <si>
    <t>max flexibility UP = *LO</t>
  </si>
  <si>
    <t>kt to PJ conversion of BIOETBE</t>
  </si>
  <si>
    <t>***FI_T: SHARE~LO</t>
  </si>
  <si>
    <t>AGRDST00</t>
  </si>
  <si>
    <t>AGRDST</t>
  </si>
  <si>
    <t>AGROIL00</t>
  </si>
  <si>
    <t>AGROIL</t>
  </si>
  <si>
    <t>***FI_T: SHARE~UP</t>
  </si>
  <si>
    <t>SHARE~UP~2010</t>
  </si>
  <si>
    <t>SHARE~UP~2015</t>
  </si>
  <si>
    <t>SHARE~UP~2020</t>
  </si>
  <si>
    <t>SHARE~UP~2025</t>
  </si>
  <si>
    <t>SHARE~UP~2030</t>
  </si>
  <si>
    <t>SHARE~UP~2035</t>
  </si>
  <si>
    <t>SHARE~UP~2040</t>
  </si>
  <si>
    <t>SHARE~UP~2045</t>
  </si>
  <si>
    <t>SHARE~UP~2050</t>
  </si>
  <si>
    <t>SHARE~UP~2060</t>
  </si>
  <si>
    <t>SHARE~UP~0</t>
  </si>
  <si>
    <t>SHARE~LO~2010</t>
  </si>
  <si>
    <t>SHARE~LO~2020</t>
  </si>
  <si>
    <t>SHARE~LO~0</t>
  </si>
  <si>
    <t>SHARE~LO~2030</t>
  </si>
  <si>
    <t>SHARE~LO~2035</t>
  </si>
  <si>
    <t>SHARE~LO~2040</t>
  </si>
  <si>
    <t>SHARE~LO~2045</t>
  </si>
  <si>
    <t>SHARE~LO~2050</t>
  </si>
  <si>
    <t>SHARE~LO~2060</t>
  </si>
  <si>
    <t>SHARE~LO~2025</t>
  </si>
  <si>
    <t>GHG intensity of maritime fuels</t>
  </si>
  <si>
    <t>ktCO2/PJ</t>
  </si>
  <si>
    <t>Year</t>
  </si>
  <si>
    <t>Change in ghg intensity</t>
  </si>
  <si>
    <t>REFUEL EU Maritime, as in 2025</t>
  </si>
  <si>
    <t>aviation fuel</t>
  </si>
  <si>
    <t xml:space="preserve">min </t>
  </si>
  <si>
    <t>max</t>
  </si>
  <si>
    <t>road diesel</t>
  </si>
  <si>
    <t>road gasolene E5</t>
  </si>
  <si>
    <t>road gasolene E10</t>
  </si>
  <si>
    <t>road gasolene E85</t>
  </si>
  <si>
    <t>road methane</t>
  </si>
  <si>
    <t>rail diesel</t>
  </si>
  <si>
    <t>navi hfo</t>
  </si>
  <si>
    <t>navi lfo</t>
  </si>
  <si>
    <t>renewable fuel shares 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</si>
</sst>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_(* #,##0_);_(* \(#,##0\);_(* &quot;-&quot;_);_(@_)"/>
    <numFmt numFmtId="165" formatCode="_(* #,##0.00_);_(* \(#,##0.00\);_(* &quot;-&quot;??_);_(@_)"/>
    <numFmt numFmtId="166" formatCode="0.000"/>
    <numFmt numFmtId="167" formatCode="0.0"/>
    <numFmt numFmtId="168" formatCode="0.0%"/>
    <numFmt numFmtId="169" formatCode="0.00000"/>
    <numFmt numFmtId="170" formatCode="0.0000"/>
    <numFmt numFmtId="171" formatCode="0.000000"/>
    <numFmt numFmtId="172" formatCode="_([$€]* #,##0.00_);_([$€]* \(#,##0.00\);_([$€]* &quot;-&quot;??_);_(@_)"/>
    <numFmt numFmtId="173" formatCode="\(##\);\(##\)"/>
    <numFmt numFmtId="174" formatCode="#,##0.0"/>
    <numFmt numFmtId="175" formatCode="_ &quot;kr&quot;\ * #,##0_ ;_ &quot;kr&quot;\ * \-#,##0_ ;_ &quot;kr&quot;\ * &quot;-&quot;_ ;_ @_ "/>
    <numFmt numFmtId="176" formatCode="_ &quot;kr&quot;\ * #,##0.00_ ;_ &quot;kr&quot;\ * \-#,##0.00_ ;_ &quot;kr&quot;\ * &quot;-&quot;??_ ;_ @_ "/>
    <numFmt numFmtId="177" formatCode="\Te\x\t"/>
    <numFmt numFmtId="178" formatCode="_-&quot;£&quot;* #,##0.00_-;\-&quot;£&quot;* #,##0.00_-;_-&quot;£&quot;* &quot;-&quot;??_-;_-@_-"/>
    <numFmt numFmtId="179" formatCode="_-[$€-2]\ * #,##0.00_-;\-[$€-2]\ * #,##0.00_-;_-[$€-2]\ * &quot;-&quot;??_-"/>
    <numFmt numFmtId="180" formatCode="#,##0;\-\ #,##0;_-\ &quot;- &quot;"/>
    <numFmt numFmtId="181" formatCode="_([$€-2]* #,##0.00_);_([$€-2]* \(#,##0.00\);_([$€-2]* &quot;-&quot;??_)"/>
    <numFmt numFmtId="182" formatCode="0.0000000"/>
    <numFmt numFmtId="183" formatCode="0.000\ %"/>
  </numFmts>
  <fonts count="83">
    <font>
      <sz val="10"/>
      <name val="Arial"/>
    </font>
    <font>
      <sz val="11"/>
      <color theme="1"/>
      <name val="Calibri"/>
      <family val="2"/>
      <scheme val="minor"/>
    </font>
    <font>
      <sz val="11"/>
      <color theme="1"/>
      <name val="Calibri"/>
      <family val="2"/>
      <scheme val="minor"/>
    </font>
    <font>
      <u/>
      <sz val="10"/>
      <color indexed="12"/>
      <name val="Arial"/>
      <family val="2"/>
    </font>
    <font>
      <sz val="10"/>
      <name val="Courier"/>
      <family val="3"/>
    </font>
    <font>
      <b/>
      <sz val="10"/>
      <color indexed="12"/>
      <name val="Arial"/>
      <family val="2"/>
    </font>
    <font>
      <sz val="10"/>
      <name val="Arial"/>
      <family val="2"/>
    </font>
    <font>
      <b/>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9"/>
      <name val="Arial"/>
      <family val="2"/>
    </font>
    <font>
      <sz val="8"/>
      <name val="Arial"/>
      <family val="2"/>
    </font>
    <font>
      <u/>
      <sz val="12"/>
      <color indexed="20"/>
      <name val="宋体"/>
      <charset val="134"/>
    </font>
    <font>
      <sz val="9"/>
      <name val="Arial"/>
      <family val="2"/>
    </font>
    <font>
      <sz val="10"/>
      <color indexed="22"/>
      <name val="Arial"/>
      <family val="2"/>
    </font>
    <font>
      <sz val="8"/>
      <color indexed="81"/>
      <name val="Tahoma"/>
      <family val="2"/>
    </font>
    <font>
      <b/>
      <sz val="8"/>
      <color indexed="81"/>
      <name val="Tahoma"/>
      <family val="2"/>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9"/>
      <name val="Verdana"/>
      <family val="2"/>
    </font>
    <font>
      <i/>
      <sz val="9"/>
      <color indexed="60"/>
      <name val="Verdana"/>
      <family val="2"/>
    </font>
    <font>
      <b/>
      <sz val="9"/>
      <name val="Verdana"/>
      <family val="2"/>
    </font>
    <font>
      <b/>
      <sz val="9"/>
      <name val="Arial"/>
      <family val="2"/>
    </font>
    <font>
      <sz val="10"/>
      <color indexed="12"/>
      <name val="Arial"/>
      <family val="2"/>
    </font>
    <font>
      <b/>
      <i/>
      <sz val="10"/>
      <name val="Arial"/>
      <family val="2"/>
    </font>
    <font>
      <sz val="9"/>
      <color indexed="81"/>
      <name val="Tahoma"/>
      <family val="2"/>
    </font>
    <font>
      <b/>
      <sz val="9"/>
      <color indexed="81"/>
      <name val="Tahoma"/>
      <family val="2"/>
    </font>
    <font>
      <sz val="8"/>
      <color indexed="9"/>
      <name val="Arial"/>
      <family val="2"/>
    </font>
    <font>
      <sz val="10"/>
      <name val="Helvetica"/>
    </font>
    <font>
      <b/>
      <sz val="12"/>
      <name val="Arial"/>
      <family val="2"/>
    </font>
    <font>
      <sz val="11"/>
      <color theme="1"/>
      <name val="Calibri"/>
      <family val="2"/>
      <scheme val="minor"/>
    </font>
    <font>
      <sz val="10"/>
      <color rgb="FFFF0000"/>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
      <name val="Times New Roman"/>
      <family val="1"/>
    </font>
    <font>
      <sz val="9"/>
      <name val="Times New Roman"/>
      <family val="1"/>
    </font>
    <font>
      <b/>
      <sz val="9"/>
      <name val="Times New Roman"/>
      <family val="1"/>
    </font>
    <font>
      <sz val="11"/>
      <color indexed="60"/>
      <name val="Calibri"/>
      <family val="2"/>
      <charset val="161"/>
    </font>
    <font>
      <sz val="9"/>
      <color theme="1"/>
      <name val="Arial"/>
      <family val="2"/>
    </font>
    <font>
      <b/>
      <sz val="9"/>
      <color indexed="12"/>
      <name val="Arial"/>
      <family val="2"/>
    </font>
    <font>
      <sz val="10"/>
      <color indexed="10"/>
      <name val="Arial"/>
      <family val="2"/>
    </font>
    <font>
      <b/>
      <sz val="10"/>
      <color theme="1"/>
      <name val="Arial"/>
      <family val="2"/>
    </font>
    <font>
      <sz val="10"/>
      <name val="Arial"/>
      <family val="2"/>
    </font>
    <font>
      <sz val="9"/>
      <color rgb="FFFF0000"/>
      <name val="Arial"/>
      <family val="2"/>
    </font>
    <font>
      <sz val="9"/>
      <color indexed="8"/>
      <name val="Arial"/>
      <family val="2"/>
    </font>
    <font>
      <sz val="9"/>
      <color indexed="12"/>
      <name val="Arial"/>
      <family val="2"/>
    </font>
    <font>
      <b/>
      <i/>
      <sz val="9"/>
      <color theme="0" tint="-0.249977111117893"/>
      <name val="Arial"/>
      <family val="2"/>
    </font>
    <font>
      <i/>
      <sz val="9"/>
      <color theme="0" tint="-0.249977111117893"/>
      <name val="Arial"/>
      <family val="2"/>
    </font>
    <font>
      <sz val="9"/>
      <color rgb="FFFF66FF"/>
      <name val="Arial"/>
      <family val="2"/>
    </font>
    <font>
      <b/>
      <sz val="10"/>
      <color theme="0"/>
      <name val="Arial"/>
      <family val="2"/>
    </font>
    <font>
      <b/>
      <sz val="16"/>
      <color theme="0"/>
      <name val="Arial"/>
      <family val="2"/>
    </font>
  </fonts>
  <fills count="8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7"/>
        <bgColor indexed="64"/>
      </patternFill>
    </fill>
    <fill>
      <patternFill patternType="solid">
        <fgColor indexed="49"/>
        <bgColor indexed="64"/>
      </patternFill>
    </fill>
    <fill>
      <patternFill patternType="solid">
        <fgColor indexed="43"/>
      </patternFill>
    </fill>
    <fill>
      <patternFill patternType="solid">
        <fgColor indexed="26"/>
      </patternFill>
    </fill>
    <fill>
      <patternFill patternType="solid">
        <fgColor indexed="63"/>
        <bgColor indexed="64"/>
      </patternFill>
    </fill>
    <fill>
      <patternFill patternType="solid">
        <fgColor indexed="62"/>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43"/>
        <bgColor indexed="64"/>
      </patternFill>
    </fill>
    <fill>
      <patternFill patternType="solid">
        <fgColor indexed="45"/>
        <bgColor indexed="64"/>
      </patternFill>
    </fill>
    <fill>
      <patternFill patternType="solid">
        <fgColor indexed="22"/>
        <bgColor indexed="64"/>
      </patternFill>
    </fill>
    <fill>
      <patternFill patternType="solid">
        <fgColor indexed="47"/>
        <bgColor indexed="64"/>
      </patternFill>
    </fill>
    <fill>
      <patternFill patternType="solid">
        <fgColor indexed="42"/>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5"/>
        <bgColor indexed="64"/>
      </patternFill>
    </fill>
    <fill>
      <patternFill patternType="solid">
        <fgColor rgb="FFCCCCFF"/>
        <bgColor indexed="64"/>
      </patternFill>
    </fill>
    <fill>
      <patternFill patternType="solid">
        <fgColor rgb="FFFFFFCC"/>
        <bgColor indexed="64"/>
      </patternFill>
    </fill>
    <fill>
      <patternFill patternType="solid">
        <fgColor rgb="FFFFFF00"/>
        <bgColor indexed="64"/>
      </patternFill>
    </fill>
    <fill>
      <patternFill patternType="solid">
        <fgColor rgb="FFEBEBFF"/>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1"/>
        <bgColor indexed="64"/>
      </patternFill>
    </fill>
  </fills>
  <borders count="3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4"/>
      </left>
      <right style="thin">
        <color indexed="24"/>
      </right>
      <top style="thin">
        <color indexed="24"/>
      </top>
      <bottom style="thin">
        <color indexed="2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s>
  <cellStyleXfs count="387">
    <xf numFmtId="0" fontId="0"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10" fillId="3" borderId="0" applyNumberFormat="0" applyBorder="0" applyAlignment="0" applyProtection="0"/>
    <xf numFmtId="0" fontId="11" fillId="20" borderId="1" applyNumberFormat="0" applyAlignment="0" applyProtection="0"/>
    <xf numFmtId="0" fontId="12" fillId="21" borderId="2" applyNumberFormat="0" applyAlignment="0" applyProtection="0"/>
    <xf numFmtId="49" fontId="6" fillId="22" borderId="3">
      <alignment vertical="top" wrapText="1"/>
    </xf>
    <xf numFmtId="165" fontId="25" fillId="0" borderId="0" applyFont="0" applyFill="0" applyBorder="0" applyAlignment="0" applyProtection="0"/>
    <xf numFmtId="165" fontId="6" fillId="0" borderId="0" applyFont="0" applyFill="0" applyBorder="0" applyAlignment="0" applyProtection="0"/>
    <xf numFmtId="3" fontId="33" fillId="0" borderId="3">
      <alignment horizontal="right" vertical="top"/>
    </xf>
    <xf numFmtId="0" fontId="7" fillId="23" borderId="4">
      <alignment horizontal="centerContinuous" vertical="top" wrapText="1"/>
    </xf>
    <xf numFmtId="0" fontId="34" fillId="0" borderId="0">
      <alignment vertical="top" wrapText="1"/>
    </xf>
    <xf numFmtId="172" fontId="6" fillId="0" borderId="0" applyFont="0" applyFill="0" applyBorder="0" applyAlignment="0" applyProtection="0"/>
    <xf numFmtId="0" fontId="13" fillId="0" borderId="0" applyNumberFormat="0" applyFill="0" applyBorder="0" applyAlignment="0" applyProtection="0"/>
    <xf numFmtId="11" fontId="6" fillId="0" borderId="0" applyFont="0" applyFill="0" applyBorder="0" applyAlignment="0" applyProtection="0"/>
    <xf numFmtId="11" fontId="6" fillId="0" borderId="0" applyFont="0" applyFill="0" applyBorder="0" applyAlignment="0" applyProtection="0"/>
    <xf numFmtId="0" fontId="14" fillId="4" borderId="0" applyNumberFormat="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3" fillId="0" borderId="0" applyNumberFormat="0" applyFill="0" applyBorder="0" applyAlignment="0" applyProtection="0">
      <alignment vertical="top"/>
      <protection locked="0"/>
    </xf>
    <xf numFmtId="0" fontId="18" fillId="7" borderId="1" applyNumberFormat="0" applyAlignment="0" applyProtection="0"/>
    <xf numFmtId="0" fontId="35" fillId="0" borderId="0"/>
    <xf numFmtId="0" fontId="19" fillId="0" borderId="8" applyNumberFormat="0" applyFill="0" applyAlignment="0" applyProtection="0"/>
    <xf numFmtId="0" fontId="20" fillId="24" borderId="0" applyNumberFormat="0" applyBorder="0" applyAlignment="0" applyProtection="0"/>
    <xf numFmtId="0" fontId="6" fillId="0" borderId="0"/>
    <xf numFmtId="0" fontId="6" fillId="0" borderId="0"/>
    <xf numFmtId="0" fontId="48" fillId="0" borderId="0"/>
    <xf numFmtId="0" fontId="6" fillId="0" borderId="0"/>
    <xf numFmtId="0" fontId="6" fillId="0" borderId="0"/>
    <xf numFmtId="0" fontId="48" fillId="0" borderId="0"/>
    <xf numFmtId="0" fontId="6" fillId="0" borderId="0"/>
    <xf numFmtId="0" fontId="48" fillId="0" borderId="0"/>
    <xf numFmtId="0" fontId="6" fillId="0" borderId="0"/>
    <xf numFmtId="0" fontId="6" fillId="0" borderId="0"/>
    <xf numFmtId="0" fontId="6" fillId="0" borderId="0"/>
    <xf numFmtId="0" fontId="6" fillId="0" borderId="0"/>
    <xf numFmtId="0" fontId="25" fillId="0" borderId="0"/>
    <xf numFmtId="0" fontId="6" fillId="0" borderId="0"/>
    <xf numFmtId="0" fontId="4" fillId="0" borderId="0"/>
    <xf numFmtId="0" fontId="6" fillId="25" borderId="9" applyNumberFormat="0" applyFont="0" applyAlignment="0" applyProtection="0"/>
    <xf numFmtId="0" fontId="8" fillId="25" borderId="9" applyNumberFormat="0" applyFont="0" applyAlignment="0" applyProtection="0"/>
    <xf numFmtId="173" fontId="36" fillId="0" borderId="0">
      <alignment horizontal="right"/>
    </xf>
    <xf numFmtId="0" fontId="21" fillId="20" borderId="10" applyNumberFormat="0" applyAlignment="0" applyProtection="0"/>
    <xf numFmtId="9" fontId="25"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25" fillId="0" borderId="0" applyFont="0" applyFill="0" applyBorder="0" applyAlignment="0" applyProtection="0"/>
    <xf numFmtId="9" fontId="6" fillId="0" borderId="0" applyFont="0" applyFill="0" applyBorder="0" applyAlignment="0" applyProtection="0"/>
    <xf numFmtId="9" fontId="48" fillId="0" borderId="0" applyFont="0" applyFill="0" applyBorder="0" applyAlignment="0" applyProtection="0"/>
    <xf numFmtId="165" fontId="46" fillId="0" borderId="0" applyFont="0" applyFill="0" applyBorder="0" applyAlignment="0" applyProtection="0"/>
    <xf numFmtId="164" fontId="46" fillId="0" borderId="0" applyFont="0" applyFill="0" applyBorder="0" applyAlignment="0" applyProtection="0"/>
    <xf numFmtId="175" fontId="46" fillId="0" borderId="0" applyFont="0" applyFill="0" applyBorder="0" applyAlignment="0" applyProtection="0"/>
    <xf numFmtId="0" fontId="34" fillId="0" borderId="0">
      <alignment vertical="top" wrapText="1"/>
    </xf>
    <xf numFmtId="0" fontId="6" fillId="0" borderId="4" applyNumberFormat="0" applyFill="0" applyProtection="0">
      <alignment horizontal="right"/>
    </xf>
    <xf numFmtId="0" fontId="6" fillId="0" borderId="4" applyNumberFormat="0" applyFill="0" applyProtection="0">
      <alignment horizontal="right"/>
    </xf>
    <xf numFmtId="0" fontId="7" fillId="26" borderId="4" applyNumberFormat="0" applyProtection="0">
      <alignment horizontal="right"/>
    </xf>
    <xf numFmtId="0" fontId="47" fillId="26" borderId="0" applyNumberFormat="0" applyBorder="0" applyProtection="0">
      <alignment horizontal="left"/>
    </xf>
    <xf numFmtId="0" fontId="7" fillId="26" borderId="4" applyNumberFormat="0" applyProtection="0">
      <alignment horizontal="left"/>
    </xf>
    <xf numFmtId="0" fontId="6" fillId="0" borderId="4" applyNumberFormat="0" applyFill="0" applyProtection="0">
      <alignment horizontal="right"/>
    </xf>
    <xf numFmtId="0" fontId="6" fillId="0" borderId="4" applyNumberFormat="0" applyFill="0" applyProtection="0">
      <alignment horizontal="right"/>
    </xf>
    <xf numFmtId="0" fontId="45" fillId="27" borderId="0" applyNumberFormat="0" applyBorder="0" applyProtection="0">
      <alignment horizontal="left"/>
    </xf>
    <xf numFmtId="174" fontId="37" fillId="28" borderId="11">
      <alignment vertical="center"/>
    </xf>
    <xf numFmtId="168" fontId="38" fillId="28" borderId="11">
      <alignment vertical="center"/>
    </xf>
    <xf numFmtId="174" fontId="39" fillId="29" borderId="11">
      <alignment vertical="center"/>
    </xf>
    <xf numFmtId="0" fontId="6" fillId="30" borderId="12" applyBorder="0">
      <alignment horizontal="left" vertical="center"/>
    </xf>
    <xf numFmtId="49" fontId="6" fillId="31" borderId="4">
      <alignment vertical="center" wrapText="1"/>
    </xf>
    <xf numFmtId="0" fontId="6" fillId="32" borderId="13">
      <alignment horizontal="left" vertical="center" wrapText="1"/>
    </xf>
    <xf numFmtId="0" fontId="40" fillId="33" borderId="4">
      <alignment horizontal="left" vertical="center" wrapText="1"/>
    </xf>
    <xf numFmtId="0" fontId="6" fillId="34" borderId="4">
      <alignment horizontal="left" vertical="center" wrapText="1"/>
    </xf>
    <xf numFmtId="0" fontId="6" fillId="35" borderId="4">
      <alignment horizontal="left" vertical="center" wrapText="1"/>
    </xf>
    <xf numFmtId="0" fontId="22" fillId="0" borderId="0" applyNumberFormat="0" applyFill="0" applyBorder="0" applyAlignment="0" applyProtection="0"/>
    <xf numFmtId="0" fontId="23" fillId="0" borderId="14" applyNumberFormat="0" applyFill="0" applyAlignment="0" applyProtection="0"/>
    <xf numFmtId="176" fontId="46" fillId="0" borderId="0" applyFont="0" applyFill="0" applyBorder="0" applyAlignment="0" applyProtection="0"/>
    <xf numFmtId="0" fontId="24" fillId="0" borderId="0" applyNumberFormat="0" applyFill="0" applyBorder="0" applyAlignment="0" applyProtection="0"/>
    <xf numFmtId="0" fontId="28" fillId="0" borderId="0" applyNumberFormat="0" applyFill="0" applyBorder="0" applyAlignment="0" applyProtection="0">
      <alignment vertical="center"/>
    </xf>
    <xf numFmtId="0" fontId="50" fillId="0" borderId="0" applyNumberFormat="0" applyFill="0" applyBorder="0" applyAlignment="0" applyProtection="0"/>
    <xf numFmtId="0" fontId="51" fillId="0" borderId="22" applyNumberFormat="0" applyFill="0" applyAlignment="0" applyProtection="0"/>
    <xf numFmtId="0" fontId="52" fillId="0" borderId="23" applyNumberFormat="0" applyFill="0" applyAlignment="0" applyProtection="0"/>
    <xf numFmtId="0" fontId="53" fillId="0" borderId="24" applyNumberFormat="0" applyFill="0" applyAlignment="0" applyProtection="0"/>
    <xf numFmtId="0" fontId="53" fillId="0" borderId="0" applyNumberFormat="0" applyFill="0" applyBorder="0" applyAlignment="0" applyProtection="0"/>
    <xf numFmtId="0" fontId="54" fillId="43" borderId="0" applyNumberFormat="0" applyBorder="0" applyAlignment="0" applyProtection="0"/>
    <xf numFmtId="0" fontId="55" fillId="44" borderId="0" applyNumberFormat="0" applyBorder="0" applyAlignment="0" applyProtection="0"/>
    <xf numFmtId="0" fontId="56" fillId="45" borderId="0" applyNumberFormat="0" applyBorder="0" applyAlignment="0" applyProtection="0"/>
    <xf numFmtId="0" fontId="57" fillId="46" borderId="25" applyNumberFormat="0" applyAlignment="0" applyProtection="0"/>
    <xf numFmtId="0" fontId="58" fillId="47" borderId="26" applyNumberFormat="0" applyAlignment="0" applyProtection="0"/>
    <xf numFmtId="0" fontId="59" fillId="47" borderId="25" applyNumberFormat="0" applyAlignment="0" applyProtection="0"/>
    <xf numFmtId="0" fontId="60" fillId="0" borderId="27" applyNumberFormat="0" applyFill="0" applyAlignment="0" applyProtection="0"/>
    <xf numFmtId="0" fontId="61" fillId="48" borderId="28" applyNumberFormat="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30" applyNumberFormat="0" applyFill="0" applyAlignment="0" applyProtection="0"/>
    <xf numFmtId="0" fontId="65" fillId="50" borderId="0" applyNumberFormat="0" applyBorder="0" applyAlignment="0" applyProtection="0"/>
    <xf numFmtId="0" fontId="2" fillId="51" borderId="0" applyNumberFormat="0" applyBorder="0" applyAlignment="0" applyProtection="0"/>
    <xf numFmtId="0" fontId="2" fillId="52" borderId="0" applyNumberFormat="0" applyBorder="0" applyAlignment="0" applyProtection="0"/>
    <xf numFmtId="0" fontId="65" fillId="53" borderId="0" applyNumberFormat="0" applyBorder="0" applyAlignment="0" applyProtection="0"/>
    <xf numFmtId="0" fontId="65" fillId="54"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65" fillId="57" borderId="0" applyNumberFormat="0" applyBorder="0" applyAlignment="0" applyProtection="0"/>
    <xf numFmtId="0" fontId="65"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65" fillId="61" borderId="0" applyNumberFormat="0" applyBorder="0" applyAlignment="0" applyProtection="0"/>
    <xf numFmtId="0" fontId="65" fillId="62"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65" fillId="65" borderId="0" applyNumberFormat="0" applyBorder="0" applyAlignment="0" applyProtection="0"/>
    <xf numFmtId="0" fontId="65" fillId="66"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0" fontId="65" fillId="69" borderId="0" applyNumberFormat="0" applyBorder="0" applyAlignment="0" applyProtection="0"/>
    <xf numFmtId="0" fontId="65" fillId="70" borderId="0" applyNumberFormat="0" applyBorder="0" applyAlignment="0" applyProtection="0"/>
    <xf numFmtId="0" fontId="2" fillId="71" borderId="0" applyNumberFormat="0" applyBorder="0" applyAlignment="0" applyProtection="0"/>
    <xf numFmtId="0" fontId="2" fillId="72" borderId="0" applyNumberFormat="0" applyBorder="0" applyAlignment="0" applyProtection="0"/>
    <xf numFmtId="0" fontId="65" fillId="73" borderId="0" applyNumberFormat="0" applyBorder="0" applyAlignment="0" applyProtection="0"/>
    <xf numFmtId="0" fontId="2" fillId="0" borderId="0"/>
    <xf numFmtId="0" fontId="8" fillId="2" borderId="0" applyNumberFormat="0" applyBorder="0" applyAlignment="0" applyProtection="0"/>
    <xf numFmtId="0" fontId="8" fillId="2" borderId="0" applyNumberFormat="0" applyBorder="0" applyAlignment="0" applyProtection="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5"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8" fillId="11" borderId="0" applyNumberFormat="0" applyBorder="0" applyAlignment="0" applyProtection="0"/>
    <xf numFmtId="0" fontId="6" fillId="0" borderId="0" applyNumberFormat="0" applyFont="0" applyFill="0" applyBorder="0" applyProtection="0">
      <alignment horizontal="left" vertical="center" indent="5"/>
    </xf>
    <xf numFmtId="0" fontId="9" fillId="1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4" fontId="66" fillId="39" borderId="4">
      <alignment horizontal="right" vertical="center"/>
    </xf>
    <xf numFmtId="4" fontId="66" fillId="39" borderId="4">
      <alignment horizontal="right" vertical="center"/>
    </xf>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1" fillId="20" borderId="1" applyNumberFormat="0" applyAlignment="0" applyProtection="0"/>
    <xf numFmtId="0" fontId="11" fillId="20" borderId="1" applyNumberFormat="0" applyAlignment="0" applyProtection="0"/>
    <xf numFmtId="0" fontId="11" fillId="20" borderId="1" applyNumberFormat="0" applyAlignment="0" applyProtection="0"/>
    <xf numFmtId="0" fontId="12" fillId="21" borderId="2" applyNumberFormat="0" applyAlignment="0" applyProtection="0"/>
    <xf numFmtId="0" fontId="12" fillId="21" borderId="2" applyNumberFormat="0" applyAlignment="0" applyProtection="0"/>
    <xf numFmtId="0" fontId="12" fillId="21" borderId="2"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8" fontId="8" fillId="0" borderId="0" applyFont="0" applyFill="0" applyBorder="0" applyAlignment="0" applyProtection="0"/>
    <xf numFmtId="0" fontId="67" fillId="0" borderId="31">
      <alignment horizontal="left" vertical="center" wrapText="1" indent="2"/>
    </xf>
    <xf numFmtId="179" fontId="6" fillId="0" borderId="0" applyFont="0" applyFill="0" applyBorder="0" applyAlignment="0" applyProtection="0"/>
    <xf numFmtId="172"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81" fontId="6" fillId="0" borderId="0" applyFont="0" applyFill="0" applyBorder="0" applyAlignment="0" applyProtection="0"/>
    <xf numFmtId="172"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179" fontId="6"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4" borderId="0" applyNumberFormat="0" applyBorder="0" applyAlignment="0" applyProtection="0"/>
    <xf numFmtId="0" fontId="14" fillId="4" borderId="0" applyNumberFormat="0" applyBorder="0" applyAlignment="0" applyProtection="0"/>
    <xf numFmtId="0" fontId="54" fillId="43" borderId="0" applyNumberFormat="0" applyBorder="0" applyAlignment="0" applyProtection="0"/>
    <xf numFmtId="0" fontId="14" fillId="4" borderId="0" applyNumberFormat="0" applyBorder="0" applyAlignment="0" applyProtection="0"/>
    <xf numFmtId="0" fontId="15" fillId="0" borderId="5" applyNumberFormat="0" applyFill="0" applyAlignment="0" applyProtection="0"/>
    <xf numFmtId="0" fontId="15" fillId="0" borderId="5"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7"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57" fillId="46" borderId="25" applyNumberFormat="0" applyAlignment="0" applyProtection="0"/>
    <xf numFmtId="0" fontId="18" fillId="7" borderId="1" applyNumberFormat="0" applyAlignment="0" applyProtection="0"/>
    <xf numFmtId="0" fontId="18" fillId="7" borderId="1" applyNumberFormat="0" applyAlignment="0" applyProtection="0"/>
    <xf numFmtId="0" fontId="18" fillId="7" borderId="1" applyNumberFormat="0" applyAlignment="0" applyProtection="0"/>
    <xf numFmtId="4" fontId="67" fillId="0" borderId="0" applyBorder="0">
      <alignment horizontal="right" vertical="center"/>
    </xf>
    <xf numFmtId="0" fontId="19" fillId="0" borderId="8" applyNumberFormat="0" applyFill="0" applyAlignment="0" applyProtection="0"/>
    <xf numFmtId="0" fontId="19" fillId="0" borderId="8" applyNumberFormat="0" applyFill="0" applyAlignment="0" applyProtection="0"/>
    <xf numFmtId="0" fontId="19" fillId="0" borderId="8" applyNumberFormat="0" applyFill="0" applyAlignment="0" applyProtection="0"/>
    <xf numFmtId="0" fontId="69"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6" fillId="0" borderId="0"/>
    <xf numFmtId="0" fontId="2" fillId="0" borderId="0"/>
    <xf numFmtId="0" fontId="6" fillId="0" borderId="0"/>
    <xf numFmtId="0" fontId="8" fillId="0" borderId="0"/>
    <xf numFmtId="0" fontId="6" fillId="0" borderId="0"/>
    <xf numFmtId="0" fontId="8" fillId="0" borderId="0"/>
    <xf numFmtId="0" fontId="2" fillId="0" borderId="0"/>
    <xf numFmtId="0" fontId="2" fillId="0" borderId="0"/>
    <xf numFmtId="0" fontId="6" fillId="0" borderId="0"/>
    <xf numFmtId="0" fontId="6" fillId="0" borderId="0"/>
    <xf numFmtId="0" fontId="8" fillId="0" borderId="0"/>
    <xf numFmtId="0" fontId="2" fillId="0" borderId="0"/>
    <xf numFmtId="0" fontId="8" fillId="0" borderId="0"/>
    <xf numFmtId="0" fontId="8" fillId="0" borderId="0"/>
    <xf numFmtId="0" fontId="6" fillId="0" borderId="0"/>
    <xf numFmtId="0" fontId="6" fillId="0" borderId="0"/>
    <xf numFmtId="0" fontId="6" fillId="0" borderId="0"/>
    <xf numFmtId="0" fontId="8" fillId="0" borderId="0"/>
    <xf numFmtId="0" fontId="8" fillId="0" borderId="0"/>
    <xf numFmtId="0" fontId="8" fillId="0" borderId="0"/>
    <xf numFmtId="0" fontId="2" fillId="0" borderId="0"/>
    <xf numFmtId="0" fontId="8" fillId="0" borderId="0"/>
    <xf numFmtId="0" fontId="2" fillId="0" borderId="0"/>
    <xf numFmtId="0" fontId="8" fillId="0" borderId="0"/>
    <xf numFmtId="0" fontId="8" fillId="0" borderId="0"/>
    <xf numFmtId="0" fontId="6" fillId="0" borderId="0"/>
    <xf numFmtId="0" fontId="8" fillId="0" borderId="0"/>
    <xf numFmtId="0" fontId="6" fillId="0" borderId="0"/>
    <xf numFmtId="0" fontId="2" fillId="0" borderId="0"/>
    <xf numFmtId="0" fontId="8" fillId="0" borderId="0"/>
    <xf numFmtId="0" fontId="6" fillId="0" borderId="0"/>
    <xf numFmtId="0" fontId="6" fillId="0" borderId="0"/>
    <xf numFmtId="0" fontId="8" fillId="0" borderId="0"/>
    <xf numFmtId="0" fontId="6" fillId="0" borderId="0"/>
    <xf numFmtId="0" fontId="2" fillId="0" borderId="0"/>
    <xf numFmtId="4" fontId="67" fillId="0" borderId="4" applyFill="0" applyBorder="0" applyProtection="0">
      <alignment horizontal="right" vertical="center"/>
    </xf>
    <xf numFmtId="0" fontId="68" fillId="0" borderId="0" applyNumberFormat="0" applyFill="0" applyBorder="0" applyProtection="0">
      <alignment horizontal="left" vertical="center"/>
    </xf>
    <xf numFmtId="0" fontId="6" fillId="74" borderId="0" applyNumberFormat="0" applyFont="0" applyBorder="0" applyAlignment="0" applyProtection="0"/>
    <xf numFmtId="0" fontId="2" fillId="49" borderId="29" applyNumberFormat="0" applyFont="0" applyAlignment="0" applyProtection="0"/>
    <xf numFmtId="0" fontId="6" fillId="25" borderId="9" applyNumberFormat="0" applyFont="0" applyAlignment="0" applyProtection="0"/>
    <xf numFmtId="0" fontId="6" fillId="25" borderId="9" applyNumberFormat="0" applyFont="0" applyAlignment="0" applyProtection="0"/>
    <xf numFmtId="0" fontId="6" fillId="25" borderId="9" applyNumberFormat="0" applyFont="0" applyAlignment="0" applyProtection="0"/>
    <xf numFmtId="0" fontId="6" fillId="25" borderId="9" applyNumberFormat="0" applyFont="0" applyAlignment="0" applyProtection="0"/>
    <xf numFmtId="0" fontId="6" fillId="25" borderId="9" applyNumberFormat="0" applyFont="0" applyAlignment="0" applyProtection="0"/>
    <xf numFmtId="0" fontId="6" fillId="25" borderId="9" applyNumberFormat="0" applyFont="0" applyAlignment="0" applyProtection="0"/>
    <xf numFmtId="0" fontId="6" fillId="25" borderId="9" applyNumberFormat="0" applyFont="0" applyAlignment="0" applyProtection="0"/>
    <xf numFmtId="0" fontId="6" fillId="25" borderId="9" applyNumberFormat="0" applyFont="0" applyAlignment="0" applyProtection="0"/>
    <xf numFmtId="0" fontId="6" fillId="25" borderId="9" applyNumberFormat="0" applyFont="0" applyAlignment="0" applyProtection="0"/>
    <xf numFmtId="0" fontId="6" fillId="25" borderId="9" applyNumberFormat="0" applyFont="0" applyAlignment="0" applyProtection="0"/>
    <xf numFmtId="0" fontId="2" fillId="49" borderId="29" applyNumberFormat="0" applyFont="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0" fontId="21" fillId="20" borderId="10" applyNumberFormat="0" applyAlignment="0" applyProtection="0"/>
    <xf numFmtId="0" fontId="21" fillId="20" borderId="10" applyNumberFormat="0" applyAlignment="0" applyProtection="0"/>
    <xf numFmtId="0" fontId="21" fillId="20" borderId="10" applyNumberFormat="0" applyAlignment="0" applyProtection="0"/>
    <xf numFmtId="9" fontId="2"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2" fillId="0" borderId="0" applyFont="0" applyFill="0" applyBorder="0" applyAlignment="0" applyProtection="0"/>
    <xf numFmtId="9" fontId="6" fillId="0" borderId="0" applyFont="0" applyFill="0" applyBorder="0" applyAlignment="0" applyProtection="0"/>
    <xf numFmtId="0" fontId="34" fillId="0" borderId="0">
      <alignment vertical="top" wrapText="1"/>
    </xf>
    <xf numFmtId="0" fontId="34" fillId="0" borderId="0">
      <alignment vertical="top" wrapText="1"/>
    </xf>
    <xf numFmtId="0" fontId="50"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50" fillId="0" borderId="0" applyNumberFormat="0" applyFill="0" applyBorder="0" applyAlignment="0" applyProtection="0"/>
    <xf numFmtId="0" fontId="23" fillId="0" borderId="14" applyNumberFormat="0" applyFill="0" applyAlignment="0" applyProtection="0"/>
    <xf numFmtId="0" fontId="23" fillId="0" borderId="14" applyNumberFormat="0" applyFill="0" applyAlignment="0" applyProtection="0"/>
    <xf numFmtId="0" fontId="23" fillId="0" borderId="14" applyNumberFormat="0" applyFill="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4" fontId="67" fillId="0" borderId="0"/>
    <xf numFmtId="9" fontId="74" fillId="0" borderId="0" applyFont="0" applyFill="0" applyBorder="0" applyAlignment="0" applyProtection="0"/>
  </cellStyleXfs>
  <cellXfs count="272">
    <xf numFmtId="0" fontId="0" fillId="0" borderId="0" xfId="0"/>
    <xf numFmtId="0" fontId="6" fillId="0" borderId="0" xfId="0" applyFont="1"/>
    <xf numFmtId="0" fontId="0" fillId="37" borderId="0" xfId="0" applyFill="1"/>
    <xf numFmtId="0" fontId="27" fillId="0" borderId="0" xfId="0" applyFont="1"/>
    <xf numFmtId="0" fontId="6" fillId="37" borderId="0" xfId="0" applyFont="1" applyFill="1"/>
    <xf numFmtId="0" fontId="0" fillId="0" borderId="0" xfId="0" applyFill="1"/>
    <xf numFmtId="0" fontId="0" fillId="36" borderId="0" xfId="0" applyFill="1"/>
    <xf numFmtId="0" fontId="6" fillId="36" borderId="16" xfId="0" applyFont="1" applyFill="1" applyBorder="1" applyAlignment="1">
      <alignment horizontal="center" vertical="center" wrapText="1"/>
    </xf>
    <xf numFmtId="0" fontId="0" fillId="0" borderId="0" xfId="0" applyFill="1" applyBorder="1"/>
    <xf numFmtId="0" fontId="0" fillId="38" borderId="0" xfId="0" applyFill="1"/>
    <xf numFmtId="0" fontId="0" fillId="38" borderId="0" xfId="0" applyFill="1" applyAlignment="1">
      <alignment horizontal="center"/>
    </xf>
    <xf numFmtId="166" fontId="6" fillId="38" borderId="0" xfId="0" applyNumberFormat="1" applyFont="1" applyFill="1" applyBorder="1" applyAlignment="1">
      <alignment horizontal="right"/>
    </xf>
    <xf numFmtId="166" fontId="0" fillId="38" borderId="0" xfId="0" applyNumberFormat="1" applyFill="1"/>
    <xf numFmtId="0" fontId="26" fillId="37" borderId="0" xfId="0" applyFont="1" applyFill="1" applyBorder="1" applyAlignment="1">
      <alignment horizontal="left"/>
    </xf>
    <xf numFmtId="2" fontId="5" fillId="0" borderId="0" xfId="0" applyNumberFormat="1" applyFont="1" applyFill="1" applyBorder="1" applyAlignment="1"/>
    <xf numFmtId="0" fontId="6" fillId="36" borderId="18" xfId="0" applyFont="1" applyFill="1" applyBorder="1" applyAlignment="1">
      <alignment horizontal="center" vertical="center" wrapText="1"/>
    </xf>
    <xf numFmtId="2" fontId="5" fillId="0" borderId="19" xfId="0" applyNumberFormat="1" applyFont="1" applyFill="1" applyBorder="1" applyAlignment="1"/>
    <xf numFmtId="0" fontId="6" fillId="36" borderId="0" xfId="0" applyFont="1" applyFill="1"/>
    <xf numFmtId="0" fontId="6" fillId="36" borderId="18" xfId="0" applyFont="1" applyFill="1" applyBorder="1" applyAlignment="1">
      <alignment vertical="center"/>
    </xf>
    <xf numFmtId="0" fontId="6" fillId="38" borderId="0" xfId="0" applyFont="1" applyFill="1"/>
    <xf numFmtId="170" fontId="6" fillId="36" borderId="0" xfId="0" applyNumberFormat="1" applyFont="1" applyFill="1"/>
    <xf numFmtId="170" fontId="6" fillId="38" borderId="0" xfId="0" applyNumberFormat="1" applyFont="1" applyFill="1"/>
    <xf numFmtId="166" fontId="6" fillId="36" borderId="0" xfId="0" applyNumberFormat="1" applyFont="1" applyFill="1"/>
    <xf numFmtId="0" fontId="6" fillId="39" borderId="20" xfId="0" applyFont="1" applyFill="1" applyBorder="1" applyAlignment="1">
      <alignment vertical="center"/>
    </xf>
    <xf numFmtId="0" fontId="0" fillId="39" borderId="20" xfId="0" applyFill="1" applyBorder="1" applyAlignment="1">
      <alignment horizontal="center" vertical="center"/>
    </xf>
    <xf numFmtId="0" fontId="6" fillId="39" borderId="20" xfId="0" applyFont="1" applyFill="1" applyBorder="1" applyAlignment="1">
      <alignment horizontal="center" vertical="center" wrapText="1"/>
    </xf>
    <xf numFmtId="0" fontId="6" fillId="39" borderId="17" xfId="0" applyFont="1" applyFill="1" applyBorder="1" applyAlignment="1">
      <alignment horizontal="center"/>
    </xf>
    <xf numFmtId="0" fontId="6" fillId="39" borderId="17" xfId="0" applyFont="1" applyFill="1" applyBorder="1" applyAlignment="1">
      <alignment horizontal="center" vertical="center" wrapText="1"/>
    </xf>
    <xf numFmtId="0" fontId="7" fillId="39" borderId="18" xfId="0" applyFont="1" applyFill="1" applyBorder="1"/>
    <xf numFmtId="0" fontId="7" fillId="36" borderId="20" xfId="0" quotePrefix="1" applyFont="1" applyFill="1" applyBorder="1" applyAlignment="1">
      <alignment horizontal="left"/>
    </xf>
    <xf numFmtId="0" fontId="7" fillId="36" borderId="20" xfId="0" applyFont="1" applyFill="1" applyBorder="1" applyAlignment="1">
      <alignment horizontal="left"/>
    </xf>
    <xf numFmtId="0" fontId="0" fillId="36" borderId="20" xfId="0" applyFill="1" applyBorder="1"/>
    <xf numFmtId="0" fontId="6" fillId="36" borderId="18" xfId="0" applyFont="1" applyFill="1" applyBorder="1" applyAlignment="1">
      <alignment horizontal="left" vertical="center" wrapText="1"/>
    </xf>
    <xf numFmtId="0" fontId="6" fillId="36" borderId="20" xfId="0" applyFont="1" applyFill="1" applyBorder="1" applyAlignment="1">
      <alignment horizontal="center"/>
    </xf>
    <xf numFmtId="0" fontId="6" fillId="36" borderId="20" xfId="0" applyFont="1" applyFill="1" applyBorder="1" applyAlignment="1">
      <alignment horizontal="center" vertical="center" wrapText="1"/>
    </xf>
    <xf numFmtId="0" fontId="29" fillId="36" borderId="18" xfId="60" applyFont="1" applyFill="1" applyBorder="1" applyAlignment="1">
      <alignment horizontal="center" vertical="center" wrapText="1"/>
    </xf>
    <xf numFmtId="0" fontId="30" fillId="41" borderId="0" xfId="0" applyFont="1" applyFill="1"/>
    <xf numFmtId="0" fontId="25" fillId="36" borderId="15" xfId="0" applyFont="1" applyFill="1" applyBorder="1" applyAlignment="1">
      <alignment horizontal="left" vertical="center" wrapText="1"/>
    </xf>
    <xf numFmtId="0" fontId="0" fillId="36" borderId="15" xfId="0" applyFill="1" applyBorder="1"/>
    <xf numFmtId="170" fontId="0" fillId="38" borderId="0" xfId="0" applyNumberFormat="1" applyFill="1"/>
    <xf numFmtId="170" fontId="0" fillId="0" borderId="0" xfId="0" applyNumberFormat="1"/>
    <xf numFmtId="0" fontId="6" fillId="36" borderId="16" xfId="0" applyFont="1" applyFill="1" applyBorder="1" applyAlignment="1">
      <alignment horizontal="left" vertical="center" wrapText="1"/>
    </xf>
    <xf numFmtId="0" fontId="7" fillId="36" borderId="18" xfId="0" quotePrefix="1" applyFont="1" applyFill="1" applyBorder="1" applyAlignment="1">
      <alignment horizontal="left"/>
    </xf>
    <xf numFmtId="0" fontId="7" fillId="36" borderId="18" xfId="0" applyFont="1" applyFill="1" applyBorder="1" applyAlignment="1">
      <alignment horizontal="left"/>
    </xf>
    <xf numFmtId="0" fontId="0" fillId="36" borderId="18" xfId="0" applyFill="1" applyBorder="1"/>
    <xf numFmtId="0" fontId="5" fillId="0" borderId="0" xfId="0" applyFont="1" applyFill="1"/>
    <xf numFmtId="0" fontId="7" fillId="36" borderId="0" xfId="0" applyFont="1" applyFill="1"/>
    <xf numFmtId="0" fontId="6" fillId="36" borderId="18" xfId="0" applyFont="1" applyFill="1" applyBorder="1" applyAlignment="1">
      <alignment vertical="center" wrapText="1"/>
    </xf>
    <xf numFmtId="0" fontId="42" fillId="0" borderId="0" xfId="0" applyFont="1"/>
    <xf numFmtId="177" fontId="5" fillId="0" borderId="0" xfId="0" applyNumberFormat="1" applyFont="1"/>
    <xf numFmtId="177" fontId="0" fillId="0" borderId="0" xfId="0" applyNumberFormat="1"/>
    <xf numFmtId="177" fontId="7" fillId="36" borderId="13" xfId="0" applyNumberFormat="1" applyFont="1" applyFill="1" applyBorder="1"/>
    <xf numFmtId="177" fontId="7" fillId="36" borderId="18" xfId="0" applyNumberFormat="1" applyFont="1" applyFill="1" applyBorder="1"/>
    <xf numFmtId="177" fontId="7" fillId="36" borderId="21" xfId="0" applyNumberFormat="1" applyFont="1" applyFill="1" applyBorder="1"/>
    <xf numFmtId="177" fontId="0" fillId="0" borderId="0" xfId="0" quotePrefix="1" applyNumberFormat="1"/>
    <xf numFmtId="177" fontId="42" fillId="0" borderId="0" xfId="0" applyNumberFormat="1" applyFont="1"/>
    <xf numFmtId="177" fontId="6" fillId="0" borderId="0" xfId="0" quotePrefix="1" applyNumberFormat="1" applyFont="1"/>
    <xf numFmtId="177" fontId="6" fillId="0" borderId="0" xfId="0" applyNumberFormat="1" applyFont="1"/>
    <xf numFmtId="0" fontId="49" fillId="36" borderId="0" xfId="0" applyFont="1" applyFill="1"/>
    <xf numFmtId="170" fontId="49" fillId="36" borderId="0" xfId="0" applyNumberFormat="1" applyFont="1" applyFill="1"/>
    <xf numFmtId="0" fontId="26" fillId="36" borderId="15" xfId="61" applyFont="1" applyFill="1" applyBorder="1" applyAlignment="1">
      <alignment horizontal="center" vertical="center" wrapText="1"/>
    </xf>
    <xf numFmtId="177" fontId="0" fillId="37" borderId="0" xfId="0" applyNumberFormat="1" applyFill="1"/>
    <xf numFmtId="0" fontId="6" fillId="42" borderId="0" xfId="0" applyFont="1" applyFill="1"/>
    <xf numFmtId="170" fontId="6" fillId="42" borderId="0" xfId="0" applyNumberFormat="1" applyFont="1" applyFill="1"/>
    <xf numFmtId="0" fontId="48" fillId="0" borderId="0" xfId="50"/>
    <xf numFmtId="167" fontId="0" fillId="0" borderId="0" xfId="0" applyNumberFormat="1"/>
    <xf numFmtId="9" fontId="0" fillId="0" borderId="0" xfId="72" applyFont="1"/>
    <xf numFmtId="0" fontId="6" fillId="36" borderId="18" xfId="0" quotePrefix="1" applyFont="1" applyFill="1" applyBorder="1" applyAlignment="1">
      <alignment horizontal="center" vertical="center" wrapText="1"/>
    </xf>
    <xf numFmtId="0" fontId="26" fillId="36" borderId="0" xfId="0" applyFont="1" applyFill="1" applyBorder="1"/>
    <xf numFmtId="0" fontId="26" fillId="37" borderId="0" xfId="0" applyFont="1" applyFill="1"/>
    <xf numFmtId="0" fontId="26" fillId="36" borderId="15" xfId="0" applyFont="1" applyFill="1" applyBorder="1" applyAlignment="1">
      <alignment horizontal="center" vertical="center" wrapText="1"/>
    </xf>
    <xf numFmtId="177" fontId="40" fillId="36" borderId="21" xfId="0" applyNumberFormat="1" applyFont="1" applyFill="1" applyBorder="1"/>
    <xf numFmtId="177" fontId="40" fillId="36" borderId="18" xfId="0" applyNumberFormat="1" applyFont="1" applyFill="1" applyBorder="1"/>
    <xf numFmtId="177" fontId="40" fillId="36" borderId="13" xfId="0" applyNumberFormat="1" applyFont="1" applyFill="1" applyBorder="1"/>
    <xf numFmtId="177" fontId="71" fillId="0" borderId="0" xfId="0" applyNumberFormat="1" applyFont="1"/>
    <xf numFmtId="177" fontId="26" fillId="0" borderId="0" xfId="0" applyNumberFormat="1" applyFont="1"/>
    <xf numFmtId="0" fontId="26" fillId="0" borderId="0" xfId="0" applyFont="1" applyFill="1" applyBorder="1"/>
    <xf numFmtId="0" fontId="0" fillId="0" borderId="4" xfId="0" applyBorder="1"/>
    <xf numFmtId="0" fontId="0" fillId="40" borderId="4" xfId="0" applyFill="1" applyBorder="1"/>
    <xf numFmtId="0" fontId="72" fillId="40" borderId="4" xfId="0" applyFont="1" applyFill="1" applyBorder="1"/>
    <xf numFmtId="170" fontId="41" fillId="40" borderId="4" xfId="0" applyNumberFormat="1" applyFont="1" applyFill="1" applyBorder="1"/>
    <xf numFmtId="171" fontId="0" fillId="0" borderId="0" xfId="0" applyNumberFormat="1"/>
    <xf numFmtId="0" fontId="40" fillId="41" borderId="0" xfId="0" applyFont="1" applyFill="1" applyBorder="1" applyAlignment="1">
      <alignment horizontal="left"/>
    </xf>
    <xf numFmtId="0" fontId="26" fillId="41" borderId="0" xfId="0" applyFont="1" applyFill="1" applyBorder="1"/>
    <xf numFmtId="177" fontId="40" fillId="41" borderId="0" xfId="0" applyNumberFormat="1" applyFont="1" applyFill="1"/>
    <xf numFmtId="0" fontId="26" fillId="75" borderId="15" xfId="0" applyFont="1" applyFill="1" applyBorder="1" applyAlignment="1">
      <alignment horizontal="center" vertical="center" wrapText="1"/>
    </xf>
    <xf numFmtId="0" fontId="40" fillId="0" borderId="0" xfId="0" applyFont="1" applyFill="1" applyBorder="1"/>
    <xf numFmtId="0" fontId="0" fillId="41" borderId="0" xfId="0" applyFill="1"/>
    <xf numFmtId="0" fontId="6" fillId="41" borderId="0" xfId="0" applyFont="1" applyFill="1"/>
    <xf numFmtId="0" fontId="0" fillId="76" borderId="0" xfId="0" applyFill="1"/>
    <xf numFmtId="9" fontId="26" fillId="0" borderId="0" xfId="0" applyNumberFormat="1" applyFont="1" applyFill="1" applyBorder="1"/>
    <xf numFmtId="10" fontId="26" fillId="0" borderId="0" xfId="0" applyNumberFormat="1" applyFont="1" applyFill="1" applyBorder="1"/>
    <xf numFmtId="2" fontId="26" fillId="41" borderId="0" xfId="0" applyNumberFormat="1" applyFont="1" applyFill="1" applyBorder="1"/>
    <xf numFmtId="177" fontId="40" fillId="78" borderId="0" xfId="0" applyNumberFormat="1" applyFont="1" applyFill="1"/>
    <xf numFmtId="0" fontId="26" fillId="78" borderId="0" xfId="0" applyFont="1" applyFill="1" applyBorder="1"/>
    <xf numFmtId="0" fontId="26" fillId="0" borderId="0" xfId="0" applyFont="1"/>
    <xf numFmtId="0" fontId="71" fillId="0" borderId="0" xfId="0" applyNumberFormat="1" applyFont="1" applyFill="1" applyBorder="1" applyAlignment="1">
      <alignment horizontal="left" wrapText="1"/>
    </xf>
    <xf numFmtId="0" fontId="40" fillId="77" borderId="16" xfId="0" applyFont="1" applyFill="1" applyBorder="1" applyAlignment="1">
      <alignment vertical="center" wrapText="1"/>
    </xf>
    <xf numFmtId="0" fontId="40" fillId="77" borderId="16" xfId="0" applyFont="1" applyFill="1" applyBorder="1" applyAlignment="1">
      <alignment horizontal="right" vertical="center" wrapText="1"/>
    </xf>
    <xf numFmtId="0" fontId="40" fillId="77" borderId="0" xfId="0" applyFont="1" applyFill="1" applyBorder="1" applyAlignment="1">
      <alignment vertical="center" wrapText="1"/>
    </xf>
    <xf numFmtId="0" fontId="26" fillId="41" borderId="0" xfId="0" applyFont="1" applyFill="1"/>
    <xf numFmtId="0" fontId="26" fillId="76" borderId="0" xfId="0" applyFont="1" applyFill="1"/>
    <xf numFmtId="0" fontId="40" fillId="41" borderId="0" xfId="0" applyFont="1" applyFill="1" applyBorder="1"/>
    <xf numFmtId="177" fontId="0" fillId="41" borderId="0" xfId="0" quotePrefix="1" applyNumberFormat="1" applyFill="1"/>
    <xf numFmtId="177" fontId="0" fillId="41" borderId="0" xfId="0" applyNumberFormat="1" applyFill="1"/>
    <xf numFmtId="177" fontId="6" fillId="41" borderId="0" xfId="0" applyNumberFormat="1" applyFont="1" applyFill="1"/>
    <xf numFmtId="170" fontId="0" fillId="41" borderId="0" xfId="0" applyNumberFormat="1" applyFill="1"/>
    <xf numFmtId="0" fontId="7" fillId="41" borderId="0" xfId="0" applyFont="1" applyFill="1"/>
    <xf numFmtId="169" fontId="6" fillId="41" borderId="0" xfId="0" applyNumberFormat="1" applyFont="1" applyFill="1"/>
    <xf numFmtId="0" fontId="49" fillId="41" borderId="0" xfId="0" applyFont="1" applyFill="1" applyBorder="1"/>
    <xf numFmtId="0" fontId="26" fillId="41" borderId="0" xfId="0" applyFont="1" applyFill="1" applyBorder="1" applyAlignment="1">
      <alignment horizontal="left"/>
    </xf>
    <xf numFmtId="0" fontId="0" fillId="41" borderId="0" xfId="0" applyFill="1" applyBorder="1" applyAlignment="1">
      <alignment horizontal="left"/>
    </xf>
    <xf numFmtId="0" fontId="6" fillId="41" borderId="0" xfId="0" applyFont="1" applyFill="1" applyBorder="1"/>
    <xf numFmtId="0" fontId="0" fillId="41" borderId="0" xfId="0" applyFill="1" applyBorder="1" applyAlignment="1">
      <alignment wrapText="1"/>
    </xf>
    <xf numFmtId="166" fontId="0" fillId="41" borderId="0" xfId="0" applyNumberFormat="1" applyFill="1"/>
    <xf numFmtId="2" fontId="0" fillId="41" borderId="0" xfId="0" applyNumberFormat="1" applyFill="1" applyAlignment="1">
      <alignment horizontal="right"/>
    </xf>
    <xf numFmtId="0" fontId="0" fillId="41" borderId="0" xfId="0" applyFill="1" applyAlignment="1">
      <alignment horizontal="center"/>
    </xf>
    <xf numFmtId="169" fontId="0" fillId="41" borderId="0" xfId="0" applyNumberFormat="1" applyFill="1" applyAlignment="1">
      <alignment horizontal="right"/>
    </xf>
    <xf numFmtId="166" fontId="0" fillId="41" borderId="0" xfId="0" applyNumberFormat="1" applyFill="1" applyAlignment="1">
      <alignment horizontal="right"/>
    </xf>
    <xf numFmtId="166" fontId="6" fillId="41" borderId="0" xfId="0" applyNumberFormat="1" applyFont="1" applyFill="1" applyBorder="1" applyAlignment="1">
      <alignment horizontal="right"/>
    </xf>
    <xf numFmtId="166" fontId="0" fillId="41" borderId="0" xfId="0" applyNumberFormat="1" applyFill="1" applyAlignment="1">
      <alignment horizontal="center"/>
    </xf>
    <xf numFmtId="170" fontId="0" fillId="41" borderId="0" xfId="0" applyNumberFormat="1" applyFill="1" applyAlignment="1">
      <alignment horizontal="center"/>
    </xf>
    <xf numFmtId="0" fontId="27" fillId="41" borderId="0" xfId="0" applyFont="1" applyFill="1" applyBorder="1" applyAlignment="1">
      <alignment horizontal="left" vertical="center"/>
    </xf>
    <xf numFmtId="0" fontId="40" fillId="78" borderId="0" xfId="0" applyFont="1" applyFill="1" applyBorder="1"/>
    <xf numFmtId="0" fontId="40" fillId="41" borderId="0" xfId="0" applyFont="1" applyFill="1"/>
    <xf numFmtId="177" fontId="26" fillId="41" borderId="0" xfId="0" quotePrefix="1" applyNumberFormat="1" applyFont="1" applyFill="1"/>
    <xf numFmtId="177" fontId="26" fillId="41" borderId="0" xfId="0" applyNumberFormat="1" applyFont="1" applyFill="1"/>
    <xf numFmtId="0" fontId="70" fillId="41" borderId="0" xfId="139" applyFont="1" applyFill="1"/>
    <xf numFmtId="0" fontId="70" fillId="41" borderId="0" xfId="276" applyFont="1" applyFill="1"/>
    <xf numFmtId="0" fontId="0" fillId="78" borderId="0" xfId="0" applyFill="1"/>
    <xf numFmtId="0" fontId="0" fillId="41" borderId="0" xfId="0" applyFill="1" applyBorder="1"/>
    <xf numFmtId="0" fontId="6" fillId="41" borderId="0" xfId="0" applyFont="1" applyFill="1" applyBorder="1" applyAlignment="1">
      <alignment horizontal="left"/>
    </xf>
    <xf numFmtId="2" fontId="0" fillId="41" borderId="0" xfId="0" applyNumberFormat="1" applyFill="1" applyBorder="1"/>
    <xf numFmtId="0" fontId="5" fillId="41" borderId="0" xfId="0" quotePrefix="1" applyFont="1" applyFill="1" applyBorder="1" applyAlignment="1">
      <alignment horizontal="left"/>
    </xf>
    <xf numFmtId="0" fontId="6" fillId="41" borderId="0" xfId="0" applyFont="1" applyFill="1" applyBorder="1" applyAlignment="1">
      <alignment horizontal="left" wrapText="1"/>
    </xf>
    <xf numFmtId="0" fontId="27" fillId="41" borderId="0" xfId="0" applyFont="1" applyFill="1" applyBorder="1" applyAlignment="1">
      <alignment horizontal="center" vertical="center"/>
    </xf>
    <xf numFmtId="0" fontId="7" fillId="41" borderId="0" xfId="0" applyFont="1" applyFill="1" applyBorder="1"/>
    <xf numFmtId="0" fontId="27" fillId="0" borderId="0" xfId="0" applyFont="1" applyFill="1" applyBorder="1" applyAlignment="1">
      <alignment horizontal="left" vertical="center"/>
    </xf>
    <xf numFmtId="0" fontId="27" fillId="0" borderId="0" xfId="0" applyFont="1" applyFill="1" applyBorder="1" applyAlignment="1">
      <alignment horizontal="center" vertical="center"/>
    </xf>
    <xf numFmtId="2" fontId="0" fillId="41" borderId="0" xfId="0" applyNumberFormat="1" applyFill="1"/>
    <xf numFmtId="0" fontId="25" fillId="41" borderId="0" xfId="0" applyFont="1" applyFill="1"/>
    <xf numFmtId="169" fontId="0" fillId="41" borderId="0" xfId="0" applyNumberFormat="1" applyFill="1" applyAlignment="1">
      <alignment horizontal="center"/>
    </xf>
    <xf numFmtId="0" fontId="40" fillId="78" borderId="0" xfId="0" applyFont="1" applyFill="1"/>
    <xf numFmtId="0" fontId="26" fillId="78" borderId="0" xfId="0" applyFont="1" applyFill="1"/>
    <xf numFmtId="0" fontId="75" fillId="41" borderId="0" xfId="0" applyFont="1" applyFill="1"/>
    <xf numFmtId="0" fontId="75" fillId="78" borderId="0" xfId="0" applyFont="1" applyFill="1"/>
    <xf numFmtId="9" fontId="26" fillId="0" borderId="0" xfId="0" applyNumberFormat="1" applyFont="1"/>
    <xf numFmtId="0" fontId="26" fillId="0" borderId="0" xfId="0" applyFont="1" applyFill="1"/>
    <xf numFmtId="177" fontId="26" fillId="0" borderId="0" xfId="0" applyNumberFormat="1" applyFont="1" applyFill="1"/>
    <xf numFmtId="182" fontId="26" fillId="0" borderId="0" xfId="0" applyNumberFormat="1" applyFont="1" applyFill="1"/>
    <xf numFmtId="2" fontId="26" fillId="0" borderId="0" xfId="0" applyNumberFormat="1" applyFont="1" applyFill="1"/>
    <xf numFmtId="9" fontId="26" fillId="0" borderId="0" xfId="0" applyNumberFormat="1" applyFont="1" applyFill="1"/>
    <xf numFmtId="0" fontId="26" fillId="0" borderId="0" xfId="0" applyFont="1" applyFill="1" applyBorder="1" applyAlignment="1">
      <alignment wrapText="1"/>
    </xf>
    <xf numFmtId="170" fontId="26" fillId="0" borderId="0" xfId="0" applyNumberFormat="1" applyFont="1" applyFill="1"/>
    <xf numFmtId="183" fontId="26" fillId="0" borderId="0" xfId="386" applyNumberFormat="1" applyFont="1" applyFill="1"/>
    <xf numFmtId="2" fontId="71" fillId="0" borderId="19" xfId="0" applyNumberFormat="1" applyFont="1" applyFill="1" applyBorder="1" applyAlignment="1"/>
    <xf numFmtId="2" fontId="71" fillId="0" borderId="0" xfId="0" applyNumberFormat="1" applyFont="1" applyFill="1" applyBorder="1" applyAlignment="1"/>
    <xf numFmtId="0" fontId="26" fillId="36" borderId="18" xfId="0" applyFont="1" applyFill="1" applyBorder="1" applyAlignment="1">
      <alignment horizontal="left" vertical="center" wrapText="1"/>
    </xf>
    <xf numFmtId="0" fontId="26" fillId="36" borderId="18" xfId="0" applyFont="1" applyFill="1" applyBorder="1" applyAlignment="1">
      <alignment horizontal="right" vertical="center" wrapText="1"/>
    </xf>
    <xf numFmtId="0" fontId="26" fillId="36" borderId="0" xfId="0" applyFont="1" applyFill="1" applyBorder="1" applyAlignment="1">
      <alignment horizontal="left" vertical="center" wrapText="1"/>
    </xf>
    <xf numFmtId="0" fontId="40" fillId="36" borderId="20" xfId="0" quotePrefix="1" applyFont="1" applyFill="1" applyBorder="1" applyAlignment="1">
      <alignment horizontal="left"/>
    </xf>
    <xf numFmtId="0" fontId="40" fillId="36" borderId="20" xfId="0" applyFont="1" applyFill="1" applyBorder="1" applyAlignment="1">
      <alignment horizontal="left"/>
    </xf>
    <xf numFmtId="0" fontId="26" fillId="36" borderId="20" xfId="0" applyFont="1" applyFill="1" applyBorder="1"/>
    <xf numFmtId="0" fontId="26" fillId="36" borderId="20" xfId="0" applyFont="1" applyFill="1" applyBorder="1" applyAlignment="1">
      <alignment horizontal="right"/>
    </xf>
    <xf numFmtId="0" fontId="26" fillId="36" borderId="20" xfId="0" applyFont="1" applyFill="1" applyBorder="1" applyAlignment="1">
      <alignment horizontal="right" vertical="center" wrapText="1"/>
    </xf>
    <xf numFmtId="0" fontId="26" fillId="36" borderId="0" xfId="0" applyFont="1" applyFill="1" applyBorder="1" applyAlignment="1">
      <alignment wrapText="1"/>
    </xf>
    <xf numFmtId="0" fontId="26" fillId="38" borderId="0" xfId="0" applyFont="1" applyFill="1" applyBorder="1" applyAlignment="1">
      <alignment wrapText="1"/>
    </xf>
    <xf numFmtId="0" fontId="26" fillId="38" borderId="0" xfId="0" applyFont="1" applyFill="1" applyAlignment="1">
      <alignment horizontal="center"/>
    </xf>
    <xf numFmtId="2" fontId="26" fillId="38" borderId="0" xfId="0" applyNumberFormat="1" applyFont="1" applyFill="1" applyBorder="1" applyAlignment="1">
      <alignment wrapText="1"/>
    </xf>
    <xf numFmtId="0" fontId="26" fillId="36" borderId="0" xfId="0" applyFont="1" applyFill="1"/>
    <xf numFmtId="0" fontId="26" fillId="38" borderId="0" xfId="0" applyFont="1" applyFill="1" applyBorder="1"/>
    <xf numFmtId="0" fontId="26" fillId="36" borderId="16" xfId="0" applyFont="1" applyFill="1" applyBorder="1" applyAlignment="1">
      <alignment vertical="center" wrapText="1"/>
    </xf>
    <xf numFmtId="0" fontId="76" fillId="36" borderId="16" xfId="0" applyNumberFormat="1" applyFont="1" applyFill="1" applyBorder="1" applyAlignment="1">
      <alignment horizontal="center" vertical="center" wrapText="1"/>
    </xf>
    <xf numFmtId="0" fontId="26" fillId="36" borderId="0" xfId="0" applyFont="1" applyFill="1" applyBorder="1" applyAlignment="1">
      <alignment vertical="center" wrapText="1"/>
    </xf>
    <xf numFmtId="0" fontId="40" fillId="39" borderId="15" xfId="0" quotePrefix="1" applyFont="1" applyFill="1" applyBorder="1" applyAlignment="1">
      <alignment horizontal="left" vertical="center"/>
    </xf>
    <xf numFmtId="0" fontId="40" fillId="39" borderId="15" xfId="0" applyFont="1" applyFill="1" applyBorder="1" applyAlignment="1">
      <alignment horizontal="left" vertical="center"/>
    </xf>
    <xf numFmtId="0" fontId="26" fillId="39" borderId="15" xfId="0" applyFont="1" applyFill="1" applyBorder="1" applyAlignment="1">
      <alignment horizontal="center" vertical="center" wrapText="1"/>
    </xf>
    <xf numFmtId="0" fontId="26" fillId="36" borderId="0" xfId="0" applyFont="1" applyFill="1" applyBorder="1" applyAlignment="1">
      <alignment horizontal="center"/>
    </xf>
    <xf numFmtId="166" fontId="76" fillId="38" borderId="0" xfId="0" applyNumberFormat="1" applyFont="1" applyFill="1" applyBorder="1" applyAlignment="1">
      <alignment horizontal="center"/>
    </xf>
    <xf numFmtId="0" fontId="75" fillId="36" borderId="0" xfId="0" applyFont="1" applyFill="1"/>
    <xf numFmtId="167" fontId="76" fillId="38" borderId="0" xfId="0" applyNumberFormat="1" applyFont="1" applyFill="1" applyBorder="1" applyAlignment="1">
      <alignment horizontal="center"/>
    </xf>
    <xf numFmtId="0" fontId="26" fillId="38" borderId="0" xfId="0" applyFont="1" applyFill="1"/>
    <xf numFmtId="0" fontId="76" fillId="0" borderId="0" xfId="0" applyNumberFormat="1" applyFont="1" applyFill="1" applyBorder="1" applyAlignment="1">
      <alignment horizontal="right"/>
    </xf>
    <xf numFmtId="0" fontId="26" fillId="36" borderId="16" xfId="0" applyFont="1" applyFill="1" applyBorder="1" applyAlignment="1">
      <alignment horizontal="center" vertical="center" wrapText="1"/>
    </xf>
    <xf numFmtId="0" fontId="40" fillId="36" borderId="15" xfId="0" quotePrefix="1" applyFont="1" applyFill="1" applyBorder="1" applyAlignment="1">
      <alignment horizontal="left" vertical="center"/>
    </xf>
    <xf numFmtId="0" fontId="40" fillId="36" borderId="15" xfId="0" applyFont="1" applyFill="1" applyBorder="1" applyAlignment="1">
      <alignment horizontal="left" vertical="center"/>
    </xf>
    <xf numFmtId="2" fontId="76" fillId="38" borderId="0" xfId="0" applyNumberFormat="1" applyFont="1" applyFill="1" applyBorder="1" applyAlignment="1">
      <alignment horizontal="center"/>
    </xf>
    <xf numFmtId="2" fontId="76" fillId="0" borderId="0" xfId="0" applyNumberFormat="1" applyFont="1" applyFill="1" applyBorder="1" applyAlignment="1">
      <alignment horizontal="center"/>
    </xf>
    <xf numFmtId="0" fontId="71" fillId="0" borderId="0" xfId="0" applyNumberFormat="1" applyFont="1" applyFill="1" applyBorder="1" applyAlignment="1">
      <alignment horizontal="left"/>
    </xf>
    <xf numFmtId="0" fontId="77" fillId="36" borderId="16" xfId="43" applyFont="1" applyFill="1" applyBorder="1" applyAlignment="1" applyProtection="1">
      <alignment horizontal="center" vertical="center" wrapText="1"/>
    </xf>
    <xf numFmtId="166" fontId="26" fillId="38" borderId="0" xfId="0" applyNumberFormat="1" applyFont="1" applyFill="1"/>
    <xf numFmtId="0" fontId="26" fillId="36" borderId="0" xfId="0" applyFont="1" applyFill="1" applyBorder="1" applyAlignment="1">
      <alignment horizontal="center" wrapText="1"/>
    </xf>
    <xf numFmtId="169" fontId="76" fillId="38" borderId="0" xfId="0" applyNumberFormat="1" applyFont="1" applyFill="1" applyBorder="1" applyAlignment="1">
      <alignment horizontal="center"/>
    </xf>
    <xf numFmtId="0" fontId="40" fillId="0" borderId="0" xfId="0" applyFont="1" applyFill="1" applyBorder="1" applyAlignment="1">
      <alignment vertical="center" wrapText="1"/>
    </xf>
    <xf numFmtId="0" fontId="40" fillId="0" borderId="0" xfId="0" applyFont="1" applyFill="1" applyBorder="1" applyAlignment="1">
      <alignment horizontal="right" vertical="center" wrapText="1"/>
    </xf>
    <xf numFmtId="2" fontId="26" fillId="0" borderId="0" xfId="0" applyNumberFormat="1" applyFont="1" applyFill="1" applyBorder="1"/>
    <xf numFmtId="177" fontId="26" fillId="0" borderId="0" xfId="0" applyNumberFormat="1" applyFont="1" applyFill="1" applyBorder="1"/>
    <xf numFmtId="177" fontId="78" fillId="79" borderId="0" xfId="0" applyNumberFormat="1" applyFont="1" applyFill="1"/>
    <xf numFmtId="177" fontId="79" fillId="79" borderId="0" xfId="0" applyNumberFormat="1" applyFont="1" applyFill="1"/>
    <xf numFmtId="177" fontId="79" fillId="79" borderId="15" xfId="0" applyNumberFormat="1" applyFont="1" applyFill="1" applyBorder="1"/>
    <xf numFmtId="177" fontId="79" fillId="79" borderId="15" xfId="0" applyNumberFormat="1" applyFont="1" applyFill="1" applyBorder="1" applyAlignment="1">
      <alignment horizontal="center"/>
    </xf>
    <xf numFmtId="177" fontId="79" fillId="79" borderId="0" xfId="0" quotePrefix="1" applyNumberFormat="1" applyFont="1" applyFill="1"/>
    <xf numFmtId="0" fontId="1" fillId="0" borderId="0" xfId="50" applyFont="1"/>
    <xf numFmtId="166" fontId="0" fillId="0" borderId="0" xfId="0" applyNumberFormat="1"/>
    <xf numFmtId="9" fontId="0" fillId="0" borderId="0" xfId="386" applyFont="1"/>
    <xf numFmtId="0" fontId="80" fillId="0" borderId="0" xfId="0" applyFont="1" applyFill="1" applyBorder="1"/>
    <xf numFmtId="2" fontId="80" fillId="41" borderId="0" xfId="0" applyNumberFormat="1" applyFont="1" applyFill="1" applyBorder="1"/>
    <xf numFmtId="0" fontId="80" fillId="78" borderId="0" xfId="0" applyFont="1" applyFill="1" applyBorder="1"/>
    <xf numFmtId="0" fontId="70" fillId="78" borderId="0" xfId="0" applyFont="1" applyFill="1" applyBorder="1"/>
    <xf numFmtId="0" fontId="70" fillId="41" borderId="0" xfId="0" applyFont="1" applyFill="1" applyBorder="1"/>
    <xf numFmtId="0" fontId="80" fillId="41" borderId="0" xfId="0" applyFont="1" applyFill="1" applyBorder="1"/>
    <xf numFmtId="0" fontId="80" fillId="41" borderId="0" xfId="0" applyFont="1" applyFill="1"/>
    <xf numFmtId="0" fontId="80" fillId="78" borderId="0" xfId="0" applyFont="1" applyFill="1"/>
    <xf numFmtId="177" fontId="73" fillId="0" borderId="0" xfId="0" applyNumberFormat="1" applyFont="1" applyFill="1" applyBorder="1"/>
    <xf numFmtId="177" fontId="73" fillId="77" borderId="0" xfId="0" applyNumberFormat="1" applyFont="1" applyFill="1"/>
    <xf numFmtId="0" fontId="70" fillId="41" borderId="0" xfId="0" applyFont="1" applyFill="1"/>
    <xf numFmtId="2" fontId="70" fillId="41" borderId="0" xfId="0" applyNumberFormat="1" applyFont="1" applyFill="1" applyBorder="1"/>
    <xf numFmtId="0" fontId="70" fillId="78" borderId="0" xfId="0" applyFont="1" applyFill="1"/>
    <xf numFmtId="177" fontId="73" fillId="80" borderId="0" xfId="0" applyNumberFormat="1" applyFont="1" applyFill="1"/>
    <xf numFmtId="0" fontId="26" fillId="75" borderId="0" xfId="0" applyFont="1" applyFill="1" applyBorder="1" applyAlignment="1">
      <alignment horizontal="center" vertical="center" wrapText="1"/>
    </xf>
    <xf numFmtId="167" fontId="70" fillId="41" borderId="0" xfId="0" applyNumberFormat="1" applyFont="1" applyFill="1" applyBorder="1"/>
    <xf numFmtId="167" fontId="70" fillId="78" borderId="0" xfId="0" applyNumberFormat="1" applyFont="1" applyFill="1" applyBorder="1"/>
    <xf numFmtId="2" fontId="0" fillId="0" borderId="0" xfId="0" applyNumberFormat="1"/>
    <xf numFmtId="166" fontId="70" fillId="41" borderId="0" xfId="0" applyNumberFormat="1" applyFont="1" applyFill="1" applyBorder="1"/>
    <xf numFmtId="167" fontId="0" fillId="41" borderId="0" xfId="0" applyNumberFormat="1" applyFill="1"/>
    <xf numFmtId="2" fontId="0" fillId="41" borderId="0" xfId="386" applyNumberFormat="1" applyFont="1" applyFill="1"/>
    <xf numFmtId="2" fontId="26" fillId="78" borderId="0" xfId="0" applyNumberFormat="1" applyFont="1" applyFill="1"/>
    <xf numFmtId="2" fontId="26" fillId="41" borderId="0" xfId="0" applyNumberFormat="1" applyFont="1" applyFill="1"/>
    <xf numFmtId="166" fontId="70" fillId="41" borderId="0" xfId="0" applyNumberFormat="1" applyFont="1" applyFill="1"/>
    <xf numFmtId="167" fontId="26" fillId="41" borderId="0" xfId="0" applyNumberFormat="1" applyFont="1" applyFill="1"/>
    <xf numFmtId="166" fontId="26" fillId="41" borderId="0" xfId="0" applyNumberFormat="1" applyFont="1" applyFill="1"/>
    <xf numFmtId="1" fontId="0" fillId="41" borderId="0" xfId="0" applyNumberFormat="1" applyFill="1"/>
    <xf numFmtId="1" fontId="26" fillId="41" borderId="0" xfId="0" applyNumberFormat="1" applyFont="1" applyFill="1"/>
    <xf numFmtId="166" fontId="26" fillId="41" borderId="0" xfId="0" applyNumberFormat="1" applyFont="1" applyFill="1" applyBorder="1"/>
    <xf numFmtId="166" fontId="70" fillId="78" borderId="0" xfId="0" applyNumberFormat="1" applyFont="1" applyFill="1"/>
    <xf numFmtId="2" fontId="70" fillId="78" borderId="0" xfId="0" applyNumberFormat="1" applyFont="1" applyFill="1" applyBorder="1"/>
    <xf numFmtId="167" fontId="0" fillId="78" borderId="0" xfId="0" applyNumberFormat="1" applyFill="1"/>
    <xf numFmtId="2" fontId="0" fillId="78" borderId="0" xfId="0" applyNumberFormat="1" applyFill="1"/>
    <xf numFmtId="1" fontId="0" fillId="78" borderId="0" xfId="0" applyNumberFormat="1" applyFill="1"/>
    <xf numFmtId="166" fontId="70" fillId="78" borderId="0" xfId="0" applyNumberFormat="1" applyFont="1" applyFill="1" applyBorder="1"/>
    <xf numFmtId="166" fontId="0" fillId="78" borderId="0" xfId="0" applyNumberFormat="1" applyFill="1"/>
    <xf numFmtId="2" fontId="70" fillId="78" borderId="0" xfId="0" applyNumberFormat="1" applyFont="1" applyFill="1"/>
    <xf numFmtId="2" fontId="70" fillId="41" borderId="0" xfId="0" applyNumberFormat="1" applyFont="1" applyFill="1"/>
    <xf numFmtId="0" fontId="26" fillId="78" borderId="19" xfId="0" applyFont="1" applyFill="1" applyBorder="1"/>
    <xf numFmtId="0" fontId="70" fillId="78" borderId="19" xfId="0" applyFont="1" applyFill="1" applyBorder="1"/>
    <xf numFmtId="2" fontId="70" fillId="78" borderId="19" xfId="0" applyNumberFormat="1" applyFont="1" applyFill="1" applyBorder="1"/>
    <xf numFmtId="167" fontId="0" fillId="78" borderId="19" xfId="0" applyNumberFormat="1" applyFill="1" applyBorder="1"/>
    <xf numFmtId="0" fontId="0" fillId="78" borderId="19" xfId="0" applyFill="1" applyBorder="1"/>
    <xf numFmtId="1" fontId="0" fillId="78" borderId="19" xfId="0" applyNumberFormat="1" applyFill="1" applyBorder="1"/>
    <xf numFmtId="0" fontId="26" fillId="41" borderId="19" xfId="0" applyFont="1" applyFill="1" applyBorder="1"/>
    <xf numFmtId="166" fontId="70" fillId="41" borderId="19" xfId="0" applyNumberFormat="1" applyFont="1" applyFill="1" applyBorder="1"/>
    <xf numFmtId="0" fontId="70" fillId="41" borderId="19" xfId="0" applyFont="1" applyFill="1" applyBorder="1"/>
    <xf numFmtId="2" fontId="70" fillId="41" borderId="19" xfId="0" applyNumberFormat="1" applyFont="1" applyFill="1" applyBorder="1"/>
    <xf numFmtId="167" fontId="0" fillId="41" borderId="19" xfId="0" applyNumberFormat="1" applyFill="1" applyBorder="1"/>
    <xf numFmtId="2" fontId="0" fillId="41" borderId="19" xfId="0" applyNumberFormat="1" applyFill="1" applyBorder="1"/>
    <xf numFmtId="166" fontId="0" fillId="41" borderId="19" xfId="0" applyNumberFormat="1" applyFill="1" applyBorder="1"/>
    <xf numFmtId="1" fontId="0" fillId="41" borderId="19" xfId="0" applyNumberFormat="1" applyFill="1" applyBorder="1"/>
    <xf numFmtId="166" fontId="70" fillId="78" borderId="19" xfId="0" applyNumberFormat="1" applyFont="1" applyFill="1" applyBorder="1"/>
    <xf numFmtId="2" fontId="0" fillId="78" borderId="19" xfId="0" applyNumberFormat="1" applyFill="1" applyBorder="1"/>
    <xf numFmtId="2" fontId="26" fillId="41" borderId="19" xfId="0" applyNumberFormat="1" applyFont="1" applyFill="1" applyBorder="1"/>
    <xf numFmtId="0" fontId="0" fillId="41" borderId="19" xfId="0" applyFill="1" applyBorder="1"/>
    <xf numFmtId="2" fontId="6" fillId="0" borderId="0" xfId="0" applyNumberFormat="1" applyFont="1"/>
    <xf numFmtId="2" fontId="26" fillId="78" borderId="0" xfId="0" applyNumberFormat="1" applyFont="1" applyFill="1" applyBorder="1"/>
    <xf numFmtId="9" fontId="6" fillId="0" borderId="0" xfId="386" applyFont="1"/>
    <xf numFmtId="0" fontId="7" fillId="81" borderId="0" xfId="0" applyFont="1" applyFill="1"/>
    <xf numFmtId="0" fontId="6" fillId="81" borderId="0" xfId="0" applyFont="1" applyFill="1"/>
    <xf numFmtId="9" fontId="0" fillId="81" borderId="0" xfId="386" applyFont="1" applyFill="1"/>
    <xf numFmtId="0" fontId="7" fillId="82" borderId="0" xfId="0" applyFont="1" applyFill="1"/>
    <xf numFmtId="0" fontId="6" fillId="82" borderId="0" xfId="0" applyFont="1" applyFill="1"/>
    <xf numFmtId="9" fontId="0" fillId="82" borderId="0" xfId="386" applyFont="1" applyFill="1"/>
    <xf numFmtId="0" fontId="81" fillId="83" borderId="0" xfId="0" applyFont="1" applyFill="1"/>
    <xf numFmtId="0" fontId="82" fillId="83" borderId="0" xfId="0" applyFont="1" applyFill="1"/>
  </cellXfs>
  <cellStyles count="387">
    <cellStyle name="20% - Accent1" xfId="116" builtinId="30" customBuiltin="1"/>
    <cellStyle name="20% - Accent1 2" xfId="1" xr:uid="{00000000-0005-0000-0000-000001000000}"/>
    <cellStyle name="20% - Accent1 3" xfId="140" xr:uid="{00000000-0005-0000-0000-000002000000}"/>
    <cellStyle name="20% - Accent1 4" xfId="141" xr:uid="{00000000-0005-0000-0000-000003000000}"/>
    <cellStyle name="20% - Accent1 5" xfId="142" xr:uid="{00000000-0005-0000-0000-000004000000}"/>
    <cellStyle name="20% - Accent2" xfId="120" builtinId="34" customBuiltin="1"/>
    <cellStyle name="20% - Accent2 2" xfId="2" xr:uid="{00000000-0005-0000-0000-000006000000}"/>
    <cellStyle name="20% - Accent2 3" xfId="143" xr:uid="{00000000-0005-0000-0000-000007000000}"/>
    <cellStyle name="20% - Accent2 4" xfId="144" xr:uid="{00000000-0005-0000-0000-000008000000}"/>
    <cellStyle name="20% - Accent2 5" xfId="145" xr:uid="{00000000-0005-0000-0000-000009000000}"/>
    <cellStyle name="20% - Accent3" xfId="124" builtinId="38" customBuiltin="1"/>
    <cellStyle name="20% - Accent3 2" xfId="3" xr:uid="{00000000-0005-0000-0000-00000B000000}"/>
    <cellStyle name="20% - Accent3 3" xfId="146" xr:uid="{00000000-0005-0000-0000-00000C000000}"/>
    <cellStyle name="20% - Accent3 4" xfId="147" xr:uid="{00000000-0005-0000-0000-00000D000000}"/>
    <cellStyle name="20% - Accent3 5" xfId="148" xr:uid="{00000000-0005-0000-0000-00000E000000}"/>
    <cellStyle name="20% - Accent4" xfId="128" builtinId="42" customBuiltin="1"/>
    <cellStyle name="20% - Accent4 2" xfId="4" xr:uid="{00000000-0005-0000-0000-000010000000}"/>
    <cellStyle name="20% - Accent4 3" xfId="149" xr:uid="{00000000-0005-0000-0000-000011000000}"/>
    <cellStyle name="20% - Accent4 4" xfId="150" xr:uid="{00000000-0005-0000-0000-000012000000}"/>
    <cellStyle name="20% - Accent4 5" xfId="151" xr:uid="{00000000-0005-0000-0000-000013000000}"/>
    <cellStyle name="20% - Accent5" xfId="132" builtinId="46" customBuiltin="1"/>
    <cellStyle name="20% - Accent5 2" xfId="5" xr:uid="{00000000-0005-0000-0000-000015000000}"/>
    <cellStyle name="20% - Accent5 3" xfId="152" xr:uid="{00000000-0005-0000-0000-000016000000}"/>
    <cellStyle name="20% - Accent5 4" xfId="153" xr:uid="{00000000-0005-0000-0000-000017000000}"/>
    <cellStyle name="20% - Accent5 5" xfId="154" xr:uid="{00000000-0005-0000-0000-000018000000}"/>
    <cellStyle name="20% - Accent6" xfId="136" builtinId="50" customBuiltin="1"/>
    <cellStyle name="20% - Accent6 2" xfId="6" xr:uid="{00000000-0005-0000-0000-00001A000000}"/>
    <cellStyle name="20% - Accent6 3" xfId="155" xr:uid="{00000000-0005-0000-0000-00001B000000}"/>
    <cellStyle name="20% - Accent6 4" xfId="156" xr:uid="{00000000-0005-0000-0000-00001C000000}"/>
    <cellStyle name="20% - Accent6 5" xfId="157" xr:uid="{00000000-0005-0000-0000-00001D000000}"/>
    <cellStyle name="40% - Accent1" xfId="117" builtinId="31" customBuiltin="1"/>
    <cellStyle name="40% - Accent1 2" xfId="7" xr:uid="{00000000-0005-0000-0000-00001F000000}"/>
    <cellStyle name="40% - Accent1 3" xfId="158" xr:uid="{00000000-0005-0000-0000-000020000000}"/>
    <cellStyle name="40% - Accent1 4" xfId="159" xr:uid="{00000000-0005-0000-0000-000021000000}"/>
    <cellStyle name="40% - Accent1 5" xfId="160" xr:uid="{00000000-0005-0000-0000-000022000000}"/>
    <cellStyle name="40% - Accent2" xfId="121" builtinId="35" customBuiltin="1"/>
    <cellStyle name="40% - Accent2 2" xfId="8" xr:uid="{00000000-0005-0000-0000-000024000000}"/>
    <cellStyle name="40% - Accent2 3" xfId="161" xr:uid="{00000000-0005-0000-0000-000025000000}"/>
    <cellStyle name="40% - Accent2 4" xfId="162" xr:uid="{00000000-0005-0000-0000-000026000000}"/>
    <cellStyle name="40% - Accent2 5" xfId="163" xr:uid="{00000000-0005-0000-0000-000027000000}"/>
    <cellStyle name="40% - Accent3" xfId="125" builtinId="39" customBuiltin="1"/>
    <cellStyle name="40% - Accent3 2" xfId="9" xr:uid="{00000000-0005-0000-0000-000029000000}"/>
    <cellStyle name="40% - Accent3 3" xfId="164" xr:uid="{00000000-0005-0000-0000-00002A000000}"/>
    <cellStyle name="40% - Accent3 4" xfId="165" xr:uid="{00000000-0005-0000-0000-00002B000000}"/>
    <cellStyle name="40% - Accent3 5" xfId="166" xr:uid="{00000000-0005-0000-0000-00002C000000}"/>
    <cellStyle name="40% - Accent4" xfId="129" builtinId="43" customBuiltin="1"/>
    <cellStyle name="40% - Accent4 2" xfId="10" xr:uid="{00000000-0005-0000-0000-00002E000000}"/>
    <cellStyle name="40% - Accent4 3" xfId="167" xr:uid="{00000000-0005-0000-0000-00002F000000}"/>
    <cellStyle name="40% - Accent4 4" xfId="168" xr:uid="{00000000-0005-0000-0000-000030000000}"/>
    <cellStyle name="40% - Accent4 5" xfId="169" xr:uid="{00000000-0005-0000-0000-000031000000}"/>
    <cellStyle name="40% - Accent5" xfId="133" builtinId="47" customBuiltin="1"/>
    <cellStyle name="40% - Accent5 2" xfId="11" xr:uid="{00000000-0005-0000-0000-000033000000}"/>
    <cellStyle name="40% - Accent5 3" xfId="170" xr:uid="{00000000-0005-0000-0000-000034000000}"/>
    <cellStyle name="40% - Accent5 4" xfId="171" xr:uid="{00000000-0005-0000-0000-000035000000}"/>
    <cellStyle name="40% - Accent5 5" xfId="172" xr:uid="{00000000-0005-0000-0000-000036000000}"/>
    <cellStyle name="40% - Accent6" xfId="137" builtinId="51" customBuiltin="1"/>
    <cellStyle name="40% - Accent6 2" xfId="12" xr:uid="{00000000-0005-0000-0000-000038000000}"/>
    <cellStyle name="40% - Accent6 3" xfId="173" xr:uid="{00000000-0005-0000-0000-000039000000}"/>
    <cellStyle name="40% - Accent6 4" xfId="174" xr:uid="{00000000-0005-0000-0000-00003A000000}"/>
    <cellStyle name="40% - Accent6 5" xfId="175" xr:uid="{00000000-0005-0000-0000-00003B000000}"/>
    <cellStyle name="5x indented GHG Textfiels" xfId="176" xr:uid="{00000000-0005-0000-0000-00003C000000}"/>
    <cellStyle name="60% - Accent1" xfId="118" builtinId="32" customBuiltin="1"/>
    <cellStyle name="60% - Accent1 2" xfId="13" xr:uid="{00000000-0005-0000-0000-00003E000000}"/>
    <cellStyle name="60% - Accent1 3" xfId="177" xr:uid="{00000000-0005-0000-0000-00003F000000}"/>
    <cellStyle name="60% - Accent1 4" xfId="178" xr:uid="{00000000-0005-0000-0000-000040000000}"/>
    <cellStyle name="60% - Accent1 5" xfId="179" xr:uid="{00000000-0005-0000-0000-000041000000}"/>
    <cellStyle name="60% - Accent2" xfId="122" builtinId="36" customBuiltin="1"/>
    <cellStyle name="60% - Accent2 2" xfId="14" xr:uid="{00000000-0005-0000-0000-000043000000}"/>
    <cellStyle name="60% - Accent2 3" xfId="180" xr:uid="{00000000-0005-0000-0000-000044000000}"/>
    <cellStyle name="60% - Accent2 4" xfId="181" xr:uid="{00000000-0005-0000-0000-000045000000}"/>
    <cellStyle name="60% - Accent2 5" xfId="182" xr:uid="{00000000-0005-0000-0000-000046000000}"/>
    <cellStyle name="60% - Accent3" xfId="126" builtinId="40" customBuiltin="1"/>
    <cellStyle name="60% - Accent3 2" xfId="15" xr:uid="{00000000-0005-0000-0000-000048000000}"/>
    <cellStyle name="60% - Accent3 3" xfId="183" xr:uid="{00000000-0005-0000-0000-000049000000}"/>
    <cellStyle name="60% - Accent3 4" xfId="184" xr:uid="{00000000-0005-0000-0000-00004A000000}"/>
    <cellStyle name="60% - Accent3 5" xfId="185" xr:uid="{00000000-0005-0000-0000-00004B000000}"/>
    <cellStyle name="60% - Accent4" xfId="130" builtinId="44" customBuiltin="1"/>
    <cellStyle name="60% - Accent4 2" xfId="16" xr:uid="{00000000-0005-0000-0000-00004D000000}"/>
    <cellStyle name="60% - Accent4 3" xfId="186" xr:uid="{00000000-0005-0000-0000-00004E000000}"/>
    <cellStyle name="60% - Accent4 4" xfId="187" xr:uid="{00000000-0005-0000-0000-00004F000000}"/>
    <cellStyle name="60% - Accent4 5" xfId="188" xr:uid="{00000000-0005-0000-0000-000050000000}"/>
    <cellStyle name="60% - Accent5" xfId="134" builtinId="48" customBuiltin="1"/>
    <cellStyle name="60% - Accent5 2" xfId="17" xr:uid="{00000000-0005-0000-0000-000052000000}"/>
    <cellStyle name="60% - Accent5 3" xfId="189" xr:uid="{00000000-0005-0000-0000-000053000000}"/>
    <cellStyle name="60% - Accent5 4" xfId="190" xr:uid="{00000000-0005-0000-0000-000054000000}"/>
    <cellStyle name="60% - Accent5 5" xfId="191" xr:uid="{00000000-0005-0000-0000-000055000000}"/>
    <cellStyle name="60% - Accent6" xfId="138" builtinId="52" customBuiltin="1"/>
    <cellStyle name="60% - Accent6 2" xfId="18" xr:uid="{00000000-0005-0000-0000-000057000000}"/>
    <cellStyle name="60% - Accent6 3" xfId="192" xr:uid="{00000000-0005-0000-0000-000058000000}"/>
    <cellStyle name="60% - Accent6 4" xfId="193" xr:uid="{00000000-0005-0000-0000-000059000000}"/>
    <cellStyle name="60% - Accent6 5" xfId="194" xr:uid="{00000000-0005-0000-0000-00005A000000}"/>
    <cellStyle name="Accent1" xfId="115" builtinId="29" customBuiltin="1"/>
    <cellStyle name="Accent1 2" xfId="19" xr:uid="{00000000-0005-0000-0000-00005C000000}"/>
    <cellStyle name="Accent1 3" xfId="195" xr:uid="{00000000-0005-0000-0000-00005D000000}"/>
    <cellStyle name="Accent1 4" xfId="196" xr:uid="{00000000-0005-0000-0000-00005E000000}"/>
    <cellStyle name="Accent1 5" xfId="197" xr:uid="{00000000-0005-0000-0000-00005F000000}"/>
    <cellStyle name="Accent2" xfId="119" builtinId="33" customBuiltin="1"/>
    <cellStyle name="Accent2 2" xfId="20" xr:uid="{00000000-0005-0000-0000-000061000000}"/>
    <cellStyle name="Accent2 3" xfId="198" xr:uid="{00000000-0005-0000-0000-000062000000}"/>
    <cellStyle name="Accent2 4" xfId="199" xr:uid="{00000000-0005-0000-0000-000063000000}"/>
    <cellStyle name="Accent2 5" xfId="200" xr:uid="{00000000-0005-0000-0000-000064000000}"/>
    <cellStyle name="Accent3" xfId="123" builtinId="37" customBuiltin="1"/>
    <cellStyle name="Accent3 2" xfId="21" xr:uid="{00000000-0005-0000-0000-000066000000}"/>
    <cellStyle name="Accent3 3" xfId="201" xr:uid="{00000000-0005-0000-0000-000067000000}"/>
    <cellStyle name="Accent3 4" xfId="202" xr:uid="{00000000-0005-0000-0000-000068000000}"/>
    <cellStyle name="Accent3 5" xfId="203" xr:uid="{00000000-0005-0000-0000-000069000000}"/>
    <cellStyle name="Accent4" xfId="127" builtinId="41" customBuiltin="1"/>
    <cellStyle name="Accent4 2" xfId="22" xr:uid="{00000000-0005-0000-0000-00006B000000}"/>
    <cellStyle name="Accent4 3" xfId="204" xr:uid="{00000000-0005-0000-0000-00006C000000}"/>
    <cellStyle name="Accent4 4" xfId="205" xr:uid="{00000000-0005-0000-0000-00006D000000}"/>
    <cellStyle name="Accent4 5" xfId="206" xr:uid="{00000000-0005-0000-0000-00006E000000}"/>
    <cellStyle name="Accent5" xfId="131" builtinId="45" customBuiltin="1"/>
    <cellStyle name="Accent5 2" xfId="23" xr:uid="{00000000-0005-0000-0000-000070000000}"/>
    <cellStyle name="Accent5 3" xfId="207" xr:uid="{00000000-0005-0000-0000-000071000000}"/>
    <cellStyle name="Accent5 4" xfId="208" xr:uid="{00000000-0005-0000-0000-000072000000}"/>
    <cellStyle name="Accent5 5" xfId="209" xr:uid="{00000000-0005-0000-0000-000073000000}"/>
    <cellStyle name="Accent6" xfId="135" builtinId="49" customBuiltin="1"/>
    <cellStyle name="Accent6 2" xfId="24" xr:uid="{00000000-0005-0000-0000-000075000000}"/>
    <cellStyle name="Accent6 3" xfId="210" xr:uid="{00000000-0005-0000-0000-000076000000}"/>
    <cellStyle name="Accent6 4" xfId="211" xr:uid="{00000000-0005-0000-0000-000077000000}"/>
    <cellStyle name="Accent6 5" xfId="212" xr:uid="{00000000-0005-0000-0000-000078000000}"/>
    <cellStyle name="AggOrange_CRFReport-template" xfId="213" xr:uid="{00000000-0005-0000-0000-000079000000}"/>
    <cellStyle name="AggOrange9_CRFReport-template" xfId="214" xr:uid="{00000000-0005-0000-0000-00007A000000}"/>
    <cellStyle name="Bad" xfId="105" builtinId="27" customBuiltin="1"/>
    <cellStyle name="Bad 2" xfId="25" xr:uid="{00000000-0005-0000-0000-00007C000000}"/>
    <cellStyle name="Bad 3" xfId="215" xr:uid="{00000000-0005-0000-0000-00007D000000}"/>
    <cellStyle name="Bad 4" xfId="216" xr:uid="{00000000-0005-0000-0000-00007E000000}"/>
    <cellStyle name="Bad 5" xfId="217" xr:uid="{00000000-0005-0000-0000-00007F000000}"/>
    <cellStyle name="Calculation" xfId="109" builtinId="22" customBuiltin="1"/>
    <cellStyle name="Calculation 2" xfId="26" xr:uid="{00000000-0005-0000-0000-000081000000}"/>
    <cellStyle name="Calculation 3" xfId="218" xr:uid="{00000000-0005-0000-0000-000082000000}"/>
    <cellStyle name="Calculation 4" xfId="219" xr:uid="{00000000-0005-0000-0000-000083000000}"/>
    <cellStyle name="Calculation 5" xfId="220" xr:uid="{00000000-0005-0000-0000-000084000000}"/>
    <cellStyle name="Check Cell" xfId="111" builtinId="23" customBuiltin="1"/>
    <cellStyle name="Check Cell 2" xfId="27" xr:uid="{00000000-0005-0000-0000-000086000000}"/>
    <cellStyle name="Check Cell 3" xfId="221" xr:uid="{00000000-0005-0000-0000-000087000000}"/>
    <cellStyle name="Check Cell 4" xfId="222" xr:uid="{00000000-0005-0000-0000-000088000000}"/>
    <cellStyle name="Check Cell 5" xfId="223" xr:uid="{00000000-0005-0000-0000-000089000000}"/>
    <cellStyle name="coin" xfId="28" xr:uid="{00000000-0005-0000-0000-00008A000000}"/>
    <cellStyle name="Comma 2" xfId="29" xr:uid="{00000000-0005-0000-0000-00008B000000}"/>
    <cellStyle name="Comma 2 2" xfId="30" xr:uid="{00000000-0005-0000-0000-00008C000000}"/>
    <cellStyle name="Comma 2 2 2" xfId="225" xr:uid="{00000000-0005-0000-0000-00008D000000}"/>
    <cellStyle name="Comma 2 3" xfId="226" xr:uid="{00000000-0005-0000-0000-00008E000000}"/>
    <cellStyle name="Comma 2 3 2" xfId="227" xr:uid="{00000000-0005-0000-0000-00008F000000}"/>
    <cellStyle name="Comma 2 4" xfId="228" xr:uid="{00000000-0005-0000-0000-000090000000}"/>
    <cellStyle name="Comma 2 4 2" xfId="229" xr:uid="{00000000-0005-0000-0000-000091000000}"/>
    <cellStyle name="Comma 2 4 3" xfId="230" xr:uid="{00000000-0005-0000-0000-000092000000}"/>
    <cellStyle name="Comma 2 5" xfId="224" xr:uid="{00000000-0005-0000-0000-000093000000}"/>
    <cellStyle name="Currency 2" xfId="231" xr:uid="{00000000-0005-0000-0000-000094000000}"/>
    <cellStyle name="CustomizationCells" xfId="232" xr:uid="{00000000-0005-0000-0000-000095000000}"/>
    <cellStyle name="donn_normal" xfId="31" xr:uid="{00000000-0005-0000-0000-000096000000}"/>
    <cellStyle name="ent_col_ser" xfId="32" xr:uid="{00000000-0005-0000-0000-000097000000}"/>
    <cellStyle name="entete_source" xfId="33" xr:uid="{00000000-0005-0000-0000-000098000000}"/>
    <cellStyle name="Euro" xfId="34" xr:uid="{00000000-0005-0000-0000-000099000000}"/>
    <cellStyle name="Euro 2" xfId="234" xr:uid="{00000000-0005-0000-0000-00009A000000}"/>
    <cellStyle name="Euro 2 2" xfId="235" xr:uid="{00000000-0005-0000-0000-00009B000000}"/>
    <cellStyle name="Euro 2 2 2" xfId="236" xr:uid="{00000000-0005-0000-0000-00009C000000}"/>
    <cellStyle name="Euro 3" xfId="237" xr:uid="{00000000-0005-0000-0000-00009D000000}"/>
    <cellStyle name="Euro 4" xfId="238" xr:uid="{00000000-0005-0000-0000-00009E000000}"/>
    <cellStyle name="Euro 5" xfId="239" xr:uid="{00000000-0005-0000-0000-00009F000000}"/>
    <cellStyle name="Euro 5 2" xfId="240" xr:uid="{00000000-0005-0000-0000-0000A0000000}"/>
    <cellStyle name="Euro 5 3" xfId="241" xr:uid="{00000000-0005-0000-0000-0000A1000000}"/>
    <cellStyle name="Euro 6" xfId="242" xr:uid="{00000000-0005-0000-0000-0000A2000000}"/>
    <cellStyle name="Euro 7" xfId="243" xr:uid="{00000000-0005-0000-0000-0000A3000000}"/>
    <cellStyle name="Euro 8" xfId="244" xr:uid="{00000000-0005-0000-0000-0000A4000000}"/>
    <cellStyle name="Euro 9" xfId="233" xr:uid="{00000000-0005-0000-0000-0000A5000000}"/>
    <cellStyle name="Explanatory Text" xfId="113" builtinId="53" customBuiltin="1"/>
    <cellStyle name="Explanatory Text 2" xfId="35" xr:uid="{00000000-0005-0000-0000-0000A7000000}"/>
    <cellStyle name="Explanatory Text 3" xfId="245" xr:uid="{00000000-0005-0000-0000-0000A8000000}"/>
    <cellStyle name="Explanatory Text 4" xfId="246" xr:uid="{00000000-0005-0000-0000-0000A9000000}"/>
    <cellStyle name="Explanatory Text 5" xfId="247" xr:uid="{00000000-0005-0000-0000-0000AA000000}"/>
    <cellStyle name="Float" xfId="36" xr:uid="{00000000-0005-0000-0000-0000AB000000}"/>
    <cellStyle name="Float 2" xfId="37" xr:uid="{00000000-0005-0000-0000-0000AC000000}"/>
    <cellStyle name="Good" xfId="104" builtinId="26" customBuiltin="1"/>
    <cellStyle name="Good 2" xfId="38" xr:uid="{00000000-0005-0000-0000-0000AE000000}"/>
    <cellStyle name="Good 3" xfId="248" xr:uid="{00000000-0005-0000-0000-0000AF000000}"/>
    <cellStyle name="Good 4" xfId="249" xr:uid="{00000000-0005-0000-0000-0000B0000000}"/>
    <cellStyle name="Good 5" xfId="250" xr:uid="{00000000-0005-0000-0000-0000B1000000}"/>
    <cellStyle name="Good 6" xfId="251" xr:uid="{00000000-0005-0000-0000-0000B2000000}"/>
    <cellStyle name="Heading 1" xfId="100" builtinId="16" customBuiltin="1"/>
    <cellStyle name="Heading 1 2" xfId="39" xr:uid="{00000000-0005-0000-0000-0000B4000000}"/>
    <cellStyle name="Heading 1 3" xfId="252" xr:uid="{00000000-0005-0000-0000-0000B5000000}"/>
    <cellStyle name="Heading 1 4" xfId="253" xr:uid="{00000000-0005-0000-0000-0000B6000000}"/>
    <cellStyle name="Heading 1 5" xfId="254" xr:uid="{00000000-0005-0000-0000-0000B7000000}"/>
    <cellStyle name="Heading 2" xfId="101" builtinId="17" customBuiltin="1"/>
    <cellStyle name="Heading 2 2" xfId="40" xr:uid="{00000000-0005-0000-0000-0000B9000000}"/>
    <cellStyle name="Heading 2 3" xfId="255" xr:uid="{00000000-0005-0000-0000-0000BA000000}"/>
    <cellStyle name="Heading 2 4" xfId="256" xr:uid="{00000000-0005-0000-0000-0000BB000000}"/>
    <cellStyle name="Heading 2 5" xfId="257" xr:uid="{00000000-0005-0000-0000-0000BC000000}"/>
    <cellStyle name="Heading 3" xfId="102" builtinId="18" customBuiltin="1"/>
    <cellStyle name="Heading 3 2" xfId="41" xr:uid="{00000000-0005-0000-0000-0000BE000000}"/>
    <cellStyle name="Heading 3 3" xfId="258" xr:uid="{00000000-0005-0000-0000-0000BF000000}"/>
    <cellStyle name="Heading 3 4" xfId="259" xr:uid="{00000000-0005-0000-0000-0000C0000000}"/>
    <cellStyle name="Heading 3 5" xfId="260" xr:uid="{00000000-0005-0000-0000-0000C1000000}"/>
    <cellStyle name="Heading 4" xfId="103" builtinId="19" customBuiltin="1"/>
    <cellStyle name="Heading 4 2" xfId="42" xr:uid="{00000000-0005-0000-0000-0000C3000000}"/>
    <cellStyle name="Heading 4 3" xfId="261" xr:uid="{00000000-0005-0000-0000-0000C4000000}"/>
    <cellStyle name="Heading 4 4" xfId="262" xr:uid="{00000000-0005-0000-0000-0000C5000000}"/>
    <cellStyle name="Heading 4 5" xfId="263" xr:uid="{00000000-0005-0000-0000-0000C6000000}"/>
    <cellStyle name="Hyperlink" xfId="43" builtinId="8"/>
    <cellStyle name="Input" xfId="107" builtinId="20" customBuiltin="1"/>
    <cellStyle name="Input 2" xfId="44" xr:uid="{00000000-0005-0000-0000-0000C9000000}"/>
    <cellStyle name="Input 3" xfId="264" xr:uid="{00000000-0005-0000-0000-0000CA000000}"/>
    <cellStyle name="Input 3 2" xfId="265" xr:uid="{00000000-0005-0000-0000-0000CB000000}"/>
    <cellStyle name="Input 4" xfId="266" xr:uid="{00000000-0005-0000-0000-0000CC000000}"/>
    <cellStyle name="Input 5" xfId="267" xr:uid="{00000000-0005-0000-0000-0000CD000000}"/>
    <cellStyle name="InputCells" xfId="268" xr:uid="{00000000-0005-0000-0000-0000CE000000}"/>
    <cellStyle name="ligne_titre_0" xfId="45" xr:uid="{00000000-0005-0000-0000-0000CF000000}"/>
    <cellStyle name="Linked Cell" xfId="110" builtinId="24" customBuiltin="1"/>
    <cellStyle name="Linked Cell 2" xfId="46" xr:uid="{00000000-0005-0000-0000-0000D1000000}"/>
    <cellStyle name="Linked Cell 3" xfId="269" xr:uid="{00000000-0005-0000-0000-0000D2000000}"/>
    <cellStyle name="Linked Cell 4" xfId="270" xr:uid="{00000000-0005-0000-0000-0000D3000000}"/>
    <cellStyle name="Linked Cell 5" xfId="271" xr:uid="{00000000-0005-0000-0000-0000D4000000}"/>
    <cellStyle name="Neutral" xfId="106" builtinId="28" customBuiltin="1"/>
    <cellStyle name="Neutral 2" xfId="47" xr:uid="{00000000-0005-0000-0000-0000D6000000}"/>
    <cellStyle name="Neutral 3" xfId="272" xr:uid="{00000000-0005-0000-0000-0000D7000000}"/>
    <cellStyle name="Neutral 4" xfId="273" xr:uid="{00000000-0005-0000-0000-0000D8000000}"/>
    <cellStyle name="Neutral 5" xfId="274" xr:uid="{00000000-0005-0000-0000-0000D9000000}"/>
    <cellStyle name="Normal" xfId="0" builtinId="0"/>
    <cellStyle name="Normal 10" xfId="48" xr:uid="{00000000-0005-0000-0000-0000DB000000}"/>
    <cellStyle name="Normal 11" xfId="275" xr:uid="{00000000-0005-0000-0000-0000DC000000}"/>
    <cellStyle name="Normal 11 2" xfId="276" xr:uid="{00000000-0005-0000-0000-0000DD000000}"/>
    <cellStyle name="Normal 12" xfId="277" xr:uid="{00000000-0005-0000-0000-0000DE000000}"/>
    <cellStyle name="Normal 13" xfId="139" xr:uid="{00000000-0005-0000-0000-0000DF000000}"/>
    <cellStyle name="Normal 2" xfId="49" xr:uid="{00000000-0005-0000-0000-0000E0000000}"/>
    <cellStyle name="Normal 2 2" xfId="50" xr:uid="{00000000-0005-0000-0000-0000E1000000}"/>
    <cellStyle name="Normal 2 2 2" xfId="279" xr:uid="{00000000-0005-0000-0000-0000E2000000}"/>
    <cellStyle name="Normal 2 2 3" xfId="280" xr:uid="{00000000-0005-0000-0000-0000E3000000}"/>
    <cellStyle name="Normal 2 2 4" xfId="278" xr:uid="{00000000-0005-0000-0000-0000E4000000}"/>
    <cellStyle name="Normal 2 3" xfId="51" xr:uid="{00000000-0005-0000-0000-0000E5000000}"/>
    <cellStyle name="Normal 2 3 2" xfId="282" xr:uid="{00000000-0005-0000-0000-0000E6000000}"/>
    <cellStyle name="Normal 2 3 3" xfId="283" xr:uid="{00000000-0005-0000-0000-0000E7000000}"/>
    <cellStyle name="Normal 2 3 4" xfId="281" xr:uid="{00000000-0005-0000-0000-0000E8000000}"/>
    <cellStyle name="Normal 2 4" xfId="284" xr:uid="{00000000-0005-0000-0000-0000E9000000}"/>
    <cellStyle name="Normal 2 5" xfId="285" xr:uid="{00000000-0005-0000-0000-0000EA000000}"/>
    <cellStyle name="Normal 2 6" xfId="286" xr:uid="{00000000-0005-0000-0000-0000EB000000}"/>
    <cellStyle name="Normal 2 7" xfId="287" xr:uid="{00000000-0005-0000-0000-0000EC000000}"/>
    <cellStyle name="Normal 3" xfId="52" xr:uid="{00000000-0005-0000-0000-0000ED000000}"/>
    <cellStyle name="Normal 3 2" xfId="53" xr:uid="{00000000-0005-0000-0000-0000EE000000}"/>
    <cellStyle name="Normal 3 2 2" xfId="289" xr:uid="{00000000-0005-0000-0000-0000EF000000}"/>
    <cellStyle name="Normal 3 2 3" xfId="288" xr:uid="{00000000-0005-0000-0000-0000F0000000}"/>
    <cellStyle name="Normal 3 3" xfId="54" xr:uid="{00000000-0005-0000-0000-0000F1000000}"/>
    <cellStyle name="Normal 3 4" xfId="290" xr:uid="{00000000-0005-0000-0000-0000F2000000}"/>
    <cellStyle name="Normal 3 4 2" xfId="291" xr:uid="{00000000-0005-0000-0000-0000F3000000}"/>
    <cellStyle name="Normal 3 5" xfId="292" xr:uid="{00000000-0005-0000-0000-0000F4000000}"/>
    <cellStyle name="Normal 3 6" xfId="293" xr:uid="{00000000-0005-0000-0000-0000F5000000}"/>
    <cellStyle name="Normal 4" xfId="294" xr:uid="{00000000-0005-0000-0000-0000F6000000}"/>
    <cellStyle name="Normal 4 2" xfId="55" xr:uid="{00000000-0005-0000-0000-0000F7000000}"/>
    <cellStyle name="Normal 4 2 2" xfId="296" xr:uid="{00000000-0005-0000-0000-0000F8000000}"/>
    <cellStyle name="Normal 4 2 3" xfId="295" xr:uid="{00000000-0005-0000-0000-0000F9000000}"/>
    <cellStyle name="Normal 4 3" xfId="297" xr:uid="{00000000-0005-0000-0000-0000FA000000}"/>
    <cellStyle name="Normal 4 4" xfId="298" xr:uid="{00000000-0005-0000-0000-0000FB000000}"/>
    <cellStyle name="Normal 5" xfId="299" xr:uid="{00000000-0005-0000-0000-0000FC000000}"/>
    <cellStyle name="Normal 5 2" xfId="300" xr:uid="{00000000-0005-0000-0000-0000FD000000}"/>
    <cellStyle name="Normal 5 3" xfId="301" xr:uid="{00000000-0005-0000-0000-0000FE000000}"/>
    <cellStyle name="Normal 5 4" xfId="302" xr:uid="{00000000-0005-0000-0000-0000FF000000}"/>
    <cellStyle name="Normal 5 5" xfId="303" xr:uid="{00000000-0005-0000-0000-000000010000}"/>
    <cellStyle name="Normal 6" xfId="304" xr:uid="{00000000-0005-0000-0000-000001010000}"/>
    <cellStyle name="Normal 6 2" xfId="305" xr:uid="{00000000-0005-0000-0000-000002010000}"/>
    <cellStyle name="Normal 6 2 2" xfId="306" xr:uid="{00000000-0005-0000-0000-000003010000}"/>
    <cellStyle name="Normal 6 3" xfId="307" xr:uid="{00000000-0005-0000-0000-000004010000}"/>
    <cellStyle name="Normal 6 4" xfId="308" xr:uid="{00000000-0005-0000-0000-000005010000}"/>
    <cellStyle name="Normal 7" xfId="56" xr:uid="{00000000-0005-0000-0000-000006010000}"/>
    <cellStyle name="Normal 7 2" xfId="57" xr:uid="{00000000-0005-0000-0000-000007010000}"/>
    <cellStyle name="Normal 8" xfId="58" xr:uid="{00000000-0005-0000-0000-000008010000}"/>
    <cellStyle name="Normal 8 2" xfId="59" xr:uid="{00000000-0005-0000-0000-000009010000}"/>
    <cellStyle name="Normal 9" xfId="309" xr:uid="{00000000-0005-0000-0000-00000A010000}"/>
    <cellStyle name="Normal GHG Numbers (0.00)" xfId="310" xr:uid="{00000000-0005-0000-0000-00000B010000}"/>
    <cellStyle name="Normal GHG Textfiels Bold" xfId="311" xr:uid="{00000000-0005-0000-0000-00000C010000}"/>
    <cellStyle name="Normal GHG-Shade" xfId="312" xr:uid="{00000000-0005-0000-0000-00000D010000}"/>
    <cellStyle name="Normal_SUBRES_B-NTech-BE" xfId="60" xr:uid="{00000000-0005-0000-0000-00000E010000}"/>
    <cellStyle name="Normal_SUBRES_B-NTech-BE 2" xfId="61" xr:uid="{00000000-0005-0000-0000-00000F010000}"/>
    <cellStyle name="Normale_B2020" xfId="62" xr:uid="{00000000-0005-0000-0000-000010010000}"/>
    <cellStyle name="Note 2" xfId="63" xr:uid="{00000000-0005-0000-0000-000011010000}"/>
    <cellStyle name="Note 2 2" xfId="64" xr:uid="{00000000-0005-0000-0000-000012010000}"/>
    <cellStyle name="Note 2 2 2" xfId="314" xr:uid="{00000000-0005-0000-0000-000013010000}"/>
    <cellStyle name="Note 3" xfId="315" xr:uid="{00000000-0005-0000-0000-000014010000}"/>
    <cellStyle name="Note 3 2" xfId="316" xr:uid="{00000000-0005-0000-0000-000015010000}"/>
    <cellStyle name="Note 4" xfId="317" xr:uid="{00000000-0005-0000-0000-000016010000}"/>
    <cellStyle name="Note 4 2" xfId="318" xr:uid="{00000000-0005-0000-0000-000017010000}"/>
    <cellStyle name="Note 4 3" xfId="319" xr:uid="{00000000-0005-0000-0000-000018010000}"/>
    <cellStyle name="Note 5" xfId="320" xr:uid="{00000000-0005-0000-0000-000019010000}"/>
    <cellStyle name="Note 6" xfId="321" xr:uid="{00000000-0005-0000-0000-00001A010000}"/>
    <cellStyle name="Note 6 2" xfId="322" xr:uid="{00000000-0005-0000-0000-00001B010000}"/>
    <cellStyle name="Note 6 3" xfId="323" xr:uid="{00000000-0005-0000-0000-00001C010000}"/>
    <cellStyle name="Note 7" xfId="324" xr:uid="{00000000-0005-0000-0000-00001D010000}"/>
    <cellStyle name="Note 8" xfId="313" xr:uid="{00000000-0005-0000-0000-00001E010000}"/>
    <cellStyle name="num_note" xfId="65" xr:uid="{00000000-0005-0000-0000-00001F010000}"/>
    <cellStyle name="Nuovo" xfId="325" xr:uid="{00000000-0005-0000-0000-000020010000}"/>
    <cellStyle name="Nuovo 2" xfId="326" xr:uid="{00000000-0005-0000-0000-000021010000}"/>
    <cellStyle name="Nuovo 2 2" xfId="327" xr:uid="{00000000-0005-0000-0000-000022010000}"/>
    <cellStyle name="Nuovo 2 3" xfId="328" xr:uid="{00000000-0005-0000-0000-000023010000}"/>
    <cellStyle name="Nuovo 3" xfId="329" xr:uid="{00000000-0005-0000-0000-000024010000}"/>
    <cellStyle name="Nuovo 4" xfId="330" xr:uid="{00000000-0005-0000-0000-000025010000}"/>
    <cellStyle name="Nuovo 5" xfId="331" xr:uid="{00000000-0005-0000-0000-000026010000}"/>
    <cellStyle name="Output" xfId="108" builtinId="21" customBuiltin="1"/>
    <cellStyle name="Output 2" xfId="66" xr:uid="{00000000-0005-0000-0000-000028010000}"/>
    <cellStyle name="Output 3" xfId="332" xr:uid="{00000000-0005-0000-0000-000029010000}"/>
    <cellStyle name="Output 4" xfId="333" xr:uid="{00000000-0005-0000-0000-00002A010000}"/>
    <cellStyle name="Output 5" xfId="334" xr:uid="{00000000-0005-0000-0000-00002B010000}"/>
    <cellStyle name="Percent" xfId="386" builtinId="5"/>
    <cellStyle name="Percent 2" xfId="67" xr:uid="{00000000-0005-0000-0000-00002C010000}"/>
    <cellStyle name="Percent 2 2" xfId="68" xr:uid="{00000000-0005-0000-0000-00002D010000}"/>
    <cellStyle name="Percent 2 2 2" xfId="336" xr:uid="{00000000-0005-0000-0000-00002E010000}"/>
    <cellStyle name="Percent 2 2 3" xfId="337" xr:uid="{00000000-0005-0000-0000-00002F010000}"/>
    <cellStyle name="Percent 2 2 3 2" xfId="338" xr:uid="{00000000-0005-0000-0000-000030010000}"/>
    <cellStyle name="Percent 2 3" xfId="339" xr:uid="{00000000-0005-0000-0000-000031010000}"/>
    <cellStyle name="Percent 2 3 2" xfId="340" xr:uid="{00000000-0005-0000-0000-000032010000}"/>
    <cellStyle name="Percent 2 3 3" xfId="341" xr:uid="{00000000-0005-0000-0000-000033010000}"/>
    <cellStyle name="Percent 2 3 3 2" xfId="342" xr:uid="{00000000-0005-0000-0000-000034010000}"/>
    <cellStyle name="Percent 2 4" xfId="343" xr:uid="{00000000-0005-0000-0000-000035010000}"/>
    <cellStyle name="Percent 2 5" xfId="344" xr:uid="{00000000-0005-0000-0000-000036010000}"/>
    <cellStyle name="Percent 2 5 2" xfId="345" xr:uid="{00000000-0005-0000-0000-000037010000}"/>
    <cellStyle name="Percent 2 5 3" xfId="346" xr:uid="{00000000-0005-0000-0000-000038010000}"/>
    <cellStyle name="Percent 3" xfId="347" xr:uid="{00000000-0005-0000-0000-000039010000}"/>
    <cellStyle name="Percent 3 2" xfId="69" xr:uid="{00000000-0005-0000-0000-00003A010000}"/>
    <cellStyle name="Percent 3 2 2" xfId="349" xr:uid="{00000000-0005-0000-0000-00003B010000}"/>
    <cellStyle name="Percent 3 2 3" xfId="350" xr:uid="{00000000-0005-0000-0000-00003C010000}"/>
    <cellStyle name="Percent 3 2 4" xfId="348" xr:uid="{00000000-0005-0000-0000-00003D010000}"/>
    <cellStyle name="Percent 3 3" xfId="351" xr:uid="{00000000-0005-0000-0000-00003E010000}"/>
    <cellStyle name="Percent 3 3 2" xfId="352" xr:uid="{00000000-0005-0000-0000-00003F010000}"/>
    <cellStyle name="Percent 3 3 3" xfId="353" xr:uid="{00000000-0005-0000-0000-000040010000}"/>
    <cellStyle name="Percent 3 3 3 2" xfId="354" xr:uid="{00000000-0005-0000-0000-000041010000}"/>
    <cellStyle name="Percent 3 4" xfId="355" xr:uid="{00000000-0005-0000-0000-000042010000}"/>
    <cellStyle name="Percent 3 4 2" xfId="356" xr:uid="{00000000-0005-0000-0000-000043010000}"/>
    <cellStyle name="Percent 3 5" xfId="357" xr:uid="{00000000-0005-0000-0000-000044010000}"/>
    <cellStyle name="Percent 3 6" xfId="358" xr:uid="{00000000-0005-0000-0000-000045010000}"/>
    <cellStyle name="Percent 3 6 2" xfId="359" xr:uid="{00000000-0005-0000-0000-000046010000}"/>
    <cellStyle name="Percent 3 6 3" xfId="360" xr:uid="{00000000-0005-0000-0000-000047010000}"/>
    <cellStyle name="Percent 4" xfId="70" xr:uid="{00000000-0005-0000-0000-000048010000}"/>
    <cellStyle name="Percent 4 2" xfId="71" xr:uid="{00000000-0005-0000-0000-000049010000}"/>
    <cellStyle name="Percent 4 2 2" xfId="362" xr:uid="{00000000-0005-0000-0000-00004A010000}"/>
    <cellStyle name="Percent 4 3" xfId="363" xr:uid="{00000000-0005-0000-0000-00004B010000}"/>
    <cellStyle name="Percent 4 4" xfId="364" xr:uid="{00000000-0005-0000-0000-00004C010000}"/>
    <cellStyle name="Percent 4 5" xfId="365" xr:uid="{00000000-0005-0000-0000-00004D010000}"/>
    <cellStyle name="Percent 4 5 2" xfId="366" xr:uid="{00000000-0005-0000-0000-00004E010000}"/>
    <cellStyle name="Percent 4 6" xfId="361" xr:uid="{00000000-0005-0000-0000-00004F010000}"/>
    <cellStyle name="Percent 5" xfId="72" xr:uid="{00000000-0005-0000-0000-000050010000}"/>
    <cellStyle name="Percent 5 2" xfId="368" xr:uid="{00000000-0005-0000-0000-000051010000}"/>
    <cellStyle name="Percent 5 3" xfId="367" xr:uid="{00000000-0005-0000-0000-000052010000}"/>
    <cellStyle name="Percent 6" xfId="369" xr:uid="{00000000-0005-0000-0000-000053010000}"/>
    <cellStyle name="Percent 7" xfId="370" xr:uid="{00000000-0005-0000-0000-000054010000}"/>
    <cellStyle name="Percent 8" xfId="335" xr:uid="{00000000-0005-0000-0000-000055010000}"/>
    <cellStyle name="Pilkku_Layo9704" xfId="73" xr:uid="{00000000-0005-0000-0000-000056010000}"/>
    <cellStyle name="Pyör. luku_Layo9704" xfId="74" xr:uid="{00000000-0005-0000-0000-000057010000}"/>
    <cellStyle name="Pyör. valuutta_Layo9704" xfId="75" xr:uid="{00000000-0005-0000-0000-000058010000}"/>
    <cellStyle name="source" xfId="76" xr:uid="{00000000-0005-0000-0000-000059010000}"/>
    <cellStyle name="source 2" xfId="371" xr:uid="{00000000-0005-0000-0000-00005A010000}"/>
    <cellStyle name="source 3" xfId="372" xr:uid="{00000000-0005-0000-0000-00005B010000}"/>
    <cellStyle name="Style 21" xfId="77" xr:uid="{00000000-0005-0000-0000-00005C010000}"/>
    <cellStyle name="Style 21 2" xfId="78" xr:uid="{00000000-0005-0000-0000-00005D010000}"/>
    <cellStyle name="Style 22" xfId="79" xr:uid="{00000000-0005-0000-0000-00005E010000}"/>
    <cellStyle name="Style 23" xfId="80" xr:uid="{00000000-0005-0000-0000-00005F010000}"/>
    <cellStyle name="Style 24" xfId="81" xr:uid="{00000000-0005-0000-0000-000060010000}"/>
    <cellStyle name="Style 25" xfId="82" xr:uid="{00000000-0005-0000-0000-000061010000}"/>
    <cellStyle name="Style 25 2" xfId="83" xr:uid="{00000000-0005-0000-0000-000062010000}"/>
    <cellStyle name="Style 26" xfId="84" xr:uid="{00000000-0005-0000-0000-000063010000}"/>
    <cellStyle name="tableau | cellule | normal | decimal 1" xfId="85" xr:uid="{00000000-0005-0000-0000-000064010000}"/>
    <cellStyle name="tableau | cellule | normal | pourcentage | decimal 1" xfId="86" xr:uid="{00000000-0005-0000-0000-000065010000}"/>
    <cellStyle name="tableau | cellule | total | decimal 1" xfId="87" xr:uid="{00000000-0005-0000-0000-000066010000}"/>
    <cellStyle name="tableau | coin superieur gauche" xfId="88" xr:uid="{00000000-0005-0000-0000-000067010000}"/>
    <cellStyle name="tableau | entete-colonne | series" xfId="89" xr:uid="{00000000-0005-0000-0000-000068010000}"/>
    <cellStyle name="tableau | entete-ligne | normal" xfId="90" xr:uid="{00000000-0005-0000-0000-000069010000}"/>
    <cellStyle name="tableau | entete-ligne | total" xfId="91" xr:uid="{00000000-0005-0000-0000-00006A010000}"/>
    <cellStyle name="tableau | ligne-titre | niveau1" xfId="92" xr:uid="{00000000-0005-0000-0000-00006B010000}"/>
    <cellStyle name="tableau | ligne-titre | niveau2" xfId="93" xr:uid="{00000000-0005-0000-0000-00006C010000}"/>
    <cellStyle name="Title" xfId="99" builtinId="15" customBuiltin="1"/>
    <cellStyle name="Title 2" xfId="94" xr:uid="{00000000-0005-0000-0000-00006E010000}"/>
    <cellStyle name="Title 2 2" xfId="374" xr:uid="{00000000-0005-0000-0000-00006F010000}"/>
    <cellStyle name="Title 2 3" xfId="373" xr:uid="{00000000-0005-0000-0000-000070010000}"/>
    <cellStyle name="Title 3" xfId="375" xr:uid="{00000000-0005-0000-0000-000071010000}"/>
    <cellStyle name="Title 4" xfId="376" xr:uid="{00000000-0005-0000-0000-000072010000}"/>
    <cellStyle name="Title 5" xfId="377" xr:uid="{00000000-0005-0000-0000-000073010000}"/>
    <cellStyle name="Title 6" xfId="378" xr:uid="{00000000-0005-0000-0000-000074010000}"/>
    <cellStyle name="Total" xfId="114" builtinId="25" customBuiltin="1"/>
    <cellStyle name="Total 2" xfId="95" xr:uid="{00000000-0005-0000-0000-000076010000}"/>
    <cellStyle name="Total 3" xfId="379" xr:uid="{00000000-0005-0000-0000-000077010000}"/>
    <cellStyle name="Total 4" xfId="380" xr:uid="{00000000-0005-0000-0000-000078010000}"/>
    <cellStyle name="Total 5" xfId="381" xr:uid="{00000000-0005-0000-0000-000079010000}"/>
    <cellStyle name="Valuutta_Layo9704" xfId="96" xr:uid="{00000000-0005-0000-0000-00007A010000}"/>
    <cellStyle name="Warning Text" xfId="112" builtinId="11" customBuiltin="1"/>
    <cellStyle name="Warning Text 2" xfId="97" xr:uid="{00000000-0005-0000-0000-00007C010000}"/>
    <cellStyle name="Warning Text 3" xfId="382" xr:uid="{00000000-0005-0000-0000-00007D010000}"/>
    <cellStyle name="Warning Text 4" xfId="383" xr:uid="{00000000-0005-0000-0000-00007E010000}"/>
    <cellStyle name="Warning Text 5" xfId="384" xr:uid="{00000000-0005-0000-0000-00007F010000}"/>
    <cellStyle name="Обычный_CRF2002 (1)" xfId="385" xr:uid="{00000000-0005-0000-0000-000080010000}"/>
    <cellStyle name="已访问的超链接" xfId="98" xr:uid="{00000000-0005-0000-0000-000081010000}"/>
  </cellStyles>
  <dxfs count="0"/>
  <tableStyles count="0" defaultTableStyle="TableStyleMedium9" defaultPivotStyle="PivotStyleLight16"/>
  <colors>
    <mruColors>
      <color rgb="FFEBEBFF"/>
      <color rgb="FFFF66FF"/>
      <color rgb="FFFFCCFF"/>
      <color rgb="FFFFFFCC"/>
      <color rgb="FFCCCCF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olfgang\c\temphold\TMPL_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Cost~@030"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84"/>
  <sheetViews>
    <sheetView workbookViewId="0">
      <selection activeCell="C9" sqref="C9"/>
    </sheetView>
  </sheetViews>
  <sheetFormatPr defaultColWidth="8.88671875" defaultRowHeight="11.4"/>
  <cols>
    <col min="1" max="1" width="2.88671875" style="95" customWidth="1"/>
    <col min="2" max="2" width="12.44140625" style="95" bestFit="1" customWidth="1"/>
    <col min="3" max="3" width="21" style="95" customWidth="1"/>
    <col min="4" max="4" width="55.33203125" style="95" bestFit="1" customWidth="1"/>
    <col min="5" max="5" width="5" style="95" bestFit="1" customWidth="1"/>
    <col min="6" max="6" width="8.5546875" style="95" bestFit="1" customWidth="1"/>
    <col min="7" max="7" width="7.33203125" style="95" bestFit="1" customWidth="1"/>
    <col min="8" max="8" width="10.88671875" style="95" bestFit="1" customWidth="1"/>
    <col min="9" max="9" width="8" style="95" bestFit="1" customWidth="1"/>
    <col min="10" max="10" width="3.5546875" style="95" customWidth="1"/>
    <col min="11" max="11" width="14.6640625" style="95" bestFit="1" customWidth="1"/>
    <col min="12" max="12" width="55.33203125" style="95" bestFit="1" customWidth="1"/>
    <col min="13" max="13" width="16.44140625" style="95" customWidth="1"/>
    <col min="14" max="14" width="16.109375" style="95" customWidth="1"/>
    <col min="15" max="15" width="11.5546875" style="95" bestFit="1" customWidth="1"/>
    <col min="16" max="17" width="10" style="95" bestFit="1" customWidth="1"/>
    <col min="18" max="16384" width="8.88671875" style="95"/>
  </cols>
  <sheetData>
    <row r="2" spans="2:17" ht="12">
      <c r="B2" s="74" t="s">
        <v>17</v>
      </c>
      <c r="C2" s="75"/>
      <c r="D2" s="75"/>
      <c r="E2" s="75"/>
      <c r="F2" s="75"/>
      <c r="G2" s="75"/>
      <c r="H2" s="75"/>
      <c r="I2" s="75"/>
      <c r="M2" s="155" t="s">
        <v>127</v>
      </c>
      <c r="N2" s="156"/>
    </row>
    <row r="3" spans="2:17" ht="12">
      <c r="B3" s="73" t="s">
        <v>15</v>
      </c>
      <c r="C3" s="72" t="s">
        <v>0</v>
      </c>
      <c r="D3" s="72" t="s">
        <v>1</v>
      </c>
      <c r="E3" s="72" t="s">
        <v>18</v>
      </c>
      <c r="F3" s="72" t="s">
        <v>19</v>
      </c>
      <c r="G3" s="72" t="s">
        <v>20</v>
      </c>
      <c r="H3" s="72" t="s">
        <v>21</v>
      </c>
      <c r="I3" s="71" t="s">
        <v>22</v>
      </c>
      <c r="K3" s="157" t="s">
        <v>0</v>
      </c>
      <c r="L3" s="157" t="s">
        <v>2</v>
      </c>
      <c r="M3" s="157" t="s">
        <v>3</v>
      </c>
      <c r="N3" s="158" t="s">
        <v>16</v>
      </c>
      <c r="O3" s="158" t="s">
        <v>137</v>
      </c>
      <c r="Q3" s="159" t="s">
        <v>140</v>
      </c>
    </row>
    <row r="4" spans="2:17" ht="12.6" thickBot="1">
      <c r="B4" s="125" t="s">
        <v>136</v>
      </c>
      <c r="C4" s="125" t="s">
        <v>129</v>
      </c>
      <c r="D4" s="125" t="s">
        <v>130</v>
      </c>
      <c r="E4" s="125" t="s">
        <v>29</v>
      </c>
      <c r="F4" s="125" t="s">
        <v>266</v>
      </c>
      <c r="G4" s="125" t="s">
        <v>266</v>
      </c>
      <c r="H4" s="125" t="s">
        <v>266</v>
      </c>
      <c r="I4" s="125" t="s">
        <v>70</v>
      </c>
      <c r="K4" s="160" t="s">
        <v>108</v>
      </c>
      <c r="L4" s="161"/>
      <c r="M4" s="162"/>
      <c r="N4" s="163" t="s">
        <v>141</v>
      </c>
      <c r="O4" s="164" t="s">
        <v>138</v>
      </c>
    </row>
    <row r="5" spans="2:17">
      <c r="B5" s="126" t="s">
        <v>136</v>
      </c>
      <c r="C5" s="126" t="s">
        <v>131</v>
      </c>
      <c r="D5" s="126" t="s">
        <v>132</v>
      </c>
      <c r="E5" s="126" t="s">
        <v>29</v>
      </c>
      <c r="F5" s="126"/>
      <c r="G5" s="126"/>
      <c r="H5" s="126"/>
      <c r="I5" s="126" t="s">
        <v>70</v>
      </c>
      <c r="K5" s="13" t="s">
        <v>129</v>
      </c>
      <c r="L5" s="68" t="s">
        <v>291</v>
      </c>
      <c r="M5" s="165"/>
      <c r="N5" s="166"/>
      <c r="O5" s="167"/>
      <c r="Q5" s="95">
        <v>26.4</v>
      </c>
    </row>
    <row r="6" spans="2:17">
      <c r="B6" s="126" t="s">
        <v>136</v>
      </c>
      <c r="C6" s="126" t="s">
        <v>133</v>
      </c>
      <c r="D6" s="126" t="s">
        <v>175</v>
      </c>
      <c r="E6" s="126" t="s">
        <v>29</v>
      </c>
      <c r="F6" s="126"/>
      <c r="G6" s="126"/>
      <c r="H6" s="126"/>
      <c r="I6" s="126" t="s">
        <v>70</v>
      </c>
      <c r="K6" s="13"/>
      <c r="L6" s="68"/>
      <c r="M6" s="165" t="s">
        <v>27</v>
      </c>
      <c r="N6" s="168">
        <f>10^9/Q5/10^6</f>
        <v>37.878787878787882</v>
      </c>
      <c r="O6" s="167"/>
    </row>
    <row r="7" spans="2:17">
      <c r="B7" s="126" t="s">
        <v>136</v>
      </c>
      <c r="C7" s="126" t="s">
        <v>134</v>
      </c>
      <c r="D7" s="126" t="s">
        <v>135</v>
      </c>
      <c r="E7" s="126" t="s">
        <v>29</v>
      </c>
      <c r="F7" s="126"/>
      <c r="G7" s="126"/>
      <c r="H7" s="126"/>
      <c r="I7" s="126" t="s">
        <v>70</v>
      </c>
      <c r="K7" s="13" t="s">
        <v>131</v>
      </c>
      <c r="L7" s="169" t="s">
        <v>290</v>
      </c>
      <c r="M7" s="68"/>
      <c r="N7" s="170"/>
      <c r="O7" s="167"/>
      <c r="Q7" s="95">
        <v>17</v>
      </c>
    </row>
    <row r="8" spans="2:17">
      <c r="K8" s="13"/>
      <c r="L8" s="169"/>
      <c r="M8" s="68" t="s">
        <v>50</v>
      </c>
      <c r="N8" s="168">
        <f>10^9/Q7/10^6</f>
        <v>58.823529411764703</v>
      </c>
      <c r="O8" s="167"/>
    </row>
    <row r="9" spans="2:17" ht="12.75" customHeight="1">
      <c r="K9" s="13" t="s">
        <v>133</v>
      </c>
      <c r="L9" s="169" t="s">
        <v>292</v>
      </c>
      <c r="M9" s="68"/>
      <c r="N9" s="170"/>
      <c r="O9" s="167"/>
      <c r="Q9" s="95">
        <v>16.3</v>
      </c>
    </row>
    <row r="10" spans="2:17" ht="12">
      <c r="B10" s="74" t="s">
        <v>17</v>
      </c>
      <c r="C10" s="75"/>
      <c r="D10" s="75"/>
      <c r="E10" s="75"/>
      <c r="F10" s="75"/>
      <c r="G10" s="75"/>
      <c r="H10" s="75"/>
      <c r="I10" s="75"/>
      <c r="K10" s="13"/>
      <c r="L10" s="169"/>
      <c r="M10" s="68" t="s">
        <v>57</v>
      </c>
      <c r="N10" s="168">
        <f>10^9/Q9/10^6</f>
        <v>61.349693251533736</v>
      </c>
      <c r="O10" s="167"/>
    </row>
    <row r="11" spans="2:17" ht="12">
      <c r="B11" s="73" t="s">
        <v>15</v>
      </c>
      <c r="C11" s="72" t="s">
        <v>0</v>
      </c>
      <c r="D11" s="72" t="s">
        <v>1</v>
      </c>
      <c r="E11" s="72" t="s">
        <v>18</v>
      </c>
      <c r="F11" s="72" t="s">
        <v>19</v>
      </c>
      <c r="G11" s="72" t="s">
        <v>20</v>
      </c>
      <c r="H11" s="72" t="s">
        <v>21</v>
      </c>
      <c r="I11" s="71" t="s">
        <v>22</v>
      </c>
      <c r="K11" s="13" t="s">
        <v>134</v>
      </c>
      <c r="L11" s="169" t="s">
        <v>293</v>
      </c>
      <c r="M11" s="68"/>
      <c r="N11" s="170"/>
      <c r="O11" s="167"/>
      <c r="Q11" s="95">
        <v>18</v>
      </c>
    </row>
    <row r="12" spans="2:17">
      <c r="B12" s="125" t="s">
        <v>73</v>
      </c>
      <c r="C12" s="125" t="s">
        <v>74</v>
      </c>
      <c r="D12" s="125" t="s">
        <v>75</v>
      </c>
      <c r="E12" s="125" t="s">
        <v>29</v>
      </c>
      <c r="F12" s="125" t="s">
        <v>266</v>
      </c>
      <c r="G12" s="125" t="s">
        <v>266</v>
      </c>
      <c r="H12" s="125" t="s">
        <v>266</v>
      </c>
      <c r="I12" s="125" t="s">
        <v>266</v>
      </c>
      <c r="K12" s="13"/>
      <c r="L12" s="169"/>
      <c r="M12" s="68" t="s">
        <v>139</v>
      </c>
      <c r="N12" s="168">
        <f>10^9/Q11/10^6</f>
        <v>55.55555555555555</v>
      </c>
      <c r="O12" s="167">
        <v>1.4E-2</v>
      </c>
    </row>
    <row r="13" spans="2:17">
      <c r="B13" s="126" t="s">
        <v>73</v>
      </c>
      <c r="C13" s="126" t="s">
        <v>76</v>
      </c>
      <c r="D13" s="126" t="s">
        <v>77</v>
      </c>
      <c r="E13" s="126" t="s">
        <v>29</v>
      </c>
      <c r="F13" s="126"/>
      <c r="G13" s="126"/>
      <c r="H13" s="126"/>
      <c r="I13" s="126"/>
    </row>
    <row r="14" spans="2:17">
      <c r="B14" s="126" t="s">
        <v>78</v>
      </c>
      <c r="C14" s="126" t="s">
        <v>79</v>
      </c>
      <c r="D14" s="126" t="s">
        <v>80</v>
      </c>
      <c r="E14" s="126" t="s">
        <v>29</v>
      </c>
      <c r="F14" s="126"/>
      <c r="G14" s="126"/>
      <c r="H14" s="126"/>
      <c r="I14" s="126"/>
    </row>
    <row r="15" spans="2:17" ht="12">
      <c r="B15" s="126" t="s">
        <v>78</v>
      </c>
      <c r="C15" s="126" t="s">
        <v>81</v>
      </c>
      <c r="D15" s="126" t="s">
        <v>82</v>
      </c>
      <c r="E15" s="126" t="s">
        <v>29</v>
      </c>
      <c r="F15" s="126"/>
      <c r="G15" s="126"/>
      <c r="H15" s="126"/>
      <c r="I15" s="126"/>
      <c r="N15" s="96" t="s">
        <v>127</v>
      </c>
    </row>
    <row r="16" spans="2:17">
      <c r="B16" s="126" t="s">
        <v>78</v>
      </c>
      <c r="C16" s="126" t="s">
        <v>83</v>
      </c>
      <c r="D16" s="126" t="s">
        <v>84</v>
      </c>
      <c r="E16" s="126" t="s">
        <v>29</v>
      </c>
      <c r="F16" s="126"/>
      <c r="G16" s="126"/>
      <c r="H16" s="126"/>
      <c r="I16" s="126"/>
      <c r="K16" s="171" t="s">
        <v>0</v>
      </c>
      <c r="L16" s="171" t="s">
        <v>1</v>
      </c>
      <c r="M16" s="171" t="s">
        <v>2</v>
      </c>
      <c r="N16" s="171" t="s">
        <v>3</v>
      </c>
      <c r="O16" s="172" t="s">
        <v>105</v>
      </c>
      <c r="P16" s="173" t="s">
        <v>16</v>
      </c>
    </row>
    <row r="17" spans="2:19" ht="12.6" thickBot="1">
      <c r="B17" s="126" t="s">
        <v>78</v>
      </c>
      <c r="C17" s="126" t="s">
        <v>85</v>
      </c>
      <c r="D17" s="126" t="s">
        <v>86</v>
      </c>
      <c r="E17" s="126" t="s">
        <v>29</v>
      </c>
      <c r="F17" s="126"/>
      <c r="G17" s="126"/>
      <c r="H17" s="126"/>
      <c r="I17" s="126"/>
      <c r="K17" s="174" t="s">
        <v>108</v>
      </c>
      <c r="L17" s="175"/>
      <c r="M17" s="175"/>
      <c r="N17" s="176"/>
      <c r="O17" s="176" t="s">
        <v>154</v>
      </c>
    </row>
    <row r="18" spans="2:19">
      <c r="B18" s="126" t="s">
        <v>73</v>
      </c>
      <c r="C18" s="126" t="s">
        <v>89</v>
      </c>
      <c r="D18" s="126" t="s">
        <v>90</v>
      </c>
      <c r="E18" s="126" t="s">
        <v>29</v>
      </c>
      <c r="F18" s="126"/>
      <c r="G18" s="126"/>
      <c r="H18" s="126"/>
      <c r="I18" s="126"/>
      <c r="K18" s="69" t="s">
        <v>150</v>
      </c>
      <c r="L18" s="69" t="s">
        <v>151</v>
      </c>
      <c r="M18" s="169"/>
      <c r="N18" s="177" t="s">
        <v>142</v>
      </c>
      <c r="O18" s="178">
        <v>1.4999999999999999E-2</v>
      </c>
    </row>
    <row r="19" spans="2:19">
      <c r="B19" s="126" t="s">
        <v>73</v>
      </c>
      <c r="C19" s="126" t="s">
        <v>91</v>
      </c>
      <c r="D19" s="126" t="s">
        <v>92</v>
      </c>
      <c r="E19" s="126" t="s">
        <v>29</v>
      </c>
      <c r="F19" s="126"/>
      <c r="G19" s="126"/>
      <c r="H19" s="126"/>
      <c r="I19" s="126"/>
      <c r="K19" s="69" t="s">
        <v>263</v>
      </c>
      <c r="L19" s="69" t="s">
        <v>264</v>
      </c>
      <c r="M19" s="179" t="s">
        <v>268</v>
      </c>
      <c r="N19" s="177" t="s">
        <v>144</v>
      </c>
      <c r="O19" s="180">
        <v>1.2</v>
      </c>
      <c r="P19" s="95">
        <v>1</v>
      </c>
    </row>
    <row r="20" spans="2:19">
      <c r="B20" s="126" t="s">
        <v>73</v>
      </c>
      <c r="C20" s="126" t="s">
        <v>93</v>
      </c>
      <c r="D20" s="126" t="s">
        <v>94</v>
      </c>
      <c r="E20" s="126" t="s">
        <v>29</v>
      </c>
      <c r="F20" s="126"/>
      <c r="G20" s="126"/>
      <c r="H20" s="126"/>
      <c r="I20" s="126"/>
      <c r="K20" s="69" t="s">
        <v>152</v>
      </c>
      <c r="L20" s="69" t="s">
        <v>153</v>
      </c>
      <c r="M20" s="169" t="s">
        <v>148</v>
      </c>
      <c r="N20" s="169"/>
      <c r="S20" s="181">
        <v>0.5</v>
      </c>
    </row>
    <row r="21" spans="2:19">
      <c r="B21" s="126" t="s">
        <v>78</v>
      </c>
      <c r="C21" s="126" t="s">
        <v>95</v>
      </c>
      <c r="D21" s="126" t="s">
        <v>96</v>
      </c>
      <c r="E21" s="126" t="s">
        <v>29</v>
      </c>
      <c r="F21" s="126"/>
      <c r="G21" s="126"/>
      <c r="H21" s="126"/>
      <c r="I21" s="126"/>
    </row>
    <row r="22" spans="2:19">
      <c r="B22" s="126" t="s">
        <v>78</v>
      </c>
      <c r="C22" s="126" t="s">
        <v>97</v>
      </c>
      <c r="D22" s="126" t="s">
        <v>98</v>
      </c>
      <c r="E22" s="126" t="s">
        <v>29</v>
      </c>
      <c r="F22" s="126"/>
      <c r="G22" s="126"/>
      <c r="H22" s="126"/>
      <c r="I22" s="126"/>
    </row>
    <row r="23" spans="2:19" ht="12">
      <c r="B23" s="126" t="s">
        <v>78</v>
      </c>
      <c r="C23" s="126" t="s">
        <v>99</v>
      </c>
      <c r="D23" s="126" t="s">
        <v>100</v>
      </c>
      <c r="E23" s="126" t="s">
        <v>29</v>
      </c>
      <c r="F23" s="126"/>
      <c r="G23" s="126"/>
      <c r="H23" s="126"/>
      <c r="I23" s="126"/>
      <c r="N23" s="96" t="s">
        <v>127</v>
      </c>
      <c r="P23" s="182"/>
      <c r="Q23" s="182"/>
    </row>
    <row r="24" spans="2:19" ht="18" customHeight="1">
      <c r="B24" s="126" t="s">
        <v>78</v>
      </c>
      <c r="C24" s="126" t="s">
        <v>101</v>
      </c>
      <c r="D24" s="126" t="s">
        <v>102</v>
      </c>
      <c r="E24" s="126" t="s">
        <v>159</v>
      </c>
      <c r="F24" s="126"/>
      <c r="G24" s="126"/>
      <c r="H24" s="126"/>
      <c r="I24" s="126"/>
      <c r="K24" s="171" t="s">
        <v>0</v>
      </c>
      <c r="L24" s="171" t="s">
        <v>1</v>
      </c>
      <c r="M24" s="171" t="s">
        <v>2</v>
      </c>
      <c r="N24" s="171" t="s">
        <v>3</v>
      </c>
      <c r="O24" s="172" t="s">
        <v>105</v>
      </c>
      <c r="P24" s="183" t="s">
        <v>262</v>
      </c>
      <c r="Q24" s="183" t="s">
        <v>260</v>
      </c>
      <c r="R24" s="183" t="s">
        <v>261</v>
      </c>
    </row>
    <row r="25" spans="2:19" ht="12.6" thickBot="1">
      <c r="B25" s="126" t="s">
        <v>73</v>
      </c>
      <c r="C25" s="126" t="s">
        <v>103</v>
      </c>
      <c r="D25" s="126" t="s">
        <v>104</v>
      </c>
      <c r="E25" s="126" t="s">
        <v>29</v>
      </c>
      <c r="F25" s="126"/>
      <c r="G25" s="126"/>
      <c r="H25" s="126"/>
      <c r="I25" s="126"/>
      <c r="K25" s="184" t="s">
        <v>108</v>
      </c>
      <c r="L25" s="185"/>
      <c r="M25" s="185"/>
      <c r="N25" s="70"/>
      <c r="O25" s="70" t="s">
        <v>109</v>
      </c>
      <c r="P25" s="70" t="s">
        <v>109</v>
      </c>
      <c r="Q25" s="70" t="s">
        <v>110</v>
      </c>
    </row>
    <row r="26" spans="2:19">
      <c r="B26" s="126" t="s">
        <v>73</v>
      </c>
      <c r="C26" s="126" t="s">
        <v>150</v>
      </c>
      <c r="D26" s="126" t="s">
        <v>151</v>
      </c>
      <c r="E26" s="126" t="s">
        <v>29</v>
      </c>
      <c r="F26" s="126"/>
      <c r="G26" s="126"/>
      <c r="H26" s="126"/>
      <c r="I26" s="126"/>
      <c r="K26" s="69" t="s">
        <v>74</v>
      </c>
      <c r="L26" s="69" t="s">
        <v>75</v>
      </c>
      <c r="M26" s="68"/>
      <c r="N26" s="177" t="s">
        <v>39</v>
      </c>
      <c r="O26" s="178">
        <v>2.7E-2</v>
      </c>
      <c r="P26" s="170"/>
      <c r="Q26" s="170"/>
    </row>
    <row r="27" spans="2:19">
      <c r="B27" s="126" t="s">
        <v>67</v>
      </c>
      <c r="C27" s="126" t="str">
        <f>K19</f>
        <v>H2TOBRF</v>
      </c>
      <c r="D27" s="126" t="str">
        <f>L19</f>
        <v>Convert Hydrogen to commodity used for BRF</v>
      </c>
      <c r="E27" s="126" t="s">
        <v>159</v>
      </c>
      <c r="F27" s="126"/>
      <c r="G27" s="126"/>
      <c r="H27" s="126"/>
      <c r="I27" s="126"/>
      <c r="K27" s="69" t="s">
        <v>76</v>
      </c>
      <c r="L27" s="69" t="s">
        <v>77</v>
      </c>
      <c r="M27" s="68"/>
      <c r="N27" s="177" t="s">
        <v>41</v>
      </c>
      <c r="O27" s="186">
        <v>0.06</v>
      </c>
      <c r="P27" s="170"/>
      <c r="Q27" s="170"/>
    </row>
    <row r="28" spans="2:19">
      <c r="B28" s="126" t="s">
        <v>78</v>
      </c>
      <c r="C28" s="126" t="s">
        <v>152</v>
      </c>
      <c r="D28" s="126" t="s">
        <v>153</v>
      </c>
      <c r="E28" s="126" t="s">
        <v>29</v>
      </c>
      <c r="F28" s="126"/>
      <c r="G28" s="126"/>
      <c r="H28" s="126"/>
      <c r="I28" s="126"/>
      <c r="K28" s="69" t="s">
        <v>89</v>
      </c>
      <c r="L28" s="69" t="s">
        <v>90</v>
      </c>
      <c r="M28" s="68"/>
      <c r="N28" s="177" t="s">
        <v>52</v>
      </c>
      <c r="O28" s="186">
        <v>0.27</v>
      </c>
      <c r="P28" s="170"/>
      <c r="Q28" s="170"/>
    </row>
    <row r="29" spans="2:19">
      <c r="B29" s="126" t="s">
        <v>73</v>
      </c>
      <c r="C29" s="126" t="s">
        <v>221</v>
      </c>
      <c r="D29" s="126" t="s">
        <v>222</v>
      </c>
      <c r="E29" s="126" t="s">
        <v>29</v>
      </c>
      <c r="F29" s="126"/>
      <c r="G29" s="126"/>
      <c r="H29" s="126"/>
      <c r="I29" s="126"/>
      <c r="K29" s="69" t="s">
        <v>91</v>
      </c>
      <c r="L29" s="69" t="s">
        <v>92</v>
      </c>
      <c r="M29" s="68"/>
      <c r="N29" s="177" t="s">
        <v>59</v>
      </c>
      <c r="O29" s="178">
        <f>3.68/1000</f>
        <v>3.6800000000000001E-3</v>
      </c>
      <c r="P29" s="170"/>
      <c r="Q29" s="170"/>
    </row>
    <row r="30" spans="2:19">
      <c r="B30" s="126" t="s">
        <v>73</v>
      </c>
      <c r="C30" s="126" t="s">
        <v>237</v>
      </c>
      <c r="D30" s="126" t="s">
        <v>238</v>
      </c>
      <c r="E30" s="126" t="s">
        <v>29</v>
      </c>
      <c r="F30" s="126"/>
      <c r="G30" s="126"/>
      <c r="H30" s="126"/>
      <c r="I30" s="126"/>
      <c r="K30" s="69" t="s">
        <v>93</v>
      </c>
      <c r="L30" s="69" t="s">
        <v>94</v>
      </c>
      <c r="M30" s="68"/>
      <c r="N30" s="177" t="s">
        <v>61</v>
      </c>
      <c r="O30" s="186">
        <v>0.02</v>
      </c>
      <c r="P30" s="170"/>
      <c r="Q30" s="170"/>
    </row>
    <row r="31" spans="2:19">
      <c r="B31" s="126" t="s">
        <v>73</v>
      </c>
      <c r="C31" s="126" t="s">
        <v>239</v>
      </c>
      <c r="D31" s="126" t="s">
        <v>240</v>
      </c>
      <c r="E31" s="126" t="s">
        <v>29</v>
      </c>
      <c r="F31" s="126"/>
      <c r="G31" s="126"/>
      <c r="H31" s="126"/>
      <c r="I31" s="126"/>
      <c r="K31" s="69" t="s">
        <v>103</v>
      </c>
      <c r="L31" s="69" t="s">
        <v>104</v>
      </c>
      <c r="M31" s="68"/>
      <c r="N31" s="177" t="s">
        <v>33</v>
      </c>
      <c r="O31" s="186">
        <v>25</v>
      </c>
      <c r="P31" s="170">
        <v>25</v>
      </c>
      <c r="Q31" s="170">
        <v>0</v>
      </c>
      <c r="R31" s="95">
        <v>5</v>
      </c>
    </row>
    <row r="32" spans="2:19">
      <c r="B32" s="126" t="s">
        <v>73</v>
      </c>
      <c r="C32" s="126" t="s">
        <v>244</v>
      </c>
      <c r="D32" s="126" t="s">
        <v>245</v>
      </c>
      <c r="E32" s="126" t="s">
        <v>29</v>
      </c>
      <c r="F32" s="126"/>
      <c r="G32" s="126"/>
      <c r="H32" s="126"/>
      <c r="I32" s="126"/>
      <c r="K32" s="69" t="str">
        <f>C32</f>
        <v>IMPBIOSUGFS</v>
      </c>
      <c r="L32" s="69"/>
      <c r="M32" s="68"/>
      <c r="N32" s="177" t="str">
        <f>M10</f>
        <v>BIOSUGFS</v>
      </c>
      <c r="O32" s="187">
        <v>3</v>
      </c>
      <c r="P32" s="76"/>
      <c r="Q32" s="76"/>
    </row>
    <row r="33" spans="2:19" ht="12">
      <c r="N33" s="188"/>
    </row>
    <row r="34" spans="2:19" ht="12">
      <c r="N34" s="188"/>
    </row>
    <row r="35" spans="2:19" ht="12">
      <c r="B35" s="197" t="s">
        <v>271</v>
      </c>
      <c r="C35" s="198"/>
      <c r="D35" s="198"/>
      <c r="E35" s="198"/>
      <c r="F35" s="198"/>
      <c r="G35" s="198"/>
      <c r="H35" s="198"/>
      <c r="I35" s="198"/>
      <c r="N35" s="96" t="s">
        <v>127</v>
      </c>
      <c r="P35" s="182"/>
      <c r="Q35" s="182"/>
    </row>
    <row r="36" spans="2:19" ht="23.4" thickBot="1">
      <c r="B36" s="199" t="s">
        <v>7</v>
      </c>
      <c r="C36" s="199" t="s">
        <v>6</v>
      </c>
      <c r="D36" s="199" t="s">
        <v>8</v>
      </c>
      <c r="E36" s="199" t="s">
        <v>9</v>
      </c>
      <c r="F36" s="200" t="s">
        <v>10</v>
      </c>
      <c r="G36" s="200" t="s">
        <v>11</v>
      </c>
      <c r="H36" s="200" t="s">
        <v>12</v>
      </c>
      <c r="I36" s="200" t="s">
        <v>13</v>
      </c>
      <c r="K36" s="171" t="s">
        <v>0</v>
      </c>
      <c r="L36" s="171" t="s">
        <v>1</v>
      </c>
      <c r="M36" s="171" t="s">
        <v>2</v>
      </c>
      <c r="N36" s="171" t="s">
        <v>3</v>
      </c>
      <c r="O36" s="172" t="s">
        <v>105</v>
      </c>
      <c r="P36" s="183" t="s">
        <v>111</v>
      </c>
      <c r="Q36" s="183" t="s">
        <v>112</v>
      </c>
    </row>
    <row r="37" spans="2:19" ht="12.6" thickBot="1">
      <c r="B37" s="201" t="s">
        <v>30</v>
      </c>
      <c r="C37" s="201" t="s">
        <v>31</v>
      </c>
      <c r="D37" s="201" t="s">
        <v>32</v>
      </c>
      <c r="E37" s="201" t="s">
        <v>29</v>
      </c>
      <c r="F37" s="201" t="s">
        <v>266</v>
      </c>
      <c r="G37" s="201" t="s">
        <v>266</v>
      </c>
      <c r="H37" s="201" t="s">
        <v>266</v>
      </c>
      <c r="I37" s="201" t="s">
        <v>266</v>
      </c>
      <c r="K37" s="184" t="s">
        <v>108</v>
      </c>
      <c r="L37" s="185"/>
      <c r="M37" s="185"/>
      <c r="N37" s="70"/>
      <c r="O37" s="70" t="s">
        <v>109</v>
      </c>
      <c r="P37" s="70" t="s">
        <v>110</v>
      </c>
      <c r="Q37" s="70" t="s">
        <v>110</v>
      </c>
    </row>
    <row r="38" spans="2:19">
      <c r="B38" s="198" t="s">
        <v>30</v>
      </c>
      <c r="C38" s="198" t="s">
        <v>37</v>
      </c>
      <c r="D38" s="198" t="s">
        <v>38</v>
      </c>
      <c r="E38" s="198" t="s">
        <v>29</v>
      </c>
      <c r="F38" s="198"/>
      <c r="G38" s="198"/>
      <c r="H38" s="198"/>
      <c r="I38" s="198"/>
      <c r="K38" s="69" t="s">
        <v>79</v>
      </c>
      <c r="L38" s="69" t="s">
        <v>80</v>
      </c>
      <c r="M38" s="169" t="s">
        <v>31</v>
      </c>
      <c r="N38" s="169"/>
      <c r="P38" s="170"/>
      <c r="Q38" s="170"/>
      <c r="S38" s="181">
        <v>0.16</v>
      </c>
    </row>
    <row r="39" spans="2:19">
      <c r="B39" s="198" t="s">
        <v>30</v>
      </c>
      <c r="C39" s="198" t="s">
        <v>39</v>
      </c>
      <c r="D39" s="198" t="s">
        <v>40</v>
      </c>
      <c r="E39" s="198" t="s">
        <v>29</v>
      </c>
      <c r="F39" s="198"/>
      <c r="G39" s="198"/>
      <c r="H39" s="198"/>
      <c r="I39" s="198"/>
      <c r="K39" s="69" t="s">
        <v>81</v>
      </c>
      <c r="L39" s="69" t="s">
        <v>82</v>
      </c>
      <c r="M39" s="169" t="s">
        <v>44</v>
      </c>
      <c r="N39" s="169"/>
      <c r="P39" s="181"/>
      <c r="Q39" s="181"/>
      <c r="S39" s="181">
        <v>0.86199999999999999</v>
      </c>
    </row>
    <row r="40" spans="2:19">
      <c r="B40" s="198" t="s">
        <v>30</v>
      </c>
      <c r="C40" s="198" t="s">
        <v>41</v>
      </c>
      <c r="D40" s="198" t="s">
        <v>42</v>
      </c>
      <c r="E40" s="198" t="s">
        <v>29</v>
      </c>
      <c r="F40" s="198"/>
      <c r="G40" s="198"/>
      <c r="H40" s="198"/>
      <c r="I40" s="198"/>
      <c r="K40" s="69" t="s">
        <v>83</v>
      </c>
      <c r="L40" s="69" t="s">
        <v>84</v>
      </c>
      <c r="M40" s="169" t="s">
        <v>46</v>
      </c>
      <c r="N40" s="169"/>
      <c r="P40" s="170"/>
      <c r="Q40" s="170"/>
      <c r="S40" s="181">
        <v>0.70399999999999996</v>
      </c>
    </row>
    <row r="41" spans="2:19">
      <c r="B41" s="198" t="s">
        <v>30</v>
      </c>
      <c r="C41" s="198" t="s">
        <v>44</v>
      </c>
      <c r="D41" s="198" t="s">
        <v>45</v>
      </c>
      <c r="E41" s="198" t="s">
        <v>29</v>
      </c>
      <c r="F41" s="198"/>
      <c r="G41" s="198"/>
      <c r="H41" s="198"/>
      <c r="I41" s="198"/>
      <c r="K41" s="69" t="s">
        <v>85</v>
      </c>
      <c r="L41" s="69" t="s">
        <v>86</v>
      </c>
      <c r="M41" s="169" t="s">
        <v>48</v>
      </c>
      <c r="N41" s="169"/>
      <c r="P41" s="170"/>
      <c r="Q41" s="170"/>
      <c r="S41" s="181">
        <v>1.4E-5</v>
      </c>
    </row>
    <row r="42" spans="2:19">
      <c r="B42" s="198" t="s">
        <v>30</v>
      </c>
      <c r="C42" s="198" t="s">
        <v>46</v>
      </c>
      <c r="D42" s="198" t="s">
        <v>47</v>
      </c>
      <c r="E42" s="198" t="s">
        <v>29</v>
      </c>
      <c r="F42" s="198"/>
      <c r="G42" s="198"/>
      <c r="H42" s="198"/>
      <c r="I42" s="198"/>
      <c r="K42" s="69" t="s">
        <v>95</v>
      </c>
      <c r="L42" s="69" t="s">
        <v>96</v>
      </c>
      <c r="M42" s="169" t="s">
        <v>55</v>
      </c>
      <c r="N42" s="169"/>
      <c r="P42" s="170"/>
      <c r="Q42" s="170"/>
      <c r="S42" s="181">
        <v>0.114</v>
      </c>
    </row>
    <row r="43" spans="2:19">
      <c r="B43" s="198" t="s">
        <v>30</v>
      </c>
      <c r="C43" s="198" t="s">
        <v>48</v>
      </c>
      <c r="D43" s="198" t="s">
        <v>49</v>
      </c>
      <c r="E43" s="198" t="s">
        <v>29</v>
      </c>
      <c r="F43" s="198"/>
      <c r="G43" s="198"/>
      <c r="H43" s="198"/>
      <c r="I43" s="198"/>
      <c r="K43" s="69" t="s">
        <v>97</v>
      </c>
      <c r="L43" s="69" t="s">
        <v>98</v>
      </c>
      <c r="M43" s="169" t="s">
        <v>65</v>
      </c>
      <c r="N43" s="169"/>
      <c r="P43" s="170"/>
      <c r="Q43" s="170"/>
      <c r="S43" s="181">
        <v>2.3E-2</v>
      </c>
    </row>
    <row r="44" spans="2:19">
      <c r="B44" s="198" t="s">
        <v>30</v>
      </c>
      <c r="C44" s="198" t="s">
        <v>52</v>
      </c>
      <c r="D44" s="198" t="s">
        <v>53</v>
      </c>
      <c r="E44" s="198" t="s">
        <v>29</v>
      </c>
      <c r="F44" s="198"/>
      <c r="G44" s="198"/>
      <c r="H44" s="198"/>
      <c r="I44" s="198"/>
      <c r="K44" s="69" t="s">
        <v>99</v>
      </c>
      <c r="L44" s="69" t="s">
        <v>113</v>
      </c>
      <c r="M44" s="169" t="s">
        <v>63</v>
      </c>
      <c r="N44" s="169"/>
      <c r="P44" s="170"/>
      <c r="Q44" s="170"/>
      <c r="S44" s="181">
        <v>0.09</v>
      </c>
    </row>
    <row r="45" spans="2:19">
      <c r="B45" s="198" t="s">
        <v>30</v>
      </c>
      <c r="C45" s="198" t="s">
        <v>55</v>
      </c>
      <c r="D45" s="198" t="s">
        <v>56</v>
      </c>
      <c r="E45" s="198" t="s">
        <v>29</v>
      </c>
      <c r="F45" s="198"/>
      <c r="G45" s="198"/>
      <c r="H45" s="198"/>
      <c r="I45" s="198"/>
      <c r="K45" s="69" t="s">
        <v>101</v>
      </c>
      <c r="L45" s="69" t="s">
        <v>102</v>
      </c>
      <c r="M45" s="169" t="s">
        <v>43</v>
      </c>
      <c r="N45" s="169"/>
      <c r="P45" s="170"/>
      <c r="Q45" s="170"/>
      <c r="S45" s="181">
        <v>0.01</v>
      </c>
    </row>
    <row r="46" spans="2:19">
      <c r="B46" s="198" t="s">
        <v>30</v>
      </c>
      <c r="C46" s="198" t="s">
        <v>59</v>
      </c>
      <c r="D46" s="198" t="s">
        <v>60</v>
      </c>
      <c r="E46" s="198" t="s">
        <v>265</v>
      </c>
      <c r="F46" s="198"/>
      <c r="G46" s="198"/>
      <c r="H46" s="198"/>
      <c r="I46" s="198"/>
    </row>
    <row r="47" spans="2:19">
      <c r="B47" s="198" t="s">
        <v>30</v>
      </c>
      <c r="C47" s="198" t="s">
        <v>61</v>
      </c>
      <c r="D47" s="198" t="s">
        <v>62</v>
      </c>
      <c r="E47" s="198" t="s">
        <v>29</v>
      </c>
      <c r="F47" s="198"/>
      <c r="G47" s="198"/>
      <c r="H47" s="198"/>
      <c r="I47" s="198"/>
    </row>
    <row r="48" spans="2:19" ht="12">
      <c r="B48" s="198" t="s">
        <v>30</v>
      </c>
      <c r="C48" s="198" t="s">
        <v>63</v>
      </c>
      <c r="D48" s="198" t="s">
        <v>64</v>
      </c>
      <c r="E48" s="198" t="s">
        <v>29</v>
      </c>
      <c r="F48" s="198"/>
      <c r="G48" s="198"/>
      <c r="H48" s="198"/>
      <c r="I48" s="198"/>
      <c r="N48" s="96" t="s">
        <v>127</v>
      </c>
    </row>
    <row r="49" spans="2:19">
      <c r="B49" s="198" t="s">
        <v>30</v>
      </c>
      <c r="C49" s="198" t="s">
        <v>65</v>
      </c>
      <c r="D49" s="198" t="s">
        <v>66</v>
      </c>
      <c r="E49" s="198" t="s">
        <v>29</v>
      </c>
      <c r="F49" s="198"/>
      <c r="G49" s="198"/>
      <c r="H49" s="198"/>
      <c r="I49" s="198"/>
      <c r="K49" s="171" t="s">
        <v>0</v>
      </c>
      <c r="L49" s="171" t="s">
        <v>1</v>
      </c>
      <c r="M49" s="171" t="s">
        <v>2</v>
      </c>
      <c r="N49" s="171" t="s">
        <v>3</v>
      </c>
      <c r="O49" s="172" t="s">
        <v>105</v>
      </c>
      <c r="P49" s="189" t="s">
        <v>242</v>
      </c>
    </row>
    <row r="50" spans="2:19" ht="12.6" thickBot="1">
      <c r="B50" s="198" t="s">
        <v>30</v>
      </c>
      <c r="C50" s="198" t="s">
        <v>142</v>
      </c>
      <c r="D50" s="198" t="s">
        <v>143</v>
      </c>
      <c r="E50" s="198" t="s">
        <v>29</v>
      </c>
      <c r="F50" s="198"/>
      <c r="G50" s="198"/>
      <c r="H50" s="198"/>
      <c r="I50" s="198"/>
      <c r="K50" s="184" t="s">
        <v>108</v>
      </c>
      <c r="L50" s="185"/>
      <c r="M50" s="185"/>
      <c r="N50" s="70"/>
      <c r="O50" s="70" t="s">
        <v>154</v>
      </c>
      <c r="P50" s="70"/>
    </row>
    <row r="51" spans="2:19">
      <c r="B51" s="198" t="s">
        <v>26</v>
      </c>
      <c r="C51" s="198" t="s">
        <v>144</v>
      </c>
      <c r="D51" s="198" t="s">
        <v>145</v>
      </c>
      <c r="E51" s="198" t="s">
        <v>159</v>
      </c>
      <c r="F51" s="198"/>
      <c r="G51" s="198"/>
      <c r="H51" s="198"/>
      <c r="I51" s="198"/>
      <c r="K51" s="69" t="s">
        <v>167</v>
      </c>
      <c r="L51" s="69" t="s">
        <v>168</v>
      </c>
      <c r="M51" s="169"/>
      <c r="N51" s="169" t="s">
        <v>155</v>
      </c>
      <c r="O51" s="178">
        <v>0.27929999999999999</v>
      </c>
      <c r="P51" s="170"/>
    </row>
    <row r="52" spans="2:19">
      <c r="B52" s="198" t="s">
        <v>30</v>
      </c>
      <c r="C52" s="198" t="s">
        <v>155</v>
      </c>
      <c r="D52" s="198" t="s">
        <v>156</v>
      </c>
      <c r="E52" s="198" t="s">
        <v>29</v>
      </c>
      <c r="F52" s="198"/>
      <c r="G52" s="198"/>
      <c r="H52" s="198"/>
      <c r="I52" s="198"/>
      <c r="K52" s="69" t="s">
        <v>169</v>
      </c>
      <c r="L52" s="69" t="s">
        <v>170</v>
      </c>
      <c r="M52" s="169" t="s">
        <v>160</v>
      </c>
      <c r="N52" s="169"/>
      <c r="P52" s="170"/>
      <c r="S52" s="181">
        <v>2.5000000000000001E-2</v>
      </c>
    </row>
    <row r="53" spans="2:19">
      <c r="B53" s="198" t="s">
        <v>30</v>
      </c>
      <c r="C53" s="198" t="s">
        <v>160</v>
      </c>
      <c r="D53" s="198" t="s">
        <v>161</v>
      </c>
      <c r="E53" s="198" t="s">
        <v>29</v>
      </c>
      <c r="F53" s="198"/>
      <c r="G53" s="198"/>
      <c r="H53" s="198"/>
      <c r="I53" s="198"/>
      <c r="K53" s="69" t="s">
        <v>172</v>
      </c>
      <c r="L53" s="69" t="s">
        <v>173</v>
      </c>
      <c r="M53" s="169" t="s">
        <v>164</v>
      </c>
      <c r="N53" s="169"/>
      <c r="P53" s="181"/>
      <c r="S53" s="190">
        <v>0.74253732291318597</v>
      </c>
    </row>
    <row r="54" spans="2:19">
      <c r="B54" s="198" t="s">
        <v>30</v>
      </c>
      <c r="C54" s="198" t="s">
        <v>208</v>
      </c>
      <c r="D54" s="198" t="s">
        <v>210</v>
      </c>
      <c r="E54" s="198" t="s">
        <v>29</v>
      </c>
      <c r="F54" s="198"/>
      <c r="G54" s="198"/>
      <c r="H54" s="198"/>
      <c r="I54" s="198"/>
      <c r="K54" s="69" t="s">
        <v>221</v>
      </c>
      <c r="L54" s="69" t="s">
        <v>222</v>
      </c>
      <c r="M54" s="68"/>
      <c r="N54" s="191" t="s">
        <v>37</v>
      </c>
      <c r="O54" s="192">
        <v>5.0000000000000002E-5</v>
      </c>
    </row>
    <row r="55" spans="2:19">
      <c r="B55" s="198" t="s">
        <v>30</v>
      </c>
      <c r="C55" s="198" t="s">
        <v>209</v>
      </c>
      <c r="D55" s="198" t="s">
        <v>211</v>
      </c>
      <c r="E55" s="198" t="s">
        <v>243</v>
      </c>
      <c r="F55" s="198"/>
      <c r="G55" s="198"/>
      <c r="H55" s="198"/>
      <c r="I55" s="198"/>
      <c r="K55" s="69" t="s">
        <v>237</v>
      </c>
      <c r="L55" s="69" t="s">
        <v>238</v>
      </c>
      <c r="M55" s="68"/>
      <c r="N55" s="177" t="s">
        <v>208</v>
      </c>
      <c r="O55" s="186">
        <v>0.63636363636363635</v>
      </c>
      <c r="P55" s="95">
        <f>O55*1.5</f>
        <v>0.95454545454545459</v>
      </c>
    </row>
    <row r="56" spans="2:19">
      <c r="B56" s="198" t="s">
        <v>26</v>
      </c>
      <c r="C56" s="198" t="s">
        <v>27</v>
      </c>
      <c r="D56" s="198" t="s">
        <v>28</v>
      </c>
      <c r="E56" s="198" t="s">
        <v>29</v>
      </c>
      <c r="F56" s="198"/>
      <c r="G56" s="198"/>
      <c r="H56" s="198"/>
      <c r="I56" s="198"/>
      <c r="K56" s="69" t="s">
        <v>239</v>
      </c>
      <c r="L56" s="69" t="s">
        <v>240</v>
      </c>
      <c r="M56" s="68"/>
      <c r="N56" s="177" t="s">
        <v>209</v>
      </c>
      <c r="O56" s="186">
        <f>0.59/SUP_Gen1!H65</f>
        <v>5.9</v>
      </c>
    </row>
    <row r="57" spans="2:19">
      <c r="B57" s="198" t="s">
        <v>26</v>
      </c>
      <c r="C57" s="198" t="s">
        <v>33</v>
      </c>
      <c r="D57" s="198" t="s">
        <v>34</v>
      </c>
      <c r="E57" s="198" t="s">
        <v>29</v>
      </c>
      <c r="F57" s="198"/>
      <c r="G57" s="198"/>
      <c r="H57" s="198"/>
      <c r="I57" s="198"/>
    </row>
    <row r="58" spans="2:19">
      <c r="B58" s="198" t="s">
        <v>26</v>
      </c>
      <c r="C58" s="198" t="s">
        <v>35</v>
      </c>
      <c r="D58" s="198" t="s">
        <v>36</v>
      </c>
      <c r="E58" s="198" t="s">
        <v>29</v>
      </c>
      <c r="F58" s="198"/>
      <c r="G58" s="198"/>
      <c r="H58" s="198"/>
      <c r="I58" s="198"/>
    </row>
    <row r="59" spans="2:19">
      <c r="B59" s="198" t="s">
        <v>26</v>
      </c>
      <c r="C59" s="198" t="s">
        <v>50</v>
      </c>
      <c r="D59" s="198" t="s">
        <v>51</v>
      </c>
      <c r="E59" s="198" t="s">
        <v>29</v>
      </c>
      <c r="F59" s="198"/>
      <c r="G59" s="198"/>
      <c r="H59" s="198"/>
      <c r="I59" s="198"/>
    </row>
    <row r="60" spans="2:19" ht="12">
      <c r="B60" s="198" t="s">
        <v>26</v>
      </c>
      <c r="C60" s="198" t="s">
        <v>57</v>
      </c>
      <c r="D60" s="198" t="s">
        <v>58</v>
      </c>
      <c r="E60" s="198" t="s">
        <v>29</v>
      </c>
      <c r="F60" s="198"/>
      <c r="G60" s="198"/>
      <c r="H60" s="198"/>
      <c r="I60" s="198"/>
      <c r="L60" s="76"/>
      <c r="M60" s="76"/>
      <c r="N60" s="96"/>
      <c r="O60" s="76"/>
      <c r="P60" s="76"/>
    </row>
    <row r="61" spans="2:19" ht="12">
      <c r="B61" s="198" t="s">
        <v>26</v>
      </c>
      <c r="C61" s="198" t="s">
        <v>146</v>
      </c>
      <c r="D61" s="198" t="s">
        <v>147</v>
      </c>
      <c r="E61" s="198" t="s">
        <v>29</v>
      </c>
      <c r="F61" s="198"/>
      <c r="G61" s="198"/>
      <c r="H61" s="198"/>
      <c r="I61" s="198"/>
      <c r="L61" s="193"/>
      <c r="M61" s="193"/>
      <c r="N61" s="193"/>
      <c r="O61" s="194"/>
      <c r="P61" s="193"/>
    </row>
    <row r="62" spans="2:19">
      <c r="B62" s="198" t="s">
        <v>26</v>
      </c>
      <c r="C62" s="198" t="s">
        <v>148</v>
      </c>
      <c r="D62" s="198" t="s">
        <v>149</v>
      </c>
      <c r="E62" s="198" t="s">
        <v>29</v>
      </c>
      <c r="F62" s="198"/>
      <c r="G62" s="198"/>
      <c r="H62" s="198"/>
      <c r="I62" s="198"/>
      <c r="L62" s="76"/>
      <c r="M62" s="76"/>
      <c r="N62" s="76"/>
      <c r="O62" s="195"/>
      <c r="P62" s="76"/>
      <c r="S62" s="95" t="e">
        <f>1/O62</f>
        <v>#DIV/0!</v>
      </c>
    </row>
    <row r="63" spans="2:19">
      <c r="B63" s="198" t="s">
        <v>26</v>
      </c>
      <c r="C63" s="198" t="s">
        <v>157</v>
      </c>
      <c r="D63" s="198" t="s">
        <v>158</v>
      </c>
      <c r="E63" s="198" t="s">
        <v>159</v>
      </c>
      <c r="F63" s="198"/>
      <c r="G63" s="198"/>
      <c r="H63" s="198"/>
      <c r="I63" s="198"/>
      <c r="L63" s="76"/>
      <c r="M63" s="76"/>
      <c r="N63" s="76"/>
      <c r="O63" s="195"/>
      <c r="P63" s="76"/>
      <c r="S63" s="95" t="e">
        <f>1/O63</f>
        <v>#DIV/0!</v>
      </c>
    </row>
    <row r="64" spans="2:19">
      <c r="B64" s="198" t="s">
        <v>26</v>
      </c>
      <c r="C64" s="198" t="s">
        <v>162</v>
      </c>
      <c r="D64" s="198" t="s">
        <v>163</v>
      </c>
      <c r="E64" s="198" t="s">
        <v>29</v>
      </c>
      <c r="F64" s="198"/>
      <c r="G64" s="198"/>
      <c r="H64" s="198"/>
      <c r="I64" s="198"/>
      <c r="L64" s="76"/>
      <c r="M64" s="76"/>
      <c r="N64" s="76"/>
      <c r="O64" s="195"/>
      <c r="P64" s="76"/>
      <c r="S64" s="95" t="e">
        <f>1/O64</f>
        <v>#DIV/0!</v>
      </c>
    </row>
    <row r="65" spans="2:19">
      <c r="B65" s="198" t="s">
        <v>26</v>
      </c>
      <c r="C65" s="198" t="s">
        <v>164</v>
      </c>
      <c r="D65" s="198" t="s">
        <v>165</v>
      </c>
      <c r="E65" s="198" t="s">
        <v>29</v>
      </c>
      <c r="F65" s="198"/>
      <c r="G65" s="198"/>
      <c r="H65" s="198"/>
      <c r="I65" s="198"/>
      <c r="L65" s="76"/>
      <c r="M65" s="76"/>
      <c r="N65" s="76"/>
      <c r="O65" s="195"/>
      <c r="P65" s="76"/>
      <c r="S65" s="95">
        <v>4.3999999999999997E-2</v>
      </c>
    </row>
    <row r="66" spans="2:19">
      <c r="B66" s="198" t="s">
        <v>26</v>
      </c>
      <c r="C66" s="198" t="s">
        <v>177</v>
      </c>
      <c r="D66" s="198" t="s">
        <v>212</v>
      </c>
      <c r="E66" s="198" t="s">
        <v>29</v>
      </c>
      <c r="F66" s="198"/>
      <c r="G66" s="198"/>
      <c r="H66" s="198"/>
      <c r="I66" s="198"/>
      <c r="L66" s="76"/>
      <c r="M66" s="76"/>
      <c r="N66" s="76"/>
      <c r="O66" s="195"/>
      <c r="P66" s="76"/>
    </row>
    <row r="67" spans="2:19">
      <c r="L67" s="196"/>
      <c r="M67" s="76"/>
      <c r="N67" s="76"/>
      <c r="O67" s="195"/>
      <c r="P67" s="76"/>
    </row>
    <row r="68" spans="2:19">
      <c r="L68" s="76"/>
      <c r="M68" s="76"/>
      <c r="N68" s="76"/>
      <c r="O68" s="76"/>
      <c r="P68" s="76"/>
    </row>
    <row r="69" spans="2:19">
      <c r="L69" s="76"/>
      <c r="M69" s="76"/>
      <c r="N69" s="76"/>
      <c r="O69" s="76"/>
      <c r="P69" s="76"/>
      <c r="S69" s="95">
        <v>0.04</v>
      </c>
    </row>
    <row r="70" spans="2:19">
      <c r="L70" s="76"/>
      <c r="M70" s="76"/>
      <c r="N70" s="76"/>
      <c r="O70" s="76"/>
      <c r="P70" s="76"/>
    </row>
    <row r="71" spans="2:19">
      <c r="L71" s="76"/>
      <c r="M71" s="76"/>
      <c r="N71" s="76"/>
      <c r="O71" s="76"/>
      <c r="P71" s="76"/>
    </row>
    <row r="72" spans="2:19">
      <c r="L72" s="76"/>
      <c r="M72" s="76"/>
      <c r="N72" s="76"/>
      <c r="O72" s="76"/>
      <c r="P72" s="76"/>
    </row>
    <row r="73" spans="2:19">
      <c r="L73" s="76"/>
      <c r="M73" s="76"/>
      <c r="N73" s="76"/>
      <c r="O73" s="76"/>
      <c r="P73" s="76"/>
    </row>
    <row r="74" spans="2:19">
      <c r="L74" s="76"/>
      <c r="M74" s="76"/>
      <c r="N74" s="76"/>
      <c r="O74" s="76"/>
      <c r="P74" s="76"/>
    </row>
    <row r="75" spans="2:19">
      <c r="L75" s="76"/>
      <c r="M75" s="76"/>
      <c r="N75" s="76"/>
      <c r="O75" s="76"/>
      <c r="P75" s="76"/>
    </row>
    <row r="76" spans="2:19">
      <c r="L76" s="76"/>
      <c r="M76" s="76"/>
      <c r="N76" s="76"/>
      <c r="O76" s="76"/>
      <c r="P76" s="76"/>
    </row>
    <row r="77" spans="2:19">
      <c r="L77" s="76"/>
      <c r="M77" s="76"/>
      <c r="N77" s="76"/>
      <c r="O77" s="76"/>
      <c r="P77" s="76"/>
    </row>
    <row r="78" spans="2:19">
      <c r="L78" s="76"/>
      <c r="M78" s="76"/>
      <c r="N78" s="76"/>
      <c r="O78" s="76"/>
      <c r="P78" s="76"/>
    </row>
    <row r="79" spans="2:19">
      <c r="L79" s="76"/>
      <c r="M79" s="76"/>
      <c r="N79" s="76"/>
      <c r="O79" s="76"/>
      <c r="P79" s="76"/>
    </row>
    <row r="80" spans="2:19">
      <c r="L80" s="76"/>
      <c r="M80" s="76"/>
      <c r="N80" s="76"/>
      <c r="O80" s="76"/>
      <c r="P80" s="76"/>
    </row>
    <row r="81" spans="12:16">
      <c r="L81" s="76"/>
      <c r="M81" s="76"/>
      <c r="N81" s="76"/>
      <c r="O81" s="76"/>
      <c r="P81" s="76"/>
    </row>
    <row r="82" spans="12:16">
      <c r="L82" s="76"/>
      <c r="M82" s="76"/>
      <c r="N82" s="76"/>
      <c r="O82" s="76"/>
      <c r="P82" s="76"/>
    </row>
    <row r="83" spans="12:16">
      <c r="L83" s="76"/>
      <c r="M83" s="76"/>
      <c r="N83" s="76"/>
      <c r="O83" s="76"/>
      <c r="P83" s="76"/>
    </row>
    <row r="84" spans="12:16">
      <c r="L84" s="76"/>
      <c r="M84" s="76"/>
      <c r="N84" s="76"/>
      <c r="O84" s="76"/>
      <c r="P84" s="76"/>
    </row>
  </sheetData>
  <hyperlinks>
    <hyperlink ref="P49" r:id="rId1" display="Cost~@030" xr:uid="{00000000-0004-0000-0000-000000000000}"/>
  </hyperlinks>
  <pageMargins left="0.75" right="0.75" top="1" bottom="1" header="0.5" footer="0.5"/>
  <pageSetup orientation="portrait" r:id="rId2"/>
  <headerFooter alignWithMargins="0"/>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X84"/>
  <sheetViews>
    <sheetView topLeftCell="A16" workbookViewId="0">
      <selection activeCell="F69" sqref="F69"/>
    </sheetView>
  </sheetViews>
  <sheetFormatPr defaultRowHeight="13.2"/>
  <cols>
    <col min="1" max="1" width="2.88671875" customWidth="1"/>
    <col min="2" max="2" width="12.44140625" bestFit="1" customWidth="1"/>
    <col min="3" max="3" width="3" customWidth="1"/>
    <col min="4" max="4" width="27.5546875" customWidth="1"/>
    <col min="5" max="5" width="23.33203125" customWidth="1"/>
    <col min="6" max="6" width="18.109375" customWidth="1"/>
    <col min="7" max="7" width="11.109375" bestFit="1" customWidth="1"/>
    <col min="8" max="8" width="12.109375" bestFit="1" customWidth="1"/>
    <col min="9" max="9" width="11.109375" bestFit="1" customWidth="1"/>
    <col min="10" max="10" width="12.6640625" bestFit="1" customWidth="1"/>
    <col min="11" max="12" width="13.5546875" bestFit="1" customWidth="1"/>
    <col min="13" max="13" width="12" bestFit="1" customWidth="1"/>
    <col min="14" max="14" width="13" bestFit="1" customWidth="1"/>
    <col min="15" max="15" width="10.109375" bestFit="1" customWidth="1"/>
    <col min="16" max="18" width="8.33203125" bestFit="1" customWidth="1"/>
    <col min="19" max="19" width="9.33203125" bestFit="1" customWidth="1"/>
    <col min="20" max="20" width="13.33203125" bestFit="1" customWidth="1"/>
    <col min="21" max="21" width="11.109375" bestFit="1" customWidth="1"/>
    <col min="22" max="22" width="10" bestFit="1" customWidth="1"/>
  </cols>
  <sheetData>
    <row r="3" spans="1:23">
      <c r="D3" s="49" t="s">
        <v>17</v>
      </c>
      <c r="E3" s="50"/>
      <c r="F3" s="50"/>
      <c r="G3" s="50"/>
      <c r="H3" s="50"/>
      <c r="I3" s="50"/>
      <c r="J3" s="50"/>
      <c r="K3" s="50"/>
    </row>
    <row r="4" spans="1:23">
      <c r="D4" s="51" t="s">
        <v>15</v>
      </c>
      <c r="E4" s="52" t="s">
        <v>0</v>
      </c>
      <c r="F4" s="52" t="s">
        <v>1</v>
      </c>
      <c r="G4" s="52" t="s">
        <v>18</v>
      </c>
      <c r="H4" s="52" t="s">
        <v>19</v>
      </c>
      <c r="I4" s="52" t="s">
        <v>20</v>
      </c>
      <c r="J4" s="52" t="s">
        <v>21</v>
      </c>
      <c r="K4" s="53" t="s">
        <v>22</v>
      </c>
    </row>
    <row r="5" spans="1:23">
      <c r="D5" s="103" t="s">
        <v>67</v>
      </c>
      <c r="E5" s="103" t="s">
        <v>68</v>
      </c>
      <c r="F5" s="103" t="s">
        <v>69</v>
      </c>
      <c r="G5" s="103" t="s">
        <v>29</v>
      </c>
      <c r="H5" s="103" t="s">
        <v>266</v>
      </c>
      <c r="I5" s="103" t="s">
        <v>266</v>
      </c>
      <c r="J5" s="103" t="s">
        <v>33</v>
      </c>
      <c r="K5" s="103" t="s">
        <v>70</v>
      </c>
    </row>
    <row r="6" spans="1:23">
      <c r="D6" s="104" t="s">
        <v>67</v>
      </c>
      <c r="E6" s="104" t="s">
        <v>241</v>
      </c>
      <c r="F6" s="104" t="s">
        <v>224</v>
      </c>
      <c r="G6" s="104" t="s">
        <v>29</v>
      </c>
      <c r="H6" s="104"/>
      <c r="I6" s="104"/>
      <c r="J6" s="105" t="s">
        <v>308</v>
      </c>
      <c r="K6" s="104" t="s">
        <v>72</v>
      </c>
    </row>
    <row r="7" spans="1:23">
      <c r="D7" s="104" t="s">
        <v>67</v>
      </c>
      <c r="E7" s="104" t="s">
        <v>231</v>
      </c>
      <c r="F7" s="104" t="s">
        <v>225</v>
      </c>
      <c r="G7" s="104" t="s">
        <v>29</v>
      </c>
      <c r="H7" s="104"/>
      <c r="I7" s="104"/>
      <c r="J7" s="105" t="s">
        <v>356</v>
      </c>
      <c r="K7" s="104" t="s">
        <v>72</v>
      </c>
    </row>
    <row r="8" spans="1:23" s="1" customFormat="1">
      <c r="A8"/>
      <c r="D8" s="104" t="s">
        <v>67</v>
      </c>
      <c r="E8" s="104" t="s">
        <v>232</v>
      </c>
      <c r="F8" s="104" t="s">
        <v>226</v>
      </c>
      <c r="G8" s="104" t="s">
        <v>29</v>
      </c>
      <c r="H8" s="104"/>
      <c r="I8" s="104"/>
      <c r="J8" s="105" t="s">
        <v>356</v>
      </c>
      <c r="K8" s="104" t="s">
        <v>72</v>
      </c>
      <c r="R8"/>
      <c r="S8"/>
      <c r="T8"/>
      <c r="U8"/>
      <c r="W8"/>
    </row>
    <row r="9" spans="1:23">
      <c r="D9" s="104" t="s">
        <v>67</v>
      </c>
      <c r="E9" s="104" t="s">
        <v>234</v>
      </c>
      <c r="F9" s="104" t="s">
        <v>227</v>
      </c>
      <c r="G9" s="104" t="s">
        <v>29</v>
      </c>
      <c r="H9" s="104"/>
      <c r="I9" s="104"/>
      <c r="J9" s="105" t="s">
        <v>304</v>
      </c>
      <c r="K9" s="104"/>
    </row>
    <row r="10" spans="1:23">
      <c r="D10" s="104" t="s">
        <v>67</v>
      </c>
      <c r="E10" s="104" t="s">
        <v>233</v>
      </c>
      <c r="F10" s="104" t="s">
        <v>228</v>
      </c>
      <c r="G10" s="104" t="s">
        <v>29</v>
      </c>
      <c r="H10" s="104"/>
      <c r="I10" s="104"/>
      <c r="J10" s="104"/>
      <c r="K10" s="104"/>
    </row>
    <row r="13" spans="1:23">
      <c r="F13" s="49" t="s">
        <v>127</v>
      </c>
      <c r="G13" s="14"/>
      <c r="H13" s="14"/>
    </row>
    <row r="14" spans="1:23" ht="12.75" customHeight="1">
      <c r="D14" s="32" t="s">
        <v>0</v>
      </c>
      <c r="E14" s="32" t="s">
        <v>2</v>
      </c>
      <c r="F14" s="32" t="s">
        <v>3</v>
      </c>
      <c r="G14" s="32" t="s">
        <v>114</v>
      </c>
      <c r="H14" s="32" t="s">
        <v>115</v>
      </c>
      <c r="I14" s="32" t="s">
        <v>5</v>
      </c>
      <c r="J14" s="32" t="s">
        <v>25</v>
      </c>
      <c r="K14" s="32" t="s">
        <v>116</v>
      </c>
    </row>
    <row r="15" spans="1:23" ht="13.8" thickBot="1">
      <c r="D15" s="29" t="s">
        <v>108</v>
      </c>
      <c r="E15" s="30"/>
      <c r="F15" s="31"/>
      <c r="G15" s="31"/>
      <c r="H15" s="31"/>
      <c r="I15" s="31" t="s">
        <v>117</v>
      </c>
      <c r="J15" s="31" t="s">
        <v>117</v>
      </c>
      <c r="K15" s="31"/>
    </row>
    <row r="16" spans="1:23">
      <c r="B16" s="87" t="s">
        <v>69</v>
      </c>
      <c r="D16" s="87" t="s">
        <v>68</v>
      </c>
      <c r="E16" s="87" t="s">
        <v>27</v>
      </c>
      <c r="F16" s="87"/>
      <c r="G16" s="87">
        <v>2.5</v>
      </c>
      <c r="H16" s="87"/>
      <c r="I16" s="87"/>
      <c r="J16" s="87"/>
      <c r="K16" s="87"/>
    </row>
    <row r="17" spans="2:24">
      <c r="D17" s="87"/>
      <c r="E17" s="87" t="s">
        <v>213</v>
      </c>
      <c r="F17" s="87"/>
      <c r="G17" s="106">
        <v>1.1000000000000001E-3</v>
      </c>
      <c r="H17" s="87"/>
      <c r="I17" s="87"/>
      <c r="J17" s="87"/>
      <c r="K17" s="87"/>
    </row>
    <row r="18" spans="2:24">
      <c r="D18" s="87"/>
      <c r="E18" s="87" t="s">
        <v>214</v>
      </c>
      <c r="F18" s="87"/>
      <c r="G18" s="106">
        <f>0.579*0.00252</f>
        <v>1.45908E-3</v>
      </c>
      <c r="H18" s="87"/>
      <c r="I18" s="87"/>
      <c r="J18" s="87"/>
      <c r="K18" s="87"/>
    </row>
    <row r="19" spans="2:24">
      <c r="D19" s="87"/>
      <c r="E19" s="87"/>
      <c r="F19" s="87" t="s">
        <v>33</v>
      </c>
      <c r="G19" s="87"/>
      <c r="H19" s="87">
        <v>1</v>
      </c>
      <c r="I19" s="106">
        <v>2.9053510000000001E-2</v>
      </c>
      <c r="J19" s="106">
        <v>1.7600000000000001E-3</v>
      </c>
      <c r="K19" s="87">
        <v>50</v>
      </c>
    </row>
    <row r="20" spans="2:24">
      <c r="D20" s="87"/>
      <c r="E20" s="87"/>
      <c r="F20" s="87" t="s">
        <v>31</v>
      </c>
      <c r="G20" s="87"/>
      <c r="H20" s="87">
        <v>1.5</v>
      </c>
      <c r="I20" s="87"/>
      <c r="J20" s="87"/>
      <c r="K20" s="87"/>
    </row>
    <row r="21" spans="2:24">
      <c r="B21" s="1"/>
    </row>
    <row r="24" spans="2:24">
      <c r="F24" s="49" t="s">
        <v>127</v>
      </c>
      <c r="G24" s="14"/>
      <c r="H24" s="14"/>
    </row>
    <row r="25" spans="2:24" ht="26.4">
      <c r="D25" s="32" t="s">
        <v>0</v>
      </c>
      <c r="E25" s="32" t="s">
        <v>2</v>
      </c>
      <c r="F25" s="32" t="s">
        <v>3</v>
      </c>
      <c r="G25" s="32" t="s">
        <v>114</v>
      </c>
      <c r="H25" s="32" t="s">
        <v>115</v>
      </c>
      <c r="I25" s="15" t="s">
        <v>118</v>
      </c>
      <c r="J25" s="67" t="s">
        <v>277</v>
      </c>
      <c r="K25" s="35" t="s">
        <v>119</v>
      </c>
      <c r="L25" s="35" t="s">
        <v>120</v>
      </c>
      <c r="M25" s="35" t="s">
        <v>121</v>
      </c>
      <c r="N25" s="35" t="s">
        <v>122</v>
      </c>
      <c r="O25" s="35" t="s">
        <v>123</v>
      </c>
      <c r="P25" s="15" t="s">
        <v>5</v>
      </c>
      <c r="Q25" s="15" t="s">
        <v>25</v>
      </c>
      <c r="R25" s="15" t="s">
        <v>116</v>
      </c>
      <c r="S25" s="15" t="s">
        <v>124</v>
      </c>
      <c r="T25" s="15" t="s">
        <v>125</v>
      </c>
      <c r="U25" s="15" t="s">
        <v>106</v>
      </c>
      <c r="V25" s="15" t="s">
        <v>107</v>
      </c>
    </row>
    <row r="26" spans="2:24" ht="13.8" thickBot="1">
      <c r="D26" s="29" t="s">
        <v>108</v>
      </c>
      <c r="E26" s="30"/>
      <c r="F26" s="31"/>
      <c r="G26" s="31"/>
      <c r="H26" s="31"/>
      <c r="I26" s="31"/>
      <c r="J26" s="31"/>
      <c r="K26" s="33" t="s">
        <v>117</v>
      </c>
      <c r="L26" s="33"/>
      <c r="M26" s="33"/>
      <c r="N26" s="33"/>
      <c r="O26" s="33"/>
      <c r="P26" s="34" t="s">
        <v>117</v>
      </c>
      <c r="Q26" s="34" t="s">
        <v>117</v>
      </c>
      <c r="R26" s="34"/>
      <c r="S26" s="34" t="s">
        <v>126</v>
      </c>
      <c r="T26" s="34" t="s">
        <v>126</v>
      </c>
      <c r="U26" s="34" t="s">
        <v>126</v>
      </c>
      <c r="V26" s="34" t="s">
        <v>126</v>
      </c>
    </row>
    <row r="27" spans="2:24">
      <c r="B27" s="111" t="s">
        <v>71</v>
      </c>
      <c r="D27" s="110" t="str">
        <f>E6</f>
        <v>BRF1_TRANSESTER</v>
      </c>
      <c r="E27" s="112" t="s">
        <v>33</v>
      </c>
      <c r="F27" s="113"/>
      <c r="G27" s="114">
        <v>1.0298666666666667</v>
      </c>
      <c r="H27" s="115"/>
      <c r="I27" s="116"/>
      <c r="J27" s="116"/>
      <c r="K27" s="36"/>
      <c r="L27" s="36"/>
      <c r="M27" s="36"/>
      <c r="N27" s="36"/>
      <c r="O27" s="36"/>
      <c r="P27" s="36"/>
      <c r="Q27" s="36"/>
      <c r="R27" s="116"/>
      <c r="S27" s="87"/>
      <c r="T27" s="116"/>
      <c r="U27" s="116"/>
      <c r="V27" s="116"/>
      <c r="X27" s="10"/>
    </row>
    <row r="28" spans="2:24">
      <c r="D28" s="110"/>
      <c r="E28" s="112" t="s">
        <v>213</v>
      </c>
      <c r="F28" s="113"/>
      <c r="G28" s="117">
        <f>0.000079*3.6</f>
        <v>2.8439999999999997E-4</v>
      </c>
      <c r="H28" s="115"/>
      <c r="I28" s="116"/>
      <c r="J28" s="116"/>
      <c r="K28" s="116"/>
      <c r="L28" s="116"/>
      <c r="M28" s="116"/>
      <c r="N28" s="116"/>
      <c r="O28" s="116"/>
      <c r="P28" s="116"/>
      <c r="Q28" s="116"/>
      <c r="R28" s="116"/>
      <c r="S28" s="87"/>
      <c r="T28" s="116"/>
      <c r="U28" s="116"/>
      <c r="V28" s="116"/>
      <c r="X28" s="10"/>
    </row>
    <row r="29" spans="2:24">
      <c r="D29" s="110"/>
      <c r="E29" s="112" t="s">
        <v>214</v>
      </c>
      <c r="F29" s="113"/>
      <c r="G29" s="118">
        <f>0.64*0.00252</f>
        <v>1.6128000000000002E-3</v>
      </c>
      <c r="H29" s="115"/>
      <c r="I29" s="116"/>
      <c r="J29" s="116"/>
      <c r="K29" s="116"/>
      <c r="L29" s="116"/>
      <c r="M29" s="116"/>
      <c r="N29" s="116"/>
      <c r="O29" s="116"/>
      <c r="P29" s="116"/>
      <c r="Q29" s="116"/>
      <c r="R29" s="116"/>
      <c r="S29" s="87"/>
      <c r="T29" s="116"/>
      <c r="U29" s="116"/>
      <c r="V29" s="116"/>
      <c r="X29" s="10"/>
    </row>
    <row r="30" spans="2:24">
      <c r="D30" s="110"/>
      <c r="E30" s="87" t="s">
        <v>37</v>
      </c>
      <c r="F30" s="112"/>
      <c r="G30" s="87">
        <v>36</v>
      </c>
      <c r="H30" s="87"/>
      <c r="I30" s="119"/>
      <c r="J30" s="119"/>
      <c r="K30" s="116"/>
      <c r="L30" s="116"/>
      <c r="M30" s="116"/>
      <c r="N30" s="116"/>
      <c r="O30" s="116"/>
      <c r="P30" s="116"/>
      <c r="Q30" s="116"/>
      <c r="R30" s="116"/>
      <c r="S30" s="87"/>
      <c r="T30" s="116"/>
      <c r="U30" s="116"/>
      <c r="V30" s="116"/>
      <c r="X30" s="10"/>
    </row>
    <row r="31" spans="2:24">
      <c r="D31" s="110"/>
      <c r="E31" s="87" t="s">
        <v>41</v>
      </c>
      <c r="F31" s="112"/>
      <c r="G31" s="87">
        <v>0.11899999999999999</v>
      </c>
      <c r="H31" s="87"/>
      <c r="I31" s="119"/>
      <c r="J31" s="119"/>
      <c r="K31" s="116"/>
      <c r="L31" s="116"/>
      <c r="M31" s="116"/>
      <c r="N31" s="116"/>
      <c r="O31" s="116"/>
      <c r="P31" s="116"/>
      <c r="Q31" s="116"/>
      <c r="R31" s="116"/>
      <c r="S31" s="87"/>
      <c r="T31" s="116"/>
      <c r="U31" s="116"/>
      <c r="V31" s="116"/>
      <c r="X31" s="10"/>
    </row>
    <row r="32" spans="2:24">
      <c r="D32" s="110"/>
      <c r="E32" s="87"/>
      <c r="F32" s="112" t="s">
        <v>308</v>
      </c>
      <c r="G32" s="87"/>
      <c r="H32" s="87">
        <v>1</v>
      </c>
      <c r="I32" s="114"/>
      <c r="J32" s="114">
        <v>5.6660000000000002E-2</v>
      </c>
      <c r="K32" s="120">
        <v>5.553333333333333E-2</v>
      </c>
      <c r="L32" s="120">
        <v>5.2699999999999997E-2</v>
      </c>
      <c r="M32" s="120">
        <v>5.043333333333333E-2</v>
      </c>
      <c r="N32" s="120">
        <v>4.873333333333333E-2</v>
      </c>
      <c r="O32" s="120">
        <v>4.8166666666666663E-2</v>
      </c>
      <c r="P32" s="121">
        <v>1.6778633333333334E-2</v>
      </c>
      <c r="Q32" s="121">
        <v>2.9333333333333334E-3</v>
      </c>
      <c r="R32" s="116">
        <v>20</v>
      </c>
      <c r="S32" s="87"/>
      <c r="T32" s="116"/>
      <c r="U32" s="119"/>
      <c r="V32" s="119"/>
      <c r="X32" s="11">
        <v>1058.27</v>
      </c>
    </row>
    <row r="33" spans="2:24">
      <c r="D33" s="110"/>
      <c r="E33" s="87"/>
      <c r="F33" s="109" t="s">
        <v>354</v>
      </c>
      <c r="G33" s="87"/>
      <c r="H33" s="87">
        <v>3.7399999999999996E-2</v>
      </c>
      <c r="I33" s="119"/>
      <c r="J33" s="119"/>
      <c r="K33" s="116"/>
      <c r="L33" s="116"/>
      <c r="M33" s="116"/>
      <c r="N33" s="116"/>
      <c r="O33" s="116"/>
      <c r="P33" s="116"/>
      <c r="Q33" s="116"/>
      <c r="R33" s="116"/>
      <c r="S33" s="87"/>
      <c r="T33" s="116"/>
      <c r="U33" s="87"/>
      <c r="V33" s="116"/>
      <c r="X33" s="10"/>
    </row>
    <row r="34" spans="2:24">
      <c r="D34" s="110"/>
      <c r="E34" s="87"/>
      <c r="F34" s="112" t="s">
        <v>46</v>
      </c>
      <c r="G34" s="87"/>
      <c r="H34" s="106">
        <v>0.115</v>
      </c>
      <c r="I34" s="114"/>
      <c r="J34" s="114"/>
      <c r="K34" s="116"/>
      <c r="L34" s="116"/>
      <c r="M34" s="116"/>
      <c r="N34" s="116"/>
      <c r="O34" s="116"/>
      <c r="P34" s="116"/>
      <c r="Q34" s="116"/>
      <c r="R34" s="116"/>
      <c r="S34" s="87"/>
      <c r="T34" s="116"/>
      <c r="U34" s="116"/>
      <c r="V34" s="116"/>
      <c r="X34" s="10"/>
    </row>
    <row r="35" spans="2:24">
      <c r="B35" s="1"/>
      <c r="D35" s="122"/>
      <c r="E35" s="87"/>
      <c r="F35" s="112" t="s">
        <v>48</v>
      </c>
      <c r="G35" s="87"/>
      <c r="H35" s="106">
        <v>4.7000000000000002E-3</v>
      </c>
      <c r="I35" s="114"/>
      <c r="J35" s="114"/>
      <c r="K35" s="116"/>
      <c r="L35" s="116"/>
      <c r="M35" s="116"/>
      <c r="N35" s="116"/>
      <c r="O35" s="116"/>
      <c r="P35" s="116"/>
      <c r="Q35" s="116"/>
      <c r="R35" s="116"/>
      <c r="S35" s="87"/>
      <c r="T35" s="116"/>
      <c r="U35" s="116"/>
      <c r="V35" s="116"/>
      <c r="X35" s="10"/>
    </row>
    <row r="38" spans="2:24">
      <c r="F38" s="49" t="s">
        <v>127</v>
      </c>
      <c r="G38" s="14"/>
      <c r="H38" s="14"/>
    </row>
    <row r="39" spans="2:24" ht="26.4">
      <c r="D39" s="32" t="s">
        <v>0</v>
      </c>
      <c r="E39" s="32" t="s">
        <v>2</v>
      </c>
      <c r="F39" s="32" t="s">
        <v>3</v>
      </c>
      <c r="G39" s="32" t="s">
        <v>114</v>
      </c>
      <c r="H39" s="32" t="s">
        <v>115</v>
      </c>
      <c r="I39" s="15" t="s">
        <v>128</v>
      </c>
      <c r="J39" s="67" t="s">
        <v>278</v>
      </c>
      <c r="K39" s="35" t="s">
        <v>119</v>
      </c>
      <c r="L39" s="35" t="s">
        <v>120</v>
      </c>
      <c r="M39" s="35" t="s">
        <v>121</v>
      </c>
      <c r="N39" s="35" t="s">
        <v>122</v>
      </c>
      <c r="O39" s="35" t="s">
        <v>123</v>
      </c>
      <c r="P39" s="15" t="s">
        <v>5</v>
      </c>
      <c r="Q39" s="15" t="s">
        <v>25</v>
      </c>
      <c r="R39" s="15" t="s">
        <v>116</v>
      </c>
      <c r="S39" s="15" t="s">
        <v>124</v>
      </c>
      <c r="T39" s="15" t="s">
        <v>106</v>
      </c>
      <c r="U39" s="15" t="s">
        <v>107</v>
      </c>
    </row>
    <row r="40" spans="2:24" ht="13.8" thickBot="1">
      <c r="D40" s="29" t="s">
        <v>108</v>
      </c>
      <c r="E40" s="30"/>
      <c r="F40" s="31"/>
      <c r="G40" s="31"/>
      <c r="H40" s="31"/>
      <c r="I40" s="31"/>
      <c r="J40" s="31"/>
      <c r="K40" s="33" t="s">
        <v>117</v>
      </c>
      <c r="L40" s="33"/>
      <c r="M40" s="33"/>
      <c r="N40" s="33"/>
      <c r="O40" s="33"/>
      <c r="P40" s="34" t="s">
        <v>117</v>
      </c>
      <c r="Q40" s="34" t="s">
        <v>117</v>
      </c>
      <c r="R40" s="34"/>
      <c r="S40" s="34" t="s">
        <v>126</v>
      </c>
      <c r="T40" s="34" t="s">
        <v>126</v>
      </c>
      <c r="U40" s="34" t="s">
        <v>126</v>
      </c>
    </row>
    <row r="41" spans="2:24">
      <c r="B41" s="111" t="s">
        <v>87</v>
      </c>
      <c r="D41" s="110" t="s">
        <v>231</v>
      </c>
      <c r="E41" s="112" t="s">
        <v>50</v>
      </c>
      <c r="F41" s="113"/>
      <c r="G41" s="117">
        <v>2.9113924050632911</v>
      </c>
      <c r="H41" s="115"/>
      <c r="I41" s="116"/>
      <c r="J41" s="116"/>
      <c r="K41" s="87"/>
      <c r="L41" s="87"/>
      <c r="M41" s="87"/>
      <c r="N41" s="87"/>
      <c r="O41" s="87"/>
      <c r="P41" s="87"/>
      <c r="Q41" s="87"/>
      <c r="R41" s="116"/>
      <c r="S41" s="87"/>
      <c r="T41" s="116"/>
      <c r="U41" s="116"/>
      <c r="W41" s="10"/>
    </row>
    <row r="42" spans="2:24">
      <c r="D42" s="110"/>
      <c r="E42" s="112" t="s">
        <v>213</v>
      </c>
      <c r="F42" s="113"/>
      <c r="G42" s="118">
        <f>0.00348*3.6</f>
        <v>1.2528000000000001E-2</v>
      </c>
      <c r="H42" s="115"/>
      <c r="I42" s="116"/>
      <c r="J42" s="116"/>
      <c r="K42" s="116"/>
      <c r="L42" s="116"/>
      <c r="M42" s="116"/>
      <c r="N42" s="116"/>
      <c r="O42" s="116"/>
      <c r="P42" s="116"/>
      <c r="Q42" s="116"/>
      <c r="R42" s="116"/>
      <c r="S42" s="87"/>
      <c r="T42" s="116"/>
      <c r="U42" s="116"/>
      <c r="W42" s="10"/>
    </row>
    <row r="43" spans="2:24">
      <c r="D43" s="110"/>
      <c r="E43" s="134" t="s">
        <v>214</v>
      </c>
      <c r="F43" s="113"/>
      <c r="G43" s="115">
        <f>7*0.00252</f>
        <v>1.7639999999999999E-2</v>
      </c>
      <c r="H43" s="115"/>
      <c r="I43" s="116"/>
      <c r="J43" s="116"/>
      <c r="K43" s="116"/>
      <c r="L43" s="116"/>
      <c r="M43" s="116"/>
      <c r="N43" s="116"/>
      <c r="O43" s="116"/>
      <c r="P43" s="116"/>
      <c r="Q43" s="116"/>
      <c r="R43" s="116"/>
      <c r="S43" s="87"/>
      <c r="T43" s="116"/>
      <c r="U43" s="116"/>
      <c r="W43" s="10"/>
    </row>
    <row r="44" spans="2:24">
      <c r="D44" s="110"/>
      <c r="E44" s="87" t="s">
        <v>37</v>
      </c>
      <c r="F44" s="112"/>
      <c r="G44" s="87">
        <v>6</v>
      </c>
      <c r="H44" s="87"/>
      <c r="I44" s="119"/>
      <c r="J44" s="119"/>
      <c r="K44" s="116"/>
      <c r="L44" s="116"/>
      <c r="M44" s="116"/>
      <c r="N44" s="116"/>
      <c r="O44" s="116"/>
      <c r="P44" s="116"/>
      <c r="Q44" s="116"/>
      <c r="R44" s="116"/>
      <c r="S44" s="87"/>
      <c r="T44" s="116"/>
      <c r="U44" s="116"/>
      <c r="W44" s="10"/>
    </row>
    <row r="45" spans="2:24">
      <c r="D45" s="110"/>
      <c r="E45" s="87" t="s">
        <v>52</v>
      </c>
      <c r="F45" s="112"/>
      <c r="G45" s="87">
        <v>8.2000000000000003E-2</v>
      </c>
      <c r="H45" s="87"/>
      <c r="I45" s="119"/>
      <c r="J45" s="119"/>
      <c r="K45" s="116"/>
      <c r="L45" s="116"/>
      <c r="M45" s="116"/>
      <c r="N45" s="116"/>
      <c r="O45" s="116"/>
      <c r="P45" s="116"/>
      <c r="Q45" s="116"/>
      <c r="R45" s="116"/>
      <c r="S45" s="87"/>
      <c r="T45" s="116"/>
      <c r="U45" s="116"/>
      <c r="W45" s="10"/>
    </row>
    <row r="46" spans="2:24">
      <c r="D46" s="110"/>
      <c r="E46" s="87"/>
      <c r="F46" s="112" t="s">
        <v>356</v>
      </c>
      <c r="G46" s="87"/>
      <c r="H46" s="87">
        <v>1</v>
      </c>
      <c r="I46" s="114"/>
      <c r="J46" s="114">
        <v>0.65900000000000003</v>
      </c>
      <c r="K46" s="120">
        <v>0.60621012658227846</v>
      </c>
      <c r="L46" s="120">
        <v>0.55349620253164555</v>
      </c>
      <c r="M46" s="120">
        <v>0.50078227848101264</v>
      </c>
      <c r="N46" s="120">
        <v>0.45465759493670882</v>
      </c>
      <c r="O46" s="120">
        <v>0.42171139240506328</v>
      </c>
      <c r="P46" s="121">
        <v>0.1223518670886076</v>
      </c>
      <c r="Q46" s="121">
        <v>9.7468354430379749E-3</v>
      </c>
      <c r="R46" s="116">
        <v>20</v>
      </c>
      <c r="S46" s="87"/>
      <c r="T46" s="119"/>
      <c r="U46" s="119"/>
      <c r="W46" s="11">
        <v>200</v>
      </c>
    </row>
    <row r="47" spans="2:24">
      <c r="D47" s="110"/>
      <c r="E47" s="87"/>
      <c r="F47" s="109" t="s">
        <v>354</v>
      </c>
      <c r="G47" s="87"/>
      <c r="H47" s="87">
        <v>2.6800000000000001E-2</v>
      </c>
      <c r="I47" s="87"/>
      <c r="J47" s="87"/>
      <c r="K47" s="116"/>
      <c r="L47" s="116"/>
      <c r="M47" s="116"/>
      <c r="N47" s="116"/>
      <c r="O47" s="116"/>
      <c r="P47" s="116"/>
      <c r="Q47" s="116"/>
      <c r="R47" s="116"/>
      <c r="S47" s="87"/>
      <c r="T47" s="116"/>
      <c r="U47" s="116"/>
      <c r="W47" s="10"/>
    </row>
    <row r="48" spans="2:24">
      <c r="D48" s="122"/>
      <c r="E48" s="87"/>
      <c r="F48" s="112" t="s">
        <v>55</v>
      </c>
      <c r="G48" s="87"/>
      <c r="H48" s="87">
        <v>1.2</v>
      </c>
      <c r="I48" s="87"/>
      <c r="J48" s="87"/>
      <c r="K48" s="116"/>
      <c r="L48" s="116"/>
      <c r="M48" s="116"/>
      <c r="N48" s="116"/>
      <c r="O48" s="116"/>
      <c r="P48" s="116"/>
      <c r="Q48" s="116"/>
      <c r="R48" s="116"/>
      <c r="S48" s="87"/>
      <c r="T48" s="116"/>
      <c r="U48" s="116"/>
      <c r="W48" s="10"/>
    </row>
    <row r="49" spans="2:23">
      <c r="B49" s="111" t="s">
        <v>88</v>
      </c>
      <c r="D49" s="110" t="s">
        <v>232</v>
      </c>
      <c r="E49" s="87" t="s">
        <v>57</v>
      </c>
      <c r="F49" s="112"/>
      <c r="G49" s="139">
        <v>12.658227848101266</v>
      </c>
      <c r="H49" s="87"/>
      <c r="I49" s="114"/>
      <c r="J49" s="114"/>
      <c r="K49" s="87"/>
      <c r="L49" s="87"/>
      <c r="M49" s="87"/>
      <c r="N49" s="87"/>
      <c r="O49" s="87"/>
      <c r="P49" s="87"/>
      <c r="Q49" s="87"/>
      <c r="R49" s="116"/>
      <c r="S49" s="87"/>
      <c r="T49" s="116"/>
      <c r="U49" s="116"/>
      <c r="W49" s="10"/>
    </row>
    <row r="50" spans="2:23">
      <c r="D50" s="110"/>
      <c r="E50" s="112" t="s">
        <v>213</v>
      </c>
      <c r="F50" s="112"/>
      <c r="G50" s="140">
        <f>0.00348*3.6</f>
        <v>1.2528000000000001E-2</v>
      </c>
      <c r="H50" s="87"/>
      <c r="I50" s="114"/>
      <c r="J50" s="114"/>
      <c r="K50" s="116"/>
      <c r="L50" s="116"/>
      <c r="M50" s="116"/>
      <c r="N50" s="116"/>
      <c r="O50" s="116"/>
      <c r="P50" s="116"/>
      <c r="Q50" s="116"/>
      <c r="R50" s="116"/>
      <c r="S50" s="87"/>
      <c r="T50" s="116"/>
      <c r="U50" s="116"/>
      <c r="W50" s="10"/>
    </row>
    <row r="51" spans="2:23">
      <c r="D51" s="110"/>
      <c r="E51" s="87" t="str">
        <f>E43</f>
        <v>SUPHTH</v>
      </c>
      <c r="F51" s="112"/>
      <c r="G51" s="87">
        <f>7*0.00252</f>
        <v>1.7639999999999999E-2</v>
      </c>
      <c r="H51" s="87"/>
      <c r="I51" s="114"/>
      <c r="J51" s="114"/>
      <c r="K51" s="116"/>
      <c r="L51" s="116"/>
      <c r="M51" s="116"/>
      <c r="N51" s="116"/>
      <c r="O51" s="116"/>
      <c r="P51" s="116"/>
      <c r="Q51" s="116"/>
      <c r="R51" s="116"/>
      <c r="S51" s="87"/>
      <c r="T51" s="116"/>
      <c r="U51" s="116"/>
      <c r="W51" s="10"/>
    </row>
    <row r="52" spans="2:23">
      <c r="D52" s="110"/>
      <c r="E52" s="87" t="s">
        <v>37</v>
      </c>
      <c r="F52" s="112"/>
      <c r="G52" s="87">
        <v>6</v>
      </c>
      <c r="H52" s="87"/>
      <c r="I52" s="114"/>
      <c r="J52" s="114"/>
      <c r="K52" s="116"/>
      <c r="L52" s="116"/>
      <c r="M52" s="116"/>
      <c r="N52" s="116"/>
      <c r="O52" s="116"/>
      <c r="P52" s="116"/>
      <c r="Q52" s="116"/>
      <c r="R52" s="116"/>
      <c r="S52" s="87"/>
      <c r="T52" s="116"/>
      <c r="U52" s="116"/>
      <c r="W52" s="10"/>
    </row>
    <row r="53" spans="2:23">
      <c r="D53" s="110"/>
      <c r="E53" s="87" t="s">
        <v>59</v>
      </c>
      <c r="F53" s="112"/>
      <c r="G53" s="87">
        <f>0.0000345*1000</f>
        <v>3.4499999999999996E-2</v>
      </c>
      <c r="H53" s="87"/>
      <c r="I53" s="114"/>
      <c r="J53" s="114"/>
      <c r="K53" s="116"/>
      <c r="L53" s="116"/>
      <c r="M53" s="116"/>
      <c r="N53" s="116"/>
      <c r="O53" s="116"/>
      <c r="P53" s="116"/>
      <c r="Q53" s="116"/>
      <c r="R53" s="116"/>
      <c r="S53" s="87"/>
      <c r="T53" s="116"/>
      <c r="U53" s="116"/>
      <c r="W53" s="10"/>
    </row>
    <row r="54" spans="2:23">
      <c r="D54" s="110"/>
      <c r="E54" s="87" t="s">
        <v>61</v>
      </c>
      <c r="F54" s="112"/>
      <c r="G54" s="87">
        <v>0.15375</v>
      </c>
      <c r="H54" s="87"/>
      <c r="I54" s="114"/>
      <c r="J54" s="114"/>
      <c r="K54" s="116"/>
      <c r="L54" s="116"/>
      <c r="M54" s="116"/>
      <c r="N54" s="116"/>
      <c r="O54" s="116"/>
      <c r="P54" s="116"/>
      <c r="Q54" s="116"/>
      <c r="R54" s="116"/>
      <c r="S54" s="87"/>
      <c r="T54" s="116"/>
      <c r="U54" s="116"/>
      <c r="W54" s="10"/>
    </row>
    <row r="55" spans="2:23">
      <c r="D55" s="110"/>
      <c r="E55" s="87"/>
      <c r="F55" s="112" t="s">
        <v>356</v>
      </c>
      <c r="G55" s="87"/>
      <c r="H55" s="87"/>
      <c r="I55" s="114"/>
      <c r="J55" s="114">
        <v>0.24</v>
      </c>
      <c r="K55" s="121">
        <v>0.22033417721518991</v>
      </c>
      <c r="L55" s="121">
        <v>0.20117468354430382</v>
      </c>
      <c r="M55" s="121">
        <v>0.18201518987341775</v>
      </c>
      <c r="N55" s="121">
        <v>0.16525063291139241</v>
      </c>
      <c r="O55" s="121">
        <v>0.15327594936708863</v>
      </c>
      <c r="P55" s="141">
        <v>4.8009670886075953E-2</v>
      </c>
      <c r="Q55" s="141">
        <v>9.7468354430379749E-3</v>
      </c>
      <c r="R55" s="116">
        <v>20</v>
      </c>
      <c r="S55" s="87"/>
      <c r="T55" s="114"/>
      <c r="U55" s="114"/>
      <c r="W55" s="12">
        <v>170</v>
      </c>
    </row>
    <row r="56" spans="2:23">
      <c r="D56" s="110"/>
      <c r="E56" s="87"/>
      <c r="F56" s="112" t="s">
        <v>63</v>
      </c>
      <c r="G56" s="87"/>
      <c r="H56" s="139">
        <v>0.82278481012658233</v>
      </c>
      <c r="I56" s="114"/>
      <c r="J56" s="114"/>
      <c r="K56" s="116"/>
      <c r="L56" s="116"/>
      <c r="M56" s="116"/>
      <c r="N56" s="116"/>
      <c r="O56" s="116"/>
      <c r="P56" s="116"/>
      <c r="Q56" s="116"/>
      <c r="R56" s="116"/>
      <c r="S56" s="87"/>
      <c r="T56" s="116"/>
      <c r="U56" s="116"/>
      <c r="W56" s="10"/>
    </row>
    <row r="57" spans="2:23">
      <c r="D57" s="110"/>
      <c r="E57" s="87"/>
      <c r="F57" s="112" t="s">
        <v>65</v>
      </c>
      <c r="G57" s="87"/>
      <c r="H57" s="87">
        <v>0.22</v>
      </c>
      <c r="I57" s="114"/>
      <c r="J57" s="114"/>
      <c r="K57" s="116"/>
      <c r="L57" s="116"/>
      <c r="M57" s="116"/>
      <c r="N57" s="116"/>
      <c r="O57" s="116"/>
      <c r="P57" s="116"/>
      <c r="Q57" s="116"/>
      <c r="R57" s="116"/>
      <c r="S57" s="87"/>
      <c r="T57" s="116"/>
      <c r="U57" s="116"/>
      <c r="W57" s="10"/>
    </row>
    <row r="60" spans="2:23">
      <c r="F60" s="16" t="s">
        <v>206</v>
      </c>
      <c r="G60" s="14"/>
      <c r="H60" s="14"/>
      <c r="I60" s="14"/>
      <c r="J60" s="14"/>
    </row>
    <row r="61" spans="2:23">
      <c r="D61" s="41" t="s">
        <v>0</v>
      </c>
      <c r="E61" s="41" t="s">
        <v>2</v>
      </c>
      <c r="F61" s="41" t="s">
        <v>3</v>
      </c>
      <c r="G61" s="41" t="s">
        <v>16</v>
      </c>
      <c r="H61" s="41" t="s">
        <v>114</v>
      </c>
      <c r="I61" s="41" t="s">
        <v>115</v>
      </c>
    </row>
    <row r="62" spans="2:23">
      <c r="D62" s="42" t="s">
        <v>108</v>
      </c>
      <c r="E62" s="43"/>
      <c r="F62" s="44"/>
      <c r="G62" s="44"/>
      <c r="H62" s="44"/>
      <c r="I62" s="44"/>
    </row>
    <row r="63" spans="2:23">
      <c r="B63" s="130" t="s">
        <v>207</v>
      </c>
      <c r="D63" s="136" t="s">
        <v>233</v>
      </c>
      <c r="E63" s="112" t="s">
        <v>356</v>
      </c>
      <c r="F63" s="131"/>
      <c r="G63" s="130"/>
      <c r="H63" s="132">
        <v>0.441</v>
      </c>
      <c r="I63" s="132"/>
    </row>
    <row r="64" spans="2:23">
      <c r="D64" s="133"/>
      <c r="E64" s="130" t="s">
        <v>208</v>
      </c>
      <c r="F64" s="130"/>
      <c r="G64" s="87"/>
      <c r="H64" s="87">
        <v>0.55700000000000005</v>
      </c>
      <c r="I64" s="87"/>
    </row>
    <row r="65" spans="2:20">
      <c r="D65" s="131"/>
      <c r="E65" s="134" t="s">
        <v>209</v>
      </c>
      <c r="F65" s="130"/>
      <c r="G65" s="87"/>
      <c r="H65" s="87">
        <f>0.0000001*10^6</f>
        <v>9.9999999999999992E-2</v>
      </c>
      <c r="I65" s="87"/>
    </row>
    <row r="66" spans="2:20">
      <c r="D66" s="131"/>
      <c r="E66" s="134" t="s">
        <v>213</v>
      </c>
      <c r="F66" s="130"/>
      <c r="G66" s="87"/>
      <c r="H66" s="87">
        <f>0.00006*3.6</f>
        <v>2.1600000000000002E-4</v>
      </c>
      <c r="I66" s="87"/>
    </row>
    <row r="67" spans="2:20">
      <c r="D67" s="131"/>
      <c r="E67" s="134" t="s">
        <v>214</v>
      </c>
      <c r="F67" s="130"/>
      <c r="G67" s="87"/>
      <c r="H67" s="87">
        <f>0.963*0.00252</f>
        <v>2.42676E-3</v>
      </c>
      <c r="I67" s="87"/>
    </row>
    <row r="68" spans="2:20">
      <c r="D68" s="131"/>
      <c r="E68" s="134" t="s">
        <v>37</v>
      </c>
      <c r="F68" s="130"/>
      <c r="G68" s="87"/>
      <c r="H68" s="87">
        <v>21.2</v>
      </c>
      <c r="I68" s="87"/>
    </row>
    <row r="69" spans="2:20">
      <c r="D69" s="135"/>
      <c r="E69" s="135"/>
      <c r="F69" s="112" t="s">
        <v>358</v>
      </c>
      <c r="G69" s="87"/>
      <c r="H69" s="87"/>
      <c r="I69" s="87">
        <v>1</v>
      </c>
    </row>
    <row r="70" spans="2:20">
      <c r="C70" s="137"/>
      <c r="D70" s="138"/>
      <c r="E70" s="138"/>
      <c r="F70" s="8"/>
      <c r="G70" s="5"/>
      <c r="H70" s="5"/>
      <c r="I70" s="5"/>
    </row>
    <row r="73" spans="2:20">
      <c r="G73" s="45" t="s">
        <v>127</v>
      </c>
    </row>
    <row r="74" spans="2:20" ht="26.4">
      <c r="D74" s="18" t="s">
        <v>0</v>
      </c>
      <c r="E74" s="18" t="s">
        <v>2</v>
      </c>
      <c r="F74" s="18" t="s">
        <v>216</v>
      </c>
      <c r="G74" s="18" t="s">
        <v>3</v>
      </c>
      <c r="H74" s="18" t="s">
        <v>186</v>
      </c>
      <c r="I74" s="18" t="s">
        <v>23</v>
      </c>
      <c r="J74" s="18" t="s">
        <v>24</v>
      </c>
      <c r="K74" s="18" t="s">
        <v>217</v>
      </c>
      <c r="L74" s="18" t="s">
        <v>14</v>
      </c>
      <c r="M74" s="18" t="s">
        <v>218</v>
      </c>
      <c r="N74" s="18" t="s">
        <v>4</v>
      </c>
      <c r="O74" s="47" t="s">
        <v>120</v>
      </c>
      <c r="P74" s="47" t="s">
        <v>121</v>
      </c>
      <c r="Q74" s="47" t="s">
        <v>122</v>
      </c>
      <c r="R74" s="47" t="s">
        <v>123</v>
      </c>
      <c r="S74" s="18" t="s">
        <v>5</v>
      </c>
      <c r="T74" s="18" t="s">
        <v>25</v>
      </c>
    </row>
    <row r="75" spans="2:20" ht="13.8" thickBot="1">
      <c r="D75" s="31" t="s">
        <v>108</v>
      </c>
      <c r="E75" s="31"/>
      <c r="F75" s="31"/>
      <c r="G75" s="31" t="s">
        <v>219</v>
      </c>
      <c r="H75" s="31"/>
      <c r="I75" s="31"/>
      <c r="J75" s="31"/>
      <c r="K75" s="31"/>
      <c r="L75" s="31"/>
      <c r="M75" s="31"/>
      <c r="N75" s="31" t="s">
        <v>174</v>
      </c>
      <c r="O75" s="31" t="s">
        <v>117</v>
      </c>
      <c r="P75" s="31"/>
      <c r="Q75" s="31"/>
      <c r="R75" s="31"/>
      <c r="S75" s="31" t="s">
        <v>117</v>
      </c>
      <c r="T75" s="31" t="s">
        <v>117</v>
      </c>
    </row>
    <row r="76" spans="2:20">
      <c r="B76" s="88" t="s">
        <v>147</v>
      </c>
      <c r="D76" s="107" t="s">
        <v>234</v>
      </c>
      <c r="E76" s="88" t="s">
        <v>33</v>
      </c>
      <c r="F76" s="88"/>
      <c r="G76" s="88"/>
      <c r="H76" s="88"/>
      <c r="I76" s="88">
        <v>1.1587485515643106</v>
      </c>
      <c r="J76" s="88"/>
      <c r="K76" s="88"/>
      <c r="L76" s="88">
        <v>2015</v>
      </c>
      <c r="M76" s="88"/>
      <c r="N76" s="88">
        <v>20</v>
      </c>
      <c r="O76" s="88"/>
      <c r="P76" s="88"/>
      <c r="Q76" s="88"/>
      <c r="R76" s="88"/>
      <c r="S76" s="88"/>
      <c r="T76" s="88"/>
    </row>
    <row r="77" spans="2:20">
      <c r="D77" s="88"/>
      <c r="E77" s="88" t="s">
        <v>213</v>
      </c>
      <c r="F77" s="88"/>
      <c r="G77" s="87"/>
      <c r="H77" s="88"/>
      <c r="I77" s="88">
        <f>0.0000622*3.6</f>
        <v>2.2391999999999998E-4</v>
      </c>
      <c r="J77" s="88"/>
      <c r="K77" s="88"/>
      <c r="L77" s="88"/>
      <c r="M77" s="88"/>
      <c r="N77" s="88"/>
      <c r="O77" s="88"/>
      <c r="P77" s="88"/>
      <c r="Q77" s="88"/>
      <c r="R77" s="88"/>
      <c r="S77" s="88"/>
      <c r="T77" s="88"/>
    </row>
    <row r="78" spans="2:20">
      <c r="D78" s="88"/>
      <c r="E78" s="88" t="s">
        <v>214</v>
      </c>
      <c r="F78" s="88"/>
      <c r="G78" s="87"/>
      <c r="H78" s="88"/>
      <c r="I78" s="88">
        <f>0.02*0.00252</f>
        <v>5.0400000000000005E-5</v>
      </c>
      <c r="J78" s="88"/>
      <c r="K78" s="88"/>
      <c r="L78" s="88"/>
      <c r="M78" s="88"/>
      <c r="N78" s="88"/>
      <c r="O78" s="88"/>
      <c r="P78" s="88"/>
      <c r="Q78" s="88"/>
      <c r="R78" s="88"/>
      <c r="S78" s="88"/>
      <c r="T78" s="88"/>
    </row>
    <row r="79" spans="2:20">
      <c r="D79" s="88"/>
      <c r="E79" s="88" t="s">
        <v>267</v>
      </c>
      <c r="F79" s="88"/>
      <c r="G79" s="87"/>
      <c r="H79" s="88"/>
      <c r="I79" s="88">
        <v>5.9716347350087084E-3</v>
      </c>
      <c r="J79" s="88"/>
      <c r="K79" s="88"/>
      <c r="L79" s="88"/>
      <c r="M79" s="88"/>
      <c r="N79" s="87"/>
      <c r="O79" s="87"/>
      <c r="P79" s="87"/>
      <c r="Q79" s="87"/>
      <c r="R79" s="87"/>
      <c r="S79" s="87"/>
      <c r="T79" s="87"/>
    </row>
    <row r="80" spans="2:20">
      <c r="D80" s="88"/>
      <c r="E80" s="88" t="s">
        <v>144</v>
      </c>
      <c r="F80" s="88"/>
      <c r="G80" s="87"/>
      <c r="H80" s="88"/>
      <c r="I80" s="88">
        <f>0.0422*0.12</f>
        <v>5.0639999999999999E-3</v>
      </c>
      <c r="J80" s="88"/>
      <c r="K80" s="88"/>
      <c r="L80" s="88"/>
      <c r="M80" s="88"/>
      <c r="N80" s="87"/>
      <c r="O80" s="87"/>
      <c r="P80" s="87"/>
      <c r="Q80" s="87"/>
      <c r="R80" s="87"/>
      <c r="S80" s="87"/>
      <c r="T80" s="87"/>
    </row>
    <row r="81" spans="4:20">
      <c r="D81" s="87"/>
      <c r="E81" s="88" t="s">
        <v>142</v>
      </c>
      <c r="F81" s="107"/>
      <c r="G81" s="87"/>
      <c r="H81" s="88"/>
      <c r="I81" s="88">
        <v>2.4000000000000001E-4</v>
      </c>
      <c r="J81" s="88"/>
      <c r="K81" s="88"/>
      <c r="L81" s="88"/>
      <c r="M81" s="88"/>
      <c r="N81" s="87"/>
      <c r="O81" s="87"/>
      <c r="P81" s="87"/>
      <c r="Q81" s="87"/>
      <c r="R81" s="87"/>
      <c r="S81" s="87"/>
      <c r="T81" s="87"/>
    </row>
    <row r="82" spans="4:20">
      <c r="D82" s="88"/>
      <c r="E82" s="88"/>
      <c r="F82" s="88"/>
      <c r="G82" s="88" t="s">
        <v>304</v>
      </c>
      <c r="H82" s="88"/>
      <c r="I82" s="88"/>
      <c r="J82" s="88">
        <v>1</v>
      </c>
      <c r="K82" s="88"/>
      <c r="L82" s="88"/>
      <c r="M82" s="88"/>
      <c r="N82" s="87"/>
      <c r="O82" s="108">
        <v>0.25628791493422398</v>
      </c>
      <c r="P82" s="108">
        <v>0.24603639833685501</v>
      </c>
      <c r="Q82" s="108">
        <v>0.20759321109672144</v>
      </c>
      <c r="R82" s="108">
        <v>0.18452729875264126</v>
      </c>
      <c r="S82" s="88">
        <v>5.3561870356485582E-2</v>
      </c>
      <c r="T82" s="108">
        <v>2.3992911185331603E-3</v>
      </c>
    </row>
    <row r="83" spans="4:20">
      <c r="D83" s="88"/>
      <c r="E83" s="88"/>
      <c r="F83" s="88"/>
      <c r="G83" s="109" t="s">
        <v>354</v>
      </c>
      <c r="H83" s="87"/>
      <c r="I83" s="87"/>
      <c r="J83" s="87">
        <v>4.3999999999999997E-2</v>
      </c>
      <c r="K83" s="87"/>
      <c r="L83" s="87"/>
      <c r="M83" s="87"/>
      <c r="N83" s="87"/>
      <c r="O83" s="87"/>
      <c r="P83" s="87"/>
      <c r="Q83" s="87"/>
      <c r="R83" s="87"/>
      <c r="S83" s="87"/>
      <c r="T83" s="87"/>
    </row>
    <row r="84" spans="4:20">
      <c r="D84" s="88"/>
      <c r="E84" s="88"/>
      <c r="F84" s="88"/>
      <c r="G84" s="87" t="s">
        <v>148</v>
      </c>
      <c r="H84" s="88"/>
      <c r="I84" s="88"/>
      <c r="J84" s="88">
        <v>5.7999999999999996E-2</v>
      </c>
      <c r="K84" s="88"/>
      <c r="L84" s="88"/>
      <c r="M84" s="88"/>
      <c r="N84" s="87"/>
      <c r="O84" s="87"/>
      <c r="P84" s="87"/>
      <c r="Q84" s="87"/>
      <c r="R84" s="87"/>
      <c r="S84" s="87"/>
      <c r="T84" s="87"/>
    </row>
  </sheetData>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78"/>
  <sheetViews>
    <sheetView topLeftCell="A45" workbookViewId="0">
      <selection activeCell="G72" sqref="G72"/>
    </sheetView>
  </sheetViews>
  <sheetFormatPr defaultRowHeight="13.2"/>
  <cols>
    <col min="1" max="1" width="3.109375" customWidth="1"/>
    <col min="2" max="2" width="27" customWidth="1"/>
    <col min="3" max="3" width="42.6640625" bestFit="1" customWidth="1"/>
    <col min="4" max="4" width="33.5546875" customWidth="1"/>
    <col min="5" max="5" width="14.6640625" bestFit="1" customWidth="1"/>
    <col min="6" max="6" width="8" bestFit="1" customWidth="1"/>
    <col min="7" max="7" width="16" customWidth="1"/>
    <col min="8" max="8" width="13.33203125" bestFit="1" customWidth="1"/>
    <col min="9" max="9" width="8" bestFit="1" customWidth="1"/>
    <col min="10" max="10" width="15" customWidth="1"/>
    <col min="11" max="12" width="13.5546875" bestFit="1" customWidth="1"/>
    <col min="13" max="13" width="6.88671875" bestFit="1" customWidth="1"/>
    <col min="14" max="14" width="7.88671875" bestFit="1" customWidth="1"/>
    <col min="15" max="15" width="7.44140625" bestFit="1" customWidth="1"/>
    <col min="16" max="16" width="8.44140625" bestFit="1" customWidth="1"/>
  </cols>
  <sheetData>
    <row r="1" spans="2:12">
      <c r="J1" s="5"/>
    </row>
    <row r="2" spans="2:12">
      <c r="B2" s="49" t="s">
        <v>17</v>
      </c>
      <c r="C2" s="50"/>
      <c r="D2" s="50"/>
      <c r="E2" s="50"/>
      <c r="F2" s="50"/>
      <c r="G2" s="50"/>
      <c r="H2" s="50"/>
      <c r="I2" s="50"/>
      <c r="J2" s="5"/>
    </row>
    <row r="3" spans="2:12">
      <c r="B3" s="51" t="s">
        <v>15</v>
      </c>
      <c r="C3" s="52" t="s">
        <v>0</v>
      </c>
      <c r="D3" s="52" t="s">
        <v>1</v>
      </c>
      <c r="E3" s="52" t="s">
        <v>18</v>
      </c>
      <c r="F3" s="52" t="s">
        <v>19</v>
      </c>
      <c r="G3" s="52" t="s">
        <v>20</v>
      </c>
      <c r="H3" s="52" t="s">
        <v>21</v>
      </c>
      <c r="I3" s="53" t="s">
        <v>22</v>
      </c>
    </row>
    <row r="4" spans="2:12">
      <c r="B4" s="54" t="s">
        <v>67</v>
      </c>
      <c r="C4" s="54" t="s">
        <v>235</v>
      </c>
      <c r="D4" s="54" t="s">
        <v>229</v>
      </c>
      <c r="E4" s="54" t="s">
        <v>29</v>
      </c>
      <c r="F4" s="54" t="s">
        <v>266</v>
      </c>
      <c r="G4" s="54" t="s">
        <v>266</v>
      </c>
      <c r="H4" s="54" t="s">
        <v>356</v>
      </c>
      <c r="I4" s="54" t="s">
        <v>266</v>
      </c>
    </row>
    <row r="5" spans="2:12">
      <c r="B5" s="50" t="s">
        <v>73</v>
      </c>
      <c r="C5" s="50" t="s">
        <v>167</v>
      </c>
      <c r="D5" s="50" t="s">
        <v>168</v>
      </c>
      <c r="E5" s="50" t="s">
        <v>29</v>
      </c>
      <c r="F5" s="50"/>
      <c r="G5" s="50"/>
      <c r="H5" s="50"/>
      <c r="I5" s="50"/>
    </row>
    <row r="6" spans="2:12">
      <c r="B6" s="50" t="s">
        <v>78</v>
      </c>
      <c r="C6" s="50" t="s">
        <v>169</v>
      </c>
      <c r="D6" s="50" t="s">
        <v>170</v>
      </c>
      <c r="E6" s="50" t="s">
        <v>29</v>
      </c>
      <c r="F6" s="50"/>
      <c r="G6" s="50"/>
      <c r="H6" s="50"/>
      <c r="I6" s="50"/>
    </row>
    <row r="7" spans="2:12">
      <c r="B7" s="50" t="s">
        <v>67</v>
      </c>
      <c r="C7" s="50" t="s">
        <v>236</v>
      </c>
      <c r="D7" s="50" t="s">
        <v>230</v>
      </c>
      <c r="E7" s="50" t="s">
        <v>29</v>
      </c>
      <c r="F7" s="50"/>
      <c r="G7" s="50"/>
      <c r="H7" s="50" t="s">
        <v>305</v>
      </c>
      <c r="I7" s="50"/>
    </row>
    <row r="8" spans="2:12">
      <c r="B8" s="50" t="s">
        <v>78</v>
      </c>
      <c r="C8" s="50" t="s">
        <v>172</v>
      </c>
      <c r="D8" s="50" t="s">
        <v>173</v>
      </c>
      <c r="E8" s="50" t="s">
        <v>29</v>
      </c>
      <c r="F8" s="50"/>
      <c r="G8" s="50"/>
      <c r="H8" s="50"/>
      <c r="I8" s="50"/>
    </row>
    <row r="9" spans="2:12">
      <c r="B9" s="54" t="s">
        <v>67</v>
      </c>
      <c r="C9" s="54" t="s">
        <v>272</v>
      </c>
      <c r="D9" s="54" t="s">
        <v>273</v>
      </c>
      <c r="E9" s="54" t="s">
        <v>29</v>
      </c>
      <c r="F9" s="54" t="s">
        <v>266</v>
      </c>
      <c r="G9" s="54" t="s">
        <v>266</v>
      </c>
      <c r="H9" s="54" t="s">
        <v>356</v>
      </c>
      <c r="I9" s="50"/>
    </row>
    <row r="10" spans="2:12">
      <c r="B10" s="50" t="s">
        <v>67</v>
      </c>
      <c r="C10" s="50" t="s">
        <v>274</v>
      </c>
      <c r="D10" s="50" t="s">
        <v>275</v>
      </c>
      <c r="E10" s="50" t="s">
        <v>29</v>
      </c>
      <c r="F10" s="50"/>
      <c r="G10" s="50"/>
      <c r="H10" s="50" t="s">
        <v>305</v>
      </c>
      <c r="I10" s="50"/>
    </row>
    <row r="13" spans="2:12">
      <c r="E13" s="49" t="s">
        <v>127</v>
      </c>
    </row>
    <row r="14" spans="2:12" ht="13.8" thickBot="1">
      <c r="B14" s="18" t="s">
        <v>0</v>
      </c>
      <c r="C14" s="18" t="s">
        <v>1</v>
      </c>
      <c r="D14" s="18" t="s">
        <v>2</v>
      </c>
      <c r="E14" s="18" t="s">
        <v>3</v>
      </c>
      <c r="F14" s="15" t="s">
        <v>23</v>
      </c>
      <c r="G14" s="15" t="s">
        <v>24</v>
      </c>
      <c r="H14" s="18" t="s">
        <v>14</v>
      </c>
      <c r="I14" s="15" t="s">
        <v>4</v>
      </c>
      <c r="J14" s="60" t="s">
        <v>276</v>
      </c>
      <c r="K14" s="15" t="s">
        <v>5</v>
      </c>
      <c r="L14" s="7" t="s">
        <v>25</v>
      </c>
    </row>
    <row r="15" spans="2:12" ht="13.8" thickBot="1">
      <c r="B15" s="28" t="s">
        <v>108</v>
      </c>
      <c r="C15" s="23"/>
      <c r="D15" s="23"/>
      <c r="E15" s="23"/>
      <c r="F15" s="24"/>
      <c r="G15" s="25"/>
      <c r="H15" s="25"/>
      <c r="I15" s="25" t="s">
        <v>174</v>
      </c>
      <c r="J15" s="26" t="s">
        <v>117</v>
      </c>
      <c r="K15" s="27" t="s">
        <v>117</v>
      </c>
      <c r="L15" s="27" t="s">
        <v>117</v>
      </c>
    </row>
    <row r="16" spans="2:12">
      <c r="B16" s="2" t="s">
        <v>235</v>
      </c>
      <c r="C16" s="2" t="s">
        <v>166</v>
      </c>
      <c r="D16" s="17" t="s">
        <v>139</v>
      </c>
      <c r="E16" s="17"/>
      <c r="F16" s="20">
        <v>4.3</v>
      </c>
      <c r="G16" s="17"/>
      <c r="H16" s="17">
        <v>2020</v>
      </c>
      <c r="I16" s="19">
        <v>20</v>
      </c>
      <c r="J16" s="19"/>
      <c r="K16" s="19"/>
      <c r="L16" s="19"/>
    </row>
    <row r="17" spans="2:12">
      <c r="B17" s="2"/>
      <c r="C17" s="2"/>
      <c r="D17" s="17" t="s">
        <v>37</v>
      </c>
      <c r="E17" s="17"/>
      <c r="F17" s="17">
        <v>0.35799999999999998</v>
      </c>
      <c r="G17" s="17"/>
      <c r="H17" s="17"/>
      <c r="I17" s="19"/>
      <c r="J17" s="19"/>
      <c r="K17" s="19"/>
      <c r="L17" s="19"/>
    </row>
    <row r="18" spans="2:12">
      <c r="B18" s="2"/>
      <c r="C18" s="2"/>
      <c r="D18" s="17" t="s">
        <v>155</v>
      </c>
      <c r="E18" s="17"/>
      <c r="F18" s="17">
        <v>0.42</v>
      </c>
      <c r="G18" s="17"/>
      <c r="H18" s="17"/>
      <c r="I18" s="19"/>
      <c r="J18" s="19"/>
      <c r="K18" s="19"/>
      <c r="L18" s="19"/>
    </row>
    <row r="19" spans="2:12">
      <c r="B19" s="2"/>
      <c r="C19" s="2"/>
      <c r="D19" s="17"/>
      <c r="E19" s="17" t="s">
        <v>356</v>
      </c>
      <c r="F19" s="17"/>
      <c r="G19" s="17">
        <v>1</v>
      </c>
      <c r="H19" s="17"/>
      <c r="I19" s="19"/>
      <c r="J19" s="21">
        <v>2.81</v>
      </c>
      <c r="K19" s="21">
        <v>0.20245330798479086</v>
      </c>
      <c r="L19" s="21">
        <v>1.1406844106463877E-2</v>
      </c>
    </row>
    <row r="20" spans="2:12">
      <c r="B20" s="2"/>
      <c r="C20" s="2"/>
      <c r="D20" s="17"/>
      <c r="E20" s="46" t="s">
        <v>247</v>
      </c>
      <c r="F20" s="17"/>
      <c r="G20" s="58">
        <f>0.0005*3.6</f>
        <v>1.8000000000000002E-3</v>
      </c>
      <c r="H20" s="17"/>
      <c r="I20" s="19"/>
      <c r="J20" s="19"/>
      <c r="K20" s="19"/>
      <c r="L20" s="19"/>
    </row>
    <row r="21" spans="2:12">
      <c r="B21" s="4"/>
      <c r="C21" s="4"/>
      <c r="D21" s="17"/>
      <c r="E21" s="6" t="s">
        <v>160</v>
      </c>
      <c r="F21" s="17"/>
      <c r="G21" s="6">
        <v>0.95</v>
      </c>
      <c r="H21" s="17"/>
      <c r="I21" s="19"/>
      <c r="J21" s="19"/>
      <c r="K21" s="19"/>
      <c r="L21" s="19"/>
    </row>
    <row r="22" spans="2:12">
      <c r="B22" s="28" t="s">
        <v>108</v>
      </c>
      <c r="C22" s="28"/>
      <c r="D22" s="28"/>
      <c r="E22" s="28"/>
      <c r="F22" s="28"/>
      <c r="G22" s="28"/>
      <c r="H22" s="28"/>
      <c r="I22" s="28"/>
      <c r="J22" s="28"/>
      <c r="K22" s="28"/>
      <c r="L22" s="28"/>
    </row>
    <row r="23" spans="2:12">
      <c r="B23" s="2" t="s">
        <v>236</v>
      </c>
      <c r="C23" s="2" t="s">
        <v>171</v>
      </c>
      <c r="D23" s="17" t="s">
        <v>139</v>
      </c>
      <c r="E23" s="6"/>
      <c r="F23" s="22">
        <v>5</v>
      </c>
      <c r="G23" s="17"/>
      <c r="H23" s="17">
        <v>2020</v>
      </c>
      <c r="I23" s="19">
        <v>20</v>
      </c>
      <c r="J23" s="9"/>
      <c r="K23" s="9"/>
      <c r="L23" s="9"/>
    </row>
    <row r="24" spans="2:12">
      <c r="B24" s="4"/>
      <c r="C24" s="4"/>
      <c r="D24" s="17" t="s">
        <v>215</v>
      </c>
      <c r="E24" s="6"/>
      <c r="F24" s="17">
        <v>9.3000000000000005E-4</v>
      </c>
      <c r="G24" s="6"/>
      <c r="H24" s="6"/>
      <c r="I24" s="9"/>
      <c r="J24" s="9"/>
      <c r="K24" s="9"/>
      <c r="L24" s="9"/>
    </row>
    <row r="25" spans="2:12">
      <c r="B25" s="4"/>
      <c r="C25" s="4"/>
      <c r="D25" s="17"/>
      <c r="E25" s="6" t="s">
        <v>305</v>
      </c>
      <c r="F25" s="6"/>
      <c r="G25" s="6">
        <v>1</v>
      </c>
      <c r="H25" s="6"/>
      <c r="I25" s="9"/>
      <c r="J25" s="21">
        <v>7.95</v>
      </c>
      <c r="K25" s="21">
        <v>0.55212231096643161</v>
      </c>
      <c r="L25" s="21">
        <v>1.5844322331131935E-2</v>
      </c>
    </row>
    <row r="26" spans="2:12">
      <c r="B26" s="4"/>
      <c r="C26" s="4"/>
      <c r="D26" s="17"/>
      <c r="E26" s="46" t="s">
        <v>247</v>
      </c>
      <c r="F26" s="6"/>
      <c r="G26" s="59">
        <f>G20</f>
        <v>1.8000000000000002E-3</v>
      </c>
      <c r="H26" s="6"/>
      <c r="I26" s="9"/>
      <c r="J26" s="9"/>
      <c r="K26" s="9"/>
      <c r="L26" s="9"/>
    </row>
    <row r="27" spans="2:12">
      <c r="B27" s="4"/>
      <c r="C27" s="4"/>
      <c r="D27" s="17"/>
      <c r="E27" s="6" t="s">
        <v>246</v>
      </c>
      <c r="F27" s="6"/>
      <c r="G27" s="17">
        <f>0.2596*44*10^6*10^6/10^15</f>
        <v>1.1422399999999999E-2</v>
      </c>
      <c r="H27" s="6"/>
      <c r="I27" s="9"/>
      <c r="J27" s="9"/>
      <c r="K27" s="9"/>
      <c r="L27" s="9"/>
    </row>
    <row r="31" spans="2:12">
      <c r="C31" s="1"/>
      <c r="D31" s="1" t="s">
        <v>269</v>
      </c>
      <c r="E31" s="17">
        <f>0.0087696*3.6</f>
        <v>3.1570560000000004E-2</v>
      </c>
      <c r="F31">
        <f>E31/3.6</f>
        <v>8.7696000000000007E-3</v>
      </c>
      <c r="I31">
        <f>E31/G20</f>
        <v>17.539200000000001</v>
      </c>
    </row>
    <row r="32" spans="2:12">
      <c r="D32" s="1" t="s">
        <v>270</v>
      </c>
      <c r="E32" s="17">
        <f>0.00141048*3.6</f>
        <v>5.0777280000000001E-3</v>
      </c>
      <c r="F32">
        <f>E32/3.6</f>
        <v>1.41048E-3</v>
      </c>
      <c r="G32">
        <f>F32/F31</f>
        <v>0.16083743842364531</v>
      </c>
    </row>
    <row r="38" spans="2:12">
      <c r="G38">
        <f>1/F16</f>
        <v>0.23255813953488372</v>
      </c>
    </row>
    <row r="39" spans="2:12">
      <c r="G39">
        <f>1/F23</f>
        <v>0.2</v>
      </c>
    </row>
    <row r="41" spans="2:12">
      <c r="E41" s="49" t="s">
        <v>127</v>
      </c>
    </row>
    <row r="42" spans="2:12" ht="13.8" thickBot="1">
      <c r="B42" s="18" t="s">
        <v>0</v>
      </c>
      <c r="C42" s="18" t="s">
        <v>1</v>
      </c>
      <c r="D42" s="18" t="s">
        <v>2</v>
      </c>
      <c r="E42" s="18" t="s">
        <v>3</v>
      </c>
      <c r="F42" s="15" t="s">
        <v>23</v>
      </c>
      <c r="G42" s="15" t="s">
        <v>24</v>
      </c>
      <c r="H42" s="18" t="s">
        <v>14</v>
      </c>
      <c r="I42" s="15" t="s">
        <v>4</v>
      </c>
      <c r="J42" s="60" t="s">
        <v>276</v>
      </c>
      <c r="K42" s="15" t="s">
        <v>5</v>
      </c>
      <c r="L42" s="7" t="s">
        <v>25</v>
      </c>
    </row>
    <row r="43" spans="2:12" ht="13.8" thickBot="1">
      <c r="B43" s="28" t="s">
        <v>108</v>
      </c>
      <c r="C43" s="23"/>
      <c r="D43" s="23"/>
      <c r="E43" s="23"/>
      <c r="F43" s="24"/>
      <c r="G43" s="25"/>
      <c r="H43" s="25"/>
      <c r="I43" s="25" t="s">
        <v>174</v>
      </c>
      <c r="J43" s="26" t="s">
        <v>117</v>
      </c>
      <c r="K43" s="27" t="s">
        <v>117</v>
      </c>
      <c r="L43" s="27" t="s">
        <v>117</v>
      </c>
    </row>
    <row r="44" spans="2:12">
      <c r="B44" s="61" t="str">
        <f>C9</f>
        <v>BRF2_ETHLGC_CCS</v>
      </c>
      <c r="C44" s="61" t="str">
        <f>D9</f>
        <v>Ethanol production from lign. biomass. CCS 2GenBiofuel.</v>
      </c>
      <c r="D44" s="17" t="s">
        <v>139</v>
      </c>
      <c r="E44" s="17"/>
      <c r="F44" s="20">
        <v>4.3</v>
      </c>
      <c r="G44" s="17"/>
      <c r="H44" s="62">
        <v>2030</v>
      </c>
      <c r="I44" s="19">
        <v>20</v>
      </c>
      <c r="J44" s="19"/>
      <c r="K44" s="19"/>
      <c r="L44" s="19"/>
    </row>
    <row r="45" spans="2:12">
      <c r="B45" s="2"/>
      <c r="C45" s="2"/>
      <c r="D45" s="17" t="s">
        <v>37</v>
      </c>
      <c r="E45" s="17"/>
      <c r="F45" s="17">
        <v>0.35799999999999998</v>
      </c>
      <c r="G45" s="17"/>
      <c r="H45" s="17"/>
      <c r="I45" s="19"/>
      <c r="J45" s="19"/>
      <c r="K45" s="19"/>
      <c r="L45" s="19"/>
    </row>
    <row r="46" spans="2:12">
      <c r="B46" s="2"/>
      <c r="C46" s="2"/>
      <c r="D46" s="17" t="s">
        <v>155</v>
      </c>
      <c r="E46" s="17"/>
      <c r="F46" s="17">
        <v>0.42</v>
      </c>
      <c r="G46" s="17"/>
      <c r="H46" s="17"/>
      <c r="I46" s="19"/>
      <c r="J46" s="19"/>
      <c r="K46" s="19"/>
      <c r="L46" s="19"/>
    </row>
    <row r="47" spans="2:12">
      <c r="B47" s="2"/>
      <c r="C47" s="2"/>
      <c r="D47" s="17"/>
      <c r="E47" s="17" t="s">
        <v>356</v>
      </c>
      <c r="F47" s="17"/>
      <c r="G47" s="17">
        <v>1</v>
      </c>
      <c r="H47" s="17"/>
      <c r="I47" s="19"/>
      <c r="J47" s="63">
        <f>J19*1.05</f>
        <v>2.9505000000000003</v>
      </c>
      <c r="K47" s="21">
        <v>0.20245330798479086</v>
      </c>
      <c r="L47" s="21">
        <v>1.1406844106463877E-2</v>
      </c>
    </row>
    <row r="48" spans="2:12">
      <c r="B48" s="2"/>
      <c r="C48" s="2"/>
      <c r="D48" s="17"/>
      <c r="E48" s="46" t="s">
        <v>247</v>
      </c>
      <c r="F48" s="17"/>
      <c r="G48" s="58">
        <f>0.0005*3.6</f>
        <v>1.8000000000000002E-3</v>
      </c>
      <c r="H48" s="17"/>
      <c r="I48" s="19"/>
      <c r="J48" s="19"/>
      <c r="K48" s="19"/>
      <c r="L48" s="19"/>
    </row>
    <row r="49" spans="2:12">
      <c r="B49" s="28" t="s">
        <v>108</v>
      </c>
      <c r="C49" s="28"/>
      <c r="D49" s="28"/>
      <c r="E49" s="28"/>
      <c r="F49" s="28"/>
      <c r="G49" s="28"/>
      <c r="H49" s="28"/>
      <c r="I49" s="28"/>
      <c r="J49" s="28"/>
      <c r="K49" s="28"/>
      <c r="L49" s="28"/>
    </row>
    <row r="50" spans="2:12">
      <c r="B50" s="61" t="str">
        <f>C10</f>
        <v>BRF2_BTLFTDSL_CCS</v>
      </c>
      <c r="C50" s="61" t="str">
        <f>D10</f>
        <v>FT-diesel production from lign biomass. CCS 2GenBiofuel.</v>
      </c>
      <c r="D50" s="17" t="s">
        <v>139</v>
      </c>
      <c r="E50" s="6"/>
      <c r="F50" s="22">
        <v>5</v>
      </c>
      <c r="G50" s="17"/>
      <c r="H50" s="62">
        <v>2030</v>
      </c>
      <c r="I50" s="19">
        <v>20</v>
      </c>
      <c r="J50" s="9"/>
      <c r="K50" s="9"/>
      <c r="L50" s="9"/>
    </row>
    <row r="51" spans="2:12">
      <c r="B51" s="4"/>
      <c r="C51" s="4"/>
      <c r="D51" s="17" t="s">
        <v>215</v>
      </c>
      <c r="E51" s="6"/>
      <c r="F51" s="17">
        <v>9.3000000000000005E-4</v>
      </c>
      <c r="G51" s="6"/>
      <c r="H51" s="6"/>
      <c r="I51" s="9"/>
      <c r="J51" s="9"/>
      <c r="K51" s="9"/>
      <c r="L51" s="9"/>
    </row>
    <row r="52" spans="2:12">
      <c r="B52" s="4"/>
      <c r="C52" s="4"/>
      <c r="D52" s="17"/>
      <c r="E52" s="6" t="s">
        <v>305</v>
      </c>
      <c r="F52" s="6"/>
      <c r="G52" s="6">
        <v>1</v>
      </c>
      <c r="H52" s="6"/>
      <c r="I52" s="9"/>
      <c r="J52" s="63">
        <f>J25*1.05</f>
        <v>8.3475000000000001</v>
      </c>
      <c r="K52" s="21">
        <v>0.55212231096643161</v>
      </c>
      <c r="L52" s="21">
        <v>1.5844322331131935E-2</v>
      </c>
    </row>
    <row r="53" spans="2:12">
      <c r="B53" s="4"/>
      <c r="C53" s="4"/>
      <c r="D53" s="17"/>
      <c r="E53" s="46" t="s">
        <v>247</v>
      </c>
      <c r="F53" s="6"/>
      <c r="G53" s="59">
        <f>G48</f>
        <v>1.8000000000000002E-3</v>
      </c>
      <c r="H53" s="6"/>
      <c r="I53" s="9"/>
      <c r="J53" s="9"/>
      <c r="K53" s="9"/>
      <c r="L53" s="9"/>
    </row>
    <row r="54" spans="2:12">
      <c r="B54" s="4"/>
      <c r="C54" s="4"/>
      <c r="D54" s="17"/>
      <c r="E54" s="6" t="s">
        <v>246</v>
      </c>
      <c r="F54" s="6"/>
      <c r="G54" s="17">
        <f>0.2596*44*10^6*10^6/10^15</f>
        <v>1.1422399999999999E-2</v>
      </c>
      <c r="H54" s="6"/>
      <c r="I54" s="9"/>
      <c r="J54" s="9"/>
      <c r="K54" s="9"/>
      <c r="L54" s="9"/>
    </row>
    <row r="56" spans="2:12" ht="14.4">
      <c r="C56" s="64"/>
      <c r="D56" s="64"/>
      <c r="E56" s="64"/>
      <c r="F56" s="64"/>
      <c r="G56" s="64"/>
      <c r="H56" s="64"/>
      <c r="I56" s="64"/>
      <c r="J56" s="64"/>
      <c r="K56" s="64"/>
    </row>
    <row r="57" spans="2:12" ht="14.4">
      <c r="D57" s="64"/>
      <c r="E57" s="64"/>
      <c r="J57" s="65"/>
      <c r="K57" s="65"/>
    </row>
    <row r="58" spans="2:12" ht="14.4">
      <c r="C58" s="64"/>
      <c r="D58" s="64"/>
      <c r="E58" s="202" t="s">
        <v>391</v>
      </c>
      <c r="J58" s="202" t="s">
        <v>391</v>
      </c>
      <c r="K58" s="65"/>
    </row>
    <row r="59" spans="2:12" ht="14.4">
      <c r="C59" s="64"/>
      <c r="D59" t="s">
        <v>272</v>
      </c>
      <c r="E59" s="64">
        <v>5.98</v>
      </c>
      <c r="F59" s="66"/>
      <c r="H59" s="66" t="s">
        <v>274</v>
      </c>
      <c r="I59" s="66"/>
      <c r="J59">
        <v>6.33</v>
      </c>
      <c r="K59" s="65"/>
    </row>
    <row r="60" spans="2:12" ht="14.4">
      <c r="C60" s="64"/>
      <c r="D60" s="64"/>
      <c r="E60" s="64"/>
      <c r="F60" s="64"/>
      <c r="H60" s="64"/>
      <c r="I60" s="64"/>
      <c r="J60" s="64"/>
      <c r="K60" s="64"/>
    </row>
    <row r="61" spans="2:12" ht="14.4">
      <c r="D61" s="64"/>
      <c r="E61" s="202" t="s">
        <v>392</v>
      </c>
      <c r="J61" s="202" t="s">
        <v>392</v>
      </c>
    </row>
    <row r="62" spans="2:12" ht="14.4">
      <c r="C62" s="64"/>
      <c r="D62" s="64"/>
      <c r="E62" s="64">
        <f>F44/E59</f>
        <v>0.71906354515050164</v>
      </c>
      <c r="F62" t="s">
        <v>395</v>
      </c>
      <c r="J62" s="64">
        <f>F50/J59</f>
        <v>0.78988941548183256</v>
      </c>
      <c r="K62" t="s">
        <v>395</v>
      </c>
    </row>
    <row r="63" spans="2:12" ht="14.4">
      <c r="C63" s="64"/>
      <c r="D63" s="64"/>
      <c r="E63" s="64">
        <f>E65/E59</f>
        <v>1.2943143812709029E-2</v>
      </c>
      <c r="F63" s="66" t="s">
        <v>396</v>
      </c>
      <c r="G63" s="66"/>
      <c r="H63" s="66"/>
      <c r="I63" s="66"/>
      <c r="J63" s="64">
        <f>J65/J59</f>
        <v>1.4218009478672985E-2</v>
      </c>
      <c r="K63" s="66" t="s">
        <v>396</v>
      </c>
    </row>
    <row r="64" spans="2:12">
      <c r="D64" t="s">
        <v>394</v>
      </c>
      <c r="E64" s="203">
        <f>18</f>
        <v>18</v>
      </c>
      <c r="F64" t="s">
        <v>140</v>
      </c>
      <c r="J64" s="203">
        <f>18</f>
        <v>18</v>
      </c>
      <c r="K64" t="s">
        <v>140</v>
      </c>
    </row>
    <row r="65" spans="4:11">
      <c r="D65" t="s">
        <v>393</v>
      </c>
      <c r="E65">
        <f>F44*E64/1000</f>
        <v>7.7399999999999997E-2</v>
      </c>
      <c r="F65" t="s">
        <v>159</v>
      </c>
      <c r="J65">
        <f>F50*J64/1000</f>
        <v>0.09</v>
      </c>
      <c r="K65" t="s">
        <v>159</v>
      </c>
    </row>
    <row r="67" spans="4:11">
      <c r="E67" t="s">
        <v>398</v>
      </c>
      <c r="F67">
        <f>112.3/89</f>
        <v>1.2617977528089888</v>
      </c>
      <c r="J67" t="s">
        <v>398</v>
      </c>
      <c r="K67">
        <f>112.3/89</f>
        <v>1.2617977528089888</v>
      </c>
    </row>
    <row r="68" spans="4:11">
      <c r="D68" t="s">
        <v>397</v>
      </c>
      <c r="E68">
        <f>J47*F67</f>
        <v>3.7229342696629217</v>
      </c>
      <c r="J68">
        <f>J52*K67</f>
        <v>10.532856741573033</v>
      </c>
    </row>
    <row r="69" spans="4:11">
      <c r="D69" t="s">
        <v>399</v>
      </c>
      <c r="E69">
        <f>(K47+L47)*F67</f>
        <v>0.26984825932413375</v>
      </c>
      <c r="F69" s="204">
        <f>E69/E68</f>
        <v>7.248268161032187E-2</v>
      </c>
      <c r="J69">
        <f>(K52+L52)*K67</f>
        <v>0.71665902156535266</v>
      </c>
      <c r="K69" s="204">
        <f>J69/J68</f>
        <v>6.8040327439061229E-2</v>
      </c>
    </row>
    <row r="71" spans="4:11">
      <c r="E71" t="s">
        <v>400</v>
      </c>
      <c r="J71" t="s">
        <v>400</v>
      </c>
    </row>
    <row r="72" spans="4:11">
      <c r="D72" t="s">
        <v>402</v>
      </c>
      <c r="E72">
        <f>E68/E59</f>
        <v>0.62256425914095681</v>
      </c>
      <c r="I72" t="s">
        <v>402</v>
      </c>
      <c r="J72">
        <f>J68/J59</f>
        <v>1.6639584109910004</v>
      </c>
    </row>
    <row r="73" spans="4:11">
      <c r="D73" t="s">
        <v>401</v>
      </c>
      <c r="E73">
        <f>E69/E59</f>
        <v>4.512512697727989E-2</v>
      </c>
      <c r="F73">
        <f>E73/E72</f>
        <v>7.248268161032187E-2</v>
      </c>
      <c r="I73" t="s">
        <v>401</v>
      </c>
      <c r="J73">
        <f>J69/J59</f>
        <v>0.11321627512880769</v>
      </c>
      <c r="K73">
        <f>J73/J72</f>
        <v>6.8040327439061229E-2</v>
      </c>
    </row>
    <row r="76" spans="4:11">
      <c r="I76" t="s">
        <v>403</v>
      </c>
      <c r="J76">
        <f>F51/J59</f>
        <v>1.4691943127962087E-4</v>
      </c>
    </row>
    <row r="78" spans="4:11">
      <c r="D78" t="s">
        <v>404</v>
      </c>
      <c r="E78">
        <f>G47/E59</f>
        <v>0.16722408026755853</v>
      </c>
      <c r="F78" t="s">
        <v>405</v>
      </c>
      <c r="J78">
        <f>G52/J59</f>
        <v>0.15797788309636651</v>
      </c>
      <c r="K78" t="s">
        <v>406</v>
      </c>
    </row>
  </sheetData>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F190"/>
  <sheetViews>
    <sheetView tabSelected="1" topLeftCell="D80" zoomScale="90" zoomScaleNormal="90" workbookViewId="0">
      <selection activeCell="L110" sqref="L110"/>
    </sheetView>
  </sheetViews>
  <sheetFormatPr defaultRowHeight="13.2"/>
  <cols>
    <col min="1" max="1" width="2.6640625" customWidth="1"/>
    <col min="2" max="2" width="20.44140625" customWidth="1"/>
    <col min="3" max="3" width="18.33203125" bestFit="1" customWidth="1"/>
    <col min="4" max="4" width="28.33203125" customWidth="1"/>
    <col min="5" max="5" width="15.33203125" customWidth="1"/>
    <col min="6" max="6" width="12.88671875" customWidth="1"/>
    <col min="7" max="8" width="10.33203125" customWidth="1"/>
    <col min="9" max="9" width="9.44140625" customWidth="1"/>
    <col min="10" max="10" width="10.33203125" customWidth="1"/>
    <col min="11" max="11" width="9.6640625" customWidth="1"/>
    <col min="12" max="12" width="10.6640625" customWidth="1"/>
    <col min="13" max="13" width="10.88671875" customWidth="1"/>
    <col min="14" max="14" width="10.109375" customWidth="1"/>
    <col min="15" max="15" width="9.5546875" customWidth="1"/>
    <col min="16" max="16" width="9.44140625" customWidth="1"/>
    <col min="17" max="17" width="9.88671875" customWidth="1"/>
    <col min="18" max="18" width="9.6640625" customWidth="1"/>
    <col min="19" max="19" width="10" customWidth="1"/>
    <col min="20" max="20" width="10.33203125" customWidth="1"/>
    <col min="21" max="21" width="9.6640625" customWidth="1"/>
    <col min="22" max="23" width="10.33203125" customWidth="1"/>
    <col min="24" max="24" width="9.6640625" customWidth="1"/>
    <col min="25" max="25" width="10.33203125" customWidth="1"/>
    <col min="26" max="26" width="10" customWidth="1"/>
    <col min="27" max="27" width="9.6640625" customWidth="1"/>
    <col min="28" max="28" width="10" customWidth="1"/>
    <col min="31" max="31" width="12.33203125" bestFit="1" customWidth="1"/>
  </cols>
  <sheetData>
    <row r="1" spans="2:18">
      <c r="B1" s="74" t="s">
        <v>17</v>
      </c>
      <c r="C1" s="75"/>
      <c r="D1" s="75"/>
      <c r="E1" s="75"/>
      <c r="F1" s="75"/>
      <c r="G1" s="75"/>
      <c r="H1" s="75"/>
      <c r="I1" s="75"/>
    </row>
    <row r="2" spans="2:18" ht="24">
      <c r="B2" s="73" t="s">
        <v>15</v>
      </c>
      <c r="C2" s="72" t="s">
        <v>0</v>
      </c>
      <c r="D2" s="72" t="s">
        <v>1</v>
      </c>
      <c r="E2" s="72" t="s">
        <v>18</v>
      </c>
      <c r="F2" s="72" t="s">
        <v>19</v>
      </c>
      <c r="G2" s="72" t="s">
        <v>20</v>
      </c>
      <c r="H2" s="72" t="s">
        <v>21</v>
      </c>
      <c r="I2" s="71" t="s">
        <v>22</v>
      </c>
      <c r="L2" s="95"/>
      <c r="M2" s="95"/>
      <c r="N2" s="96" t="s">
        <v>127</v>
      </c>
      <c r="O2" s="95"/>
      <c r="P2" s="95"/>
    </row>
    <row r="3" spans="2:18" ht="15" customHeight="1">
      <c r="B3" s="125" t="s">
        <v>67</v>
      </c>
      <c r="C3" s="125" t="s">
        <v>178</v>
      </c>
      <c r="D3" s="125" t="s">
        <v>370</v>
      </c>
      <c r="E3" s="125" t="s">
        <v>159</v>
      </c>
      <c r="F3" s="125" t="s">
        <v>266</v>
      </c>
      <c r="G3" s="125" t="s">
        <v>266</v>
      </c>
      <c r="H3" s="125" t="s">
        <v>266</v>
      </c>
      <c r="I3" s="125" t="s">
        <v>70</v>
      </c>
      <c r="L3" s="97" t="s">
        <v>0</v>
      </c>
      <c r="M3" s="97" t="s">
        <v>2</v>
      </c>
      <c r="N3" s="97" t="s">
        <v>3</v>
      </c>
      <c r="O3" s="98" t="s">
        <v>16</v>
      </c>
      <c r="P3" s="99" t="s">
        <v>14</v>
      </c>
    </row>
    <row r="4" spans="2:18">
      <c r="B4" s="126" t="s">
        <v>67</v>
      </c>
      <c r="C4" s="126" t="s">
        <v>179</v>
      </c>
      <c r="D4" s="126" t="s">
        <v>180</v>
      </c>
      <c r="E4" s="126" t="s">
        <v>159</v>
      </c>
      <c r="F4" s="126"/>
      <c r="G4" s="126"/>
      <c r="H4" s="126"/>
      <c r="I4" s="126" t="s">
        <v>70</v>
      </c>
      <c r="L4" s="100" t="s">
        <v>288</v>
      </c>
      <c r="M4" s="100" t="s">
        <v>200</v>
      </c>
      <c r="N4" s="100" t="s">
        <v>301</v>
      </c>
      <c r="O4" s="100">
        <v>1</v>
      </c>
      <c r="P4" s="100">
        <v>2025</v>
      </c>
      <c r="R4" s="1"/>
    </row>
    <row r="5" spans="2:18">
      <c r="B5" s="126" t="s">
        <v>67</v>
      </c>
      <c r="C5" s="126" t="s">
        <v>181</v>
      </c>
      <c r="D5" s="126" t="s">
        <v>182</v>
      </c>
      <c r="E5" s="126" t="s">
        <v>159</v>
      </c>
      <c r="F5" s="126"/>
      <c r="G5" s="126"/>
      <c r="H5" s="126"/>
      <c r="I5" s="126" t="s">
        <v>70</v>
      </c>
      <c r="L5" s="101" t="s">
        <v>302</v>
      </c>
      <c r="M5" s="101" t="s">
        <v>305</v>
      </c>
      <c r="N5" s="101" t="s">
        <v>162</v>
      </c>
      <c r="O5" s="101">
        <v>4.3999999999999997E-2</v>
      </c>
      <c r="P5" s="101">
        <v>2010</v>
      </c>
      <c r="R5" s="3" t="s">
        <v>351</v>
      </c>
    </row>
    <row r="6" spans="2:18">
      <c r="B6" s="126" t="s">
        <v>67</v>
      </c>
      <c r="C6" s="126" t="s">
        <v>183</v>
      </c>
      <c r="D6" s="126" t="s">
        <v>369</v>
      </c>
      <c r="E6" s="126" t="s">
        <v>159</v>
      </c>
      <c r="F6" s="126"/>
      <c r="G6" s="126"/>
      <c r="H6" s="126"/>
      <c r="I6" s="126" t="s">
        <v>70</v>
      </c>
      <c r="L6" s="101" t="s">
        <v>303</v>
      </c>
      <c r="M6" s="101" t="s">
        <v>304</v>
      </c>
      <c r="N6" s="101" t="s">
        <v>146</v>
      </c>
      <c r="O6" s="101">
        <v>4.3999999999999997E-2</v>
      </c>
      <c r="P6" s="101">
        <v>2010</v>
      </c>
      <c r="R6" s="3" t="s">
        <v>351</v>
      </c>
    </row>
    <row r="7" spans="2:18">
      <c r="B7" s="126" t="s">
        <v>67</v>
      </c>
      <c r="C7" s="126" t="s">
        <v>184</v>
      </c>
      <c r="D7" s="126" t="s">
        <v>185</v>
      </c>
      <c r="E7" s="127" t="s">
        <v>159</v>
      </c>
      <c r="F7" s="126"/>
      <c r="G7" s="126"/>
      <c r="H7" s="126"/>
      <c r="I7" s="126" t="s">
        <v>70</v>
      </c>
      <c r="L7" s="101" t="s">
        <v>309</v>
      </c>
      <c r="M7" s="101" t="s">
        <v>308</v>
      </c>
      <c r="N7" s="101" t="s">
        <v>43</v>
      </c>
      <c r="O7" s="101">
        <v>3.7400000000000003E-2</v>
      </c>
      <c r="P7" s="101">
        <v>2010</v>
      </c>
      <c r="R7" s="3" t="s">
        <v>351</v>
      </c>
    </row>
    <row r="8" spans="2:18">
      <c r="B8" s="126" t="s">
        <v>67</v>
      </c>
      <c r="C8" s="128" t="s">
        <v>279</v>
      </c>
      <c r="D8" s="126" t="s">
        <v>280</v>
      </c>
      <c r="E8" s="126" t="s">
        <v>159</v>
      </c>
      <c r="F8" s="126"/>
      <c r="G8" s="126"/>
      <c r="H8" s="126"/>
      <c r="I8" s="126" t="s">
        <v>70</v>
      </c>
      <c r="L8" s="101" t="s">
        <v>355</v>
      </c>
      <c r="M8" s="101" t="s">
        <v>356</v>
      </c>
      <c r="N8" s="101" t="s">
        <v>54</v>
      </c>
      <c r="O8" s="101">
        <v>2.6800000000000001E-2</v>
      </c>
      <c r="P8" s="101">
        <v>2010</v>
      </c>
      <c r="R8" s="3" t="s">
        <v>351</v>
      </c>
    </row>
    <row r="9" spans="2:18">
      <c r="B9" s="126" t="s">
        <v>67</v>
      </c>
      <c r="C9" s="128" t="s">
        <v>281</v>
      </c>
      <c r="D9" s="126" t="s">
        <v>282</v>
      </c>
      <c r="E9" s="126" t="s">
        <v>159</v>
      </c>
      <c r="F9" s="126"/>
      <c r="G9" s="126"/>
      <c r="H9" s="126"/>
      <c r="I9" s="126" t="s">
        <v>70</v>
      </c>
      <c r="L9" s="101" t="s">
        <v>359</v>
      </c>
      <c r="M9" s="101" t="s">
        <v>358</v>
      </c>
      <c r="N9" s="101" t="s">
        <v>177</v>
      </c>
      <c r="O9" s="89">
        <v>3.6299999999999999E-2</v>
      </c>
      <c r="P9" s="101">
        <v>2010</v>
      </c>
      <c r="R9" s="3" t="s">
        <v>351</v>
      </c>
    </row>
    <row r="10" spans="2:18">
      <c r="B10" s="126" t="s">
        <v>67</v>
      </c>
      <c r="C10" s="128" t="s">
        <v>381</v>
      </c>
      <c r="D10" s="126" t="s">
        <v>390</v>
      </c>
      <c r="E10" s="126" t="s">
        <v>159</v>
      </c>
      <c r="F10" s="126"/>
      <c r="G10" s="126"/>
      <c r="H10" s="126"/>
      <c r="I10" s="126" t="s">
        <v>70</v>
      </c>
      <c r="L10" s="100" t="s">
        <v>294</v>
      </c>
      <c r="M10" s="100" t="s">
        <v>285</v>
      </c>
      <c r="N10" s="100" t="s">
        <v>295</v>
      </c>
      <c r="O10" s="100">
        <v>1</v>
      </c>
      <c r="P10" s="100">
        <v>2025</v>
      </c>
    </row>
    <row r="11" spans="2:18">
      <c r="B11" s="126" t="s">
        <v>67</v>
      </c>
      <c r="C11" s="126" t="s">
        <v>288</v>
      </c>
      <c r="D11" s="126" t="s">
        <v>289</v>
      </c>
      <c r="E11" s="126" t="s">
        <v>159</v>
      </c>
      <c r="F11" s="126"/>
      <c r="G11" s="126"/>
      <c r="H11" s="126"/>
      <c r="I11" s="126" t="s">
        <v>70</v>
      </c>
      <c r="L11" s="100"/>
      <c r="M11" s="100" t="s">
        <v>371</v>
      </c>
      <c r="N11" s="100"/>
      <c r="O11" s="100"/>
      <c r="P11" s="100"/>
    </row>
    <row r="12" spans="2:18">
      <c r="B12" s="100" t="s">
        <v>67</v>
      </c>
      <c r="C12" s="100" t="s">
        <v>294</v>
      </c>
      <c r="D12" s="100" t="s">
        <v>312</v>
      </c>
      <c r="E12" s="100" t="s">
        <v>159</v>
      </c>
      <c r="F12" s="126"/>
      <c r="G12" s="126"/>
      <c r="H12" s="126"/>
      <c r="I12" s="126" t="s">
        <v>70</v>
      </c>
      <c r="L12" s="100"/>
      <c r="M12" s="100" t="s">
        <v>301</v>
      </c>
      <c r="N12" s="100"/>
      <c r="O12" s="100"/>
      <c r="P12" s="100"/>
    </row>
    <row r="13" spans="2:18">
      <c r="B13" s="100" t="s">
        <v>67</v>
      </c>
      <c r="C13" s="100" t="s">
        <v>296</v>
      </c>
      <c r="D13" s="100" t="s">
        <v>315</v>
      </c>
      <c r="E13" s="100" t="s">
        <v>159</v>
      </c>
      <c r="F13" s="126"/>
      <c r="G13" s="126"/>
      <c r="H13" s="126"/>
      <c r="I13" s="126" t="s">
        <v>70</v>
      </c>
      <c r="L13" s="101" t="s">
        <v>296</v>
      </c>
      <c r="M13" s="101" t="s">
        <v>162</v>
      </c>
      <c r="N13" s="101" t="s">
        <v>297</v>
      </c>
      <c r="O13" s="101">
        <v>1</v>
      </c>
      <c r="P13" s="101">
        <v>2025</v>
      </c>
    </row>
    <row r="14" spans="2:18">
      <c r="B14" s="100" t="s">
        <v>67</v>
      </c>
      <c r="C14" s="100" t="s">
        <v>298</v>
      </c>
      <c r="D14" s="100" t="s">
        <v>313</v>
      </c>
      <c r="E14" s="100" t="s">
        <v>159</v>
      </c>
      <c r="F14" s="126"/>
      <c r="G14" s="126"/>
      <c r="H14" s="126"/>
      <c r="I14" s="126" t="s">
        <v>70</v>
      </c>
      <c r="L14" s="101"/>
      <c r="M14" s="101" t="s">
        <v>146</v>
      </c>
      <c r="N14" s="101"/>
      <c r="O14" s="101"/>
      <c r="P14" s="101"/>
    </row>
    <row r="15" spans="2:18">
      <c r="B15" s="100" t="s">
        <v>67</v>
      </c>
      <c r="C15" s="100" t="s">
        <v>300</v>
      </c>
      <c r="D15" s="100" t="s">
        <v>314</v>
      </c>
      <c r="E15" s="100" t="s">
        <v>159</v>
      </c>
      <c r="F15" s="126"/>
      <c r="G15" s="126"/>
      <c r="H15" s="126"/>
      <c r="I15" s="126" t="s">
        <v>70</v>
      </c>
      <c r="L15" s="100" t="s">
        <v>298</v>
      </c>
      <c r="M15" s="100" t="s">
        <v>286</v>
      </c>
      <c r="N15" s="100" t="s">
        <v>311</v>
      </c>
      <c r="O15" s="100">
        <v>1</v>
      </c>
      <c r="P15" s="100">
        <v>2025</v>
      </c>
    </row>
    <row r="16" spans="2:18">
      <c r="B16" s="100" t="s">
        <v>67</v>
      </c>
      <c r="C16" s="100" t="s">
        <v>373</v>
      </c>
      <c r="D16" s="100" t="s">
        <v>374</v>
      </c>
      <c r="E16" s="100" t="s">
        <v>159</v>
      </c>
      <c r="F16" s="126"/>
      <c r="G16" s="126"/>
      <c r="H16" s="126"/>
      <c r="I16" s="126" t="s">
        <v>70</v>
      </c>
      <c r="L16" s="100"/>
      <c r="M16" s="100" t="s">
        <v>372</v>
      </c>
      <c r="N16" s="100"/>
      <c r="O16" s="100"/>
      <c r="P16" s="100"/>
    </row>
    <row r="17" spans="2:16">
      <c r="B17" s="100" t="s">
        <v>67</v>
      </c>
      <c r="C17" s="100" t="s">
        <v>349</v>
      </c>
      <c r="D17" s="100" t="s">
        <v>375</v>
      </c>
      <c r="E17" s="100" t="s">
        <v>159</v>
      </c>
      <c r="F17" s="126"/>
      <c r="G17" s="126"/>
      <c r="H17" s="126"/>
      <c r="I17" s="126" t="s">
        <v>70</v>
      </c>
      <c r="L17" s="100"/>
      <c r="M17" s="100" t="s">
        <v>200</v>
      </c>
      <c r="N17" s="100"/>
      <c r="O17" s="100"/>
      <c r="P17" s="100"/>
    </row>
    <row r="18" spans="2:16">
      <c r="B18" s="100" t="s">
        <v>67</v>
      </c>
      <c r="C18" s="100" t="s">
        <v>302</v>
      </c>
      <c r="D18" s="100" t="s">
        <v>307</v>
      </c>
      <c r="E18" s="100" t="s">
        <v>159</v>
      </c>
      <c r="F18" s="126"/>
      <c r="G18" s="126"/>
      <c r="H18" s="126"/>
      <c r="I18" s="126" t="s">
        <v>70</v>
      </c>
      <c r="L18" s="101" t="s">
        <v>300</v>
      </c>
      <c r="M18" s="101" t="s">
        <v>146</v>
      </c>
      <c r="N18" s="101" t="s">
        <v>299</v>
      </c>
      <c r="O18" s="101">
        <v>1</v>
      </c>
      <c r="P18" s="101">
        <v>2025</v>
      </c>
    </row>
    <row r="19" spans="2:16">
      <c r="B19" s="100" t="s">
        <v>67</v>
      </c>
      <c r="C19" s="100" t="s">
        <v>303</v>
      </c>
      <c r="D19" s="100" t="s">
        <v>306</v>
      </c>
      <c r="E19" s="100" t="s">
        <v>159</v>
      </c>
      <c r="F19" s="126"/>
      <c r="G19" s="126"/>
      <c r="H19" s="126"/>
      <c r="I19" s="126" t="s">
        <v>70</v>
      </c>
      <c r="L19" s="101"/>
      <c r="M19" s="101" t="s">
        <v>43</v>
      </c>
      <c r="N19" s="101"/>
      <c r="O19" s="101"/>
      <c r="P19" s="101"/>
    </row>
    <row r="20" spans="2:16">
      <c r="B20" s="100" t="s">
        <v>67</v>
      </c>
      <c r="C20" s="100" t="s">
        <v>309</v>
      </c>
      <c r="D20" s="100" t="s">
        <v>310</v>
      </c>
      <c r="E20" s="100" t="s">
        <v>159</v>
      </c>
      <c r="F20" s="126"/>
      <c r="G20" s="126"/>
      <c r="H20" s="126"/>
      <c r="I20" s="126" t="s">
        <v>70</v>
      </c>
      <c r="L20" s="101"/>
      <c r="M20" s="101" t="s">
        <v>162</v>
      </c>
      <c r="N20" s="101"/>
      <c r="O20" s="101"/>
      <c r="P20" s="101"/>
    </row>
    <row r="21" spans="2:16">
      <c r="B21" s="100" t="s">
        <v>67</v>
      </c>
      <c r="C21" s="100" t="s">
        <v>355</v>
      </c>
      <c r="D21" s="100" t="s">
        <v>357</v>
      </c>
      <c r="E21" s="100" t="s">
        <v>159</v>
      </c>
      <c r="F21" s="126"/>
      <c r="G21" s="126"/>
      <c r="H21" s="126"/>
      <c r="I21" s="126" t="s">
        <v>70</v>
      </c>
      <c r="L21" s="100" t="str">
        <f>C16</f>
        <v>BLD_RFNBO_DSL</v>
      </c>
      <c r="M21" s="100" t="s">
        <v>286</v>
      </c>
      <c r="N21" s="100" t="s">
        <v>376</v>
      </c>
      <c r="O21" s="100">
        <v>1</v>
      </c>
      <c r="P21" s="100">
        <v>2025</v>
      </c>
    </row>
    <row r="22" spans="2:16">
      <c r="B22" s="100" t="s">
        <v>67</v>
      </c>
      <c r="C22" s="100" t="s">
        <v>359</v>
      </c>
      <c r="D22" s="100" t="s">
        <v>408</v>
      </c>
      <c r="E22" s="100" t="s">
        <v>159</v>
      </c>
      <c r="F22" s="126"/>
      <c r="G22" s="126"/>
      <c r="H22" s="126"/>
      <c r="I22" s="126" t="s">
        <v>70</v>
      </c>
      <c r="L22" s="100"/>
      <c r="M22" s="100" t="s">
        <v>372</v>
      </c>
      <c r="N22" s="100"/>
      <c r="O22" s="100"/>
      <c r="P22" s="100"/>
    </row>
    <row r="23" spans="2:16">
      <c r="B23" s="126" t="s">
        <v>67</v>
      </c>
      <c r="C23" s="126" t="s">
        <v>346</v>
      </c>
      <c r="D23" s="126" t="s">
        <v>368</v>
      </c>
      <c r="E23" s="126" t="s">
        <v>159</v>
      </c>
      <c r="F23" s="126"/>
      <c r="G23" s="126"/>
      <c r="H23" s="126"/>
      <c r="I23" s="126" t="s">
        <v>70</v>
      </c>
      <c r="L23" s="100"/>
      <c r="M23" s="100" t="s">
        <v>200</v>
      </c>
      <c r="N23" s="100"/>
      <c r="O23" s="100"/>
      <c r="P23" s="100"/>
    </row>
    <row r="24" spans="2:16">
      <c r="B24" s="100" t="s">
        <v>67</v>
      </c>
      <c r="C24" s="100" t="s">
        <v>377</v>
      </c>
      <c r="D24" s="100" t="s">
        <v>378</v>
      </c>
      <c r="E24" s="100" t="s">
        <v>159</v>
      </c>
      <c r="F24" s="126"/>
      <c r="G24" s="126"/>
      <c r="H24" s="126"/>
      <c r="I24" s="126" t="s">
        <v>70</v>
      </c>
      <c r="L24" s="101" t="s">
        <v>349</v>
      </c>
      <c r="M24" s="101" t="s">
        <v>286</v>
      </c>
      <c r="N24" s="101" t="s">
        <v>347</v>
      </c>
      <c r="O24" s="101">
        <v>1</v>
      </c>
      <c r="P24" s="101">
        <v>2025</v>
      </c>
    </row>
    <row r="25" spans="2:16">
      <c r="B25" s="100" t="s">
        <v>67</v>
      </c>
      <c r="C25" s="100" t="str">
        <f>L29</f>
        <v>BLD_RFNBO_GAS</v>
      </c>
      <c r="D25" s="100" t="s">
        <v>388</v>
      </c>
      <c r="E25" s="100" t="s">
        <v>159</v>
      </c>
      <c r="F25" s="126"/>
      <c r="G25" s="126"/>
      <c r="H25" s="126"/>
      <c r="I25" s="126" t="s">
        <v>70</v>
      </c>
      <c r="L25" s="101"/>
      <c r="M25" s="101" t="s">
        <v>372</v>
      </c>
      <c r="N25" s="101"/>
      <c r="O25" s="101"/>
      <c r="P25" s="101"/>
    </row>
    <row r="26" spans="2:16" ht="12.6" customHeight="1">
      <c r="L26" s="101"/>
      <c r="M26" s="101" t="s">
        <v>200</v>
      </c>
      <c r="N26" s="101"/>
      <c r="O26" s="101"/>
      <c r="P26" s="101"/>
    </row>
    <row r="27" spans="2:16" ht="12.6" customHeight="1">
      <c r="B27" s="147"/>
      <c r="C27" s="147" t="s">
        <v>362</v>
      </c>
      <c r="D27" s="147" t="s">
        <v>363</v>
      </c>
      <c r="E27" s="147" t="s">
        <v>364</v>
      </c>
      <c r="F27" s="147" t="s">
        <v>365</v>
      </c>
      <c r="G27" s="147" t="s">
        <v>360</v>
      </c>
      <c r="H27" s="148" t="s">
        <v>159</v>
      </c>
      <c r="I27" s="148" t="s">
        <v>367</v>
      </c>
      <c r="L27" s="100" t="str">
        <f>C24</f>
        <v>BLD_RFNBO_GSL</v>
      </c>
      <c r="M27" s="100" t="s">
        <v>287</v>
      </c>
      <c r="N27" s="100" t="s">
        <v>380</v>
      </c>
      <c r="O27" s="100">
        <v>1</v>
      </c>
      <c r="P27" s="100">
        <v>2025</v>
      </c>
    </row>
    <row r="28" spans="2:16" ht="12.6" customHeight="1">
      <c r="B28" s="76" t="s">
        <v>177</v>
      </c>
      <c r="C28" s="151">
        <v>0.01</v>
      </c>
      <c r="D28" s="150">
        <f>1*C28</f>
        <v>0.01</v>
      </c>
      <c r="E28" s="149">
        <v>0.64490000000000003</v>
      </c>
      <c r="F28" s="147">
        <f>E28*D28</f>
        <v>6.4490000000000007E-3</v>
      </c>
      <c r="G28" s="152">
        <v>3.6299999999999999E-2</v>
      </c>
      <c r="H28" s="153">
        <f>F28*G28</f>
        <v>2.3409870000000002E-4</v>
      </c>
      <c r="I28" s="150">
        <f>H28/$H$31</f>
        <v>7.7082243914974183E-3</v>
      </c>
      <c r="L28" s="100"/>
      <c r="M28" s="100" t="s">
        <v>379</v>
      </c>
      <c r="N28" s="100"/>
      <c r="O28" s="100"/>
      <c r="P28" s="100"/>
    </row>
    <row r="29" spans="2:16" ht="12.6" customHeight="1">
      <c r="B29" s="76" t="s">
        <v>54</v>
      </c>
      <c r="C29" s="151">
        <v>0.06</v>
      </c>
      <c r="D29" s="150">
        <f>1*C29</f>
        <v>0.06</v>
      </c>
      <c r="E29" s="149">
        <f>0.78945</f>
        <v>0.78944999999999999</v>
      </c>
      <c r="F29" s="147">
        <f>E29*D29</f>
        <v>4.7366999999999999E-2</v>
      </c>
      <c r="G29" s="152">
        <v>2.6800000000000001E-2</v>
      </c>
      <c r="H29" s="153">
        <f>F29*G29</f>
        <v>1.2694356E-3</v>
      </c>
      <c r="I29" s="150">
        <f>H29/$H$31</f>
        <v>4.1799012362542631E-2</v>
      </c>
      <c r="L29" s="101" t="s">
        <v>385</v>
      </c>
      <c r="M29" s="101" t="s">
        <v>383</v>
      </c>
      <c r="N29" s="101" t="s">
        <v>387</v>
      </c>
      <c r="O29" s="101">
        <v>1</v>
      </c>
      <c r="P29" s="101">
        <v>2025</v>
      </c>
    </row>
    <row r="30" spans="2:16" ht="12.6" customHeight="1">
      <c r="B30" s="76" t="s">
        <v>223</v>
      </c>
      <c r="C30" s="151">
        <f>100%-C29-C28</f>
        <v>0.92999999999999994</v>
      </c>
      <c r="D30" s="150">
        <f>1*C30</f>
        <v>0.92999999999999994</v>
      </c>
      <c r="E30" s="147">
        <v>0.72</v>
      </c>
      <c r="F30" s="147">
        <f>E30*D30</f>
        <v>0.66959999999999997</v>
      </c>
      <c r="G30" s="152">
        <v>4.3110000000000002E-2</v>
      </c>
      <c r="H30" s="153">
        <f>F30*G30</f>
        <v>2.8866456000000002E-2</v>
      </c>
      <c r="I30" s="150">
        <f>H30/$H$31</f>
        <v>0.95049276324595988</v>
      </c>
      <c r="L30" s="101"/>
      <c r="M30" s="101" t="s">
        <v>386</v>
      </c>
      <c r="N30" s="101"/>
      <c r="O30" s="101"/>
      <c r="P30" s="101"/>
    </row>
    <row r="31" spans="2:16" ht="12.6" customHeight="1">
      <c r="B31" s="148"/>
      <c r="C31" s="146">
        <f ca="1">SUM(C28:C31)</f>
        <v>0</v>
      </c>
      <c r="D31" s="148"/>
      <c r="E31" s="147"/>
      <c r="F31" s="147">
        <f>SUM(F28:F30)</f>
        <v>0.72341599999999995</v>
      </c>
      <c r="G31" s="148"/>
      <c r="H31" s="147">
        <f>SUM(H28:H30)</f>
        <v>3.0369990300000003E-2</v>
      </c>
      <c r="I31" s="150">
        <f>SUM(I28:I30)</f>
        <v>0.99999999999999989</v>
      </c>
      <c r="J31" s="147"/>
      <c r="L31" s="147"/>
      <c r="M31" s="147"/>
      <c r="N31" s="147"/>
      <c r="O31" s="147"/>
      <c r="P31" s="147"/>
    </row>
    <row r="32" spans="2:16" ht="12.6" customHeight="1">
      <c r="D32" s="148"/>
      <c r="E32" s="148" t="s">
        <v>366</v>
      </c>
      <c r="F32" s="154">
        <f>F28/F31</f>
        <v>8.9146493856923272E-3</v>
      </c>
      <c r="G32" s="148"/>
      <c r="H32" s="148"/>
      <c r="I32" s="147"/>
      <c r="L32" s="147"/>
      <c r="M32" s="147"/>
      <c r="N32" s="147"/>
      <c r="O32" s="147"/>
      <c r="P32" s="147"/>
    </row>
    <row r="33" spans="2:19" ht="12.6" customHeight="1">
      <c r="D33" s="148"/>
      <c r="E33" s="148" t="s">
        <v>361</v>
      </c>
      <c r="F33" s="148"/>
      <c r="G33" s="148"/>
      <c r="H33" s="148"/>
      <c r="I33" s="148"/>
      <c r="L33" s="147"/>
      <c r="M33" s="147"/>
      <c r="N33" s="147"/>
      <c r="O33" s="147"/>
      <c r="P33" s="147"/>
    </row>
    <row r="34" spans="2:19" s="76" customFormat="1" ht="11.4"/>
    <row r="35" spans="2:19" s="76" customFormat="1">
      <c r="C35"/>
      <c r="D35"/>
      <c r="E35"/>
      <c r="F35" s="218" t="s">
        <v>409</v>
      </c>
      <c r="G35" s="14"/>
      <c r="H35" s="14"/>
      <c r="I35" s="14"/>
      <c r="J35" s="14"/>
      <c r="K35" s="14"/>
      <c r="L35"/>
      <c r="M35"/>
      <c r="N35"/>
      <c r="O35"/>
      <c r="P35"/>
      <c r="Q35" s="5"/>
    </row>
    <row r="36" spans="2:19" s="76" customFormat="1" ht="13.8" thickBot="1">
      <c r="D36" s="85" t="s">
        <v>0</v>
      </c>
      <c r="E36" s="85" t="s">
        <v>2</v>
      </c>
      <c r="F36" s="85" t="s">
        <v>3</v>
      </c>
      <c r="G36" s="85" t="s">
        <v>16</v>
      </c>
      <c r="H36" s="85">
        <v>2010</v>
      </c>
      <c r="I36" s="85">
        <v>2015</v>
      </c>
      <c r="J36" s="85">
        <v>2020</v>
      </c>
      <c r="K36" s="85">
        <v>2025</v>
      </c>
      <c r="L36" s="85">
        <v>2030</v>
      </c>
      <c r="M36" s="85">
        <v>2035</v>
      </c>
      <c r="N36" s="85">
        <v>2040</v>
      </c>
      <c r="O36" s="85">
        <v>2045</v>
      </c>
      <c r="P36" s="85">
        <v>2050</v>
      </c>
      <c r="Q36" s="85">
        <v>0</v>
      </c>
      <c r="R36" s="5"/>
      <c r="S36" s="76" t="s">
        <v>407</v>
      </c>
    </row>
    <row r="37" spans="2:19" s="76" customFormat="1" ht="12">
      <c r="B37" s="86" t="s">
        <v>316</v>
      </c>
      <c r="D37" s="124" t="s">
        <v>296</v>
      </c>
      <c r="E37" s="100" t="s">
        <v>162</v>
      </c>
      <c r="F37" s="100" t="s">
        <v>297</v>
      </c>
      <c r="G37" s="100">
        <v>1</v>
      </c>
      <c r="H37" s="100">
        <v>1</v>
      </c>
      <c r="I37" s="100">
        <v>1</v>
      </c>
      <c r="J37" s="100">
        <v>1</v>
      </c>
      <c r="K37" s="100">
        <v>1</v>
      </c>
      <c r="L37" s="100">
        <v>1</v>
      </c>
      <c r="M37" s="100">
        <v>1</v>
      </c>
      <c r="N37" s="100">
        <v>1</v>
      </c>
      <c r="O37" s="100">
        <v>1</v>
      </c>
      <c r="P37" s="100">
        <v>1</v>
      </c>
      <c r="Q37" s="83">
        <v>5</v>
      </c>
    </row>
    <row r="38" spans="2:19" s="76" customFormat="1" ht="11.4">
      <c r="D38" s="100"/>
      <c r="E38" s="100" t="s">
        <v>146</v>
      </c>
      <c r="F38" s="100"/>
      <c r="G38" s="100"/>
      <c r="H38" s="100">
        <v>7.0000000000000007E-2</v>
      </c>
      <c r="I38" s="100">
        <v>7.0000000000000007E-2</v>
      </c>
      <c r="J38" s="100">
        <v>7.0000000000000007E-2</v>
      </c>
      <c r="K38" s="100">
        <v>7.0000000000000007E-2</v>
      </c>
      <c r="L38" s="100">
        <v>7.0000000000000007E-2</v>
      </c>
      <c r="M38" s="100">
        <v>7.0000000000000007E-2</v>
      </c>
      <c r="N38" s="100">
        <v>7.0000000000000007E-2</v>
      </c>
      <c r="O38" s="100">
        <v>7.0000000000000007E-2</v>
      </c>
      <c r="P38" s="100">
        <v>7.0000000000000007E-2</v>
      </c>
      <c r="Q38" s="83">
        <v>5</v>
      </c>
    </row>
    <row r="39" spans="2:19" s="76" customFormat="1" ht="12">
      <c r="D39" s="123" t="s">
        <v>300</v>
      </c>
      <c r="E39" s="94" t="s">
        <v>146</v>
      </c>
      <c r="F39" s="94" t="s">
        <v>299</v>
      </c>
      <c r="G39" s="94">
        <v>1</v>
      </c>
      <c r="H39" s="94">
        <v>7.0000000000000007E-2</v>
      </c>
      <c r="I39" s="94">
        <v>7.0000000000000007E-2</v>
      </c>
      <c r="J39" s="94">
        <v>7.0000000000000007E-2</v>
      </c>
      <c r="K39" s="94">
        <v>7.0000000000000007E-2</v>
      </c>
      <c r="L39" s="94">
        <v>7.0000000000000007E-2</v>
      </c>
      <c r="M39" s="94">
        <v>7.0000000000000007E-2</v>
      </c>
      <c r="N39" s="94">
        <v>7.0000000000000007E-2</v>
      </c>
      <c r="O39" s="94">
        <v>7.0000000000000007E-2</v>
      </c>
      <c r="P39" s="94">
        <v>7.0000000000000007E-2</v>
      </c>
      <c r="Q39" s="94">
        <v>5</v>
      </c>
    </row>
    <row r="40" spans="2:19" s="76" customFormat="1" ht="12">
      <c r="B40" s="86" t="s">
        <v>317</v>
      </c>
      <c r="D40" s="94"/>
      <c r="E40" s="94" t="s">
        <v>43</v>
      </c>
      <c r="F40" s="94"/>
      <c r="G40" s="94"/>
      <c r="H40" s="94">
        <v>7.0000000000000007E-2</v>
      </c>
      <c r="I40" s="94">
        <v>7.0000000000000007E-2</v>
      </c>
      <c r="J40" s="94">
        <v>7.0000000000000007E-2</v>
      </c>
      <c r="K40" s="94">
        <v>7.0000000000000007E-2</v>
      </c>
      <c r="L40" s="94">
        <v>7.0000000000000007E-2</v>
      </c>
      <c r="M40" s="94">
        <v>7.0000000000000007E-2</v>
      </c>
      <c r="N40" s="94">
        <v>7.0000000000000007E-2</v>
      </c>
      <c r="O40" s="94">
        <v>7.0000000000000007E-2</v>
      </c>
      <c r="P40" s="94">
        <v>7.0000000000000007E-2</v>
      </c>
      <c r="Q40" s="94">
        <v>5</v>
      </c>
    </row>
    <row r="41" spans="2:19" s="76" customFormat="1" ht="11.4">
      <c r="B41" s="76" t="s">
        <v>318</v>
      </c>
      <c r="D41" s="94"/>
      <c r="E41" s="94" t="s">
        <v>162</v>
      </c>
      <c r="F41" s="94"/>
      <c r="G41" s="94"/>
      <c r="H41" s="94">
        <v>1</v>
      </c>
      <c r="I41" s="94">
        <v>1</v>
      </c>
      <c r="J41" s="94">
        <v>1</v>
      </c>
      <c r="K41" s="94">
        <v>1</v>
      </c>
      <c r="L41" s="94">
        <v>1</v>
      </c>
      <c r="M41" s="94">
        <v>1</v>
      </c>
      <c r="N41" s="94">
        <v>1</v>
      </c>
      <c r="O41" s="94">
        <v>1</v>
      </c>
      <c r="P41" s="94">
        <v>1</v>
      </c>
      <c r="Q41" s="94">
        <v>5</v>
      </c>
    </row>
    <row r="42" spans="2:19" s="76" customFormat="1" ht="12">
      <c r="B42" s="76" t="s">
        <v>319</v>
      </c>
      <c r="D42" s="82" t="s">
        <v>184</v>
      </c>
      <c r="E42" s="83" t="s">
        <v>220</v>
      </c>
      <c r="F42" s="83" t="s">
        <v>205</v>
      </c>
      <c r="G42" s="83">
        <v>1</v>
      </c>
      <c r="H42" s="83">
        <v>1</v>
      </c>
      <c r="I42" s="83">
        <v>1</v>
      </c>
      <c r="J42" s="83">
        <v>1</v>
      </c>
      <c r="K42" s="92">
        <v>1</v>
      </c>
      <c r="L42" s="92">
        <v>0.96</v>
      </c>
      <c r="M42" s="92">
        <v>0.82</v>
      </c>
      <c r="N42" s="92">
        <v>0.68</v>
      </c>
      <c r="O42" s="92">
        <v>0.6</v>
      </c>
      <c r="P42" s="92">
        <v>0.32</v>
      </c>
      <c r="Q42" s="83">
        <v>5</v>
      </c>
    </row>
    <row r="43" spans="2:19" s="76" customFormat="1" ht="11.4">
      <c r="B43" s="76" t="s">
        <v>320</v>
      </c>
      <c r="D43" s="83"/>
      <c r="E43" s="83" t="s">
        <v>295</v>
      </c>
      <c r="F43" s="83"/>
      <c r="G43" s="83"/>
      <c r="H43" s="83"/>
      <c r="I43" s="83"/>
      <c r="J43" s="83"/>
      <c r="K43" s="92">
        <v>0</v>
      </c>
      <c r="L43" s="206">
        <v>0.02</v>
      </c>
      <c r="M43" s="206">
        <v>0.08</v>
      </c>
      <c r="N43" s="206">
        <v>0.15</v>
      </c>
      <c r="O43" s="206">
        <v>0.23</v>
      </c>
      <c r="P43" s="206">
        <v>0.53</v>
      </c>
      <c r="Q43" s="83">
        <v>5</v>
      </c>
      <c r="S43" s="205">
        <v>1.5</v>
      </c>
    </row>
    <row r="44" spans="2:19" s="76" customFormat="1" ht="11.4">
      <c r="D44" s="83"/>
      <c r="E44" s="83" t="s">
        <v>297</v>
      </c>
      <c r="F44" s="83"/>
      <c r="G44" s="83"/>
      <c r="H44" s="83"/>
      <c r="I44" s="83"/>
      <c r="J44" s="83">
        <v>0</v>
      </c>
      <c r="K44" s="92">
        <v>0.02</v>
      </c>
      <c r="L44" s="206">
        <v>7.0000000000000007E-2</v>
      </c>
      <c r="M44" s="206">
        <v>0.23</v>
      </c>
      <c r="N44" s="206">
        <v>0.36</v>
      </c>
      <c r="O44" s="206">
        <v>0.41</v>
      </c>
      <c r="P44" s="206">
        <v>0.53</v>
      </c>
      <c r="Q44" s="83">
        <v>5</v>
      </c>
      <c r="S44" s="205">
        <v>1.5</v>
      </c>
    </row>
    <row r="45" spans="2:19" s="76" customFormat="1" ht="12">
      <c r="D45" s="93" t="s">
        <v>279</v>
      </c>
      <c r="E45" s="94" t="s">
        <v>267</v>
      </c>
      <c r="F45" s="94" t="s">
        <v>283</v>
      </c>
      <c r="G45" s="94">
        <v>1</v>
      </c>
      <c r="H45" s="94">
        <v>1</v>
      </c>
      <c r="I45" s="94">
        <v>1</v>
      </c>
      <c r="J45" s="94">
        <v>1</v>
      </c>
      <c r="K45" s="94">
        <v>1</v>
      </c>
      <c r="L45" s="94">
        <v>1</v>
      </c>
      <c r="M45" s="208">
        <v>0.97</v>
      </c>
      <c r="N45" s="208">
        <v>0.95</v>
      </c>
      <c r="O45" s="208">
        <v>0.93</v>
      </c>
      <c r="P45" s="208">
        <v>0.91</v>
      </c>
      <c r="Q45" s="94">
        <v>5</v>
      </c>
    </row>
    <row r="46" spans="2:19" s="76" customFormat="1" ht="12">
      <c r="B46" s="76" t="s">
        <v>350</v>
      </c>
      <c r="D46" s="94"/>
      <c r="E46" s="94" t="s">
        <v>311</v>
      </c>
      <c r="F46" s="94"/>
      <c r="G46" s="94"/>
      <c r="H46" s="94"/>
      <c r="I46" s="94"/>
      <c r="J46" s="94"/>
      <c r="K46" s="94">
        <v>0</v>
      </c>
      <c r="L46" s="94">
        <v>1E-3</v>
      </c>
      <c r="M46" s="207">
        <v>0.03</v>
      </c>
      <c r="N46" s="208">
        <v>0.04</v>
      </c>
      <c r="O46" s="208">
        <v>0.06</v>
      </c>
      <c r="P46" s="208">
        <v>0.08</v>
      </c>
      <c r="Q46" s="94">
        <v>5</v>
      </c>
      <c r="S46" s="205">
        <v>1.5</v>
      </c>
    </row>
    <row r="47" spans="2:19" s="76" customFormat="1" ht="11.4">
      <c r="D47" s="94"/>
      <c r="E47" s="94" t="s">
        <v>299</v>
      </c>
      <c r="F47" s="94"/>
      <c r="G47" s="94"/>
      <c r="H47" s="94"/>
      <c r="I47" s="94"/>
      <c r="J47" s="94"/>
      <c r="K47" s="94">
        <v>1E-3</v>
      </c>
      <c r="L47" s="94">
        <v>0.01</v>
      </c>
      <c r="M47" s="207">
        <v>0.114</v>
      </c>
      <c r="N47" s="208">
        <v>0.26</v>
      </c>
      <c r="O47" s="208">
        <v>0.56999999999999995</v>
      </c>
      <c r="P47" s="208">
        <v>0.75</v>
      </c>
      <c r="Q47" s="94">
        <v>5</v>
      </c>
      <c r="S47" s="205">
        <v>1.2</v>
      </c>
    </row>
    <row r="48" spans="2:19" s="76" customFormat="1" ht="12">
      <c r="D48" s="84" t="s">
        <v>281</v>
      </c>
      <c r="E48" s="83" t="s">
        <v>199</v>
      </c>
      <c r="F48" s="83" t="s">
        <v>284</v>
      </c>
      <c r="G48" s="83">
        <v>1</v>
      </c>
      <c r="H48" s="83">
        <v>1</v>
      </c>
      <c r="I48" s="83">
        <v>1</v>
      </c>
      <c r="J48" s="83">
        <v>1</v>
      </c>
      <c r="K48" s="83">
        <v>1</v>
      </c>
      <c r="L48" s="83">
        <v>1</v>
      </c>
      <c r="M48" s="209">
        <v>0.93</v>
      </c>
      <c r="N48" s="209">
        <v>0.91</v>
      </c>
      <c r="O48" s="209">
        <v>0.89</v>
      </c>
      <c r="P48" s="209">
        <v>0.87</v>
      </c>
      <c r="Q48" s="83">
        <v>5</v>
      </c>
    </row>
    <row r="49" spans="2:23" s="76" customFormat="1" ht="11.4">
      <c r="D49" s="83"/>
      <c r="E49" s="83" t="s">
        <v>311</v>
      </c>
      <c r="F49" s="83"/>
      <c r="G49" s="83"/>
      <c r="H49" s="83"/>
      <c r="I49" s="83"/>
      <c r="J49" s="83"/>
      <c r="K49" s="83">
        <v>0</v>
      </c>
      <c r="L49" s="83">
        <v>1E-3</v>
      </c>
      <c r="M49" s="210">
        <v>0.03</v>
      </c>
      <c r="N49" s="209">
        <v>0.04</v>
      </c>
      <c r="O49" s="209">
        <v>0.06</v>
      </c>
      <c r="P49" s="209">
        <v>0.08</v>
      </c>
      <c r="Q49" s="83">
        <v>5</v>
      </c>
      <c r="S49" s="205">
        <v>1.5</v>
      </c>
    </row>
    <row r="50" spans="2:23" s="76" customFormat="1" ht="11.4">
      <c r="D50" s="83"/>
      <c r="E50" s="83" t="s">
        <v>299</v>
      </c>
      <c r="F50" s="83"/>
      <c r="G50" s="83"/>
      <c r="H50" s="83"/>
      <c r="I50" s="83"/>
      <c r="J50" s="83"/>
      <c r="K50" s="83">
        <v>1E-3</v>
      </c>
      <c r="L50" s="83">
        <v>0.01</v>
      </c>
      <c r="M50" s="210">
        <v>0.114</v>
      </c>
      <c r="N50" s="209">
        <v>0.26</v>
      </c>
      <c r="O50" s="209">
        <v>0.56999999999999995</v>
      </c>
      <c r="P50" s="209">
        <v>0.75</v>
      </c>
      <c r="Q50" s="83">
        <v>5</v>
      </c>
      <c r="S50" s="205">
        <v>1.2</v>
      </c>
    </row>
    <row r="51" spans="2:23" s="76" customFormat="1" ht="12">
      <c r="B51" s="76" t="s">
        <v>350</v>
      </c>
      <c r="D51" s="93" t="s">
        <v>346</v>
      </c>
      <c r="E51" s="94" t="s">
        <v>199</v>
      </c>
      <c r="F51" s="94" t="s">
        <v>348</v>
      </c>
      <c r="G51" s="94">
        <v>1</v>
      </c>
      <c r="H51" s="94">
        <v>1</v>
      </c>
      <c r="I51" s="94">
        <v>1</v>
      </c>
      <c r="J51" s="94">
        <v>1</v>
      </c>
      <c r="K51" s="94">
        <v>1</v>
      </c>
      <c r="L51" s="94">
        <v>1</v>
      </c>
      <c r="M51" s="94">
        <v>1</v>
      </c>
      <c r="N51" s="94">
        <v>1</v>
      </c>
      <c r="O51" s="94">
        <v>1</v>
      </c>
      <c r="P51" s="94">
        <v>1</v>
      </c>
      <c r="Q51" s="94">
        <v>5</v>
      </c>
    </row>
    <row r="52" spans="2:23" s="76" customFormat="1" ht="11.4">
      <c r="D52" s="94"/>
      <c r="E52" s="94" t="s">
        <v>146</v>
      </c>
      <c r="F52" s="94"/>
      <c r="G52" s="94"/>
      <c r="H52" s="94">
        <v>0</v>
      </c>
      <c r="I52" s="94">
        <v>0</v>
      </c>
      <c r="J52" s="94">
        <v>0</v>
      </c>
      <c r="K52" s="94">
        <v>7.0000000000000007E-2</v>
      </c>
      <c r="L52" s="94">
        <v>7.0000000000000007E-2</v>
      </c>
      <c r="M52" s="94">
        <v>7.0000000000000007E-2</v>
      </c>
      <c r="N52" s="94">
        <v>7.0000000000000007E-2</v>
      </c>
      <c r="O52" s="94">
        <v>7.0000000000000007E-2</v>
      </c>
      <c r="P52" s="94">
        <v>7.0000000000000007E-2</v>
      </c>
      <c r="Q52" s="94">
        <v>5</v>
      </c>
    </row>
    <row r="53" spans="2:23" s="76" customFormat="1" ht="11.4">
      <c r="D53" s="94"/>
      <c r="E53" s="94" t="s">
        <v>43</v>
      </c>
      <c r="F53" s="94"/>
      <c r="G53" s="94"/>
      <c r="H53" s="94">
        <v>0</v>
      </c>
      <c r="I53" s="94">
        <v>0</v>
      </c>
      <c r="J53" s="94">
        <v>0</v>
      </c>
      <c r="K53" s="94">
        <v>7.0000000000000007E-2</v>
      </c>
      <c r="L53" s="94">
        <v>7.0000000000000007E-2</v>
      </c>
      <c r="M53" s="94">
        <v>7.0000000000000007E-2</v>
      </c>
      <c r="N53" s="94">
        <v>7.0000000000000007E-2</v>
      </c>
      <c r="O53" s="94">
        <v>7.0000000000000007E-2</v>
      </c>
      <c r="P53" s="94">
        <v>7.0000000000000007E-2</v>
      </c>
      <c r="Q53" s="94">
        <v>5</v>
      </c>
    </row>
    <row r="54" spans="2:23" s="76" customFormat="1" ht="11.4">
      <c r="D54" s="94"/>
      <c r="E54" s="94" t="s">
        <v>162</v>
      </c>
      <c r="F54" s="94"/>
      <c r="G54" s="94"/>
      <c r="H54" s="94">
        <v>0</v>
      </c>
      <c r="I54" s="94">
        <v>0</v>
      </c>
      <c r="J54" s="94">
        <v>0</v>
      </c>
      <c r="K54" s="94">
        <v>7.0000000000000007E-2</v>
      </c>
      <c r="L54" s="94">
        <v>7.0000000000000007E-2</v>
      </c>
      <c r="M54" s="94">
        <v>7.0000000000000007E-2</v>
      </c>
      <c r="N54" s="94">
        <v>7.0000000000000007E-2</v>
      </c>
      <c r="O54" s="94">
        <v>7.0000000000000007E-2</v>
      </c>
      <c r="P54" s="94">
        <v>0.5</v>
      </c>
      <c r="Q54" s="94">
        <v>5</v>
      </c>
    </row>
    <row r="55" spans="2:23" s="76" customFormat="1" ht="11.4">
      <c r="D55" s="94"/>
      <c r="E55" s="94" t="s">
        <v>347</v>
      </c>
      <c r="F55" s="94"/>
      <c r="G55" s="94"/>
      <c r="H55" s="94">
        <v>0</v>
      </c>
      <c r="I55" s="94">
        <v>0</v>
      </c>
      <c r="J55" s="94">
        <v>0</v>
      </c>
      <c r="K55" s="94">
        <v>0</v>
      </c>
      <c r="L55" s="94">
        <v>1E-3</v>
      </c>
      <c r="M55" s="94">
        <v>1E-3</v>
      </c>
      <c r="N55" s="94">
        <v>1E-3</v>
      </c>
      <c r="O55" s="94">
        <v>1E-3</v>
      </c>
      <c r="P55" s="94">
        <v>0.01</v>
      </c>
      <c r="Q55" s="94">
        <v>5</v>
      </c>
    </row>
    <row r="56" spans="2:23" s="76" customFormat="1" ht="12">
      <c r="B56" s="76" t="s">
        <v>321</v>
      </c>
      <c r="D56" s="102" t="s">
        <v>183</v>
      </c>
      <c r="E56" s="83" t="s">
        <v>199</v>
      </c>
      <c r="F56" s="83" t="s">
        <v>204</v>
      </c>
      <c r="G56" s="83">
        <v>1</v>
      </c>
      <c r="H56" s="83">
        <v>1</v>
      </c>
      <c r="I56" s="83">
        <v>1</v>
      </c>
      <c r="J56" s="83">
        <v>1</v>
      </c>
      <c r="K56" s="83">
        <v>1</v>
      </c>
      <c r="L56" s="83">
        <v>0.995</v>
      </c>
      <c r="M56" s="83">
        <v>0.84</v>
      </c>
      <c r="N56" s="83"/>
      <c r="O56" s="83"/>
      <c r="P56" s="83"/>
      <c r="Q56" s="83">
        <v>5</v>
      </c>
    </row>
    <row r="57" spans="2:23" s="76" customFormat="1" ht="11.4">
      <c r="B57" s="76" t="s">
        <v>322</v>
      </c>
      <c r="D57" s="83"/>
      <c r="E57" s="83" t="s">
        <v>146</v>
      </c>
      <c r="F57" s="83"/>
      <c r="G57" s="83"/>
      <c r="H57" s="83">
        <v>7.0000000000000007E-2</v>
      </c>
      <c r="I57" s="83">
        <v>7.0000000000000007E-2</v>
      </c>
      <c r="J57" s="83">
        <v>7.0000000000000007E-2</v>
      </c>
      <c r="K57" s="83">
        <v>7.0000000000000007E-2</v>
      </c>
      <c r="L57" s="83">
        <v>7.0000000000000007E-2</v>
      </c>
      <c r="M57" s="83">
        <v>7.0000000000000007E-2</v>
      </c>
      <c r="N57" s="83">
        <v>7.0000000000000007E-2</v>
      </c>
      <c r="O57" s="83">
        <v>7.0000000000000007E-2</v>
      </c>
      <c r="P57" s="83">
        <v>7.0000000000000007E-2</v>
      </c>
      <c r="Q57" s="83">
        <v>1</v>
      </c>
    </row>
    <row r="58" spans="2:23" s="76" customFormat="1" ht="11.4">
      <c r="D58" s="83"/>
      <c r="E58" s="83" t="s">
        <v>43</v>
      </c>
      <c r="F58" s="83"/>
      <c r="G58" s="83"/>
      <c r="H58" s="83">
        <v>7.0000000000000007E-2</v>
      </c>
      <c r="I58" s="83">
        <v>7.0000000000000007E-2</v>
      </c>
      <c r="J58" s="83">
        <v>7.0000000000000007E-2</v>
      </c>
      <c r="K58" s="83">
        <v>7.0000000000000007E-2</v>
      </c>
      <c r="L58" s="83">
        <v>7.0000000000000007E-2</v>
      </c>
      <c r="M58" s="83">
        <v>7.0000000000000007E-2</v>
      </c>
      <c r="N58" s="83">
        <v>7.0000000000000007E-2</v>
      </c>
      <c r="O58" s="83">
        <v>7.0000000000000007E-2</v>
      </c>
      <c r="P58" s="83">
        <v>7.0000000000000007E-2</v>
      </c>
      <c r="Q58" s="83">
        <v>1</v>
      </c>
      <c r="S58" s="147"/>
      <c r="T58" s="76" t="s">
        <v>323</v>
      </c>
      <c r="U58" s="76" t="s">
        <v>324</v>
      </c>
      <c r="V58" s="76" t="s">
        <v>325</v>
      </c>
      <c r="W58" s="76" t="s">
        <v>326</v>
      </c>
    </row>
    <row r="59" spans="2:23" s="76" customFormat="1" ht="11.4">
      <c r="D59" s="83"/>
      <c r="E59" s="83" t="s">
        <v>162</v>
      </c>
      <c r="F59" s="83"/>
      <c r="G59" s="83"/>
      <c r="H59" s="83">
        <v>0.02</v>
      </c>
      <c r="I59" s="83">
        <v>0.02</v>
      </c>
      <c r="J59" s="83">
        <v>0.02</v>
      </c>
      <c r="K59" s="83">
        <v>0.02</v>
      </c>
      <c r="L59" s="83">
        <v>2.5000000000000001E-2</v>
      </c>
      <c r="M59" s="83">
        <v>0.1</v>
      </c>
      <c r="N59" s="83">
        <v>0.2</v>
      </c>
      <c r="O59" s="83"/>
      <c r="P59" s="83"/>
      <c r="Q59" s="83">
        <v>1</v>
      </c>
      <c r="S59" s="76">
        <v>2025</v>
      </c>
      <c r="T59" s="90">
        <v>0.02</v>
      </c>
      <c r="U59" s="90">
        <v>0</v>
      </c>
      <c r="V59" s="90">
        <f>T59-U59</f>
        <v>0.02</v>
      </c>
      <c r="W59" s="90">
        <f>1-T59</f>
        <v>0.98</v>
      </c>
    </row>
    <row r="60" spans="2:23" s="76" customFormat="1" ht="11.4">
      <c r="D60" s="83"/>
      <c r="E60" s="83" t="s">
        <v>376</v>
      </c>
      <c r="F60" s="83"/>
      <c r="G60" s="83"/>
      <c r="H60" s="83">
        <v>0</v>
      </c>
      <c r="I60" s="83">
        <v>0</v>
      </c>
      <c r="J60" s="83">
        <v>0</v>
      </c>
      <c r="K60" s="83">
        <v>0</v>
      </c>
      <c r="L60" s="83">
        <v>5.0000000000000001E-3</v>
      </c>
      <c r="M60" s="83">
        <v>0.05</v>
      </c>
      <c r="N60" s="83">
        <v>0.2</v>
      </c>
      <c r="O60" s="83">
        <v>0.6</v>
      </c>
      <c r="P60" s="83">
        <v>0.8</v>
      </c>
      <c r="Q60" s="83">
        <v>5</v>
      </c>
      <c r="S60" s="76">
        <v>2030</v>
      </c>
      <c r="T60" s="90">
        <v>0.06</v>
      </c>
      <c r="U60" s="91">
        <v>1.2E-2</v>
      </c>
      <c r="V60" s="90">
        <f t="shared" ref="V60:V64" si="0">T60-U60</f>
        <v>4.8000000000000001E-2</v>
      </c>
      <c r="W60" s="90">
        <f t="shared" ref="W60:W64" si="1">1-T60</f>
        <v>0.94</v>
      </c>
    </row>
    <row r="61" spans="2:23" s="76" customFormat="1" ht="12">
      <c r="D61" s="123" t="s">
        <v>181</v>
      </c>
      <c r="E61" s="94" t="s">
        <v>176</v>
      </c>
      <c r="F61" s="94" t="s">
        <v>203</v>
      </c>
      <c r="G61" s="94">
        <v>1</v>
      </c>
      <c r="H61" s="143">
        <v>0.22</v>
      </c>
      <c r="I61" s="143">
        <v>0.22</v>
      </c>
      <c r="J61" s="143">
        <v>0.22</v>
      </c>
      <c r="K61" s="143">
        <v>0.22</v>
      </c>
      <c r="L61" s="143">
        <v>0.215</v>
      </c>
      <c r="M61" s="143">
        <v>0.21</v>
      </c>
      <c r="N61" s="143">
        <v>0.21</v>
      </c>
      <c r="O61" s="143">
        <v>0.21</v>
      </c>
      <c r="P61" s="143">
        <v>0.21</v>
      </c>
      <c r="Q61" s="94">
        <v>5</v>
      </c>
      <c r="S61" s="76">
        <v>2035</v>
      </c>
      <c r="T61" s="90">
        <v>0.2</v>
      </c>
      <c r="U61" s="90">
        <v>0.05</v>
      </c>
      <c r="V61" s="90">
        <f t="shared" si="0"/>
        <v>0.15000000000000002</v>
      </c>
      <c r="W61" s="90">
        <f t="shared" si="1"/>
        <v>0.8</v>
      </c>
    </row>
    <row r="62" spans="2:23" s="76" customFormat="1" ht="11.4">
      <c r="D62" s="94"/>
      <c r="E62" s="94" t="s">
        <v>54</v>
      </c>
      <c r="F62" s="94"/>
      <c r="G62" s="94"/>
      <c r="H62" s="94">
        <v>0.8</v>
      </c>
      <c r="I62" s="94">
        <v>0.8</v>
      </c>
      <c r="J62" s="94">
        <v>0.8</v>
      </c>
      <c r="K62" s="94">
        <v>0.8</v>
      </c>
      <c r="L62" s="94">
        <v>0.8</v>
      </c>
      <c r="M62" s="94">
        <v>0.8</v>
      </c>
      <c r="N62" s="94">
        <v>0.8</v>
      </c>
      <c r="O62" s="94">
        <v>0.8</v>
      </c>
      <c r="P62" s="94">
        <v>0.8</v>
      </c>
      <c r="Q62" s="94">
        <v>5</v>
      </c>
      <c r="S62" s="76">
        <v>2040</v>
      </c>
      <c r="T62" s="90">
        <v>0.34</v>
      </c>
      <c r="U62" s="90">
        <v>0.1</v>
      </c>
      <c r="V62" s="90">
        <f t="shared" si="0"/>
        <v>0.24000000000000002</v>
      </c>
      <c r="W62" s="90">
        <f t="shared" si="1"/>
        <v>0.65999999999999992</v>
      </c>
    </row>
    <row r="63" spans="2:23" s="76" customFormat="1" ht="11.4">
      <c r="D63" s="94"/>
      <c r="E63" s="94" t="s">
        <v>177</v>
      </c>
      <c r="F63" s="94"/>
      <c r="G63" s="94"/>
      <c r="H63" s="94">
        <v>0.01</v>
      </c>
      <c r="I63" s="94">
        <v>0.01</v>
      </c>
      <c r="J63" s="94">
        <v>0.01</v>
      </c>
      <c r="K63" s="94">
        <v>0.01</v>
      </c>
      <c r="L63" s="94">
        <v>0.01</v>
      </c>
      <c r="M63" s="94">
        <v>0.01</v>
      </c>
      <c r="N63" s="94">
        <v>0.01</v>
      </c>
      <c r="O63" s="94">
        <v>0.01</v>
      </c>
      <c r="P63" s="94">
        <v>0.01</v>
      </c>
      <c r="Q63" s="94">
        <v>5</v>
      </c>
      <c r="S63" s="76">
        <v>2045</v>
      </c>
      <c r="T63" s="90">
        <v>0.42</v>
      </c>
      <c r="U63" s="90">
        <v>0.15</v>
      </c>
      <c r="V63" s="90">
        <f t="shared" si="0"/>
        <v>0.27</v>
      </c>
      <c r="W63" s="90">
        <f t="shared" si="1"/>
        <v>0.58000000000000007</v>
      </c>
    </row>
    <row r="64" spans="2:23" s="76" customFormat="1" ht="11.4">
      <c r="D64" s="94"/>
      <c r="E64" s="94" t="s">
        <v>380</v>
      </c>
      <c r="F64" s="94"/>
      <c r="G64" s="94"/>
      <c r="H64" s="94">
        <v>0</v>
      </c>
      <c r="I64" s="94">
        <v>0</v>
      </c>
      <c r="J64" s="94">
        <v>0</v>
      </c>
      <c r="K64" s="94">
        <v>0</v>
      </c>
      <c r="L64" s="94">
        <v>5.0000000000000001E-3</v>
      </c>
      <c r="M64" s="94">
        <v>0.01</v>
      </c>
      <c r="N64" s="94">
        <v>0.01</v>
      </c>
      <c r="O64" s="94">
        <v>0.01</v>
      </c>
      <c r="P64" s="94">
        <v>0.01</v>
      </c>
      <c r="Q64" s="94">
        <v>5</v>
      </c>
      <c r="S64" s="76">
        <v>2050</v>
      </c>
      <c r="T64" s="90">
        <v>0.7</v>
      </c>
      <c r="U64" s="90">
        <v>0.35</v>
      </c>
      <c r="V64" s="90">
        <f t="shared" si="0"/>
        <v>0.35</v>
      </c>
      <c r="W64" s="90">
        <f t="shared" si="1"/>
        <v>0.30000000000000004</v>
      </c>
    </row>
    <row r="65" spans="2:27">
      <c r="D65" s="124" t="s">
        <v>178</v>
      </c>
      <c r="E65" s="100" t="s">
        <v>176</v>
      </c>
      <c r="F65" s="83" t="s">
        <v>201</v>
      </c>
      <c r="G65" s="100">
        <v>1</v>
      </c>
      <c r="H65" s="100">
        <v>0.98</v>
      </c>
      <c r="I65" s="100">
        <v>0.98</v>
      </c>
      <c r="J65" s="100">
        <v>0.98</v>
      </c>
      <c r="K65" s="100">
        <v>0.98</v>
      </c>
      <c r="L65" s="100">
        <v>0.97499999999999998</v>
      </c>
      <c r="M65" s="211">
        <v>0.93</v>
      </c>
      <c r="N65" s="211">
        <v>0.93</v>
      </c>
      <c r="O65" s="211">
        <v>0.93</v>
      </c>
      <c r="P65" s="211">
        <v>0.93</v>
      </c>
      <c r="Q65" s="100">
        <v>5</v>
      </c>
      <c r="Y65" s="1" t="s">
        <v>440</v>
      </c>
    </row>
    <row r="66" spans="2:27">
      <c r="D66" s="100"/>
      <c r="E66" s="100" t="s">
        <v>177</v>
      </c>
      <c r="F66" s="83"/>
      <c r="G66" s="100"/>
      <c r="H66" s="100">
        <v>0.2</v>
      </c>
      <c r="I66" s="100">
        <v>0.2</v>
      </c>
      <c r="J66" s="100">
        <v>0.2</v>
      </c>
      <c r="K66" s="100">
        <v>0.2</v>
      </c>
      <c r="L66" s="100">
        <v>0.2</v>
      </c>
      <c r="M66" s="100">
        <v>0.2</v>
      </c>
      <c r="N66" s="100">
        <v>0.2</v>
      </c>
      <c r="O66" s="100">
        <v>0.2</v>
      </c>
      <c r="P66" s="100">
        <v>0.2</v>
      </c>
      <c r="Q66" s="100">
        <v>5</v>
      </c>
      <c r="S66" s="76" t="s">
        <v>327</v>
      </c>
      <c r="T66" s="76">
        <v>2026</v>
      </c>
      <c r="U66" s="76">
        <v>2030</v>
      </c>
      <c r="V66" s="76" t="s">
        <v>328</v>
      </c>
      <c r="Y66" s="1" t="s">
        <v>436</v>
      </c>
    </row>
    <row r="67" spans="2:27">
      <c r="D67" s="100"/>
      <c r="E67" s="100" t="s">
        <v>54</v>
      </c>
      <c r="F67" s="83"/>
      <c r="G67" s="100"/>
      <c r="H67" s="100">
        <v>0.04</v>
      </c>
      <c r="I67" s="100">
        <v>0.04</v>
      </c>
      <c r="J67" s="100">
        <v>0.04</v>
      </c>
      <c r="K67" s="100">
        <v>0.04</v>
      </c>
      <c r="L67" s="100">
        <v>0.04</v>
      </c>
      <c r="M67" s="100">
        <v>0.04</v>
      </c>
      <c r="N67" s="100">
        <v>0.04</v>
      </c>
      <c r="O67" s="100">
        <v>0.04</v>
      </c>
      <c r="P67" s="100">
        <v>0.04</v>
      </c>
      <c r="Q67" s="100">
        <v>5</v>
      </c>
      <c r="S67" s="76" t="s">
        <v>329</v>
      </c>
      <c r="T67" s="76" t="s">
        <v>330</v>
      </c>
      <c r="U67" s="76" t="s">
        <v>331</v>
      </c>
      <c r="V67" s="76" t="s">
        <v>332</v>
      </c>
      <c r="Y67" s="1" t="s">
        <v>267</v>
      </c>
      <c r="Z67">
        <v>77.400000000000006</v>
      </c>
      <c r="AA67" s="1" t="s">
        <v>437</v>
      </c>
    </row>
    <row r="68" spans="2:27">
      <c r="D68" s="100"/>
      <c r="E68" s="100" t="s">
        <v>380</v>
      </c>
      <c r="F68" s="83"/>
      <c r="G68" s="100"/>
      <c r="H68" s="100">
        <v>0</v>
      </c>
      <c r="I68" s="100">
        <v>0</v>
      </c>
      <c r="J68" s="100">
        <v>0</v>
      </c>
      <c r="K68" s="83">
        <v>0</v>
      </c>
      <c r="L68" s="100">
        <v>5.0000000000000001E-3</v>
      </c>
      <c r="M68" s="211">
        <v>0.05</v>
      </c>
      <c r="N68" s="211">
        <v>0.2</v>
      </c>
      <c r="O68" s="211">
        <v>0.6</v>
      </c>
      <c r="P68" s="211">
        <v>0.8</v>
      </c>
      <c r="Q68" s="100">
        <v>5</v>
      </c>
      <c r="S68" s="76" t="s">
        <v>333</v>
      </c>
      <c r="T68" s="76" t="s">
        <v>334</v>
      </c>
      <c r="U68" s="76" t="s">
        <v>335</v>
      </c>
      <c r="V68" s="76" t="s">
        <v>336</v>
      </c>
      <c r="Y68" s="1" t="s">
        <v>199</v>
      </c>
      <c r="Z68">
        <v>74.099999999999994</v>
      </c>
      <c r="AA68" s="1" t="s">
        <v>437</v>
      </c>
    </row>
    <row r="69" spans="2:27">
      <c r="D69" s="142" t="s">
        <v>179</v>
      </c>
      <c r="E69" s="143" t="s">
        <v>176</v>
      </c>
      <c r="F69" s="94" t="s">
        <v>202</v>
      </c>
      <c r="G69" s="143">
        <v>1</v>
      </c>
      <c r="H69" s="143">
        <v>0.82</v>
      </c>
      <c r="I69" s="143">
        <v>0.82</v>
      </c>
      <c r="J69" s="143">
        <v>0.82</v>
      </c>
      <c r="K69" s="143">
        <v>0.82</v>
      </c>
      <c r="L69" s="143">
        <v>0.81499999999999995</v>
      </c>
      <c r="M69" s="143">
        <v>0.77</v>
      </c>
      <c r="N69" s="145">
        <v>0.77</v>
      </c>
      <c r="O69" s="145">
        <v>0.77</v>
      </c>
      <c r="P69" s="145">
        <v>0.77</v>
      </c>
      <c r="Q69" s="143">
        <v>5</v>
      </c>
      <c r="S69" s="76" t="s">
        <v>337</v>
      </c>
      <c r="T69" s="76" t="s">
        <v>338</v>
      </c>
      <c r="U69" s="76" t="s">
        <v>339</v>
      </c>
      <c r="V69" s="76" t="s">
        <v>340</v>
      </c>
    </row>
    <row r="70" spans="2:27">
      <c r="D70" s="143"/>
      <c r="E70" s="143" t="s">
        <v>177</v>
      </c>
      <c r="F70" s="129"/>
      <c r="G70" s="129"/>
      <c r="H70" s="143">
        <v>0.2</v>
      </c>
      <c r="I70" s="143">
        <v>0.2</v>
      </c>
      <c r="J70" s="143">
        <v>0.2</v>
      </c>
      <c r="K70" s="143">
        <v>0.2</v>
      </c>
      <c r="L70" s="143">
        <v>0.2</v>
      </c>
      <c r="M70" s="143">
        <v>0.2</v>
      </c>
      <c r="N70" s="143">
        <v>0.2</v>
      </c>
      <c r="O70" s="143">
        <v>0.2</v>
      </c>
      <c r="P70" s="143">
        <v>0.2</v>
      </c>
      <c r="Q70" s="143">
        <v>5</v>
      </c>
      <c r="S70" s="76" t="s">
        <v>341</v>
      </c>
      <c r="T70" s="76" t="s">
        <v>342</v>
      </c>
      <c r="U70" s="76" t="s">
        <v>343</v>
      </c>
      <c r="V70" s="76" t="s">
        <v>342</v>
      </c>
      <c r="Y70" s="1" t="s">
        <v>438</v>
      </c>
      <c r="Z70" s="261" t="s">
        <v>439</v>
      </c>
      <c r="AA70" s="1"/>
    </row>
    <row r="71" spans="2:27">
      <c r="D71" s="143"/>
      <c r="E71" s="143" t="s">
        <v>54</v>
      </c>
      <c r="F71" s="94"/>
      <c r="G71" s="143"/>
      <c r="H71" s="143">
        <v>7.0000000000000007E-2</v>
      </c>
      <c r="I71" s="143">
        <v>7.0000000000000007E-2</v>
      </c>
      <c r="J71" s="143">
        <v>7.0000000000000007E-2</v>
      </c>
      <c r="K71" s="143">
        <v>7.0000000000000007E-2</v>
      </c>
      <c r="L71" s="143">
        <v>7.0000000000000007E-2</v>
      </c>
      <c r="M71" s="143">
        <v>7.0000000000000007E-2</v>
      </c>
      <c r="N71" s="143">
        <v>7.0000000000000007E-2</v>
      </c>
      <c r="O71" s="143">
        <v>7.0000000000000007E-2</v>
      </c>
      <c r="P71" s="143">
        <v>7.0000000000000007E-2</v>
      </c>
      <c r="Q71" s="143">
        <v>5</v>
      </c>
      <c r="S71" s="76" t="s">
        <v>344</v>
      </c>
      <c r="T71" s="76" t="s">
        <v>342</v>
      </c>
      <c r="U71" s="76" t="s">
        <v>345</v>
      </c>
      <c r="V71" s="76" t="s">
        <v>342</v>
      </c>
      <c r="Y71">
        <v>2025</v>
      </c>
      <c r="Z71" s="222">
        <v>-0.02</v>
      </c>
    </row>
    <row r="72" spans="2:27">
      <c r="D72" s="143"/>
      <c r="E72" s="143" t="s">
        <v>380</v>
      </c>
      <c r="F72" s="143"/>
      <c r="G72" s="143"/>
      <c r="H72" s="143">
        <v>0</v>
      </c>
      <c r="I72" s="143">
        <v>0</v>
      </c>
      <c r="J72" s="143">
        <v>0</v>
      </c>
      <c r="K72" s="143">
        <v>0</v>
      </c>
      <c r="L72" s="143">
        <v>5.0000000000000001E-3</v>
      </c>
      <c r="M72" s="212">
        <v>0.05</v>
      </c>
      <c r="N72" s="212">
        <v>0.2</v>
      </c>
      <c r="O72" s="212">
        <v>0.6</v>
      </c>
      <c r="P72" s="212">
        <v>0.8</v>
      </c>
      <c r="Q72" s="143">
        <v>5</v>
      </c>
      <c r="S72" s="76"/>
      <c r="T72" s="76"/>
      <c r="U72" s="76"/>
      <c r="Y72">
        <v>2030</v>
      </c>
      <c r="Z72" s="222">
        <v>-0.06</v>
      </c>
    </row>
    <row r="73" spans="2:27">
      <c r="D73" s="124" t="s">
        <v>381</v>
      </c>
      <c r="E73" s="100" t="s">
        <v>382</v>
      </c>
      <c r="F73" s="83" t="s">
        <v>389</v>
      </c>
      <c r="G73" s="100">
        <v>1</v>
      </c>
      <c r="H73" s="100">
        <v>1</v>
      </c>
      <c r="I73" s="100">
        <v>1</v>
      </c>
      <c r="J73" s="100">
        <v>1</v>
      </c>
      <c r="K73" s="100">
        <v>1</v>
      </c>
      <c r="L73" s="100">
        <v>1</v>
      </c>
      <c r="M73" s="100">
        <v>1</v>
      </c>
      <c r="N73" s="144">
        <v>1</v>
      </c>
      <c r="O73" s="144">
        <v>1</v>
      </c>
      <c r="P73" s="144">
        <v>1</v>
      </c>
      <c r="Q73" s="100">
        <v>5</v>
      </c>
      <c r="S73" s="76"/>
      <c r="T73" s="76"/>
      <c r="U73" s="76"/>
      <c r="Y73">
        <v>2035</v>
      </c>
      <c r="Z73" s="1">
        <v>-0.14499999999999999</v>
      </c>
    </row>
    <row r="74" spans="2:27">
      <c r="D74" s="100"/>
      <c r="E74" s="100" t="s">
        <v>387</v>
      </c>
      <c r="F74" s="83"/>
      <c r="G74" s="100"/>
      <c r="H74" s="100">
        <v>0</v>
      </c>
      <c r="I74" s="100">
        <v>0</v>
      </c>
      <c r="J74" s="100">
        <v>0</v>
      </c>
      <c r="K74" s="100">
        <v>0</v>
      </c>
      <c r="L74" s="100">
        <v>5.0000000000000001E-3</v>
      </c>
      <c r="M74" s="211">
        <v>0.05</v>
      </c>
      <c r="N74" s="211">
        <v>0.2</v>
      </c>
      <c r="O74" s="211">
        <v>0.6</v>
      </c>
      <c r="P74" s="211">
        <v>0.8</v>
      </c>
      <c r="Q74" s="100">
        <v>5</v>
      </c>
      <c r="S74" s="76" t="s">
        <v>352</v>
      </c>
      <c r="T74" s="76"/>
      <c r="U74" s="76"/>
      <c r="Y74">
        <v>2040</v>
      </c>
      <c r="Z74" s="222">
        <v>-0.31</v>
      </c>
    </row>
    <row r="75" spans="2:27">
      <c r="D75" s="100"/>
      <c r="E75" s="100" t="s">
        <v>384</v>
      </c>
      <c r="F75" s="83"/>
      <c r="G75" s="100"/>
      <c r="H75" s="100">
        <v>0</v>
      </c>
      <c r="I75" s="100">
        <v>0</v>
      </c>
      <c r="J75" s="100">
        <v>0</v>
      </c>
      <c r="K75" s="100">
        <v>1</v>
      </c>
      <c r="L75" s="100">
        <v>1</v>
      </c>
      <c r="M75" s="100">
        <v>1</v>
      </c>
      <c r="N75" s="100">
        <v>1</v>
      </c>
      <c r="O75" s="100">
        <v>1</v>
      </c>
      <c r="P75" s="100">
        <v>1</v>
      </c>
      <c r="Q75" s="100">
        <v>5</v>
      </c>
      <c r="S75" s="76" t="s">
        <v>353</v>
      </c>
      <c r="T75" s="76"/>
      <c r="U75" s="76"/>
      <c r="Y75">
        <v>2045</v>
      </c>
      <c r="Z75" s="222">
        <v>-0.62</v>
      </c>
    </row>
    <row r="76" spans="2:27">
      <c r="D76" s="100"/>
      <c r="E76" s="100"/>
      <c r="F76" s="83"/>
      <c r="G76" s="100"/>
      <c r="H76" s="100"/>
      <c r="I76" s="100"/>
      <c r="J76" s="100"/>
      <c r="K76" s="83"/>
      <c r="L76" s="100"/>
      <c r="M76" s="100"/>
      <c r="N76" s="144"/>
      <c r="O76" s="144"/>
      <c r="P76" s="144"/>
      <c r="Q76" s="100"/>
      <c r="Y76">
        <v>2050</v>
      </c>
      <c r="Z76" s="222">
        <v>-0.8</v>
      </c>
    </row>
    <row r="78" spans="2:27">
      <c r="D78" s="8"/>
      <c r="E78" s="8"/>
      <c r="F78" s="8"/>
      <c r="G78" s="8"/>
      <c r="H78" s="8"/>
      <c r="I78" s="8"/>
      <c r="J78" s="8"/>
      <c r="K78" s="8"/>
      <c r="L78" s="8"/>
      <c r="M78" s="8"/>
      <c r="N78" s="8"/>
      <c r="O78" s="8"/>
      <c r="P78" s="8"/>
      <c r="Q78" s="8"/>
    </row>
    <row r="79" spans="2:27">
      <c r="B79" s="5"/>
      <c r="C79" s="5"/>
      <c r="D79" s="8"/>
      <c r="E79" s="8"/>
      <c r="F79" s="213"/>
      <c r="G79" s="14"/>
      <c r="H79" s="14"/>
      <c r="I79" s="14"/>
      <c r="J79" s="14"/>
      <c r="K79" s="14"/>
      <c r="L79" s="8"/>
      <c r="M79" s="8"/>
      <c r="N79" s="8"/>
      <c r="O79" s="8"/>
      <c r="P79" s="8"/>
      <c r="Q79" s="8"/>
    </row>
    <row r="80" spans="2:27">
      <c r="F80" s="214" t="s">
        <v>206</v>
      </c>
      <c r="G80" s="14"/>
      <c r="H80" s="14"/>
      <c r="I80" s="14"/>
      <c r="J80" s="14"/>
      <c r="K80" s="14"/>
      <c r="Q80" s="5"/>
    </row>
    <row r="81" spans="4:28" ht="23.4" thickBot="1">
      <c r="D81" s="85" t="s">
        <v>0</v>
      </c>
      <c r="E81" s="85" t="s">
        <v>2</v>
      </c>
      <c r="F81" s="85" t="s">
        <v>3</v>
      </c>
      <c r="G81" s="85" t="s">
        <v>16</v>
      </c>
      <c r="H81" s="85" t="s">
        <v>415</v>
      </c>
      <c r="I81" s="85" t="s">
        <v>416</v>
      </c>
      <c r="J81" s="85" t="s">
        <v>417</v>
      </c>
      <c r="K81" s="85" t="s">
        <v>418</v>
      </c>
      <c r="L81" s="85" t="s">
        <v>419</v>
      </c>
      <c r="M81" s="85" t="s">
        <v>420</v>
      </c>
      <c r="N81" s="85" t="s">
        <v>421</v>
      </c>
      <c r="O81" s="85" t="s">
        <v>422</v>
      </c>
      <c r="P81" s="85" t="s">
        <v>423</v>
      </c>
      <c r="Q81" s="85" t="s">
        <v>424</v>
      </c>
      <c r="R81" s="85" t="s">
        <v>425</v>
      </c>
      <c r="S81" s="219" t="s">
        <v>426</v>
      </c>
      <c r="T81" s="219" t="s">
        <v>427</v>
      </c>
      <c r="U81" s="219" t="s">
        <v>435</v>
      </c>
      <c r="V81" s="219" t="s">
        <v>429</v>
      </c>
      <c r="W81" s="219" t="s">
        <v>430</v>
      </c>
      <c r="X81" s="219" t="s">
        <v>431</v>
      </c>
      <c r="Y81" s="219" t="s">
        <v>432</v>
      </c>
      <c r="Z81" s="219" t="s">
        <v>433</v>
      </c>
      <c r="AA81" s="219" t="s">
        <v>434</v>
      </c>
      <c r="AB81" s="219" t="s">
        <v>428</v>
      </c>
    </row>
    <row r="82" spans="4:28">
      <c r="D82" s="124" t="s">
        <v>296</v>
      </c>
      <c r="E82" s="100" t="s">
        <v>162</v>
      </c>
      <c r="F82" s="100" t="s">
        <v>297</v>
      </c>
      <c r="G82" s="100">
        <v>1</v>
      </c>
      <c r="H82" s="100">
        <v>1</v>
      </c>
      <c r="I82" s="100">
        <v>1</v>
      </c>
      <c r="J82" s="100">
        <v>1</v>
      </c>
      <c r="K82" s="100">
        <v>1</v>
      </c>
      <c r="L82" s="100">
        <v>1</v>
      </c>
      <c r="M82" s="100">
        <v>1</v>
      </c>
      <c r="N82" s="100">
        <v>1</v>
      </c>
      <c r="O82" s="100">
        <v>1</v>
      </c>
      <c r="P82" s="100">
        <v>1</v>
      </c>
      <c r="Q82" s="100">
        <v>1</v>
      </c>
      <c r="R82" s="209">
        <v>5</v>
      </c>
      <c r="S82" s="224"/>
      <c r="T82" s="224"/>
      <c r="U82" s="87"/>
      <c r="V82" s="224"/>
      <c r="W82" s="224"/>
      <c r="X82" s="224"/>
      <c r="Y82" s="224"/>
      <c r="Z82" s="224"/>
      <c r="AA82" s="224"/>
      <c r="AB82" s="231"/>
    </row>
    <row r="83" spans="4:28">
      <c r="D83" s="100"/>
      <c r="E83" s="100" t="s">
        <v>146</v>
      </c>
      <c r="F83" s="100"/>
      <c r="G83" s="100"/>
      <c r="H83" s="100">
        <v>7.0000000000000007E-2</v>
      </c>
      <c r="I83" s="100">
        <v>7.0000000000000007E-2</v>
      </c>
      <c r="J83" s="100">
        <v>7.0000000000000007E-2</v>
      </c>
      <c r="K83" s="100">
        <v>7.0000000000000007E-2</v>
      </c>
      <c r="L83" s="215">
        <v>7.0000000000000007E-2</v>
      </c>
      <c r="M83" s="215">
        <v>7.0000000000000007E-2</v>
      </c>
      <c r="N83" s="215">
        <v>7.0000000000000007E-2</v>
      </c>
      <c r="O83" s="215">
        <v>7.0000000000000007E-2</v>
      </c>
      <c r="P83" s="215">
        <v>7.0000000000000007E-2</v>
      </c>
      <c r="Q83" s="215">
        <v>7.0000000000000007E-2</v>
      </c>
      <c r="R83" s="209">
        <v>5</v>
      </c>
      <c r="S83" s="224"/>
      <c r="T83" s="224"/>
      <c r="U83" s="87"/>
      <c r="V83" s="224"/>
      <c r="W83" s="224"/>
      <c r="X83" s="224"/>
      <c r="Y83" s="224"/>
      <c r="Z83" s="224"/>
      <c r="AA83" s="224"/>
      <c r="AB83" s="231"/>
    </row>
    <row r="84" spans="4:28">
      <c r="D84" s="123" t="s">
        <v>300</v>
      </c>
      <c r="E84" s="94" t="s">
        <v>146</v>
      </c>
      <c r="F84" s="94" t="s">
        <v>299</v>
      </c>
      <c r="G84" s="94">
        <v>1</v>
      </c>
      <c r="H84" s="94">
        <v>7.0000000000000007E-2</v>
      </c>
      <c r="I84" s="94">
        <v>7.0000000000000007E-2</v>
      </c>
      <c r="J84" s="94">
        <v>7.0000000000000007E-2</v>
      </c>
      <c r="K84" s="94">
        <v>7.0000000000000007E-2</v>
      </c>
      <c r="L84" s="208">
        <v>7.0000000000000007E-2</v>
      </c>
      <c r="M84" s="208">
        <v>7.0000000000000007E-2</v>
      </c>
      <c r="N84" s="208">
        <v>7.0000000000000007E-2</v>
      </c>
      <c r="O84" s="208">
        <v>7.0000000000000007E-2</v>
      </c>
      <c r="P84" s="208">
        <v>7.0000000000000007E-2</v>
      </c>
      <c r="Q84" s="208">
        <v>7.0000000000000007E-2</v>
      </c>
      <c r="R84" s="208">
        <v>5</v>
      </c>
      <c r="S84" s="236"/>
      <c r="T84" s="236"/>
      <c r="U84" s="129"/>
      <c r="V84" s="236"/>
      <c r="W84" s="236"/>
      <c r="X84" s="236"/>
      <c r="Y84" s="236"/>
      <c r="Z84" s="236"/>
      <c r="AA84" s="236"/>
      <c r="AB84" s="238"/>
    </row>
    <row r="85" spans="4:28">
      <c r="D85" s="94"/>
      <c r="E85" s="94" t="s">
        <v>43</v>
      </c>
      <c r="F85" s="94"/>
      <c r="G85" s="94"/>
      <c r="H85" s="94">
        <v>7.0000000000000007E-2</v>
      </c>
      <c r="I85" s="94">
        <v>7.0000000000000007E-2</v>
      </c>
      <c r="J85" s="94">
        <v>7.0000000000000007E-2</v>
      </c>
      <c r="K85" s="94">
        <v>7.0000000000000007E-2</v>
      </c>
      <c r="L85" s="208">
        <v>7.0000000000000007E-2</v>
      </c>
      <c r="M85" s="208">
        <v>7.0000000000000007E-2</v>
      </c>
      <c r="N85" s="208">
        <v>7.0000000000000007E-2</v>
      </c>
      <c r="O85" s="208">
        <v>7.0000000000000007E-2</v>
      </c>
      <c r="P85" s="208">
        <v>7.0000000000000007E-2</v>
      </c>
      <c r="Q85" s="208">
        <v>7.0000000000000007E-2</v>
      </c>
      <c r="R85" s="208">
        <v>5</v>
      </c>
      <c r="S85" s="236"/>
      <c r="T85" s="236"/>
      <c r="U85" s="129"/>
      <c r="V85" s="236"/>
      <c r="W85" s="236"/>
      <c r="X85" s="236"/>
      <c r="Y85" s="236"/>
      <c r="Z85" s="236"/>
      <c r="AA85" s="236"/>
      <c r="AB85" s="238"/>
    </row>
    <row r="86" spans="4:28">
      <c r="D86" s="243"/>
      <c r="E86" s="243" t="s">
        <v>162</v>
      </c>
      <c r="F86" s="243"/>
      <c r="G86" s="243"/>
      <c r="H86" s="243">
        <v>1</v>
      </c>
      <c r="I86" s="243">
        <v>1</v>
      </c>
      <c r="J86" s="243">
        <v>1</v>
      </c>
      <c r="K86" s="243">
        <v>1</v>
      </c>
      <c r="L86" s="244">
        <v>1</v>
      </c>
      <c r="M86" s="244">
        <v>1</v>
      </c>
      <c r="N86" s="244">
        <v>1</v>
      </c>
      <c r="O86" s="244">
        <v>1</v>
      </c>
      <c r="P86" s="244">
        <v>1</v>
      </c>
      <c r="Q86" s="244">
        <v>1</v>
      </c>
      <c r="R86" s="244">
        <v>5</v>
      </c>
      <c r="S86" s="246"/>
      <c r="T86" s="246"/>
      <c r="U86" s="247"/>
      <c r="V86" s="246"/>
      <c r="W86" s="246"/>
      <c r="X86" s="246"/>
      <c r="Y86" s="246"/>
      <c r="Z86" s="246"/>
      <c r="AA86" s="246"/>
      <c r="AB86" s="248"/>
    </row>
    <row r="87" spans="4:28">
      <c r="D87" s="82" t="s">
        <v>184</v>
      </c>
      <c r="E87" s="83" t="s">
        <v>220</v>
      </c>
      <c r="F87" s="83" t="s">
        <v>205</v>
      </c>
      <c r="G87" s="83">
        <v>1</v>
      </c>
      <c r="H87" s="83">
        <v>1</v>
      </c>
      <c r="I87" s="83">
        <v>1</v>
      </c>
      <c r="J87" s="83">
        <v>1</v>
      </c>
      <c r="K87" s="92">
        <v>1</v>
      </c>
      <c r="L87" s="216">
        <f t="shared" ref="L87:Q87" si="2">1-V88-V89+0.01</f>
        <v>0.95</v>
      </c>
      <c r="M87" s="216">
        <f t="shared" si="2"/>
        <v>0.80999999999999994</v>
      </c>
      <c r="N87" s="216">
        <f t="shared" si="2"/>
        <v>0.67</v>
      </c>
      <c r="O87" s="216">
        <f t="shared" si="2"/>
        <v>0.59</v>
      </c>
      <c r="P87" s="216">
        <f t="shared" si="2"/>
        <v>0.31000000000000005</v>
      </c>
      <c r="Q87" s="216">
        <f t="shared" si="2"/>
        <v>0.11000000000000003</v>
      </c>
      <c r="R87" s="209">
        <v>5</v>
      </c>
      <c r="S87" s="220">
        <v>1</v>
      </c>
      <c r="T87" s="220">
        <v>1</v>
      </c>
      <c r="U87" s="87">
        <v>0</v>
      </c>
      <c r="V87" s="224">
        <v>0</v>
      </c>
      <c r="W87" s="224">
        <v>0</v>
      </c>
      <c r="X87" s="224">
        <v>0</v>
      </c>
      <c r="Y87" s="224">
        <v>0</v>
      </c>
      <c r="Z87" s="224">
        <v>0</v>
      </c>
      <c r="AA87" s="224">
        <v>0</v>
      </c>
      <c r="AB87" s="231">
        <v>5</v>
      </c>
    </row>
    <row r="88" spans="4:28">
      <c r="D88" s="83"/>
      <c r="E88" s="83" t="s">
        <v>295</v>
      </c>
      <c r="F88" s="83"/>
      <c r="G88" s="83"/>
      <c r="H88" s="83">
        <v>0</v>
      </c>
      <c r="I88" s="83">
        <v>0</v>
      </c>
      <c r="J88" s="83">
        <v>0</v>
      </c>
      <c r="K88" s="92">
        <v>0</v>
      </c>
      <c r="L88" s="223">
        <f>0.015</f>
        <v>1.4999999999999999E-2</v>
      </c>
      <c r="M88" s="216">
        <f>W88+0.01</f>
        <v>6.0000000000000005E-2</v>
      </c>
      <c r="N88" s="216">
        <f>X88+0.01</f>
        <v>0.11</v>
      </c>
      <c r="O88" s="216">
        <f>Y88+0.01</f>
        <v>0.16</v>
      </c>
      <c r="P88" s="216">
        <f>Z88+0.01</f>
        <v>0.36</v>
      </c>
      <c r="Q88" s="216">
        <v>0.5</v>
      </c>
      <c r="R88" s="209">
        <v>5</v>
      </c>
      <c r="S88" s="224">
        <v>0</v>
      </c>
      <c r="T88" s="139">
        <v>0</v>
      </c>
      <c r="U88" s="87">
        <v>0</v>
      </c>
      <c r="V88" s="92">
        <v>1.2E-2</v>
      </c>
      <c r="W88" s="92">
        <v>0.05</v>
      </c>
      <c r="X88" s="92">
        <v>0.1</v>
      </c>
      <c r="Y88" s="92">
        <v>0.15</v>
      </c>
      <c r="Z88" s="92">
        <v>0.35</v>
      </c>
      <c r="AA88" s="225">
        <v>0.45</v>
      </c>
      <c r="AB88" s="231">
        <v>5</v>
      </c>
    </row>
    <row r="89" spans="4:28">
      <c r="D89" s="249"/>
      <c r="E89" s="249" t="s">
        <v>297</v>
      </c>
      <c r="F89" s="249"/>
      <c r="G89" s="249"/>
      <c r="H89" s="249">
        <v>0</v>
      </c>
      <c r="I89" s="249">
        <v>0</v>
      </c>
      <c r="J89" s="249">
        <v>0</v>
      </c>
      <c r="K89" s="259">
        <v>0.03</v>
      </c>
      <c r="L89" s="252">
        <v>7.0000000000000007E-2</v>
      </c>
      <c r="M89" s="252">
        <f>W89+0.02</f>
        <v>0.17</v>
      </c>
      <c r="N89" s="252">
        <f>X89+0.02</f>
        <v>0.26</v>
      </c>
      <c r="O89" s="252">
        <f>Y89+0.02</f>
        <v>0.29000000000000004</v>
      </c>
      <c r="P89" s="252">
        <f>Z89+0.02</f>
        <v>0.37</v>
      </c>
      <c r="Q89" s="252">
        <v>0.5</v>
      </c>
      <c r="R89" s="251">
        <v>5</v>
      </c>
      <c r="S89" s="253">
        <v>0</v>
      </c>
      <c r="T89" s="259">
        <v>0</v>
      </c>
      <c r="U89" s="260">
        <v>0.02</v>
      </c>
      <c r="V89" s="259">
        <v>4.8000000000000001E-2</v>
      </c>
      <c r="W89" s="259">
        <v>0.15000000000000002</v>
      </c>
      <c r="X89" s="259">
        <v>0.24000000000000002</v>
      </c>
      <c r="Y89" s="259">
        <v>0.27</v>
      </c>
      <c r="Z89" s="259">
        <v>0.35</v>
      </c>
      <c r="AA89" s="254">
        <v>0.45</v>
      </c>
      <c r="AB89" s="256">
        <v>5</v>
      </c>
    </row>
    <row r="90" spans="4:28">
      <c r="D90" s="93" t="s">
        <v>279</v>
      </c>
      <c r="E90" s="94" t="s">
        <v>267</v>
      </c>
      <c r="F90" s="94" t="s">
        <v>283</v>
      </c>
      <c r="G90" s="94">
        <v>1</v>
      </c>
      <c r="H90" s="94">
        <v>1</v>
      </c>
      <c r="I90" s="94">
        <v>1</v>
      </c>
      <c r="J90" s="94">
        <v>1</v>
      </c>
      <c r="K90" s="262">
        <f>1+Z71</f>
        <v>0.98</v>
      </c>
      <c r="L90" s="235">
        <f>1+Z72</f>
        <v>0.94</v>
      </c>
      <c r="M90" s="235">
        <f>1+Z73</f>
        <v>0.85499999999999998</v>
      </c>
      <c r="N90" s="235">
        <f>1+Z74</f>
        <v>0.69</v>
      </c>
      <c r="O90" s="235">
        <f>1+Z75</f>
        <v>0.38</v>
      </c>
      <c r="P90" s="235">
        <f>1+Z76</f>
        <v>0.19999999999999996</v>
      </c>
      <c r="Q90" s="235">
        <f>P90-0.1</f>
        <v>9.999999999999995E-2</v>
      </c>
      <c r="R90" s="208">
        <v>5</v>
      </c>
      <c r="S90" s="236">
        <v>1</v>
      </c>
      <c r="T90" s="221">
        <v>1</v>
      </c>
      <c r="U90" s="240">
        <f>K90-0.005</f>
        <v>0.97499999999999998</v>
      </c>
      <c r="V90" s="240">
        <f t="shared" ref="V90:AA90" si="3">L90-0.005</f>
        <v>0.93499999999999994</v>
      </c>
      <c r="W90" s="240">
        <f t="shared" si="3"/>
        <v>0.85</v>
      </c>
      <c r="X90" s="240">
        <f t="shared" si="3"/>
        <v>0.68499999999999994</v>
      </c>
      <c r="Y90" s="240">
        <f t="shared" si="3"/>
        <v>0.375</v>
      </c>
      <c r="Z90" s="240">
        <f t="shared" si="3"/>
        <v>0.19499999999999995</v>
      </c>
      <c r="AA90" s="240">
        <f t="shared" si="3"/>
        <v>9.4999999999999946E-2</v>
      </c>
      <c r="AB90" s="238">
        <v>5</v>
      </c>
    </row>
    <row r="91" spans="4:28">
      <c r="D91" s="94"/>
      <c r="E91" s="94" t="s">
        <v>311</v>
      </c>
      <c r="F91" s="94"/>
      <c r="G91" s="94"/>
      <c r="H91" s="94">
        <v>0</v>
      </c>
      <c r="I91" s="94">
        <v>0</v>
      </c>
      <c r="J91" s="94">
        <v>0</v>
      </c>
      <c r="K91" s="94">
        <v>0</v>
      </c>
      <c r="L91" s="239">
        <f>V91+0.005</f>
        <v>1.7000000000000001E-2</v>
      </c>
      <c r="M91" s="239">
        <f>L91+0.05</f>
        <v>6.7000000000000004E-2</v>
      </c>
      <c r="N91" s="235">
        <f>N88</f>
        <v>0.11</v>
      </c>
      <c r="O91" s="235">
        <f t="shared" ref="O91:Q91" si="4">O88</f>
        <v>0.16</v>
      </c>
      <c r="P91" s="235">
        <f t="shared" si="4"/>
        <v>0.36</v>
      </c>
      <c r="Q91" s="235">
        <f t="shared" si="4"/>
        <v>0.5</v>
      </c>
      <c r="R91" s="208">
        <v>5</v>
      </c>
      <c r="S91" s="236">
        <v>0</v>
      </c>
      <c r="T91" s="236">
        <v>0</v>
      </c>
      <c r="U91" s="129">
        <v>0</v>
      </c>
      <c r="V91" s="240">
        <v>1.2E-2</v>
      </c>
      <c r="W91" s="240">
        <f>W94</f>
        <v>2.1999999999999999E-2</v>
      </c>
      <c r="X91" s="240">
        <f t="shared" ref="X91:AA91" si="5">X94</f>
        <v>3.2000000000000001E-2</v>
      </c>
      <c r="Y91" s="240">
        <f t="shared" si="5"/>
        <v>4.2000000000000003E-2</v>
      </c>
      <c r="Z91" s="240">
        <f t="shared" si="5"/>
        <v>5.2000000000000005E-2</v>
      </c>
      <c r="AA91" s="240">
        <f t="shared" si="5"/>
        <v>6.2000000000000006E-2</v>
      </c>
      <c r="AB91" s="238">
        <v>5</v>
      </c>
    </row>
    <row r="92" spans="4:28">
      <c r="D92" s="94"/>
      <c r="E92" s="94" t="s">
        <v>299</v>
      </c>
      <c r="F92" s="94"/>
      <c r="G92" s="94"/>
      <c r="H92" s="94">
        <v>0</v>
      </c>
      <c r="I92" s="94">
        <v>0</v>
      </c>
      <c r="J92" s="94">
        <v>0</v>
      </c>
      <c r="K92" s="94">
        <f>U92+0.005</f>
        <v>2.5000000000000001E-2</v>
      </c>
      <c r="L92" s="94">
        <f>V92+0.005</f>
        <v>5.2999999999999999E-2</v>
      </c>
      <c r="M92" s="208">
        <v>1</v>
      </c>
      <c r="N92" s="208">
        <v>1</v>
      </c>
      <c r="O92" s="208">
        <v>1</v>
      </c>
      <c r="P92" s="208">
        <v>1</v>
      </c>
      <c r="Q92" s="208">
        <v>1</v>
      </c>
      <c r="R92" s="208">
        <v>5</v>
      </c>
      <c r="S92" s="236">
        <v>0</v>
      </c>
      <c r="T92" s="236">
        <v>0</v>
      </c>
      <c r="U92" s="129">
        <f>ABS(Z71)</f>
        <v>0.02</v>
      </c>
      <c r="V92" s="237">
        <f>V95</f>
        <v>4.8000000000000001E-2</v>
      </c>
      <c r="W92" s="237">
        <f t="shared" ref="W92:AA92" si="6">W95</f>
        <v>0.1</v>
      </c>
      <c r="X92" s="237">
        <f t="shared" si="6"/>
        <v>0.15</v>
      </c>
      <c r="Y92" s="237">
        <f t="shared" si="6"/>
        <v>0.2</v>
      </c>
      <c r="Z92" s="237">
        <f t="shared" si="6"/>
        <v>0.2</v>
      </c>
      <c r="AA92" s="237">
        <f t="shared" si="6"/>
        <v>0.2</v>
      </c>
      <c r="AB92" s="238">
        <v>5</v>
      </c>
    </row>
    <row r="93" spans="4:28">
      <c r="D93" s="84" t="s">
        <v>281</v>
      </c>
      <c r="E93" s="83" t="s">
        <v>199</v>
      </c>
      <c r="F93" s="83" t="s">
        <v>284</v>
      </c>
      <c r="G93" s="83">
        <v>1</v>
      </c>
      <c r="H93" s="83">
        <v>1</v>
      </c>
      <c r="I93" s="83">
        <v>1</v>
      </c>
      <c r="J93" s="83">
        <v>1</v>
      </c>
      <c r="K93" s="92">
        <f>K90</f>
        <v>0.98</v>
      </c>
      <c r="L93" s="92">
        <f t="shared" ref="L93:Q93" si="7">L90</f>
        <v>0.94</v>
      </c>
      <c r="M93" s="92">
        <f t="shared" si="7"/>
        <v>0.85499999999999998</v>
      </c>
      <c r="N93" s="92">
        <f t="shared" si="7"/>
        <v>0.69</v>
      </c>
      <c r="O93" s="92">
        <f t="shared" si="7"/>
        <v>0.38</v>
      </c>
      <c r="P93" s="92">
        <f t="shared" si="7"/>
        <v>0.19999999999999996</v>
      </c>
      <c r="Q93" s="92">
        <f t="shared" si="7"/>
        <v>9.999999999999995E-2</v>
      </c>
      <c r="R93" s="209">
        <v>5</v>
      </c>
      <c r="S93" s="224">
        <v>1</v>
      </c>
      <c r="T93" s="220">
        <v>1</v>
      </c>
      <c r="U93" s="114">
        <f>K93-0.005</f>
        <v>0.97499999999999998</v>
      </c>
      <c r="V93" s="114">
        <f t="shared" ref="V93:AA93" si="8">L93-0.005</f>
        <v>0.93499999999999994</v>
      </c>
      <c r="W93" s="114">
        <f t="shared" si="8"/>
        <v>0.85</v>
      </c>
      <c r="X93" s="114">
        <f t="shared" si="8"/>
        <v>0.68499999999999994</v>
      </c>
      <c r="Y93" s="114">
        <f t="shared" si="8"/>
        <v>0.375</v>
      </c>
      <c r="Z93" s="114">
        <f t="shared" si="8"/>
        <v>0.19499999999999995</v>
      </c>
      <c r="AA93" s="114">
        <f t="shared" si="8"/>
        <v>9.4999999999999946E-2</v>
      </c>
      <c r="AB93" s="231">
        <v>5</v>
      </c>
    </row>
    <row r="94" spans="4:28">
      <c r="D94" s="83"/>
      <c r="E94" s="83" t="s">
        <v>311</v>
      </c>
      <c r="F94" s="83"/>
      <c r="G94" s="83"/>
      <c r="H94" s="83">
        <v>0</v>
      </c>
      <c r="I94" s="83">
        <v>0</v>
      </c>
      <c r="J94" s="83">
        <v>0</v>
      </c>
      <c r="K94" s="83">
        <v>0</v>
      </c>
      <c r="L94" s="223">
        <f>V94+0.005</f>
        <v>1.7000000000000001E-2</v>
      </c>
      <c r="M94" s="223">
        <f>L94+0.05</f>
        <v>6.7000000000000004E-2</v>
      </c>
      <c r="N94" s="216">
        <f>N91</f>
        <v>0.11</v>
      </c>
      <c r="O94" s="216">
        <f t="shared" ref="O94:Q94" si="9">O91</f>
        <v>0.16</v>
      </c>
      <c r="P94" s="216">
        <f t="shared" si="9"/>
        <v>0.36</v>
      </c>
      <c r="Q94" s="216">
        <f t="shared" si="9"/>
        <v>0.5</v>
      </c>
      <c r="R94" s="209">
        <v>5</v>
      </c>
      <c r="S94" s="224">
        <v>0</v>
      </c>
      <c r="T94" s="224">
        <v>0</v>
      </c>
      <c r="U94" s="87">
        <v>0</v>
      </c>
      <c r="V94" s="114">
        <v>1.2E-2</v>
      </c>
      <c r="W94" s="114">
        <f>V94+0.01</f>
        <v>2.1999999999999999E-2</v>
      </c>
      <c r="X94" s="114">
        <f t="shared" ref="X94:AA94" si="10">W94+0.01</f>
        <v>3.2000000000000001E-2</v>
      </c>
      <c r="Y94" s="114">
        <f t="shared" si="10"/>
        <v>4.2000000000000003E-2</v>
      </c>
      <c r="Z94" s="114">
        <f t="shared" si="10"/>
        <v>5.2000000000000005E-2</v>
      </c>
      <c r="AA94" s="114">
        <f t="shared" si="10"/>
        <v>6.2000000000000006E-2</v>
      </c>
      <c r="AB94" s="231">
        <v>5</v>
      </c>
    </row>
    <row r="95" spans="4:28">
      <c r="D95" s="249"/>
      <c r="E95" s="249" t="s">
        <v>299</v>
      </c>
      <c r="F95" s="249"/>
      <c r="G95" s="249"/>
      <c r="H95" s="249">
        <v>0</v>
      </c>
      <c r="I95" s="249">
        <v>0</v>
      </c>
      <c r="J95" s="249">
        <v>0</v>
      </c>
      <c r="K95" s="249">
        <f>U95+0.005</f>
        <v>2.5000000000000019E-2</v>
      </c>
      <c r="L95" s="249">
        <f>V95+0.005</f>
        <v>5.2999999999999999E-2</v>
      </c>
      <c r="M95" s="251">
        <v>1</v>
      </c>
      <c r="N95" s="251">
        <v>1</v>
      </c>
      <c r="O95" s="251">
        <v>1</v>
      </c>
      <c r="P95" s="251">
        <v>1</v>
      </c>
      <c r="Q95" s="251">
        <v>1</v>
      </c>
      <c r="R95" s="251">
        <v>5</v>
      </c>
      <c r="S95" s="253">
        <v>0</v>
      </c>
      <c r="T95" s="253">
        <v>0</v>
      </c>
      <c r="U95" s="254">
        <f>1-K93</f>
        <v>2.0000000000000018E-2</v>
      </c>
      <c r="V95" s="254">
        <f>ABS(Z72)-V94</f>
        <v>4.8000000000000001E-2</v>
      </c>
      <c r="W95" s="254">
        <v>0.1</v>
      </c>
      <c r="X95" s="254">
        <v>0.15</v>
      </c>
      <c r="Y95" s="254">
        <v>0.2</v>
      </c>
      <c r="Z95" s="254">
        <v>0.2</v>
      </c>
      <c r="AA95" s="254">
        <v>0.2</v>
      </c>
      <c r="AB95" s="256">
        <v>5</v>
      </c>
    </row>
    <row r="96" spans="4:28">
      <c r="D96" s="93" t="s">
        <v>346</v>
      </c>
      <c r="E96" s="94" t="s">
        <v>199</v>
      </c>
      <c r="F96" s="94" t="s">
        <v>348</v>
      </c>
      <c r="G96" s="94">
        <v>1</v>
      </c>
      <c r="H96" s="94">
        <v>1</v>
      </c>
      <c r="I96" s="94">
        <v>1</v>
      </c>
      <c r="J96" s="94">
        <v>1</v>
      </c>
      <c r="K96" s="94">
        <v>1</v>
      </c>
      <c r="L96" s="208">
        <v>1</v>
      </c>
      <c r="M96" s="208">
        <v>1</v>
      </c>
      <c r="N96" s="208">
        <f t="shared" ref="N96:P96" si="11">N51</f>
        <v>1</v>
      </c>
      <c r="O96" s="208">
        <f t="shared" si="11"/>
        <v>1</v>
      </c>
      <c r="P96" s="208">
        <f t="shared" si="11"/>
        <v>1</v>
      </c>
      <c r="Q96" s="208">
        <f t="shared" ref="Q96:Q115" si="12">P96</f>
        <v>1</v>
      </c>
      <c r="R96" s="208">
        <v>5</v>
      </c>
      <c r="S96" s="236"/>
      <c r="T96" s="236"/>
      <c r="U96" s="129"/>
      <c r="V96" s="236"/>
      <c r="W96" s="236"/>
      <c r="X96" s="236"/>
      <c r="Y96" s="236"/>
      <c r="Z96" s="236"/>
      <c r="AA96" s="236"/>
      <c r="AB96" s="238"/>
    </row>
    <row r="97" spans="4:32">
      <c r="D97" s="94"/>
      <c r="E97" s="94" t="s">
        <v>146</v>
      </c>
      <c r="F97" s="94"/>
      <c r="G97" s="94"/>
      <c r="H97" s="94">
        <v>0</v>
      </c>
      <c r="I97" s="94">
        <v>0</v>
      </c>
      <c r="J97" s="94">
        <v>0</v>
      </c>
      <c r="K97" s="94">
        <v>7.0000000000000007E-2</v>
      </c>
      <c r="L97" s="208">
        <v>7.0000000000000007E-2</v>
      </c>
      <c r="M97" s="208">
        <v>7.0000000000000007E-2</v>
      </c>
      <c r="N97" s="208">
        <f t="shared" ref="N97:P97" si="13">N52</f>
        <v>7.0000000000000007E-2</v>
      </c>
      <c r="O97" s="208">
        <f t="shared" si="13"/>
        <v>7.0000000000000007E-2</v>
      </c>
      <c r="P97" s="208">
        <f t="shared" si="13"/>
        <v>7.0000000000000007E-2</v>
      </c>
      <c r="Q97" s="208">
        <f t="shared" si="12"/>
        <v>7.0000000000000007E-2</v>
      </c>
      <c r="R97" s="208">
        <v>5</v>
      </c>
      <c r="S97" s="236"/>
      <c r="T97" s="236"/>
      <c r="U97" s="129"/>
      <c r="V97" s="236"/>
      <c r="W97" s="236"/>
      <c r="X97" s="236"/>
      <c r="Y97" s="236"/>
      <c r="Z97" s="236"/>
      <c r="AA97" s="236"/>
      <c r="AB97" s="238"/>
    </row>
    <row r="98" spans="4:32">
      <c r="D98" s="94"/>
      <c r="E98" s="94" t="s">
        <v>43</v>
      </c>
      <c r="F98" s="94"/>
      <c r="G98" s="94"/>
      <c r="H98" s="94">
        <v>0</v>
      </c>
      <c r="I98" s="94">
        <v>0</v>
      </c>
      <c r="J98" s="94">
        <v>0</v>
      </c>
      <c r="K98" s="94">
        <v>7.0000000000000007E-2</v>
      </c>
      <c r="L98" s="208">
        <v>7.0000000000000007E-2</v>
      </c>
      <c r="M98" s="208">
        <v>7.0000000000000007E-2</v>
      </c>
      <c r="N98" s="208">
        <f t="shared" ref="N98:P98" si="14">N53</f>
        <v>7.0000000000000007E-2</v>
      </c>
      <c r="O98" s="208">
        <f t="shared" si="14"/>
        <v>7.0000000000000007E-2</v>
      </c>
      <c r="P98" s="208">
        <f t="shared" si="14"/>
        <v>7.0000000000000007E-2</v>
      </c>
      <c r="Q98" s="208">
        <f t="shared" si="12"/>
        <v>7.0000000000000007E-2</v>
      </c>
      <c r="R98" s="208">
        <v>5</v>
      </c>
      <c r="S98" s="236"/>
      <c r="T98" s="236"/>
      <c r="U98" s="129"/>
      <c r="V98" s="236"/>
      <c r="W98" s="236"/>
      <c r="X98" s="236"/>
      <c r="Y98" s="236"/>
      <c r="Z98" s="236"/>
      <c r="AA98" s="236"/>
      <c r="AB98" s="238"/>
    </row>
    <row r="99" spans="4:32">
      <c r="D99" s="94"/>
      <c r="E99" s="94" t="s">
        <v>162</v>
      </c>
      <c r="F99" s="94"/>
      <c r="G99" s="94"/>
      <c r="H99" s="94">
        <v>0</v>
      </c>
      <c r="I99" s="94">
        <v>0</v>
      </c>
      <c r="J99" s="94">
        <v>0</v>
      </c>
      <c r="K99" s="94">
        <v>7.0000000000000007E-2</v>
      </c>
      <c r="L99" s="208">
        <v>7.0000000000000007E-2</v>
      </c>
      <c r="M99" s="208">
        <v>7.0000000000000007E-2</v>
      </c>
      <c r="N99" s="208">
        <f t="shared" ref="N99:P99" si="15">N54</f>
        <v>7.0000000000000007E-2</v>
      </c>
      <c r="O99" s="208">
        <f t="shared" si="15"/>
        <v>7.0000000000000007E-2</v>
      </c>
      <c r="P99" s="208">
        <f t="shared" si="15"/>
        <v>0.5</v>
      </c>
      <c r="Q99" s="208">
        <f t="shared" si="12"/>
        <v>0.5</v>
      </c>
      <c r="R99" s="208">
        <v>5</v>
      </c>
      <c r="S99" s="236"/>
      <c r="T99" s="236"/>
      <c r="U99" s="129"/>
      <c r="V99" s="236"/>
      <c r="W99" s="236"/>
      <c r="X99" s="236"/>
      <c r="Y99" s="236"/>
      <c r="Z99" s="236"/>
      <c r="AA99" s="236"/>
      <c r="AB99" s="238"/>
    </row>
    <row r="100" spans="4:32">
      <c r="D100" s="243"/>
      <c r="E100" s="243" t="s">
        <v>347</v>
      </c>
      <c r="F100" s="243"/>
      <c r="G100" s="243"/>
      <c r="H100" s="243">
        <v>0</v>
      </c>
      <c r="I100" s="243">
        <v>0</v>
      </c>
      <c r="J100" s="243">
        <v>0</v>
      </c>
      <c r="K100" s="243">
        <v>0</v>
      </c>
      <c r="L100" s="244">
        <v>1E-3</v>
      </c>
      <c r="M100" s="244">
        <v>1E-3</v>
      </c>
      <c r="N100" s="245">
        <f>N105</f>
        <v>0.12</v>
      </c>
      <c r="O100" s="245">
        <f t="shared" ref="O100:Q100" si="16">O105</f>
        <v>0.35</v>
      </c>
      <c r="P100" s="245">
        <f t="shared" si="16"/>
        <v>0.5</v>
      </c>
      <c r="Q100" s="245">
        <f t="shared" si="16"/>
        <v>0.8</v>
      </c>
      <c r="R100" s="244">
        <v>5</v>
      </c>
      <c r="S100" s="246"/>
      <c r="T100" s="246"/>
      <c r="U100" s="247"/>
      <c r="V100" s="246"/>
      <c r="W100" s="246"/>
      <c r="X100" s="246"/>
      <c r="Y100" s="246"/>
      <c r="Z100" s="246"/>
      <c r="AA100" s="246"/>
      <c r="AB100" s="248"/>
    </row>
    <row r="101" spans="4:32">
      <c r="D101" s="102" t="s">
        <v>183</v>
      </c>
      <c r="E101" s="83" t="s">
        <v>199</v>
      </c>
      <c r="F101" s="83" t="s">
        <v>204</v>
      </c>
      <c r="G101" s="83">
        <v>1</v>
      </c>
      <c r="H101" s="233">
        <f>1-S103-S104-S105+0.005-S102</f>
        <v>0.93499999999999994</v>
      </c>
      <c r="I101" s="233">
        <f>H101</f>
        <v>0.93499999999999994</v>
      </c>
      <c r="J101" s="233">
        <f>1-T103-T104-T105+0.005-T102</f>
        <v>0.93499999999999994</v>
      </c>
      <c r="K101" s="233">
        <f t="shared" ref="K101:L101" si="17">1-U103-U104-U105+0.005-U102</f>
        <v>0.93499999999999994</v>
      </c>
      <c r="L101" s="233">
        <f t="shared" si="17"/>
        <v>0.93499999999999994</v>
      </c>
      <c r="M101" s="223">
        <f>L101</f>
        <v>0.93499999999999994</v>
      </c>
      <c r="N101" s="223">
        <f t="shared" ref="N101:Q101" si="18">M101</f>
        <v>0.93499999999999994</v>
      </c>
      <c r="O101" s="223">
        <f t="shared" si="18"/>
        <v>0.93499999999999994</v>
      </c>
      <c r="P101" s="223">
        <f t="shared" si="18"/>
        <v>0.93499999999999994</v>
      </c>
      <c r="Q101" s="223">
        <f t="shared" si="18"/>
        <v>0.93499999999999994</v>
      </c>
      <c r="R101" s="209">
        <v>5</v>
      </c>
      <c r="S101" s="139">
        <f>1-S103-S104-S105-S102</f>
        <v>0.92999999999999994</v>
      </c>
      <c r="T101" s="139">
        <f>1-T103-T104-T105-T102</f>
        <v>0.92999999999999994</v>
      </c>
      <c r="U101" s="139">
        <f>1-U103-U104-U105-U102</f>
        <v>0.92999999999999994</v>
      </c>
      <c r="V101" s="139">
        <f>1-V103-V104-V105-V102</f>
        <v>0.92999999999999994</v>
      </c>
      <c r="W101" s="224">
        <v>0.5</v>
      </c>
      <c r="X101" s="224">
        <v>0</v>
      </c>
      <c r="Y101" s="224">
        <v>0</v>
      </c>
      <c r="Z101" s="224">
        <v>0</v>
      </c>
      <c r="AA101" s="224">
        <v>0</v>
      </c>
      <c r="AB101" s="231">
        <v>5</v>
      </c>
    </row>
    <row r="102" spans="4:32">
      <c r="D102" s="83"/>
      <c r="E102" s="83" t="s">
        <v>146</v>
      </c>
      <c r="F102" s="83"/>
      <c r="G102" s="83"/>
      <c r="H102" s="83">
        <v>7.0999999999999994E-2</v>
      </c>
      <c r="I102" s="83">
        <v>7.0999999999999994E-2</v>
      </c>
      <c r="J102" s="83">
        <v>7.0999999999999994E-2</v>
      </c>
      <c r="K102" s="83">
        <v>7.0999999999999994E-2</v>
      </c>
      <c r="L102" s="83">
        <v>7.0999999999999994E-2</v>
      </c>
      <c r="M102" s="83">
        <v>7.0999999999999994E-2</v>
      </c>
      <c r="N102" s="83">
        <v>7.0999999999999994E-2</v>
      </c>
      <c r="O102" s="83">
        <v>7.0999999999999994E-2</v>
      </c>
      <c r="P102" s="83">
        <v>7.0999999999999994E-2</v>
      </c>
      <c r="Q102" s="83">
        <v>7.0999999999999994E-2</v>
      </c>
      <c r="R102" s="209">
        <v>5</v>
      </c>
      <c r="S102" s="224">
        <v>0</v>
      </c>
      <c r="T102" s="224">
        <v>0</v>
      </c>
      <c r="U102" s="224">
        <v>0</v>
      </c>
      <c r="V102" s="224">
        <v>0</v>
      </c>
      <c r="W102" s="224">
        <v>0</v>
      </c>
      <c r="X102" s="224">
        <v>0</v>
      </c>
      <c r="Y102" s="224">
        <v>0</v>
      </c>
      <c r="Z102" s="224">
        <v>0</v>
      </c>
      <c r="AA102" s="224">
        <v>0</v>
      </c>
      <c r="AB102" s="231">
        <v>5</v>
      </c>
    </row>
    <row r="103" spans="4:32">
      <c r="D103" s="83"/>
      <c r="E103" s="83" t="s">
        <v>43</v>
      </c>
      <c r="F103" s="83"/>
      <c r="G103" s="83"/>
      <c r="H103" s="83">
        <v>7.0999999999999994E-2</v>
      </c>
      <c r="I103" s="83">
        <v>7.0999999999999994E-2</v>
      </c>
      <c r="J103" s="83">
        <v>7.0999999999999994E-2</v>
      </c>
      <c r="K103" s="83">
        <v>7.0999999999999994E-2</v>
      </c>
      <c r="L103" s="83">
        <v>7.0999999999999994E-2</v>
      </c>
      <c r="M103" s="83">
        <v>7.0999999999999994E-2</v>
      </c>
      <c r="N103" s="83">
        <v>7.0999999999999994E-2</v>
      </c>
      <c r="O103" s="83">
        <v>7.0999999999999994E-2</v>
      </c>
      <c r="P103" s="83">
        <v>7.0999999999999994E-2</v>
      </c>
      <c r="Q103" s="83">
        <v>7.0999999999999994E-2</v>
      </c>
      <c r="R103" s="209">
        <v>5</v>
      </c>
      <c r="S103" s="216">
        <f>0.07-S104-S105-S102</f>
        <v>7.0000000000000007E-2</v>
      </c>
      <c r="T103" s="216">
        <f>0.07-T104-T105-T102</f>
        <v>7.0000000000000007E-2</v>
      </c>
      <c r="U103" s="216">
        <f>0.07-U104-U105-U102</f>
        <v>6.0000000000000005E-2</v>
      </c>
      <c r="V103" s="223">
        <f>0.07-V104-V105-V102</f>
        <v>1.5000000000000008E-2</v>
      </c>
      <c r="W103" s="224">
        <v>0</v>
      </c>
      <c r="X103" s="224">
        <v>0</v>
      </c>
      <c r="Y103" s="224">
        <v>0</v>
      </c>
      <c r="Z103" s="224">
        <v>0</v>
      </c>
      <c r="AA103" s="224">
        <v>0</v>
      </c>
      <c r="AB103" s="231">
        <v>5</v>
      </c>
      <c r="AE103" s="204"/>
      <c r="AF103" s="204"/>
    </row>
    <row r="104" spans="4:32">
      <c r="D104" s="83"/>
      <c r="E104" s="83" t="s">
        <v>162</v>
      </c>
      <c r="F104" s="83"/>
      <c r="G104" s="83"/>
      <c r="H104" s="83">
        <v>0</v>
      </c>
      <c r="I104" s="83">
        <v>0</v>
      </c>
      <c r="J104" s="83">
        <v>0</v>
      </c>
      <c r="K104" s="216">
        <f>U104+0.01</f>
        <v>0.02</v>
      </c>
      <c r="L104" s="223">
        <f>V104+0.01</f>
        <v>5.5E-2</v>
      </c>
      <c r="M104" s="209">
        <v>0.5</v>
      </c>
      <c r="N104" s="209">
        <v>1</v>
      </c>
      <c r="O104" s="209">
        <v>1</v>
      </c>
      <c r="P104" s="209">
        <v>1</v>
      </c>
      <c r="Q104" s="209">
        <v>1</v>
      </c>
      <c r="R104" s="209">
        <v>5</v>
      </c>
      <c r="S104" s="224">
        <v>0</v>
      </c>
      <c r="T104" s="224">
        <v>0</v>
      </c>
      <c r="U104" s="209">
        <v>0.01</v>
      </c>
      <c r="V104" s="114">
        <f>0.055-V105</f>
        <v>4.4999999999999998E-2</v>
      </c>
      <c r="W104" s="139">
        <f>0.07-W105</f>
        <v>6.0000000000000005E-2</v>
      </c>
      <c r="X104" s="139">
        <f t="shared" ref="X104:AA104" si="19">0.07-X105</f>
        <v>0.05</v>
      </c>
      <c r="Y104" s="139">
        <f t="shared" si="19"/>
        <v>4.0000000000000008E-2</v>
      </c>
      <c r="Z104" s="139">
        <f t="shared" si="19"/>
        <v>3.0000000000000006E-2</v>
      </c>
      <c r="AA104" s="139">
        <f t="shared" si="19"/>
        <v>2.0000000000000004E-2</v>
      </c>
      <c r="AB104" s="231">
        <v>5</v>
      </c>
      <c r="AE104" s="204"/>
      <c r="AF104" s="204"/>
    </row>
    <row r="105" spans="4:32">
      <c r="D105" s="249"/>
      <c r="E105" s="249" t="s">
        <v>376</v>
      </c>
      <c r="F105" s="249"/>
      <c r="G105" s="249"/>
      <c r="H105" s="249">
        <v>0</v>
      </c>
      <c r="I105" s="249">
        <v>0</v>
      </c>
      <c r="J105" s="249">
        <v>0</v>
      </c>
      <c r="K105" s="249">
        <v>0</v>
      </c>
      <c r="L105" s="250">
        <f>V105+0.005</f>
        <v>1.4999999999999999E-2</v>
      </c>
      <c r="M105" s="251">
        <v>0.05</v>
      </c>
      <c r="N105" s="252">
        <v>0.12</v>
      </c>
      <c r="O105" s="252">
        <v>0.35</v>
      </c>
      <c r="P105" s="251">
        <v>0.5</v>
      </c>
      <c r="Q105" s="251">
        <v>0.8</v>
      </c>
      <c r="R105" s="251">
        <v>5</v>
      </c>
      <c r="S105" s="253">
        <v>0</v>
      </c>
      <c r="T105" s="253">
        <v>0</v>
      </c>
      <c r="U105" s="254">
        <v>0</v>
      </c>
      <c r="V105" s="255">
        <v>0.01</v>
      </c>
      <c r="W105" s="254">
        <f>V105</f>
        <v>0.01</v>
      </c>
      <c r="X105" s="254">
        <v>0.02</v>
      </c>
      <c r="Y105" s="254">
        <v>0.03</v>
      </c>
      <c r="Z105" s="254">
        <v>0.04</v>
      </c>
      <c r="AA105" s="254">
        <v>0.05</v>
      </c>
      <c r="AB105" s="256">
        <v>5</v>
      </c>
      <c r="AE105" s="204"/>
      <c r="AF105" s="204"/>
    </row>
    <row r="106" spans="4:32">
      <c r="D106" s="123" t="s">
        <v>181</v>
      </c>
      <c r="E106" s="94" t="s">
        <v>176</v>
      </c>
      <c r="F106" s="94" t="s">
        <v>203</v>
      </c>
      <c r="G106" s="94">
        <v>1</v>
      </c>
      <c r="H106" s="226">
        <f>S106+0.02</f>
        <v>0.22</v>
      </c>
      <c r="I106" s="226">
        <f>H106</f>
        <v>0.22</v>
      </c>
      <c r="J106" s="226">
        <f>T106+0.02</f>
        <v>0.22</v>
      </c>
      <c r="K106" s="226">
        <f>U106+0.02</f>
        <v>0.22</v>
      </c>
      <c r="L106" s="226">
        <f>V106+0.02</f>
        <v>0.21</v>
      </c>
      <c r="M106" s="241">
        <f>L106</f>
        <v>0.21</v>
      </c>
      <c r="N106" s="241">
        <f t="shared" ref="N106:Q106" si="20">M106</f>
        <v>0.21</v>
      </c>
      <c r="O106" s="241">
        <f t="shared" si="20"/>
        <v>0.21</v>
      </c>
      <c r="P106" s="241">
        <f t="shared" si="20"/>
        <v>0.21</v>
      </c>
      <c r="Q106" s="241">
        <f t="shared" si="20"/>
        <v>0.21</v>
      </c>
      <c r="R106" s="208">
        <v>5</v>
      </c>
      <c r="S106" s="237">
        <f>0.2-S109</f>
        <v>0.2</v>
      </c>
      <c r="T106" s="237">
        <f>0.2-T109</f>
        <v>0.2</v>
      </c>
      <c r="U106" s="237">
        <f>0.2-U109</f>
        <v>0.2</v>
      </c>
      <c r="V106" s="237">
        <f>0.2-V109</f>
        <v>0.19</v>
      </c>
      <c r="W106" s="237">
        <f>0.2-W109</f>
        <v>0.18000000000000002</v>
      </c>
      <c r="X106" s="237">
        <v>0.1</v>
      </c>
      <c r="Y106" s="237">
        <v>0</v>
      </c>
      <c r="Z106" s="237">
        <v>0</v>
      </c>
      <c r="AA106" s="237">
        <v>0</v>
      </c>
      <c r="AB106" s="238">
        <v>5</v>
      </c>
      <c r="AE106" s="204"/>
      <c r="AF106" s="204"/>
    </row>
    <row r="107" spans="4:32">
      <c r="D107" s="94"/>
      <c r="E107" s="94" t="s">
        <v>54</v>
      </c>
      <c r="F107" s="94"/>
      <c r="G107" s="94"/>
      <c r="H107" s="226">
        <f>S107+0.02</f>
        <v>0.8</v>
      </c>
      <c r="I107" s="226">
        <f>H107</f>
        <v>0.8</v>
      </c>
      <c r="J107" s="226">
        <f>T107+0.02</f>
        <v>0.8</v>
      </c>
      <c r="K107" s="226">
        <f t="shared" ref="K107:Q107" si="21">U107+0.02</f>
        <v>0.8</v>
      </c>
      <c r="L107" s="226">
        <f t="shared" si="21"/>
        <v>0.8</v>
      </c>
      <c r="M107" s="226">
        <f t="shared" si="21"/>
        <v>0.8</v>
      </c>
      <c r="N107" s="226">
        <f t="shared" si="21"/>
        <v>0.8</v>
      </c>
      <c r="O107" s="226">
        <f t="shared" si="21"/>
        <v>0.8</v>
      </c>
      <c r="P107" s="226">
        <f t="shared" si="21"/>
        <v>0.8</v>
      </c>
      <c r="Q107" s="226">
        <f t="shared" si="21"/>
        <v>0.8</v>
      </c>
      <c r="R107" s="208">
        <v>5</v>
      </c>
      <c r="S107" s="237">
        <v>0.78</v>
      </c>
      <c r="T107" s="237">
        <v>0.78</v>
      </c>
      <c r="U107" s="237">
        <v>0.78</v>
      </c>
      <c r="V107" s="237">
        <v>0.78</v>
      </c>
      <c r="W107" s="237">
        <v>0.78</v>
      </c>
      <c r="X107" s="237">
        <v>0.78</v>
      </c>
      <c r="Y107" s="237">
        <v>0.78</v>
      </c>
      <c r="Z107" s="237">
        <v>0.78</v>
      </c>
      <c r="AA107" s="237">
        <v>0.78</v>
      </c>
      <c r="AB107" s="238">
        <v>5</v>
      </c>
      <c r="AE107" s="204"/>
      <c r="AF107" s="204"/>
    </row>
    <row r="108" spans="4:32">
      <c r="D108" s="94"/>
      <c r="E108" s="94" t="s">
        <v>177</v>
      </c>
      <c r="F108" s="94"/>
      <c r="G108" s="94"/>
      <c r="H108" s="94">
        <v>0.01</v>
      </c>
      <c r="I108" s="94">
        <v>0.01</v>
      </c>
      <c r="J108" s="94">
        <v>0.01</v>
      </c>
      <c r="K108" s="94">
        <v>0.01</v>
      </c>
      <c r="L108" s="208">
        <v>0.01</v>
      </c>
      <c r="M108" s="208">
        <v>0.01</v>
      </c>
      <c r="N108" s="208">
        <f t="shared" ref="N108:P108" si="22">N63</f>
        <v>0.01</v>
      </c>
      <c r="O108" s="208">
        <f t="shared" si="22"/>
        <v>0.01</v>
      </c>
      <c r="P108" s="208">
        <f t="shared" si="22"/>
        <v>0.01</v>
      </c>
      <c r="Q108" s="208">
        <f t="shared" si="12"/>
        <v>0.01</v>
      </c>
      <c r="R108" s="208">
        <v>5</v>
      </c>
      <c r="S108" s="236">
        <v>0</v>
      </c>
      <c r="T108" s="236">
        <v>0</v>
      </c>
      <c r="U108" s="235">
        <v>0</v>
      </c>
      <c r="V108" s="236">
        <v>0</v>
      </c>
      <c r="W108" s="236">
        <v>0</v>
      </c>
      <c r="X108" s="236">
        <v>0</v>
      </c>
      <c r="Y108" s="236">
        <v>0</v>
      </c>
      <c r="Z108" s="236">
        <v>0</v>
      </c>
      <c r="AA108" s="236">
        <v>0</v>
      </c>
      <c r="AB108" s="238">
        <v>5</v>
      </c>
      <c r="AE108" s="204"/>
      <c r="AF108" s="204"/>
    </row>
    <row r="109" spans="4:32">
      <c r="D109" s="94"/>
      <c r="E109" s="94" t="s">
        <v>380</v>
      </c>
      <c r="F109" s="94"/>
      <c r="G109" s="94"/>
      <c r="H109" s="94">
        <v>0</v>
      </c>
      <c r="I109" s="94">
        <v>0</v>
      </c>
      <c r="J109" s="94">
        <v>0</v>
      </c>
      <c r="K109" s="94">
        <v>0</v>
      </c>
      <c r="L109" s="234">
        <f>V109+0.005</f>
        <v>1.4999999999999999E-2</v>
      </c>
      <c r="M109" s="234">
        <v>0.05</v>
      </c>
      <c r="N109" s="235">
        <f>N105</f>
        <v>0.12</v>
      </c>
      <c r="O109" s="235">
        <f t="shared" ref="O109:Q109" si="23">O105</f>
        <v>0.35</v>
      </c>
      <c r="P109" s="235">
        <f t="shared" si="23"/>
        <v>0.5</v>
      </c>
      <c r="Q109" s="235">
        <f t="shared" si="23"/>
        <v>0.8</v>
      </c>
      <c r="R109" s="208">
        <v>5</v>
      </c>
      <c r="S109" s="236">
        <v>0</v>
      </c>
      <c r="T109" s="236">
        <v>0</v>
      </c>
      <c r="U109" s="237">
        <v>0</v>
      </c>
      <c r="V109" s="237">
        <v>0.01</v>
      </c>
      <c r="W109" s="237">
        <f>W113</f>
        <v>0.02</v>
      </c>
      <c r="X109" s="237">
        <f t="shared" ref="X109:AA109" si="24">X113</f>
        <v>0.04</v>
      </c>
      <c r="Y109" s="237">
        <f t="shared" si="24"/>
        <v>0.06</v>
      </c>
      <c r="Z109" s="237">
        <f t="shared" si="24"/>
        <v>0.08</v>
      </c>
      <c r="AA109" s="237">
        <f t="shared" si="24"/>
        <v>0.1</v>
      </c>
      <c r="AB109" s="238">
        <v>5</v>
      </c>
      <c r="AE109" s="204"/>
      <c r="AF109" s="204"/>
    </row>
    <row r="110" spans="4:32">
      <c r="D110" s="124" t="s">
        <v>178</v>
      </c>
      <c r="E110" s="100" t="s">
        <v>176</v>
      </c>
      <c r="F110" s="83" t="s">
        <v>201</v>
      </c>
      <c r="G110" s="100">
        <v>1</v>
      </c>
      <c r="H110" s="227">
        <f>S110+0.02</f>
        <v>0.98</v>
      </c>
      <c r="I110" s="227">
        <f>T110+0.02</f>
        <v>0.98</v>
      </c>
      <c r="J110" s="227">
        <f>U110+0.02</f>
        <v>0.98</v>
      </c>
      <c r="K110" s="227">
        <f>J110</f>
        <v>0.98</v>
      </c>
      <c r="L110" s="100">
        <f>1-0.055</f>
        <v>0.94499999999999995</v>
      </c>
      <c r="M110" s="215">
        <v>0.93</v>
      </c>
      <c r="N110" s="215">
        <f t="shared" ref="N110:P110" si="25">N65</f>
        <v>0.93</v>
      </c>
      <c r="O110" s="215">
        <f t="shared" si="25"/>
        <v>0.93</v>
      </c>
      <c r="P110" s="215">
        <f t="shared" si="25"/>
        <v>0.93</v>
      </c>
      <c r="Q110" s="215">
        <f t="shared" si="12"/>
        <v>0.93</v>
      </c>
      <c r="R110" s="215">
        <v>5</v>
      </c>
      <c r="S110" s="139">
        <v>0.96</v>
      </c>
      <c r="T110" s="139">
        <v>0.96</v>
      </c>
      <c r="U110" s="139">
        <v>0.96</v>
      </c>
      <c r="V110" s="139">
        <f>U110</f>
        <v>0.96</v>
      </c>
      <c r="W110" s="224">
        <v>0.5</v>
      </c>
      <c r="X110" s="224">
        <v>0</v>
      </c>
      <c r="Y110" s="224">
        <v>0</v>
      </c>
      <c r="Z110" s="224">
        <v>0</v>
      </c>
      <c r="AA110" s="224">
        <v>0</v>
      </c>
      <c r="AB110" s="231">
        <v>5</v>
      </c>
      <c r="AE110" s="204"/>
      <c r="AF110" s="204"/>
    </row>
    <row r="111" spans="4:32">
      <c r="D111" s="100"/>
      <c r="E111" s="100" t="s">
        <v>177</v>
      </c>
      <c r="F111" s="83"/>
      <c r="G111" s="100"/>
      <c r="H111" s="100">
        <v>0.2</v>
      </c>
      <c r="I111" s="100">
        <v>0.2</v>
      </c>
      <c r="J111" s="100">
        <v>0.2</v>
      </c>
      <c r="K111" s="100">
        <v>0.2</v>
      </c>
      <c r="L111" s="215">
        <v>0.2</v>
      </c>
      <c r="M111" s="215">
        <v>0.2</v>
      </c>
      <c r="N111" s="215">
        <f t="shared" ref="N111:P111" si="26">N66</f>
        <v>0.2</v>
      </c>
      <c r="O111" s="215">
        <f t="shared" si="26"/>
        <v>0.2</v>
      </c>
      <c r="P111" s="215">
        <f t="shared" si="26"/>
        <v>0.2</v>
      </c>
      <c r="Q111" s="215">
        <f t="shared" si="12"/>
        <v>0.2</v>
      </c>
      <c r="R111" s="215">
        <v>5</v>
      </c>
      <c r="S111" s="224">
        <v>0</v>
      </c>
      <c r="T111" s="224">
        <v>0</v>
      </c>
      <c r="U111" s="139">
        <v>0</v>
      </c>
      <c r="V111" s="224">
        <v>0</v>
      </c>
      <c r="W111" s="224">
        <v>0</v>
      </c>
      <c r="X111" s="224">
        <v>0</v>
      </c>
      <c r="Y111" s="224">
        <v>0</v>
      </c>
      <c r="Z111" s="224">
        <v>0</v>
      </c>
      <c r="AA111" s="224">
        <v>0</v>
      </c>
      <c r="AB111" s="231">
        <v>5</v>
      </c>
    </row>
    <row r="112" spans="4:32">
      <c r="D112" s="100"/>
      <c r="E112" s="100" t="s">
        <v>54</v>
      </c>
      <c r="F112" s="83"/>
      <c r="G112" s="100"/>
      <c r="H112" s="227">
        <f>S112+0.02</f>
        <v>0.04</v>
      </c>
      <c r="I112" s="227">
        <f>H112</f>
        <v>0.04</v>
      </c>
      <c r="J112" s="227">
        <f>T112+0.02</f>
        <v>0.04</v>
      </c>
      <c r="K112" s="227">
        <f t="shared" ref="K112:Q112" si="27">U112+0.02</f>
        <v>0.04</v>
      </c>
      <c r="L112" s="227">
        <f t="shared" si="27"/>
        <v>0.04</v>
      </c>
      <c r="M112" s="227">
        <f t="shared" si="27"/>
        <v>0.04</v>
      </c>
      <c r="N112" s="227">
        <f t="shared" si="27"/>
        <v>0.04</v>
      </c>
      <c r="O112" s="227">
        <f t="shared" si="27"/>
        <v>0.04</v>
      </c>
      <c r="P112" s="227">
        <f t="shared" si="27"/>
        <v>0.04</v>
      </c>
      <c r="Q112" s="227">
        <f t="shared" si="27"/>
        <v>0.04</v>
      </c>
      <c r="R112" s="215">
        <v>5</v>
      </c>
      <c r="S112" s="139">
        <v>0.02</v>
      </c>
      <c r="T112" s="139">
        <v>0.02</v>
      </c>
      <c r="U112" s="139">
        <v>0.02</v>
      </c>
      <c r="V112" s="139">
        <v>0.02</v>
      </c>
      <c r="W112" s="139">
        <v>0.02</v>
      </c>
      <c r="X112" s="139">
        <v>0.02</v>
      </c>
      <c r="Y112" s="139">
        <v>0.02</v>
      </c>
      <c r="Z112" s="139">
        <v>0.02</v>
      </c>
      <c r="AA112" s="139">
        <v>0.02</v>
      </c>
      <c r="AB112" s="231">
        <v>5</v>
      </c>
    </row>
    <row r="113" spans="4:28">
      <c r="D113" s="100"/>
      <c r="E113" s="100" t="s">
        <v>380</v>
      </c>
      <c r="F113" s="83"/>
      <c r="G113" s="100"/>
      <c r="H113" s="100">
        <v>0</v>
      </c>
      <c r="I113" s="100">
        <v>0</v>
      </c>
      <c r="J113" s="100">
        <v>0</v>
      </c>
      <c r="K113" s="83">
        <v>0</v>
      </c>
      <c r="L113" s="228">
        <f>V113+0.005</f>
        <v>1.4999999999999999E-2</v>
      </c>
      <c r="M113" s="228">
        <v>0.05</v>
      </c>
      <c r="N113" s="216">
        <f>N105</f>
        <v>0.12</v>
      </c>
      <c r="O113" s="216">
        <f t="shared" ref="O113:Q113" si="28">O105</f>
        <v>0.35</v>
      </c>
      <c r="P113" s="216">
        <f t="shared" si="28"/>
        <v>0.5</v>
      </c>
      <c r="Q113" s="216">
        <f t="shared" si="28"/>
        <v>0.8</v>
      </c>
      <c r="R113" s="215">
        <v>5</v>
      </c>
      <c r="S113" s="224">
        <v>0</v>
      </c>
      <c r="T113" s="224">
        <v>0</v>
      </c>
      <c r="U113" s="139">
        <v>0</v>
      </c>
      <c r="V113" s="139">
        <v>0.01</v>
      </c>
      <c r="W113" s="139">
        <f>W117</f>
        <v>0.02</v>
      </c>
      <c r="X113" s="139">
        <f t="shared" ref="X113:AA113" si="29">X117</f>
        <v>0.04</v>
      </c>
      <c r="Y113" s="139">
        <f t="shared" si="29"/>
        <v>0.06</v>
      </c>
      <c r="Z113" s="139">
        <f t="shared" si="29"/>
        <v>0.08</v>
      </c>
      <c r="AA113" s="139">
        <f t="shared" si="29"/>
        <v>0.1</v>
      </c>
      <c r="AB113" s="231">
        <v>5</v>
      </c>
    </row>
    <row r="114" spans="4:28">
      <c r="D114" s="142" t="s">
        <v>179</v>
      </c>
      <c r="E114" s="143" t="s">
        <v>176</v>
      </c>
      <c r="F114" s="94" t="s">
        <v>202</v>
      </c>
      <c r="G114" s="143">
        <v>1</v>
      </c>
      <c r="H114" s="226">
        <f>S114+0.02</f>
        <v>0.94000000000000006</v>
      </c>
      <c r="I114" s="226">
        <f t="shared" ref="I114:J114" si="30">T114+0.02</f>
        <v>0.94000000000000006</v>
      </c>
      <c r="J114" s="226">
        <f t="shared" si="30"/>
        <v>0.94000000000000006</v>
      </c>
      <c r="K114" s="226">
        <f>J114</f>
        <v>0.94000000000000006</v>
      </c>
      <c r="L114" s="241">
        <f>K114</f>
        <v>0.94000000000000006</v>
      </c>
      <c r="M114" s="241">
        <f t="shared" ref="M114:Q114" si="31">L114</f>
        <v>0.94000000000000006</v>
      </c>
      <c r="N114" s="241">
        <f t="shared" si="31"/>
        <v>0.94000000000000006</v>
      </c>
      <c r="O114" s="241">
        <f t="shared" si="31"/>
        <v>0.94000000000000006</v>
      </c>
      <c r="P114" s="241">
        <f t="shared" si="31"/>
        <v>0.94000000000000006</v>
      </c>
      <c r="Q114" s="241">
        <f t="shared" si="31"/>
        <v>0.94000000000000006</v>
      </c>
      <c r="R114" s="217">
        <v>5</v>
      </c>
      <c r="S114" s="237">
        <v>0.92</v>
      </c>
      <c r="T114" s="237">
        <v>0.92</v>
      </c>
      <c r="U114" s="237">
        <v>0.92</v>
      </c>
      <c r="V114" s="237">
        <f>U114</f>
        <v>0.92</v>
      </c>
      <c r="W114" s="236">
        <v>0.5</v>
      </c>
      <c r="X114" s="236">
        <v>0</v>
      </c>
      <c r="Y114" s="236">
        <v>0</v>
      </c>
      <c r="Z114" s="236">
        <v>0</v>
      </c>
      <c r="AA114" s="236">
        <v>0</v>
      </c>
      <c r="AB114" s="238">
        <v>5</v>
      </c>
    </row>
    <row r="115" spans="4:28">
      <c r="D115" s="143"/>
      <c r="E115" s="143" t="s">
        <v>177</v>
      </c>
      <c r="F115" s="129"/>
      <c r="G115" s="129"/>
      <c r="H115" s="143">
        <v>0.2</v>
      </c>
      <c r="I115" s="143">
        <v>0.2</v>
      </c>
      <c r="J115" s="143">
        <v>0.2</v>
      </c>
      <c r="K115" s="143">
        <v>0.2</v>
      </c>
      <c r="L115" s="217">
        <v>0.2</v>
      </c>
      <c r="M115" s="217">
        <v>0.2</v>
      </c>
      <c r="N115" s="217">
        <f t="shared" ref="N115:P115" si="32">N70</f>
        <v>0.2</v>
      </c>
      <c r="O115" s="217">
        <f t="shared" si="32"/>
        <v>0.2</v>
      </c>
      <c r="P115" s="217">
        <f t="shared" si="32"/>
        <v>0.2</v>
      </c>
      <c r="Q115" s="217">
        <f t="shared" si="12"/>
        <v>0.2</v>
      </c>
      <c r="R115" s="217">
        <v>5</v>
      </c>
      <c r="S115" s="236">
        <v>0</v>
      </c>
      <c r="T115" s="236">
        <v>0</v>
      </c>
      <c r="U115" s="237">
        <v>0</v>
      </c>
      <c r="V115" s="236">
        <v>0</v>
      </c>
      <c r="W115" s="236">
        <v>0</v>
      </c>
      <c r="X115" s="236">
        <v>0</v>
      </c>
      <c r="Y115" s="236">
        <v>0</v>
      </c>
      <c r="Z115" s="236">
        <v>0</v>
      </c>
      <c r="AA115" s="236">
        <v>0</v>
      </c>
      <c r="AB115" s="238">
        <v>5</v>
      </c>
    </row>
    <row r="116" spans="4:28">
      <c r="D116" s="143"/>
      <c r="E116" s="143" t="s">
        <v>54</v>
      </c>
      <c r="F116" s="94"/>
      <c r="G116" s="143"/>
      <c r="H116" s="226">
        <f>S116+0.02</f>
        <v>0.08</v>
      </c>
      <c r="I116" s="226">
        <f>H116</f>
        <v>0.08</v>
      </c>
      <c r="J116" s="226">
        <f>T116+0.02</f>
        <v>0.08</v>
      </c>
      <c r="K116" s="226">
        <f t="shared" ref="K116:Q116" si="33">V116+0.02</f>
        <v>0.08</v>
      </c>
      <c r="L116" s="226">
        <f t="shared" si="33"/>
        <v>0.08</v>
      </c>
      <c r="M116" s="226">
        <f t="shared" si="33"/>
        <v>0.08</v>
      </c>
      <c r="N116" s="226">
        <f t="shared" si="33"/>
        <v>0.08</v>
      </c>
      <c r="O116" s="226">
        <f t="shared" si="33"/>
        <v>0.08</v>
      </c>
      <c r="P116" s="226">
        <f t="shared" si="33"/>
        <v>0.08</v>
      </c>
      <c r="Q116" s="226">
        <f t="shared" si="33"/>
        <v>5.0199999999999996</v>
      </c>
      <c r="R116" s="217">
        <v>5</v>
      </c>
      <c r="S116" s="237">
        <v>0.06</v>
      </c>
      <c r="T116" s="237">
        <v>0.06</v>
      </c>
      <c r="U116" s="237">
        <v>0.06</v>
      </c>
      <c r="V116" s="237">
        <v>0.06</v>
      </c>
      <c r="W116" s="237">
        <v>0.06</v>
      </c>
      <c r="X116" s="237">
        <v>0.06</v>
      </c>
      <c r="Y116" s="237">
        <v>0.06</v>
      </c>
      <c r="Z116" s="237">
        <v>0.06</v>
      </c>
      <c r="AA116" s="237">
        <v>0.06</v>
      </c>
      <c r="AB116" s="238">
        <v>5</v>
      </c>
    </row>
    <row r="117" spans="4:28">
      <c r="D117" s="243"/>
      <c r="E117" s="243" t="s">
        <v>380</v>
      </c>
      <c r="F117" s="243"/>
      <c r="G117" s="243"/>
      <c r="H117" s="243">
        <v>0</v>
      </c>
      <c r="I117" s="243">
        <v>0</v>
      </c>
      <c r="J117" s="243">
        <v>0</v>
      </c>
      <c r="K117" s="243">
        <v>0</v>
      </c>
      <c r="L117" s="257">
        <f>V117+0.005</f>
        <v>1.4999999999999999E-2</v>
      </c>
      <c r="M117" s="244">
        <v>0.05</v>
      </c>
      <c r="N117" s="245">
        <f>N113</f>
        <v>0.12</v>
      </c>
      <c r="O117" s="245">
        <f t="shared" ref="O117:Q117" si="34">O113</f>
        <v>0.35</v>
      </c>
      <c r="P117" s="245">
        <f t="shared" si="34"/>
        <v>0.5</v>
      </c>
      <c r="Q117" s="245">
        <f t="shared" si="34"/>
        <v>0.8</v>
      </c>
      <c r="R117" s="244">
        <v>5</v>
      </c>
      <c r="S117" s="258">
        <v>0</v>
      </c>
      <c r="T117" s="258">
        <v>0</v>
      </c>
      <c r="U117" s="258">
        <v>0</v>
      </c>
      <c r="V117" s="258">
        <v>0.01</v>
      </c>
      <c r="W117" s="258">
        <f>2*V117</f>
        <v>0.02</v>
      </c>
      <c r="X117" s="258">
        <f>W117*2</f>
        <v>0.04</v>
      </c>
      <c r="Y117" s="258">
        <v>0.06</v>
      </c>
      <c r="Z117" s="258">
        <v>0.08</v>
      </c>
      <c r="AA117" s="258">
        <v>0.1</v>
      </c>
      <c r="AB117" s="248">
        <v>5</v>
      </c>
    </row>
    <row r="118" spans="4:28">
      <c r="D118" s="124" t="s">
        <v>381</v>
      </c>
      <c r="E118" s="100" t="s">
        <v>382</v>
      </c>
      <c r="F118" s="83" t="s">
        <v>389</v>
      </c>
      <c r="G118" s="100">
        <v>1</v>
      </c>
      <c r="H118" s="100">
        <v>1</v>
      </c>
      <c r="I118" s="100">
        <v>1</v>
      </c>
      <c r="J118" s="100">
        <v>1</v>
      </c>
      <c r="K118" s="100">
        <v>1</v>
      </c>
      <c r="L118" s="228">
        <f>1-V120</f>
        <v>0.94499999999999995</v>
      </c>
      <c r="M118" s="228">
        <f>L118</f>
        <v>0.94499999999999995</v>
      </c>
      <c r="N118" s="228">
        <f t="shared" ref="N118:Q118" si="35">M118</f>
        <v>0.94499999999999995</v>
      </c>
      <c r="O118" s="228">
        <f t="shared" si="35"/>
        <v>0.94499999999999995</v>
      </c>
      <c r="P118" s="228">
        <f t="shared" si="35"/>
        <v>0.94499999999999995</v>
      </c>
      <c r="Q118" s="228">
        <f t="shared" si="35"/>
        <v>0.94499999999999995</v>
      </c>
      <c r="R118" s="215">
        <v>5</v>
      </c>
      <c r="S118" s="229">
        <v>1</v>
      </c>
      <c r="T118" s="229">
        <v>1</v>
      </c>
      <c r="U118" s="242">
        <v>0</v>
      </c>
      <c r="V118" s="227">
        <v>0</v>
      </c>
      <c r="W118" s="227">
        <v>0</v>
      </c>
      <c r="X118" s="227">
        <v>0</v>
      </c>
      <c r="Y118" s="227">
        <v>0</v>
      </c>
      <c r="Z118" s="139">
        <v>0</v>
      </c>
      <c r="AA118" s="139">
        <v>0</v>
      </c>
      <c r="AB118" s="232">
        <v>5</v>
      </c>
    </row>
    <row r="119" spans="4:28">
      <c r="D119" s="100"/>
      <c r="E119" s="100" t="s">
        <v>387</v>
      </c>
      <c r="F119" s="83"/>
      <c r="G119" s="100"/>
      <c r="H119" s="100">
        <v>0</v>
      </c>
      <c r="I119" s="100">
        <v>0</v>
      </c>
      <c r="J119" s="100">
        <v>0</v>
      </c>
      <c r="K119" s="100">
        <v>0</v>
      </c>
      <c r="L119" s="215">
        <v>5.0000000000000001E-3</v>
      </c>
      <c r="M119" s="215">
        <v>0.05</v>
      </c>
      <c r="N119" s="216">
        <f>N117</f>
        <v>0.12</v>
      </c>
      <c r="O119" s="216">
        <f t="shared" ref="O119:Q119" si="36">O117</f>
        <v>0.35</v>
      </c>
      <c r="P119" s="216">
        <f t="shared" si="36"/>
        <v>0.5</v>
      </c>
      <c r="Q119" s="216">
        <f t="shared" si="36"/>
        <v>0.8</v>
      </c>
      <c r="R119" s="215">
        <v>5</v>
      </c>
      <c r="S119" s="229">
        <v>0</v>
      </c>
      <c r="T119" s="229">
        <v>0</v>
      </c>
      <c r="U119" s="227">
        <v>0</v>
      </c>
      <c r="V119" s="227">
        <v>0</v>
      </c>
      <c r="W119" s="227">
        <v>0</v>
      </c>
      <c r="X119" s="227">
        <v>0</v>
      </c>
      <c r="Y119" s="227">
        <v>0</v>
      </c>
      <c r="Z119" s="227">
        <v>0</v>
      </c>
      <c r="AA119" s="227">
        <v>0</v>
      </c>
      <c r="AB119" s="232">
        <v>5</v>
      </c>
    </row>
    <row r="120" spans="4:28">
      <c r="D120" s="100"/>
      <c r="E120" s="100" t="s">
        <v>384</v>
      </c>
      <c r="F120" s="83"/>
      <c r="G120" s="100"/>
      <c r="H120" s="100">
        <v>0</v>
      </c>
      <c r="I120" s="100">
        <v>0</v>
      </c>
      <c r="J120" s="100">
        <v>0</v>
      </c>
      <c r="K120" s="100">
        <v>1</v>
      </c>
      <c r="L120" s="215">
        <v>1</v>
      </c>
      <c r="M120" s="215">
        <v>1</v>
      </c>
      <c r="N120" s="215">
        <v>1</v>
      </c>
      <c r="O120" s="215">
        <v>1</v>
      </c>
      <c r="P120" s="215">
        <v>1</v>
      </c>
      <c r="Q120" s="215">
        <v>1</v>
      </c>
      <c r="R120" s="215">
        <v>5</v>
      </c>
      <c r="S120" s="229">
        <v>0</v>
      </c>
      <c r="T120" s="229">
        <v>0</v>
      </c>
      <c r="U120" s="215">
        <v>0.01</v>
      </c>
      <c r="V120" s="230">
        <v>5.5E-2</v>
      </c>
      <c r="W120" s="230">
        <f>V120</f>
        <v>5.5E-2</v>
      </c>
      <c r="X120" s="230">
        <f t="shared" ref="X120:AA120" si="37">W120</f>
        <v>5.5E-2</v>
      </c>
      <c r="Y120" s="230">
        <f t="shared" si="37"/>
        <v>5.5E-2</v>
      </c>
      <c r="Z120" s="230">
        <f t="shared" si="37"/>
        <v>5.5E-2</v>
      </c>
      <c r="AA120" s="230">
        <f t="shared" si="37"/>
        <v>5.5E-2</v>
      </c>
      <c r="AB120" s="232">
        <v>5</v>
      </c>
    </row>
    <row r="121" spans="4:28">
      <c r="D121" s="100"/>
      <c r="E121" s="100"/>
      <c r="F121" s="83"/>
      <c r="G121" s="100"/>
      <c r="H121" s="100"/>
      <c r="I121" s="100"/>
      <c r="J121" s="100"/>
      <c r="K121" s="83"/>
      <c r="L121" s="100"/>
      <c r="M121" s="100"/>
      <c r="N121" s="144"/>
      <c r="O121" s="144"/>
      <c r="P121" s="144"/>
      <c r="Q121" s="144"/>
      <c r="R121" s="100"/>
    </row>
    <row r="122" spans="4:28">
      <c r="D122" s="100"/>
      <c r="E122" s="100"/>
      <c r="F122" s="83"/>
      <c r="G122" s="100"/>
      <c r="H122" s="100"/>
      <c r="I122" s="100"/>
      <c r="J122" s="100"/>
      <c r="K122" s="83"/>
      <c r="L122" s="100"/>
      <c r="M122" s="100"/>
      <c r="N122" s="144"/>
      <c r="O122" s="144"/>
      <c r="P122" s="144"/>
      <c r="Q122" s="144"/>
      <c r="R122" s="100"/>
    </row>
    <row r="125" spans="4:28">
      <c r="E125" s="1"/>
    </row>
    <row r="126" spans="4:28" ht="21">
      <c r="D126" s="271" t="s">
        <v>452</v>
      </c>
      <c r="E126" s="270"/>
      <c r="F126" s="270">
        <v>2025</v>
      </c>
      <c r="G126" s="270">
        <v>2030</v>
      </c>
      <c r="H126" s="270">
        <v>2035</v>
      </c>
      <c r="I126" s="270">
        <v>2040</v>
      </c>
      <c r="J126" s="270">
        <v>2045</v>
      </c>
      <c r="K126" s="270">
        <v>2050</v>
      </c>
      <c r="L126" s="270">
        <v>2060</v>
      </c>
    </row>
    <row r="127" spans="4:28">
      <c r="D127" s="264" t="s">
        <v>441</v>
      </c>
      <c r="E127" s="265" t="s">
        <v>442</v>
      </c>
      <c r="F127" s="266">
        <f>U89+U88</f>
        <v>0.02</v>
      </c>
      <c r="G127" s="266">
        <f>V89+V88</f>
        <v>0.06</v>
      </c>
      <c r="H127" s="266">
        <f>W89+W88</f>
        <v>0.2</v>
      </c>
      <c r="I127" s="266">
        <f>X89+X88</f>
        <v>0.34</v>
      </c>
      <c r="J127" s="266">
        <f>Y89+Y88</f>
        <v>0.42000000000000004</v>
      </c>
      <c r="K127" s="266">
        <f>Z89+Z88</f>
        <v>0.7</v>
      </c>
      <c r="L127" s="266">
        <f t="shared" ref="L127:M127" si="38">AA89+AA88</f>
        <v>0.9</v>
      </c>
      <c r="M127" s="204"/>
    </row>
    <row r="128" spans="4:28">
      <c r="D128" s="264"/>
      <c r="E128" s="265" t="s">
        <v>443</v>
      </c>
      <c r="F128" s="266">
        <f>K89+K88</f>
        <v>0.03</v>
      </c>
      <c r="G128" s="266">
        <f>L89+L88</f>
        <v>8.5000000000000006E-2</v>
      </c>
      <c r="H128" s="266">
        <f>M89+M88</f>
        <v>0.23</v>
      </c>
      <c r="I128" s="266">
        <f>N89+N88</f>
        <v>0.37</v>
      </c>
      <c r="J128" s="266">
        <f>O89+O88</f>
        <v>0.45000000000000007</v>
      </c>
      <c r="K128" s="266">
        <f>P89+P88</f>
        <v>0.73</v>
      </c>
      <c r="L128" s="266">
        <f t="shared" ref="L128:M128" si="39">Q89+Q88</f>
        <v>1</v>
      </c>
      <c r="M128" s="263"/>
    </row>
    <row r="129" spans="2:13">
      <c r="D129" s="267" t="s">
        <v>444</v>
      </c>
      <c r="E129" s="268" t="s">
        <v>442</v>
      </c>
      <c r="F129" s="269">
        <f>U102+U103+U104+U105</f>
        <v>7.0000000000000007E-2</v>
      </c>
      <c r="G129" s="269">
        <f>V102+V103+V104+V105</f>
        <v>7.0000000000000007E-2</v>
      </c>
      <c r="H129" s="269">
        <f>W102+W103+W104+W105</f>
        <v>7.0000000000000007E-2</v>
      </c>
      <c r="I129" s="269">
        <f>X102+X103+X104+X105</f>
        <v>7.0000000000000007E-2</v>
      </c>
      <c r="J129" s="269">
        <f>Y102+Y103+Y104+Y105</f>
        <v>7.0000000000000007E-2</v>
      </c>
      <c r="K129" s="269">
        <f>Z102+Z103+Z104+Z105</f>
        <v>7.0000000000000007E-2</v>
      </c>
      <c r="L129" s="269">
        <f t="shared" ref="L129:M129" si="40">AA102+AA103+AA104+AA105</f>
        <v>7.0000000000000007E-2</v>
      </c>
      <c r="M129" s="204"/>
    </row>
    <row r="130" spans="2:13">
      <c r="D130" s="267"/>
      <c r="E130" s="268" t="s">
        <v>443</v>
      </c>
      <c r="F130" s="269">
        <f>K102+K103+K104+K105</f>
        <v>0.16199999999999998</v>
      </c>
      <c r="G130" s="269">
        <f>L102+L103+L104+L105</f>
        <v>0.21199999999999997</v>
      </c>
      <c r="H130" s="269">
        <f>M102+M103+M104+M105</f>
        <v>0.69200000000000006</v>
      </c>
      <c r="I130" s="269">
        <f>N102+N103+N104+N105</f>
        <v>1.262</v>
      </c>
      <c r="J130" s="269">
        <f>O102+O103+O104+O105</f>
        <v>1.492</v>
      </c>
      <c r="K130" s="269">
        <f>P102+P103+P104+P105</f>
        <v>1.6419999999999999</v>
      </c>
      <c r="L130" s="269">
        <f t="shared" ref="L130:M130" si="41">Q102+Q103+Q104+Q105</f>
        <v>1.9419999999999999</v>
      </c>
      <c r="M130" s="263"/>
    </row>
    <row r="131" spans="2:13">
      <c r="D131" s="264" t="s">
        <v>445</v>
      </c>
      <c r="E131" s="265" t="s">
        <v>442</v>
      </c>
      <c r="F131" s="266">
        <f>U111+U112+U113</f>
        <v>0.02</v>
      </c>
      <c r="G131" s="266">
        <f t="shared" ref="G131:L131" si="42">V111+V112+V113</f>
        <v>0.03</v>
      </c>
      <c r="H131" s="266">
        <f t="shared" si="42"/>
        <v>0.04</v>
      </c>
      <c r="I131" s="266">
        <f t="shared" si="42"/>
        <v>0.06</v>
      </c>
      <c r="J131" s="266">
        <f t="shared" si="42"/>
        <v>0.08</v>
      </c>
      <c r="K131" s="266">
        <f t="shared" si="42"/>
        <v>0.1</v>
      </c>
      <c r="L131" s="266">
        <f t="shared" si="42"/>
        <v>0.12000000000000001</v>
      </c>
    </row>
    <row r="132" spans="2:13">
      <c r="D132" s="264"/>
      <c r="E132" s="265" t="s">
        <v>443</v>
      </c>
      <c r="F132" s="266">
        <f>K111+K112+K113</f>
        <v>0.24000000000000002</v>
      </c>
      <c r="G132" s="266">
        <f t="shared" ref="G132:L132" si="43">L111+L112+L113</f>
        <v>0.255</v>
      </c>
      <c r="H132" s="266">
        <f t="shared" si="43"/>
        <v>0.29000000000000004</v>
      </c>
      <c r="I132" s="266">
        <f t="shared" si="43"/>
        <v>0.36</v>
      </c>
      <c r="J132" s="266">
        <f t="shared" si="43"/>
        <v>0.59</v>
      </c>
      <c r="K132" s="266">
        <f t="shared" si="43"/>
        <v>0.74</v>
      </c>
      <c r="L132" s="266">
        <f t="shared" si="43"/>
        <v>1.04</v>
      </c>
    </row>
    <row r="133" spans="2:13">
      <c r="D133" s="267" t="s">
        <v>446</v>
      </c>
      <c r="E133" s="268" t="s">
        <v>442</v>
      </c>
      <c r="F133" s="269">
        <f>U115+U116+U117</f>
        <v>0.06</v>
      </c>
      <c r="G133" s="269">
        <f t="shared" ref="G133:L133" si="44">V115+V116+V117</f>
        <v>6.9999999999999993E-2</v>
      </c>
      <c r="H133" s="269">
        <f t="shared" si="44"/>
        <v>0.08</v>
      </c>
      <c r="I133" s="269">
        <f t="shared" si="44"/>
        <v>0.1</v>
      </c>
      <c r="J133" s="269">
        <f t="shared" si="44"/>
        <v>0.12</v>
      </c>
      <c r="K133" s="269">
        <f t="shared" si="44"/>
        <v>0.14000000000000001</v>
      </c>
      <c r="L133" s="269">
        <f t="shared" si="44"/>
        <v>0.16</v>
      </c>
    </row>
    <row r="134" spans="2:13">
      <c r="D134" s="267"/>
      <c r="E134" s="268" t="s">
        <v>443</v>
      </c>
      <c r="F134" s="269">
        <f>K115+K116+K117</f>
        <v>0.28000000000000003</v>
      </c>
      <c r="G134" s="269">
        <f t="shared" ref="G134:L134" si="45">L115+L116+L117</f>
        <v>0.29500000000000004</v>
      </c>
      <c r="H134" s="269">
        <f t="shared" si="45"/>
        <v>0.33</v>
      </c>
      <c r="I134" s="269">
        <f t="shared" si="45"/>
        <v>0.4</v>
      </c>
      <c r="J134" s="269">
        <f t="shared" si="45"/>
        <v>0.63</v>
      </c>
      <c r="K134" s="269">
        <f t="shared" si="45"/>
        <v>0.78</v>
      </c>
      <c r="L134" s="269">
        <f t="shared" si="45"/>
        <v>6.02</v>
      </c>
    </row>
    <row r="135" spans="2:13">
      <c r="D135" s="264" t="s">
        <v>447</v>
      </c>
      <c r="E135" s="265" t="s">
        <v>442</v>
      </c>
      <c r="F135" s="266">
        <f>U107+U108+U109</f>
        <v>0.78</v>
      </c>
      <c r="G135" s="266">
        <f t="shared" ref="G135:L135" si="46">V107+V108+V109</f>
        <v>0.79</v>
      </c>
      <c r="H135" s="266">
        <f t="shared" si="46"/>
        <v>0.8</v>
      </c>
      <c r="I135" s="266">
        <f t="shared" si="46"/>
        <v>0.82000000000000006</v>
      </c>
      <c r="J135" s="266">
        <f t="shared" si="46"/>
        <v>0.84000000000000008</v>
      </c>
      <c r="K135" s="266">
        <f t="shared" si="46"/>
        <v>0.86</v>
      </c>
      <c r="L135" s="266">
        <f t="shared" si="46"/>
        <v>0.88</v>
      </c>
    </row>
    <row r="136" spans="2:13">
      <c r="D136" s="264"/>
      <c r="E136" s="265" t="s">
        <v>443</v>
      </c>
      <c r="F136" s="266">
        <f>K107+K108+K109</f>
        <v>0.81</v>
      </c>
      <c r="G136" s="266">
        <f t="shared" ref="G136:L136" si="47">L107+L108+L109</f>
        <v>0.82500000000000007</v>
      </c>
      <c r="H136" s="266">
        <f t="shared" si="47"/>
        <v>0.8600000000000001</v>
      </c>
      <c r="I136" s="266">
        <f t="shared" si="47"/>
        <v>0.93</v>
      </c>
      <c r="J136" s="266">
        <f t="shared" si="47"/>
        <v>1.1600000000000001</v>
      </c>
      <c r="K136" s="266">
        <f t="shared" si="47"/>
        <v>1.31</v>
      </c>
      <c r="L136" s="266">
        <f t="shared" si="47"/>
        <v>1.61</v>
      </c>
    </row>
    <row r="137" spans="2:13">
      <c r="D137" s="267" t="s">
        <v>448</v>
      </c>
      <c r="E137" s="268" t="s">
        <v>442</v>
      </c>
      <c r="F137" s="269">
        <f>U119+U120</f>
        <v>0.01</v>
      </c>
      <c r="G137" s="269">
        <f t="shared" ref="G137:L137" si="48">V119+V120</f>
        <v>5.5E-2</v>
      </c>
      <c r="H137" s="269">
        <f t="shared" si="48"/>
        <v>5.5E-2</v>
      </c>
      <c r="I137" s="269">
        <f t="shared" si="48"/>
        <v>5.5E-2</v>
      </c>
      <c r="J137" s="269">
        <f t="shared" si="48"/>
        <v>5.5E-2</v>
      </c>
      <c r="K137" s="269">
        <f t="shared" si="48"/>
        <v>5.5E-2</v>
      </c>
      <c r="L137" s="269">
        <f t="shared" si="48"/>
        <v>5.5E-2</v>
      </c>
    </row>
    <row r="138" spans="2:13">
      <c r="D138" s="267"/>
      <c r="E138" s="268" t="s">
        <v>443</v>
      </c>
      <c r="F138" s="269">
        <f>K119+K120</f>
        <v>1</v>
      </c>
      <c r="G138" s="269">
        <f t="shared" ref="G138:L138" si="49">L119+L120</f>
        <v>1.0049999999999999</v>
      </c>
      <c r="H138" s="269">
        <f t="shared" si="49"/>
        <v>1.05</v>
      </c>
      <c r="I138" s="269">
        <f t="shared" si="49"/>
        <v>1.1200000000000001</v>
      </c>
      <c r="J138" s="269">
        <f t="shared" si="49"/>
        <v>1.35</v>
      </c>
      <c r="K138" s="269">
        <f t="shared" si="49"/>
        <v>1.5</v>
      </c>
      <c r="L138" s="269">
        <f t="shared" si="49"/>
        <v>1.8</v>
      </c>
    </row>
    <row r="139" spans="2:13">
      <c r="D139" s="264" t="s">
        <v>449</v>
      </c>
      <c r="E139" s="265" t="s">
        <v>442</v>
      </c>
      <c r="F139" s="266">
        <f>U97+U98+U99+U100</f>
        <v>0</v>
      </c>
      <c r="G139" s="266">
        <f t="shared" ref="G139:L139" si="50">V97+V98+V99+V100</f>
        <v>0</v>
      </c>
      <c r="H139" s="266">
        <f t="shared" si="50"/>
        <v>0</v>
      </c>
      <c r="I139" s="266">
        <f t="shared" si="50"/>
        <v>0</v>
      </c>
      <c r="J139" s="266">
        <f t="shared" si="50"/>
        <v>0</v>
      </c>
      <c r="K139" s="266">
        <f t="shared" si="50"/>
        <v>0</v>
      </c>
      <c r="L139" s="266">
        <f t="shared" si="50"/>
        <v>0</v>
      </c>
    </row>
    <row r="140" spans="2:13">
      <c r="D140" s="264"/>
      <c r="E140" s="265" t="s">
        <v>443</v>
      </c>
      <c r="F140" s="266">
        <f>K97+K98+K99+K100</f>
        <v>0.21000000000000002</v>
      </c>
      <c r="G140" s="266">
        <f t="shared" ref="G140:L140" si="51">L97+L98+L99+L100</f>
        <v>0.21100000000000002</v>
      </c>
      <c r="H140" s="266">
        <f t="shared" si="51"/>
        <v>0.21100000000000002</v>
      </c>
      <c r="I140" s="266">
        <f t="shared" si="51"/>
        <v>0.33</v>
      </c>
      <c r="J140" s="266">
        <f t="shared" si="51"/>
        <v>0.56000000000000005</v>
      </c>
      <c r="K140" s="266">
        <f t="shared" si="51"/>
        <v>1.1400000000000001</v>
      </c>
      <c r="L140" s="266">
        <f t="shared" si="51"/>
        <v>1.44</v>
      </c>
    </row>
    <row r="141" spans="2:13">
      <c r="D141" s="267" t="s">
        <v>450</v>
      </c>
      <c r="E141" s="268" t="s">
        <v>442</v>
      </c>
      <c r="F141" s="269">
        <f>U91+U92</f>
        <v>0.02</v>
      </c>
      <c r="G141" s="269">
        <f t="shared" ref="G141:L141" si="52">V91+V92</f>
        <v>0.06</v>
      </c>
      <c r="H141" s="269">
        <f t="shared" si="52"/>
        <v>0.122</v>
      </c>
      <c r="I141" s="269">
        <f t="shared" si="52"/>
        <v>0.182</v>
      </c>
      <c r="J141" s="269">
        <f t="shared" si="52"/>
        <v>0.24200000000000002</v>
      </c>
      <c r="K141" s="269">
        <f t="shared" si="52"/>
        <v>0.252</v>
      </c>
      <c r="L141" s="269">
        <f t="shared" si="52"/>
        <v>0.26200000000000001</v>
      </c>
    </row>
    <row r="142" spans="2:13">
      <c r="B142" s="39">
        <v>4.2409638554216873E-2</v>
      </c>
      <c r="D142" s="267"/>
      <c r="E142" s="268" t="s">
        <v>443</v>
      </c>
      <c r="F142" s="269">
        <f>K91+K92</f>
        <v>2.5000000000000001E-2</v>
      </c>
      <c r="G142" s="269">
        <f t="shared" ref="G142:L142" si="53">L91+L92</f>
        <v>7.0000000000000007E-2</v>
      </c>
      <c r="H142" s="269">
        <f t="shared" si="53"/>
        <v>1.0669999999999999</v>
      </c>
      <c r="I142" s="269">
        <f t="shared" si="53"/>
        <v>1.1100000000000001</v>
      </c>
      <c r="J142" s="269">
        <f t="shared" si="53"/>
        <v>1.1599999999999999</v>
      </c>
      <c r="K142" s="269">
        <f t="shared" si="53"/>
        <v>1.3599999999999999</v>
      </c>
      <c r="L142" s="269">
        <f t="shared" si="53"/>
        <v>1.5</v>
      </c>
    </row>
    <row r="143" spans="2:13">
      <c r="D143" s="264" t="s">
        <v>451</v>
      </c>
      <c r="E143" s="265" t="s">
        <v>442</v>
      </c>
      <c r="F143" s="266">
        <f>U94+U95</f>
        <v>2.0000000000000018E-2</v>
      </c>
      <c r="G143" s="266">
        <f t="shared" ref="G143:L143" si="54">V94+V95</f>
        <v>0.06</v>
      </c>
      <c r="H143" s="266">
        <f t="shared" si="54"/>
        <v>0.122</v>
      </c>
      <c r="I143" s="266">
        <f t="shared" si="54"/>
        <v>0.182</v>
      </c>
      <c r="J143" s="266">
        <f t="shared" si="54"/>
        <v>0.24200000000000002</v>
      </c>
      <c r="K143" s="266">
        <f t="shared" si="54"/>
        <v>0.252</v>
      </c>
      <c r="L143" s="266">
        <f t="shared" si="54"/>
        <v>0.26200000000000001</v>
      </c>
    </row>
    <row r="144" spans="2:13">
      <c r="D144" s="264"/>
      <c r="E144" s="265" t="s">
        <v>443</v>
      </c>
      <c r="F144" s="266">
        <f>K94+K95</f>
        <v>2.5000000000000019E-2</v>
      </c>
      <c r="G144" s="266">
        <f t="shared" ref="G144:L144" si="55">L94+L95</f>
        <v>7.0000000000000007E-2</v>
      </c>
      <c r="H144" s="266">
        <f t="shared" si="55"/>
        <v>1.0669999999999999</v>
      </c>
      <c r="I144" s="266">
        <f t="shared" si="55"/>
        <v>1.1100000000000001</v>
      </c>
      <c r="J144" s="266">
        <f t="shared" si="55"/>
        <v>1.1599999999999999</v>
      </c>
      <c r="K144" s="266">
        <f t="shared" si="55"/>
        <v>1.3599999999999999</v>
      </c>
      <c r="L144" s="266">
        <f t="shared" si="55"/>
        <v>1.5</v>
      </c>
    </row>
    <row r="146" spans="2:2" ht="13.8" thickBot="1">
      <c r="B146" s="38" t="s">
        <v>198</v>
      </c>
    </row>
    <row r="147" spans="2:2" ht="13.8" thickBot="1">
      <c r="B147" s="31"/>
    </row>
    <row r="148" spans="2:2">
      <c r="B148" s="9"/>
    </row>
    <row r="149" spans="2:2">
      <c r="B149" s="39">
        <v>7.6426630434782608E-2</v>
      </c>
    </row>
    <row r="150" spans="2:2">
      <c r="B150" s="39">
        <v>4.2880434782608693E-3</v>
      </c>
    </row>
    <row r="163" spans="4:12">
      <c r="D163" s="77" t="s">
        <v>189</v>
      </c>
      <c r="E163" s="77">
        <v>789</v>
      </c>
      <c r="F163" s="77">
        <v>26.8</v>
      </c>
      <c r="G163" s="77"/>
      <c r="H163" s="77"/>
      <c r="I163" s="79">
        <v>85</v>
      </c>
      <c r="J163" s="80">
        <v>21.092806461352655</v>
      </c>
      <c r="K163" s="40">
        <v>6.0747282608695636</v>
      </c>
      <c r="L163" s="40">
        <v>0.85865181486460529</v>
      </c>
    </row>
    <row r="164" spans="4:12">
      <c r="D164" s="77" t="s">
        <v>190</v>
      </c>
      <c r="E164" s="77">
        <v>750</v>
      </c>
      <c r="F164" s="77">
        <v>36.299999999999997</v>
      </c>
      <c r="G164" s="77"/>
      <c r="H164" s="77"/>
      <c r="I164" s="79">
        <v>22</v>
      </c>
      <c r="J164" s="80">
        <v>5.1894625603864739</v>
      </c>
      <c r="K164" s="40">
        <v>0.28741638795986624</v>
      </c>
      <c r="L164" s="40">
        <v>0.22325052768306541</v>
      </c>
    </row>
    <row r="165" spans="4:12">
      <c r="D165" s="77" t="s">
        <v>191</v>
      </c>
      <c r="E165" s="77">
        <v>830</v>
      </c>
      <c r="F165" s="77">
        <v>43.11</v>
      </c>
      <c r="G165" s="77"/>
      <c r="H165" s="77"/>
      <c r="I165" s="79"/>
      <c r="J165" s="80"/>
      <c r="K165" s="40"/>
      <c r="L165" s="40"/>
    </row>
    <row r="166" spans="4:12">
      <c r="D166" s="77" t="s">
        <v>192</v>
      </c>
      <c r="E166" s="77">
        <v>880</v>
      </c>
      <c r="F166" s="77">
        <v>37.4</v>
      </c>
      <c r="G166" s="77"/>
      <c r="H166" s="77"/>
      <c r="I166" s="79">
        <v>10</v>
      </c>
      <c r="J166" s="80">
        <v>2.4593852095927202</v>
      </c>
      <c r="K166" s="40">
        <v>0.11780455153949131</v>
      </c>
      <c r="L166" s="40">
        <v>0.10538922155688624</v>
      </c>
    </row>
    <row r="167" spans="4:12">
      <c r="D167" s="77" t="s">
        <v>193</v>
      </c>
      <c r="E167" s="77">
        <v>780</v>
      </c>
      <c r="F167" s="77">
        <v>44</v>
      </c>
      <c r="G167" s="77"/>
      <c r="H167" s="77"/>
      <c r="I167" s="79">
        <v>50</v>
      </c>
      <c r="J167" s="80">
        <v>10.899548087967737</v>
      </c>
      <c r="K167" s="40">
        <v>0.93975903614457834</v>
      </c>
      <c r="L167" s="40">
        <v>0.48447204968944096</v>
      </c>
    </row>
    <row r="168" spans="4:12">
      <c r="D168" s="77" t="s">
        <v>192</v>
      </c>
      <c r="E168" s="77">
        <v>880</v>
      </c>
      <c r="F168" s="77">
        <v>37.4</v>
      </c>
      <c r="G168" s="77"/>
      <c r="H168" s="77"/>
      <c r="I168" s="79">
        <v>30</v>
      </c>
      <c r="J168" s="80">
        <v>7.6923076923076925</v>
      </c>
      <c r="K168" s="40">
        <v>0.45438898450946646</v>
      </c>
      <c r="L168" s="40">
        <v>0.31242603550295861</v>
      </c>
    </row>
    <row r="169" spans="4:12">
      <c r="D169" s="77" t="s">
        <v>193</v>
      </c>
      <c r="E169" s="77">
        <v>780</v>
      </c>
      <c r="F169" s="77">
        <v>44</v>
      </c>
      <c r="G169" s="77"/>
      <c r="H169" s="77"/>
      <c r="I169" s="79">
        <v>50</v>
      </c>
      <c r="J169" s="80">
        <v>11.363636363636363</v>
      </c>
      <c r="K169" s="40">
        <v>0.93975903614457834</v>
      </c>
      <c r="L169" s="40">
        <v>0.48447204968944096</v>
      </c>
    </row>
    <row r="170" spans="4:12">
      <c r="D170" s="77" t="s">
        <v>194</v>
      </c>
      <c r="E170" s="77">
        <v>780</v>
      </c>
      <c r="F170" s="77">
        <v>44</v>
      </c>
      <c r="G170" s="77"/>
      <c r="H170" s="77"/>
      <c r="I170" s="79">
        <v>50</v>
      </c>
      <c r="J170" s="80">
        <v>10.899548087967737</v>
      </c>
      <c r="K170" s="40">
        <v>0.93975903614457834</v>
      </c>
      <c r="L170" s="40">
        <v>0.48447204968944096</v>
      </c>
    </row>
    <row r="171" spans="4:12">
      <c r="D171" s="77" t="s">
        <v>195</v>
      </c>
      <c r="E171" s="77">
        <v>800</v>
      </c>
      <c r="F171" s="77">
        <v>43.2</v>
      </c>
      <c r="G171" s="77"/>
      <c r="H171" s="77"/>
      <c r="I171" s="79"/>
      <c r="J171" s="80"/>
      <c r="K171" s="40"/>
      <c r="L171" s="40"/>
    </row>
    <row r="172" spans="4:12">
      <c r="D172" s="77" t="s">
        <v>196</v>
      </c>
      <c r="E172" s="77">
        <v>737</v>
      </c>
      <c r="F172" s="77"/>
      <c r="G172" s="77"/>
      <c r="H172" s="77"/>
      <c r="I172" s="79">
        <v>50</v>
      </c>
      <c r="J172" s="80">
        <v>10.662615740740742</v>
      </c>
      <c r="K172" s="40">
        <v>0.92125000000000001</v>
      </c>
      <c r="L172" s="40">
        <v>0.47950553025374104</v>
      </c>
    </row>
    <row r="173" spans="4:12">
      <c r="D173" s="77" t="s">
        <v>197</v>
      </c>
      <c r="E173" s="77">
        <v>780</v>
      </c>
      <c r="F173" s="77"/>
      <c r="G173" s="77"/>
      <c r="H173" s="77"/>
      <c r="I173" s="79">
        <v>50</v>
      </c>
      <c r="J173" s="80">
        <v>11.284722222222223</v>
      </c>
      <c r="K173" s="40">
        <v>0.97499999999999998</v>
      </c>
      <c r="L173" s="40">
        <v>0.49367088607594933</v>
      </c>
    </row>
    <row r="174" spans="4:12">
      <c r="K174" s="40"/>
      <c r="L174" s="40"/>
    </row>
    <row r="175" spans="4:12">
      <c r="K175" s="40"/>
      <c r="L175" s="40"/>
    </row>
    <row r="176" spans="4:12">
      <c r="D176" s="77"/>
      <c r="E176" s="77" t="s">
        <v>187</v>
      </c>
      <c r="F176" s="77" t="s">
        <v>140</v>
      </c>
      <c r="G176" s="77"/>
      <c r="H176" s="77"/>
      <c r="I176" s="78"/>
      <c r="J176" s="78"/>
      <c r="K176" s="40"/>
      <c r="L176" s="40"/>
    </row>
    <row r="177" spans="4:12">
      <c r="D177" s="77" t="s">
        <v>188</v>
      </c>
      <c r="E177" s="77">
        <v>736</v>
      </c>
      <c r="F177" s="77">
        <v>43.2</v>
      </c>
      <c r="G177" s="77"/>
      <c r="H177" s="77"/>
      <c r="I177" s="78"/>
      <c r="J177" s="78"/>
      <c r="K177" s="40"/>
      <c r="L177" s="40"/>
    </row>
    <row r="178" spans="4:12">
      <c r="D178" s="77" t="s">
        <v>189</v>
      </c>
      <c r="E178" s="77">
        <v>789</v>
      </c>
      <c r="F178" s="77">
        <v>26.8</v>
      </c>
      <c r="G178" s="77"/>
      <c r="H178" s="77"/>
      <c r="I178" s="79">
        <v>10</v>
      </c>
      <c r="J178" s="80">
        <v>2.4815066425120773</v>
      </c>
      <c r="K178" s="40">
        <v>0.11911231884057971</v>
      </c>
      <c r="L178" s="40">
        <v>0.10643464184540673</v>
      </c>
    </row>
    <row r="179" spans="4:12">
      <c r="D179" s="77" t="s">
        <v>190</v>
      </c>
      <c r="E179" s="77">
        <v>750</v>
      </c>
      <c r="F179" s="77">
        <v>36.299999999999997</v>
      </c>
      <c r="G179" s="77"/>
      <c r="H179" s="77"/>
      <c r="I179" s="79">
        <v>15</v>
      </c>
      <c r="J179" s="80">
        <v>3.5382699275362319</v>
      </c>
      <c r="K179" s="40">
        <v>0.17982736572890029</v>
      </c>
      <c r="L179" s="40">
        <v>0.15241837149437748</v>
      </c>
    </row>
    <row r="180" spans="4:12">
      <c r="D180" s="77" t="s">
        <v>191</v>
      </c>
      <c r="E180" s="77">
        <v>830</v>
      </c>
      <c r="F180" s="77">
        <v>43.11</v>
      </c>
      <c r="G180" s="77"/>
      <c r="H180" s="77"/>
      <c r="I180" s="79"/>
      <c r="J180" s="80"/>
      <c r="K180" s="40"/>
      <c r="L180" s="40"/>
    </row>
    <row r="181" spans="4:12">
      <c r="D181" s="77" t="s">
        <v>192</v>
      </c>
      <c r="E181" s="77">
        <v>880</v>
      </c>
      <c r="F181" s="77">
        <v>37.4</v>
      </c>
      <c r="G181" s="77"/>
      <c r="H181" s="77"/>
      <c r="I181" s="79">
        <v>7</v>
      </c>
      <c r="J181" s="80">
        <v>1.7215696467149042</v>
      </c>
      <c r="K181" s="40">
        <v>7.9803083300945737E-2</v>
      </c>
      <c r="L181" s="40">
        <v>7.3905218956208774E-2</v>
      </c>
    </row>
    <row r="182" spans="4:12">
      <c r="D182" s="77" t="s">
        <v>193</v>
      </c>
      <c r="E182" s="77">
        <v>780</v>
      </c>
      <c r="F182" s="77">
        <v>44</v>
      </c>
      <c r="G182" s="77"/>
      <c r="H182" s="77"/>
      <c r="I182" s="79">
        <v>50</v>
      </c>
      <c r="J182" s="80">
        <v>10.899548087967737</v>
      </c>
      <c r="K182" s="40">
        <v>0.93975903614457834</v>
      </c>
      <c r="L182" s="40">
        <v>0.48447204968944096</v>
      </c>
    </row>
    <row r="183" spans="4:12">
      <c r="D183" s="77" t="s">
        <v>194</v>
      </c>
      <c r="E183" s="77">
        <v>780</v>
      </c>
      <c r="F183" s="77">
        <v>44</v>
      </c>
      <c r="G183" s="77"/>
      <c r="H183" s="77"/>
      <c r="I183" s="79">
        <v>50</v>
      </c>
      <c r="J183" s="80">
        <v>10.899548087967737</v>
      </c>
      <c r="K183" s="40">
        <v>0.93975903614457834</v>
      </c>
      <c r="L183" s="40">
        <v>0.48447204968944096</v>
      </c>
    </row>
    <row r="184" spans="4:12">
      <c r="D184" s="77" t="s">
        <v>195</v>
      </c>
      <c r="E184" s="77">
        <v>800</v>
      </c>
      <c r="F184" s="77">
        <v>43.2</v>
      </c>
      <c r="G184" s="77"/>
      <c r="H184" s="77"/>
      <c r="I184" s="79"/>
      <c r="J184" s="80"/>
      <c r="K184" s="40"/>
      <c r="L184" s="40"/>
    </row>
    <row r="185" spans="4:12">
      <c r="D185" s="77" t="s">
        <v>196</v>
      </c>
      <c r="E185" s="77">
        <v>737</v>
      </c>
      <c r="F185" s="77"/>
      <c r="G185" s="77"/>
      <c r="H185" s="77"/>
      <c r="I185" s="79">
        <v>50</v>
      </c>
      <c r="J185" s="80">
        <v>10.662615740740742</v>
      </c>
      <c r="K185" s="40">
        <v>0.92125000000000001</v>
      </c>
      <c r="L185" s="40">
        <v>0.47950553025374104</v>
      </c>
    </row>
    <row r="186" spans="4:12">
      <c r="D186" s="77" t="s">
        <v>197</v>
      </c>
      <c r="E186" s="77">
        <v>780</v>
      </c>
      <c r="F186" s="77"/>
      <c r="G186" s="77"/>
      <c r="H186" s="77"/>
      <c r="I186" s="79">
        <v>50</v>
      </c>
      <c r="J186" s="80">
        <v>11.284722222222223</v>
      </c>
      <c r="K186" s="40">
        <v>0.97499999999999998</v>
      </c>
      <c r="L186" s="40">
        <v>0.49367088607594933</v>
      </c>
    </row>
    <row r="187" spans="4:12">
      <c r="K187" s="40"/>
      <c r="L187" s="40"/>
    </row>
    <row r="188" spans="4:12">
      <c r="K188" s="40"/>
      <c r="L188" s="40"/>
    </row>
    <row r="189" spans="4:12">
      <c r="D189" s="77" t="s">
        <v>189</v>
      </c>
      <c r="E189" s="77">
        <v>789</v>
      </c>
      <c r="F189" s="77">
        <v>26.8</v>
      </c>
      <c r="G189" s="77"/>
      <c r="H189" s="77"/>
      <c r="I189" s="79">
        <v>5</v>
      </c>
      <c r="J189" s="80"/>
      <c r="K189" s="40">
        <v>5.6421624713958812E-2</v>
      </c>
      <c r="L189" s="81">
        <v>5.3408244770865768E-2</v>
      </c>
    </row>
    <row r="190" spans="4:12">
      <c r="D190" s="77" t="s">
        <v>189</v>
      </c>
      <c r="E190" s="77">
        <v>789</v>
      </c>
      <c r="F190" s="77">
        <v>26.8</v>
      </c>
      <c r="I190" s="79">
        <v>20</v>
      </c>
      <c r="K190" s="40">
        <v>0.26800271739130432</v>
      </c>
      <c r="L190" s="81">
        <v>0.21135815697830163</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83"/>
  <sheetViews>
    <sheetView topLeftCell="B1" workbookViewId="0"/>
  </sheetViews>
  <sheetFormatPr defaultRowHeight="13.2"/>
  <cols>
    <col min="1" max="1" width="2.109375" customWidth="1"/>
    <col min="2" max="2" width="9.88671875" customWidth="1"/>
    <col min="3" max="3" width="18.33203125" bestFit="1" customWidth="1"/>
    <col min="4" max="4" width="42.109375" bestFit="1" customWidth="1"/>
    <col min="5" max="5" width="13.33203125" bestFit="1" customWidth="1"/>
    <col min="6" max="6" width="20.44140625" bestFit="1" customWidth="1"/>
    <col min="7" max="7" width="7.5546875" bestFit="1" customWidth="1"/>
    <col min="8" max="8" width="11.5546875" bestFit="1" customWidth="1"/>
    <col min="9" max="9" width="8" bestFit="1" customWidth="1"/>
    <col min="10" max="10" width="6.5546875" bestFit="1" customWidth="1"/>
    <col min="11" max="11" width="7.5546875" bestFit="1" customWidth="1"/>
    <col min="12" max="12" width="8.88671875" bestFit="1" customWidth="1"/>
    <col min="13" max="13" width="6.5546875" customWidth="1"/>
    <col min="14" max="14" width="6.5546875" bestFit="1" customWidth="1"/>
    <col min="15" max="19" width="8.5546875" bestFit="1" customWidth="1"/>
    <col min="20" max="20" width="12" bestFit="1" customWidth="1"/>
    <col min="21" max="22" width="17.44140625" bestFit="1" customWidth="1"/>
    <col min="23" max="23" width="12.109375" bestFit="1" customWidth="1"/>
    <col min="24" max="26" width="17.5546875" bestFit="1" customWidth="1"/>
  </cols>
  <sheetData>
    <row r="1" spans="2:11">
      <c r="B1" s="55" t="s">
        <v>248</v>
      </c>
      <c r="C1" s="50"/>
      <c r="D1" s="50"/>
      <c r="E1" s="50"/>
      <c r="F1" s="50"/>
      <c r="G1" s="50"/>
      <c r="H1" s="50"/>
      <c r="I1" s="50"/>
    </row>
    <row r="4" spans="2:11">
      <c r="B4" s="49" t="s">
        <v>17</v>
      </c>
      <c r="C4" s="50"/>
      <c r="D4" s="50"/>
      <c r="E4" s="50"/>
      <c r="F4" s="50"/>
      <c r="G4" s="50"/>
      <c r="H4" s="50"/>
      <c r="I4" s="50"/>
    </row>
    <row r="5" spans="2:11">
      <c r="B5" s="51" t="s">
        <v>15</v>
      </c>
      <c r="C5" s="52" t="s">
        <v>0</v>
      </c>
      <c r="D5" s="52" t="s">
        <v>1</v>
      </c>
      <c r="E5" s="52" t="s">
        <v>18</v>
      </c>
      <c r="F5" s="52" t="s">
        <v>19</v>
      </c>
      <c r="G5" s="52" t="s">
        <v>20</v>
      </c>
      <c r="H5" s="52" t="s">
        <v>21</v>
      </c>
      <c r="I5" s="53" t="s">
        <v>22</v>
      </c>
    </row>
    <row r="6" spans="2:11">
      <c r="B6" s="56" t="s">
        <v>251</v>
      </c>
      <c r="C6" s="56" t="s">
        <v>252</v>
      </c>
      <c r="D6" s="56" t="s">
        <v>253</v>
      </c>
      <c r="E6" s="54" t="s">
        <v>159</v>
      </c>
      <c r="F6" s="56" t="s">
        <v>254</v>
      </c>
      <c r="G6" s="54" t="s">
        <v>266</v>
      </c>
      <c r="H6" s="54" t="s">
        <v>266</v>
      </c>
      <c r="I6" s="54" t="s">
        <v>266</v>
      </c>
    </row>
    <row r="7" spans="2:11">
      <c r="B7" s="50" t="s">
        <v>67</v>
      </c>
      <c r="C7" s="57" t="s">
        <v>255</v>
      </c>
      <c r="D7" s="57" t="s">
        <v>256</v>
      </c>
      <c r="E7" s="50" t="s">
        <v>159</v>
      </c>
      <c r="F7" s="50"/>
      <c r="G7" s="50"/>
      <c r="H7" s="50"/>
      <c r="I7" s="50"/>
      <c r="K7" s="48" t="s">
        <v>257</v>
      </c>
    </row>
    <row r="8" spans="2:11">
      <c r="B8" s="50"/>
      <c r="C8" s="57" t="s">
        <v>258</v>
      </c>
      <c r="D8" s="57" t="s">
        <v>259</v>
      </c>
      <c r="E8" s="50" t="s">
        <v>159</v>
      </c>
      <c r="F8" s="50"/>
      <c r="G8" s="50"/>
      <c r="H8" s="50"/>
      <c r="I8" s="50"/>
    </row>
    <row r="11" spans="2:11">
      <c r="E11" s="1" t="s">
        <v>206</v>
      </c>
      <c r="F11" s="14"/>
      <c r="G11" s="14"/>
      <c r="H11" s="14"/>
      <c r="I11" s="14"/>
      <c r="J11" s="14"/>
    </row>
    <row r="12" spans="2:11" ht="13.8" thickBot="1">
      <c r="C12" s="37" t="s">
        <v>0</v>
      </c>
      <c r="D12" s="37" t="s">
        <v>2</v>
      </c>
      <c r="E12" s="37" t="s">
        <v>3</v>
      </c>
    </row>
    <row r="13" spans="2:11">
      <c r="C13" t="s">
        <v>252</v>
      </c>
      <c r="E13" t="s">
        <v>249</v>
      </c>
    </row>
    <row r="14" spans="2:11">
      <c r="E14" t="s">
        <v>250</v>
      </c>
    </row>
    <row r="15" spans="2:11">
      <c r="C15" t="s">
        <v>255</v>
      </c>
      <c r="D15" t="s">
        <v>249</v>
      </c>
    </row>
    <row r="16" spans="2:11">
      <c r="C16" t="s">
        <v>258</v>
      </c>
      <c r="D16" t="s">
        <v>250</v>
      </c>
    </row>
    <row r="75" spans="2:2">
      <c r="B75" s="39">
        <v>4.2409638554216873E-2</v>
      </c>
    </row>
    <row r="79" spans="2:2" ht="13.8" thickBot="1">
      <c r="B79" s="38" t="s">
        <v>198</v>
      </c>
    </row>
    <row r="80" spans="2:2" ht="13.8" thickBot="1">
      <c r="B80" s="31"/>
    </row>
    <row r="81" spans="2:2">
      <c r="B81" s="9"/>
    </row>
    <row r="82" spans="2:2">
      <c r="B82" s="39">
        <v>7.6426630434782608E-2</v>
      </c>
    </row>
    <row r="83" spans="2:2">
      <c r="B83" s="39">
        <v>4.2880434782608693E-3</v>
      </c>
    </row>
  </sheetData>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7415B-FBD2-4DBE-B4BE-41741E9BE267}">
  <dimension ref="B2:O9"/>
  <sheetViews>
    <sheetView workbookViewId="0">
      <selection activeCell="E23" sqref="E23"/>
    </sheetView>
  </sheetViews>
  <sheetFormatPr defaultRowHeight="13.2"/>
  <cols>
    <col min="2" max="2" width="15.88671875" customWidth="1"/>
    <col min="3" max="3" width="10.6640625" customWidth="1"/>
    <col min="4" max="4" width="12.33203125" customWidth="1"/>
  </cols>
  <sheetData>
    <row r="2" spans="2:15">
      <c r="D2" s="218" t="s">
        <v>414</v>
      </c>
      <c r="E2" s="14"/>
      <c r="F2" s="14"/>
      <c r="G2" s="14"/>
      <c r="H2" s="14"/>
      <c r="I2" s="14"/>
      <c r="O2" s="5"/>
    </row>
    <row r="3" spans="2:15" ht="13.8" thickBot="1">
      <c r="B3" s="85" t="s">
        <v>0</v>
      </c>
      <c r="C3" s="85" t="s">
        <v>2</v>
      </c>
      <c r="D3" s="85" t="s">
        <v>3</v>
      </c>
      <c r="E3" s="85" t="s">
        <v>16</v>
      </c>
      <c r="F3" s="85">
        <v>2010</v>
      </c>
      <c r="G3" s="85">
        <v>2015</v>
      </c>
      <c r="H3" s="85">
        <v>2020</v>
      </c>
      <c r="I3" s="85">
        <v>2025</v>
      </c>
      <c r="J3" s="85">
        <v>2030</v>
      </c>
      <c r="K3" s="85">
        <v>2035</v>
      </c>
      <c r="L3" s="85">
        <v>2040</v>
      </c>
      <c r="M3" s="85">
        <v>2045</v>
      </c>
      <c r="N3" s="85">
        <v>2050</v>
      </c>
      <c r="O3" s="85">
        <v>0</v>
      </c>
    </row>
    <row r="4" spans="2:15">
      <c r="B4" s="124" t="s">
        <v>410</v>
      </c>
      <c r="C4" s="100" t="s">
        <v>199</v>
      </c>
      <c r="D4" s="100" t="s">
        <v>411</v>
      </c>
      <c r="E4" s="100">
        <v>1</v>
      </c>
      <c r="F4" s="100">
        <v>1</v>
      </c>
      <c r="G4" s="100">
        <v>1</v>
      </c>
      <c r="H4" s="100">
        <v>1</v>
      </c>
      <c r="I4" s="100">
        <v>1</v>
      </c>
      <c r="J4" s="100">
        <v>1</v>
      </c>
      <c r="K4" s="100">
        <v>1</v>
      </c>
      <c r="L4" s="100">
        <v>1</v>
      </c>
      <c r="M4" s="100">
        <v>1</v>
      </c>
      <c r="N4" s="100">
        <v>1</v>
      </c>
      <c r="O4" s="83">
        <v>5</v>
      </c>
    </row>
    <row r="5" spans="2:15">
      <c r="B5" s="124"/>
      <c r="C5" s="100" t="s">
        <v>146</v>
      </c>
      <c r="D5" s="100"/>
      <c r="E5" s="100"/>
      <c r="F5" s="100">
        <v>0.01</v>
      </c>
      <c r="G5" s="100">
        <v>0.02</v>
      </c>
      <c r="H5" s="100">
        <v>0.03</v>
      </c>
      <c r="I5" s="100">
        <v>0.04</v>
      </c>
      <c r="J5" s="100">
        <v>0.05</v>
      </c>
      <c r="K5" s="100">
        <v>0.1</v>
      </c>
      <c r="L5" s="100">
        <v>0.15</v>
      </c>
      <c r="M5" s="100">
        <v>0.2</v>
      </c>
      <c r="N5" s="100">
        <v>0.25</v>
      </c>
      <c r="O5" s="83">
        <v>5</v>
      </c>
    </row>
    <row r="6" spans="2:15">
      <c r="B6" s="124"/>
      <c r="C6" s="100" t="s">
        <v>43</v>
      </c>
      <c r="D6" s="100"/>
      <c r="E6" s="100"/>
      <c r="F6" s="100">
        <v>0.01</v>
      </c>
      <c r="G6" s="100">
        <f>G5</f>
        <v>0.02</v>
      </c>
      <c r="H6" s="100">
        <f t="shared" ref="H6:N6" si="0">H5</f>
        <v>0.03</v>
      </c>
      <c r="I6" s="100">
        <f t="shared" si="0"/>
        <v>0.04</v>
      </c>
      <c r="J6" s="100">
        <f t="shared" si="0"/>
        <v>0.05</v>
      </c>
      <c r="K6" s="100">
        <f t="shared" si="0"/>
        <v>0.1</v>
      </c>
      <c r="L6" s="100">
        <f t="shared" si="0"/>
        <v>0.15</v>
      </c>
      <c r="M6" s="100">
        <f t="shared" si="0"/>
        <v>0.2</v>
      </c>
      <c r="N6" s="100">
        <f t="shared" si="0"/>
        <v>0.25</v>
      </c>
      <c r="O6" s="83"/>
    </row>
    <row r="7" spans="2:15">
      <c r="B7" s="124" t="s">
        <v>412</v>
      </c>
      <c r="C7" s="100" t="s">
        <v>267</v>
      </c>
      <c r="D7" s="100" t="s">
        <v>413</v>
      </c>
      <c r="E7" s="100">
        <v>1</v>
      </c>
      <c r="F7" s="100"/>
      <c r="G7" s="100"/>
      <c r="H7" s="100"/>
      <c r="I7" s="100"/>
      <c r="J7" s="100"/>
      <c r="K7" s="100"/>
      <c r="L7" s="100"/>
      <c r="M7" s="100"/>
      <c r="N7" s="100"/>
      <c r="O7" s="83"/>
    </row>
    <row r="8" spans="2:15">
      <c r="B8" s="124"/>
      <c r="C8" s="100" t="s">
        <v>146</v>
      </c>
      <c r="D8" s="100"/>
      <c r="E8" s="100"/>
      <c r="F8" s="100">
        <v>0.01</v>
      </c>
      <c r="G8" s="100">
        <f>G6</f>
        <v>0.02</v>
      </c>
      <c r="H8" s="100">
        <f t="shared" ref="H8:N8" si="1">H6</f>
        <v>0.03</v>
      </c>
      <c r="I8" s="100">
        <f t="shared" si="1"/>
        <v>0.04</v>
      </c>
      <c r="J8" s="100">
        <f t="shared" si="1"/>
        <v>0.05</v>
      </c>
      <c r="K8" s="100">
        <f t="shared" si="1"/>
        <v>0.1</v>
      </c>
      <c r="L8" s="100">
        <f t="shared" si="1"/>
        <v>0.15</v>
      </c>
      <c r="M8" s="100">
        <f t="shared" si="1"/>
        <v>0.2</v>
      </c>
      <c r="N8" s="100">
        <f t="shared" si="1"/>
        <v>0.25</v>
      </c>
      <c r="O8" s="83">
        <v>5</v>
      </c>
    </row>
    <row r="9" spans="2:15">
      <c r="B9" s="124"/>
      <c r="C9" s="100" t="s">
        <v>43</v>
      </c>
      <c r="D9" s="100"/>
      <c r="E9" s="100"/>
      <c r="F9" s="100">
        <v>0.01</v>
      </c>
      <c r="G9" s="100">
        <f>G8</f>
        <v>0.02</v>
      </c>
      <c r="H9" s="100">
        <f t="shared" ref="H9" si="2">H8</f>
        <v>0.03</v>
      </c>
      <c r="I9" s="100">
        <f t="shared" ref="I9" si="3">I8</f>
        <v>0.04</v>
      </c>
      <c r="J9" s="100">
        <f t="shared" ref="J9" si="4">J8</f>
        <v>0.05</v>
      </c>
      <c r="K9" s="100">
        <f t="shared" ref="K9" si="5">K8</f>
        <v>0.1</v>
      </c>
      <c r="L9" s="100">
        <f t="shared" ref="L9" si="6">L8</f>
        <v>0.15</v>
      </c>
      <c r="M9" s="100">
        <f t="shared" ref="M9" si="7">M8</f>
        <v>0.2</v>
      </c>
      <c r="N9" s="100">
        <f t="shared" ref="N9" si="8">N8</f>
        <v>0.25</v>
      </c>
      <c r="O9" s="83">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SUP_Supply</vt:lpstr>
      <vt:lpstr>SUP_Gen1</vt:lpstr>
      <vt:lpstr>SUP_Gen2</vt:lpstr>
      <vt:lpstr>SUP_Blending</vt:lpstr>
      <vt:lpstr>UPS_BiofuelAcct</vt:lpstr>
      <vt:lpstr>AGRBIO</vt:lpstr>
    </vt:vector>
  </TitlesOfParts>
  <Company>KanORS Consulting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Johanna Markkanen</cp:lastModifiedBy>
  <dcterms:created xsi:type="dcterms:W3CDTF">2005-06-03T09:41:13Z</dcterms:created>
  <dcterms:modified xsi:type="dcterms:W3CDTF">2025-11-03T08:07:33Z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lpwstr>727062404155731</vt:lpwstr>
  </property>
</Properties>
</file>