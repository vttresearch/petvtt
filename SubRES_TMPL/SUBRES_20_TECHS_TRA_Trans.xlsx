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IMES\MODELS\jrc\ZJULIUS\JRCEU\SubRES_TMPL\"/>
    </mc:Choice>
  </mc:AlternateContent>
  <bookViews>
    <workbookView xWindow="300" yWindow="225" windowWidth="26610" windowHeight="16590" tabRatio="909" activeTab="0"/>
  </bookViews>
  <sheets>
    <sheet name="INS_EFF" sheetId="31" r:id="rId3"/>
    <sheet name="INS_AF" sheetId="32" r:id="rId4"/>
    <sheet name="INS_FLO" sheetId="28" r:id="rId5"/>
    <sheet name="Fill Data" sheetId="25" r:id="rId6"/>
    <sheet name="RdTRABYVals" sheetId="27" r:id="rId7"/>
    <sheet name="Average km per veh" sheetId="29" r:id="rId8"/>
    <sheet name="FI FLEET" sheetId="30" r:id="rId9"/>
  </sheets>
  <externalReferences>
    <externalReference r:id="rId11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H40" authorId="0" shapeId="0" xr:uid="{00000000-0006-0000-0000-000001000000}">
      <text>
        <r>
          <rPr>
            <b/>
            <sz val="9"/>
            <rFont val="Tahoma"/>
            <family val="2"/>
          </rPr>
          <t>Johanna Markkanen:</t>
        </r>
        <r>
          <rPr>
            <sz val="9"/>
            <rFont val="Tahoma"/>
            <family val="2"/>
          </rPr>
          <t xml:space="preserve">
These need to be checked. Much higher than in ELIISA</t>
        </r>
      </text>
    </comment>
    <comment ref="H47" authorId="0" shapeId="0" xr:uid="{00000000-0006-0000-0000-000002000000}">
      <text>
        <r>
          <rPr>
            <b/>
            <sz val="9"/>
            <rFont val="Tahoma"/>
            <family val="2"/>
          </rPr>
          <t>Johanna Markkanen:</t>
        </r>
        <r>
          <rPr>
            <sz val="9"/>
            <rFont val="Tahoma"/>
            <family val="2"/>
          </rPr>
          <t xml:space="preserve">
These values are from ELIISA-model database, PEIKKO-scenarios</t>
        </r>
      </text>
    </comment>
    <comment ref="H145" authorId="0" shapeId="0" xr:uid="{00000000-0006-0000-0000-000003000000}">
      <text>
        <r>
          <rPr>
            <b/>
            <sz val="9"/>
            <rFont val="Tahoma"/>
            <family val="2"/>
          </rPr>
          <t>Johanna Markkanen:</t>
        </r>
        <r>
          <rPr>
            <sz val="9"/>
            <rFont val="Tahoma"/>
            <family val="2"/>
          </rPr>
          <t xml:space="preserve">
from eliisa2025: single_trailer_truck. needs to be updated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F4" authorId="0" shapeId="0" xr:uid="{00000000-0006-0000-0200-000001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10/7/2015
default values - will apply to regions with no value</t>
        </r>
      </text>
    </comment>
  </commentList>
</comments>
</file>

<file path=xl/sharedStrings.xml><?xml version="1.0" encoding="utf-8"?>
<sst xmlns="http://schemas.openxmlformats.org/spreadsheetml/2006/main" count="4801" uniqueCount="303">
  <si>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</si>
  <si>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</si>
  <si>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</si>
  <si>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</si>
  <si>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</si>
  <si>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</si>
  <si>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</si>
  <si>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</si>
  <si>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</si>
  <si>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</si>
  <si>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</si>
  <si>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HU</t>
  </si>
  <si>
    <t>IE</t>
  </si>
  <si>
    <t>IS</t>
  </si>
  <si>
    <t>LT</t>
  </si>
  <si>
    <t>LU</t>
  </si>
  <si>
    <t>LV</t>
  </si>
  <si>
    <t>MT</t>
  </si>
  <si>
    <t>NL</t>
  </si>
  <si>
    <t>NO</t>
  </si>
  <si>
    <t>PL</t>
  </si>
  <si>
    <t>PT</t>
  </si>
  <si>
    <t>RO</t>
  </si>
  <si>
    <t>SE</t>
  </si>
  <si>
    <t>SI</t>
  </si>
  <si>
    <t>SK</t>
  </si>
  <si>
    <t>UK</t>
  </si>
  <si>
    <t>IT</t>
  </si>
  <si>
    <t>ACTFLO</t>
  </si>
  <si>
    <t>EFF</t>
  </si>
  <si>
    <t>AF</t>
  </si>
  <si>
    <t>BG</t>
  </si>
  <si>
    <t>HR</t>
  </si>
  <si>
    <t>MK</t>
  </si>
  <si>
    <t>TimeSlice</t>
  </si>
  <si>
    <t>LimType</t>
  </si>
  <si>
    <t>Attribute</t>
  </si>
  <si>
    <t>Year</t>
  </si>
  <si>
    <t>Pset_PN</t>
  </si>
  <si>
    <t>Pset_CI</t>
  </si>
  <si>
    <t>Cset_CN</t>
  </si>
  <si>
    <t>AL</t>
  </si>
  <si>
    <t>ME</t>
  </si>
  <si>
    <t>RS</t>
  </si>
  <si>
    <t>Pset_CO</t>
  </si>
  <si>
    <t>BA</t>
  </si>
  <si>
    <t>KS</t>
  </si>
  <si>
    <t>AllRegions</t>
  </si>
  <si>
    <t>EL</t>
  </si>
  <si>
    <t>commodity</t>
  </si>
  <si>
    <t>TRA_Hdt_Gas</t>
  </si>
  <si>
    <t>scenario</t>
  </si>
  <si>
    <t>TRA_Hdt_Dis</t>
  </si>
  <si>
    <t>TRA_Bus_Lpg_Urb</t>
  </si>
  <si>
    <t>TRA_Bus_Lpg_Coa</t>
  </si>
  <si>
    <t>TRA_Bus_Dis_Urb</t>
  </si>
  <si>
    <t>TRA_Bus_Dis_Coa</t>
  </si>
  <si>
    <t>TRA_Car_Cng_Exe</t>
  </si>
  <si>
    <t>TRA_Car_Cng_Lom</t>
  </si>
  <si>
    <t>TRA_Car_Cng_Sma</t>
  </si>
  <si>
    <t>TRA_Car_Cng_Upm</t>
  </si>
  <si>
    <t>TRA_Car_Dis_Exe</t>
  </si>
  <si>
    <t>TRA_Car_Dis_Lom</t>
  </si>
  <si>
    <t>TRA_Car_Dis_Sma</t>
  </si>
  <si>
    <t>TRA_Car_Dis_Upm</t>
  </si>
  <si>
    <t>TRA_Car_Lpg_Exe</t>
  </si>
  <si>
    <t>TRA_Car_Lpg_Lom</t>
  </si>
  <si>
    <t>TRA_Car_Lpg_Sma</t>
  </si>
  <si>
    <t>TRA_Car_Lpg_Upm</t>
  </si>
  <si>
    <t>TBus,TCar,THDT,TLCV,TMop,TMot</t>
  </si>
  <si>
    <t>CAP2ACT</t>
  </si>
  <si>
    <t>TRA_Lcv_Cng</t>
  </si>
  <si>
    <t>attribute</t>
  </si>
  <si>
    <t>TRA*</t>
  </si>
  <si>
    <t>TRA_Bus_Gas_Urb</t>
  </si>
  <si>
    <t>TRA_Bus_Gas_Coa</t>
  </si>
  <si>
    <t>TRA_Car_Fle_Fue_Exe</t>
  </si>
  <si>
    <t>TRA_Car_Fle_Fue_Lom</t>
  </si>
  <si>
    <t>TRA_Car_Fle_Fue_Sma</t>
  </si>
  <si>
    <t>TRA_Car_Fle_Fue_Upm</t>
  </si>
  <si>
    <t>TRA_Car_Gas_Exe</t>
  </si>
  <si>
    <t>TRA_Car_Gas_Lom</t>
  </si>
  <si>
    <t>TRA_Car_Gas_Sma</t>
  </si>
  <si>
    <t>TRA_Car_Gas_Upm</t>
  </si>
  <si>
    <t>TRA_Car_Oth_Exe</t>
  </si>
  <si>
    <t>TRA_Car_Oth_Lom</t>
  </si>
  <si>
    <t>TRA_Car_Oth_Sma</t>
  </si>
  <si>
    <t>TRA_Car_Oth_Upm</t>
  </si>
  <si>
    <t>TRA_Bus*</t>
  </si>
  <si>
    <t>TRA_Car*</t>
  </si>
  <si>
    <t>TRA_Hdt*</t>
  </si>
  <si>
    <t>TRA_Lcv*</t>
  </si>
  <si>
    <t>TRA_Mop*</t>
  </si>
  <si>
    <t>TRA_Mot*</t>
  </si>
  <si>
    <t>PSET_PN</t>
  </si>
  <si>
    <t>Other_Indexes</t>
  </si>
  <si>
    <t>DEMO</t>
  </si>
  <si>
    <t>~TFM_INS</t>
  </si>
  <si>
    <t>TRA_Bus_Cng_Coa*</t>
  </si>
  <si>
    <t>TRA_Bus_Cng_Urb*</t>
  </si>
  <si>
    <t>TRA_Bus_Dis_Coa*</t>
  </si>
  <si>
    <t>TRA_Bus_Dis_Urb*</t>
  </si>
  <si>
    <t>TRA_Bus_Gas_Coa*</t>
  </si>
  <si>
    <t>TRA_Bus_Gas_Urb*</t>
  </si>
  <si>
    <t>TRA_Bus_Lpg_Coa*</t>
  </si>
  <si>
    <t>TRA_Bus_Lpg_Urb*</t>
  </si>
  <si>
    <t>TRA_Car_Cng_Exe*</t>
  </si>
  <si>
    <t>TRA_Car_Cng_Lom*</t>
  </si>
  <si>
    <t>TRA_Car_Cng_Sma*</t>
  </si>
  <si>
    <t>TRA_Car_Cng_Upm*</t>
  </si>
  <si>
    <t>TRA_Car_Dis_Exe*</t>
  </si>
  <si>
    <t>TRA_Car_Dis_Lom*</t>
  </si>
  <si>
    <t>TRA_Car_Dis_Sma*</t>
  </si>
  <si>
    <t>TRA_Car_Dis_Upm*</t>
  </si>
  <si>
    <t>TRA_Car_Fle_Fue_Exe*</t>
  </si>
  <si>
    <t>TRA_Car_Fle_Fue_Lom*</t>
  </si>
  <si>
    <t>TRA_Car_Fle_Fue_Sma*</t>
  </si>
  <si>
    <t>TRA_Car_Fle_Fue_Upm*</t>
  </si>
  <si>
    <t>TRA_Car_Gas_Exe*</t>
  </si>
  <si>
    <t>TRA_Car_Gas_Lom*</t>
  </si>
  <si>
    <t>TRA_Car_Gas_Sma*</t>
  </si>
  <si>
    <t>TRA_Car_Gas_Upm*</t>
  </si>
  <si>
    <t>TRA_Car_Lpg_Exe*</t>
  </si>
  <si>
    <t>TRA_Car_Lpg_Lom*</t>
  </si>
  <si>
    <t>TRA_Car_Lpg_Sma*</t>
  </si>
  <si>
    <t>TRA_Car_Lpg_Upm*</t>
  </si>
  <si>
    <t>TRA_Car_Oth_Exe*</t>
  </si>
  <si>
    <t>TRA_Car_Oth_Lom*</t>
  </si>
  <si>
    <t>TRA_Car_Oth_Sma*</t>
  </si>
  <si>
    <t>TRA_Car_Oth_Upm*</t>
  </si>
  <si>
    <t>TRA_Hdt_Dis*</t>
  </si>
  <si>
    <t>TRA_Hdt_Gas*</t>
  </si>
  <si>
    <t>TRA_Lcv_Cng*</t>
  </si>
  <si>
    <t>TRA_Lcv_Dis*</t>
  </si>
  <si>
    <t>TRA_Lcv_Gas*</t>
  </si>
  <si>
    <t>TRA_Lcv_Lpg*</t>
  </si>
  <si>
    <t>TRA_Mop_Gas*</t>
  </si>
  <si>
    <t>TRA_Mot_Gas*</t>
  </si>
  <si>
    <t>TRA_Car_PIH_Exe*</t>
  </si>
  <si>
    <t>TRA_Car_PIH_LoM*</t>
  </si>
  <si>
    <t>TRA_Car_PIH_Sma*</t>
  </si>
  <si>
    <t>TRA_Car_PIH_UpM*</t>
  </si>
  <si>
    <t>TRA_Car_GH2_Exe*</t>
  </si>
  <si>
    <t>TRA_Car_GH2_LoM*</t>
  </si>
  <si>
    <t>TRA_Car_GH2_Sma*</t>
  </si>
  <si>
    <t>TRA_Car_GH2_UpM*</t>
  </si>
  <si>
    <t>TRA_Bus_GH2_Coa*</t>
  </si>
  <si>
    <t>TRA_Bus_Eth_Coa*</t>
  </si>
  <si>
    <t>TRA_Bus_GH2_Urb*</t>
  </si>
  <si>
    <t>TRA_Bus_Eth_Urb*</t>
  </si>
  <si>
    <t>TRA_Car_Elc_Exe*</t>
  </si>
  <si>
    <t>TRA_Car_Elc_LoM*</t>
  </si>
  <si>
    <t>TRA_Car_Elc_Sma*</t>
  </si>
  <si>
    <t>TRA_Car_Elc_UpM*</t>
  </si>
  <si>
    <t>TRA_Car_LH2_Exe*</t>
  </si>
  <si>
    <t>TRA_Car_LH2_LoM*</t>
  </si>
  <si>
    <t>TRA_Car_LH2_Sma*</t>
  </si>
  <si>
    <t>TRA_Car_LH2_UpM*</t>
  </si>
  <si>
    <t>TRA_Lcv_GH2*</t>
  </si>
  <si>
    <t>TRA_Lcv_LH2*</t>
  </si>
  <si>
    <t>TRA_Lcv_Elc*</t>
  </si>
  <si>
    <t>TRA_Hdt_Cng*</t>
  </si>
  <si>
    <t>TRA_Hdt_GH2*</t>
  </si>
  <si>
    <t>TRA_Rai_Frt_Dis*</t>
  </si>
  <si>
    <t>TRA_Rai_Frt_Elc*</t>
  </si>
  <si>
    <t>TRA_Rai_Pas_Metro*</t>
  </si>
  <si>
    <t>TRA_Rai_Pas_Conv_Dis*</t>
  </si>
  <si>
    <t>TRA_Rai_Pas_Conv_Elc*</t>
  </si>
  <si>
    <t>TRA_Rai_Pas_Hspd*</t>
  </si>
  <si>
    <t>TBus,TCar,THDT,TLCV,TMop,Tmot,TRai_Frt,TRai_Pas_Conv,TRai_Pas_Hspd,TRai_Pas_Metro</t>
  </si>
  <si>
    <t>TRA_Mot_Elc*</t>
  </si>
  <si>
    <t>TRA_Mop_Elc*</t>
  </si>
  <si>
    <t>currency</t>
  </si>
  <si>
    <t>commodity_group</t>
  </si>
  <si>
    <t>year</t>
  </si>
  <si>
    <t>time_slice</t>
  </si>
  <si>
    <t>lim_type</t>
  </si>
  <si>
    <t>process</t>
  </si>
  <si>
    <t>TRA_Rai_Frt-Dsl*</t>
  </si>
  <si>
    <t>TRA_Rai_Frt-Elc*</t>
  </si>
  <si>
    <t>TRA_Rai_Pas_Conv-Elc*</t>
  </si>
  <si>
    <t>TRA_Rai_Pas_Conv-Dsl*</t>
  </si>
  <si>
    <t>TechName</t>
  </si>
  <si>
    <t>Comm-IN</t>
  </si>
  <si>
    <t>Comm-OUT</t>
  </si>
  <si>
    <t>TRAGAS</t>
  </si>
  <si>
    <t>TRADST</t>
  </si>
  <si>
    <t>TRAGSLSP95</t>
  </si>
  <si>
    <t>TRALPG</t>
  </si>
  <si>
    <t>TCar</t>
  </si>
  <si>
    <t>Exe</t>
  </si>
  <si>
    <t>Lom</t>
  </si>
  <si>
    <t>Sma</t>
  </si>
  <si>
    <t>Ump</t>
  </si>
  <si>
    <t>STOCK</t>
  </si>
  <si>
    <t>Km per veh</t>
  </si>
  <si>
    <t>Weighted average</t>
  </si>
  <si>
    <t>Product</t>
  </si>
  <si>
    <t>TRA_Rai_Pas_Conv-Elc</t>
  </si>
  <si>
    <t>TRA_Rai_Pas_Conv-Dsl</t>
  </si>
  <si>
    <t>TRA_Rai_Frt-Elc</t>
  </si>
  <si>
    <t>TRA_Rai_Frt-Dsl</t>
  </si>
  <si>
    <t>ANNUAL</t>
  </si>
  <si>
    <t>UP</t>
  </si>
  <si>
    <t>TRA_Mot_Gas</t>
  </si>
  <si>
    <t>TRA_Lcv_Dis</t>
  </si>
  <si>
    <t>TRA_Mop_Gas</t>
  </si>
  <si>
    <t>TRA_Lcv_Lpg</t>
  </si>
  <si>
    <t>TRA_Lcv_Gas</t>
  </si>
  <si>
    <t>BASE YEAR DATA 2010</t>
  </si>
  <si>
    <t>TRA_Bus_Cng*</t>
  </si>
  <si>
    <t>TRA_Bus_Dis*</t>
  </si>
  <si>
    <t>TRA_Bus_Gas*</t>
  </si>
  <si>
    <t>TRA_Bus_Lpg*</t>
  </si>
  <si>
    <t>TRA_Car_Cng*</t>
  </si>
  <si>
    <t>TRA_Car_Dis*</t>
  </si>
  <si>
    <t>TRA_Car_Fle_Fue*</t>
  </si>
  <si>
    <t>TRA_Car_Gas*</t>
  </si>
  <si>
    <t>TRA_Car_Lpg*</t>
  </si>
  <si>
    <t>TRA_Car_Oth*</t>
  </si>
  <si>
    <t>TRA_Car_Elc*</t>
  </si>
  <si>
    <t>TRA_Car_PIH*</t>
  </si>
  <si>
    <t>FUTURE YEAR DATA</t>
  </si>
  <si>
    <t>FI~2015</t>
  </si>
  <si>
    <t>FI~2020</t>
  </si>
  <si>
    <t>FI~2025</t>
  </si>
  <si>
    <t>FI~2030</t>
  </si>
  <si>
    <t>FI~2035</t>
  </si>
  <si>
    <t>FI~2040</t>
  </si>
  <si>
    <t>FI~2045</t>
  </si>
  <si>
    <t>FI~2050</t>
  </si>
  <si>
    <t>FI~0</t>
  </si>
  <si>
    <t>PRC_RESID</t>
  </si>
  <si>
    <t>TRA_Car_LH2</t>
  </si>
  <si>
    <t>TRA_Lcv_LH2</t>
  </si>
  <si>
    <t>TRA_Car_LH2*</t>
  </si>
  <si>
    <t>TRA_Bus_Cng_Urb</t>
  </si>
  <si>
    <t>2010</t>
  </si>
  <si>
    <t>-</t>
  </si>
  <si>
    <t>TRA_Bus_Cng_Coa</t>
  </si>
  <si>
    <t>BASE</t>
  </si>
  <si>
    <t>year2</t>
  </si>
  <si>
    <t>sow</t>
  </si>
  <si>
    <t>stage</t>
  </si>
  <si>
    <t>DeActTFM_INS</t>
  </si>
  <si>
    <t>work on this later</t>
  </si>
  <si>
    <t>old values</t>
  </si>
  <si>
    <t>Yearly efficiencies (Mkm/TJ)</t>
  </si>
  <si>
    <t>Buses</t>
  </si>
  <si>
    <t>TRA_Bus_Elc_Coa*</t>
  </si>
  <si>
    <t>TRA_Bus_Elc_Urb*</t>
  </si>
  <si>
    <t>Low and zero emission coaches</t>
  </si>
  <si>
    <t>Conventional coaches</t>
  </si>
  <si>
    <t>Conventional urban buses</t>
  </si>
  <si>
    <t>Low and zero emission urban buses</t>
  </si>
  <si>
    <t>Interpolation rule</t>
  </si>
  <si>
    <t>TRA_Rai*</t>
  </si>
  <si>
    <t>Cars</t>
  </si>
  <si>
    <t>Trucks</t>
  </si>
  <si>
    <t>Vans</t>
  </si>
  <si>
    <t>Mopeds</t>
  </si>
  <si>
    <t>Motorcycles</t>
  </si>
  <si>
    <t>Trains</t>
  </si>
  <si>
    <t>Vehicle</t>
  </si>
  <si>
    <t>Subvehicle</t>
  </si>
  <si>
    <t>Diesel</t>
  </si>
  <si>
    <t>Fuel</t>
  </si>
  <si>
    <t>Gasolene</t>
  </si>
  <si>
    <t>LPG</t>
  </si>
  <si>
    <t>CNG</t>
  </si>
  <si>
    <t>E85</t>
  </si>
  <si>
    <t>Hydrogen</t>
  </si>
  <si>
    <t>Electricity</t>
  </si>
  <si>
    <t>EFF-converter</t>
  </si>
  <si>
    <t>Used to convert 2*EFF into 1 EFF</t>
  </si>
  <si>
    <t/>
  </si>
  <si>
    <t>Yearly availability factors (tkm/year)</t>
  </si>
  <si>
    <t>Below: rows to modify</t>
  </si>
  <si>
    <t>Occupancy (p/vehicle or t/vehicle)</t>
  </si>
  <si>
    <t>Unit conversion</t>
  </si>
  <si>
    <t>TRA_Hdt_Elc*</t>
  </si>
  <si>
    <t>TRA_Hdt_Lpg*</t>
  </si>
  <si>
    <t>Conventional trucks</t>
  </si>
  <si>
    <t>Low and zero emission trucks</t>
  </si>
  <si>
    <t>TRA_Hdt_Dis_10</t>
  </si>
  <si>
    <t>TRA_Hdt_Dis,TRA_Hdt_Dis_01</t>
  </si>
  <si>
    <t>TRA_Hdt_Cng*,TRA_Hdt_Elc*,TRA_Hdt_GH2*,TRA_Hdt_Lpg*</t>
  </si>
  <si>
    <t>TRA_Avi_Frt_Extra-EU</t>
  </si>
  <si>
    <t>TRA_Avi_Frt_Intra-EU</t>
  </si>
  <si>
    <t>TRA_Avi_Pas_Dom</t>
  </si>
  <si>
    <t>TRA_Avi_Pas_Extra-EU</t>
  </si>
  <si>
    <t>TRA_Avi_Pas_Intra-EU</t>
  </si>
  <si>
    <t>Aviation</t>
  </si>
  <si>
    <t>Kerosene</t>
  </si>
  <si>
    <t>Passenger domestic</t>
  </si>
  <si>
    <t>Passenger Extra-EU</t>
  </si>
  <si>
    <t>Passenger Intra-EU</t>
  </si>
  <si>
    <t>Cargo Extra-EU</t>
  </si>
  <si>
    <t>Cargo Intra-EU</t>
  </si>
  <si>
    <t>~TFM_UPD</t>
  </si>
  <si>
    <t>~TFM_Fill-R: w=RdTRABYVals; Hcol=Region</t>
  </si>
  <si>
    <t>TRA_Rai_Pas_Hspd</t>
  </si>
  <si>
    <t>TRA_Rai_Pas_Metro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</si>
</sst>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_);_(* \(#,##0\);_(* &quot;-&quot;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0.0%"/>
    <numFmt numFmtId="168" formatCode="_-[$€-2]\ * #,##0.00_-;\-[$€-2]\ * #,##0.00_-;_-[$€-2]\ * &quot;-&quot;??_-"/>
    <numFmt numFmtId="169" formatCode="#,##0;\-\ #,##0;_-\ &quot;- &quot;"/>
    <numFmt numFmtId="170" formatCode="0.0"/>
    <numFmt numFmtId="171" formatCode="_([$€]* #,##0.00_);_([$€]* \(#,##0.00\);_([$€]* &quot;-&quot;??_);_(@_)"/>
    <numFmt numFmtId="172" formatCode="_ &quot;kr&quot;\ * #,##0_ ;_ &quot;kr&quot;\ * \-#,##0_ ;_ &quot;kr&quot;\ * &quot;-&quot;_ ;_ @_ "/>
    <numFmt numFmtId="173" formatCode="_ &quot;kr&quot;\ * #,##0.00_ ;_ &quot;kr&quot;\ * \-#,##0.00_ ;_ &quot;kr&quot;\ * &quot;-&quot;??_ ;_ @_ "/>
    <numFmt numFmtId="174" formatCode="_([$€-2]* #,##0.00_);_([$€-2]* \(#,##0.00\);_([$€-2]* &quot;-&quot;??_)"/>
    <numFmt numFmtId="175" formatCode="\(##\);\(##\)"/>
    <numFmt numFmtId="176" formatCode="#,##0.0"/>
    <numFmt numFmtId="177" formatCode="0.000"/>
  </numFmts>
  <fonts count="63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0"/>
      <name val="Helvetica"/>
      <family val="2"/>
    </font>
    <font>
      <sz val="8"/>
      <color indexed="9"/>
      <name val="Arial"/>
      <family val="2"/>
    </font>
    <font>
      <u val="single"/>
      <sz val="12"/>
      <color indexed="20"/>
      <name val="宋体"/>
      <family val="2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9"/>
      <name val="Tahoma"/>
      <family val="2"/>
    </font>
    <font>
      <b/>
      <sz val="9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70C0"/>
      <name val="Arial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rgb="FF9C6500"/>
      <name val="Arial"/>
      <family val="2"/>
    </font>
    <font>
      <sz val="10"/>
      <color rgb="FFFF0000"/>
      <name val="Arial"/>
      <family val="2"/>
    </font>
    <font>
      <sz val="12"/>
      <name val="Arial"/>
      <family val="2"/>
    </font>
    <font>
      <i/>
      <sz val="10"/>
      <color theme="0" tint="-0.499969989061356"/>
      <name val="Arial"/>
      <family val="2"/>
    </font>
  </fonts>
  <fills count="70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63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64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mediumGray">
        <fgColor indexed="9"/>
        <bgColor indexed="52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FDCE7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theme="0" tint="-0.0499799996614456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thick">
        <color theme="4"/>
      </bottom>
    </border>
    <border>
      <left/>
      <right/>
      <top/>
      <bottom style="thick">
        <color indexed="62"/>
      </bottom>
    </border>
    <border>
      <left/>
      <right/>
      <top/>
      <bottom style="thick">
        <color theme="4" tint="0.499980002641678"/>
      </bottom>
    </border>
    <border>
      <left/>
      <right/>
      <top/>
      <bottom style="thick">
        <color indexed="22"/>
      </bottom>
    </border>
    <border>
      <left/>
      <right/>
      <top/>
      <bottom style="medium">
        <color theme="4" tint="0.399980008602142"/>
      </bottom>
    </border>
    <border>
      <left/>
      <right/>
      <top/>
      <bottom style="medium">
        <color indexed="30"/>
      </bottom>
    </border>
    <border>
      <left/>
      <right/>
      <top/>
      <bottom style="double">
        <color rgb="FFFF8001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indexed="62"/>
      </top>
      <bottom style="double">
        <color indexed="62"/>
      </bottom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</borders>
  <cellStyleXfs count="37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8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38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38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38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38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38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38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38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38" fillId="20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38" fillId="2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38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0" fillId="0" borderId="0" applyNumberFormat="0" applyFont="0" applyFill="0" applyBorder="0" applyProtection="0">
      <alignment horizontal="left" vertical="center" indent="5"/>
    </xf>
    <xf numFmtId="0" fontId="39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39" fillId="2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39" fillId="27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9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39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39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39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39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39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39" fillId="40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39" fillId="4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8" fillId="31" borderId="0" applyNumberFormat="0" applyBorder="0" applyAlignment="0" applyProtection="0"/>
    <xf numFmtId="0" fontId="39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4" fontId="4" fillId="13" borderId="1">
      <alignment horizontal="right" vertical="center"/>
      <protection/>
    </xf>
    <xf numFmtId="4" fontId="4" fillId="13" borderId="1">
      <alignment horizontal="right" vertical="center"/>
      <protection/>
    </xf>
    <xf numFmtId="0" fontId="40" fillId="4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41" fillId="45" borderId="2" applyNumberFormat="0" applyAlignment="0" applyProtection="0"/>
    <xf numFmtId="0" fontId="10" fillId="46" borderId="3" applyNumberFormat="0" applyAlignment="0" applyProtection="0"/>
    <xf numFmtId="0" fontId="10" fillId="46" borderId="3" applyNumberFormat="0" applyAlignment="0" applyProtection="0"/>
    <xf numFmtId="0" fontId="10" fillId="46" borderId="3" applyNumberFormat="0" applyAlignment="0" applyProtection="0"/>
    <xf numFmtId="0" fontId="10" fillId="46" borderId="3" applyNumberFormat="0" applyAlignment="0" applyProtection="0"/>
    <xf numFmtId="0" fontId="42" fillId="47" borderId="4" applyNumberFormat="0" applyAlignment="0" applyProtection="0"/>
    <xf numFmtId="0" fontId="11" fillId="48" borderId="5" applyNumberFormat="0" applyAlignment="0" applyProtection="0"/>
    <xf numFmtId="0" fontId="11" fillId="48" borderId="5" applyNumberFormat="0" applyAlignment="0" applyProtection="0"/>
    <xf numFmtId="0" fontId="11" fillId="48" borderId="5" applyNumberFormat="0" applyAlignment="0" applyProtection="0"/>
    <xf numFmtId="0" fontId="11" fillId="48" borderId="5" applyNumberFormat="0" applyAlignment="0" applyProtection="0"/>
    <xf numFmtId="49" fontId="0" fillId="11" borderId="6">
      <alignment vertical="top" wrapText="1"/>
      <protection/>
    </xf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5" fontId="0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5" fillId="0" borderId="7">
      <alignment horizontal="left" vertical="center" wrapText="1" indent="2"/>
      <protection/>
    </xf>
    <xf numFmtId="3" fontId="28" fillId="0" borderId="6">
      <alignment horizontal="right" vertical="top"/>
      <protection/>
    </xf>
    <xf numFmtId="0" fontId="2" fillId="31" borderId="1">
      <alignment horizontal="centerContinuous" vertical="top" wrapText="1"/>
      <protection/>
    </xf>
    <xf numFmtId="0" fontId="29" fillId="0" borderId="0">
      <alignment vertical="top" wrapText="1"/>
      <protection/>
    </xf>
    <xf numFmtId="168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4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168" fontId="0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1" fontId="0" fillId="0" borderId="0" applyFont="0" applyFill="0" applyBorder="0" applyAlignment="0" applyProtection="0"/>
    <xf numFmtId="11" fontId="0" fillId="0" borderId="0" applyFont="0" applyFill="0" applyBorder="0" applyAlignment="0" applyProtection="0"/>
    <xf numFmtId="0" fontId="44" fillId="49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44" fillId="49" borderId="0" applyNumberFormat="0" applyBorder="0" applyAlignment="0" applyProtection="0"/>
    <xf numFmtId="0" fontId="13" fillId="7" borderId="0" applyNumberFormat="0" applyBorder="0" applyAlignment="0" applyProtection="0"/>
    <xf numFmtId="0" fontId="45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46" fillId="0" borderId="10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15" fillId="0" borderId="11" applyNumberFormat="0" applyFill="0" applyAlignment="0" applyProtection="0"/>
    <xf numFmtId="0" fontId="47" fillId="0" borderId="12" applyNumberFormat="0" applyFill="0" applyAlignment="0" applyProtection="0"/>
    <xf numFmtId="0" fontId="16" fillId="0" borderId="13" applyNumberFormat="0" applyFill="0" applyAlignment="0" applyProtection="0"/>
    <xf numFmtId="0" fontId="16" fillId="0" borderId="13" applyNumberFormat="0" applyFill="0" applyAlignment="0" applyProtection="0"/>
    <xf numFmtId="0" fontId="16" fillId="0" borderId="13" applyNumberFormat="0" applyFill="0" applyAlignment="0" applyProtection="0"/>
    <xf numFmtId="0" fontId="16" fillId="0" borderId="13" applyNumberFormat="0" applyFill="0" applyAlignment="0" applyProtection="0"/>
    <xf numFmtId="0" fontId="4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8" fillId="50" borderId="2" applyNumberFormat="0" applyAlignment="0" applyProtection="0"/>
    <xf numFmtId="0" fontId="17" fillId="13" borderId="3" applyNumberFormat="0" applyAlignment="0" applyProtection="0"/>
    <xf numFmtId="0" fontId="48" fillId="50" borderId="2" applyNumberFormat="0" applyAlignment="0" applyProtection="0"/>
    <xf numFmtId="0" fontId="17" fillId="13" borderId="3" applyNumberFormat="0" applyAlignment="0" applyProtection="0"/>
    <xf numFmtId="0" fontId="17" fillId="13" borderId="3" applyNumberFormat="0" applyAlignment="0" applyProtection="0"/>
    <xf numFmtId="0" fontId="17" fillId="13" borderId="3" applyNumberFormat="0" applyAlignment="0" applyProtection="0"/>
    <xf numFmtId="4" fontId="5" fillId="0" borderId="0" applyBorder="0">
      <alignment horizontal="right" vertical="center"/>
      <protection/>
    </xf>
    <xf numFmtId="0" fontId="30" fillId="0" borderId="0">
      <alignment/>
      <protection/>
    </xf>
    <xf numFmtId="0" fontId="49" fillId="0" borderId="14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18" fillId="0" borderId="15" applyNumberFormat="0" applyFill="0" applyAlignment="0" applyProtection="0"/>
    <xf numFmtId="0" fontId="50" fillId="51" borderId="0" applyNumberFormat="0" applyBorder="0" applyAlignment="0" applyProtection="0"/>
    <xf numFmtId="0" fontId="19" fillId="52" borderId="0" applyNumberFormat="0" applyBorder="0" applyAlignment="0" applyProtection="0"/>
    <xf numFmtId="0" fontId="19" fillId="52" borderId="0" applyNumberFormat="0" applyBorder="0" applyAlignment="0" applyProtection="0"/>
    <xf numFmtId="0" fontId="19" fillId="52" borderId="0" applyNumberFormat="0" applyBorder="0" applyAlignment="0" applyProtection="0"/>
    <xf numFmtId="0" fontId="19" fillId="52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38" fillId="0" borderId="0">
      <alignment/>
      <protection/>
    </xf>
    <xf numFmtId="0" fontId="3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38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7" fillId="0" borderId="0">
      <alignment/>
      <protection/>
    </xf>
    <xf numFmtId="0" fontId="7" fillId="0" borderId="0">
      <alignment/>
      <protection/>
    </xf>
    <xf numFmtId="0" fontId="38" fillId="0" borderId="0">
      <alignment/>
      <protection/>
    </xf>
    <xf numFmtId="0" fontId="7" fillId="0" borderId="0">
      <alignment/>
      <protection/>
    </xf>
    <xf numFmtId="0" fontId="38" fillId="0" borderId="0">
      <alignment/>
      <protection/>
    </xf>
    <xf numFmtId="0" fontId="7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38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7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38" fillId="0" borderId="0">
      <alignment/>
      <protection/>
    </xf>
    <xf numFmtId="4" fontId="5" fillId="0" borderId="1" applyFill="0" applyBorder="0" applyProtection="0">
      <alignment horizontal="right" vertical="center"/>
    </xf>
    <xf numFmtId="0" fontId="6" fillId="0" borderId="0" applyNumberFormat="0" applyFill="0" applyBorder="0" applyProtection="0">
      <alignment horizontal="left" vertical="center"/>
    </xf>
    <xf numFmtId="0" fontId="0" fillId="48" borderId="0" applyNumberFormat="0" applyFont="0" applyBorder="0" applyAlignment="0" applyProtection="0"/>
    <xf numFmtId="0" fontId="24" fillId="0" borderId="0">
      <alignment/>
      <protection/>
    </xf>
    <xf numFmtId="0" fontId="7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0" fillId="53" borderId="16" applyNumberFormat="0" applyFont="0" applyAlignment="0" applyProtection="0"/>
    <xf numFmtId="0" fontId="38" fillId="54" borderId="17" applyNumberFormat="0" applyFont="0" applyAlignment="0" applyProtection="0"/>
    <xf numFmtId="175" fontId="31" fillId="0" borderId="0">
      <alignment horizontal="right"/>
      <protection/>
    </xf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169" fontId="0" fillId="0" borderId="0" applyFont="0" applyFill="0" applyBorder="0" applyAlignment="0" applyProtection="0"/>
    <xf numFmtId="0" fontId="51" fillId="45" borderId="18" applyNumberFormat="0" applyAlignment="0" applyProtection="0"/>
    <xf numFmtId="0" fontId="20" fillId="46" borderId="19" applyNumberFormat="0" applyAlignment="0" applyProtection="0"/>
    <xf numFmtId="0" fontId="20" fillId="46" borderId="19" applyNumberFormat="0" applyAlignment="0" applyProtection="0"/>
    <xf numFmtId="0" fontId="20" fillId="46" borderId="19" applyNumberFormat="0" applyAlignment="0" applyProtection="0"/>
    <xf numFmtId="0" fontId="20" fillId="46" borderId="19" applyNumberFormat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8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72" fontId="25" fillId="0" borderId="0" applyFont="0" applyFill="0" applyBorder="0" applyAlignment="0" applyProtection="0"/>
    <xf numFmtId="0" fontId="29" fillId="0" borderId="0">
      <alignment vertical="top" wrapText="1"/>
      <protection/>
    </xf>
    <xf numFmtId="0" fontId="29" fillId="0" borderId="0">
      <alignment vertical="top" wrapText="1"/>
      <protection/>
    </xf>
    <xf numFmtId="0" fontId="29" fillId="0" borderId="0">
      <alignment vertical="top" wrapText="1"/>
      <protection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2" fillId="55" borderId="1" applyNumberFormat="0" applyProtection="0">
      <alignment horizontal="right"/>
    </xf>
    <xf numFmtId="0" fontId="3" fillId="55" borderId="0" applyNumberFormat="0" applyBorder="0" applyProtection="0">
      <alignment horizontal="left"/>
    </xf>
    <xf numFmtId="0" fontId="2" fillId="55" borderId="1" applyNumberFormat="0" applyProtection="0">
      <alignment horizontal="left"/>
    </xf>
    <xf numFmtId="0" fontId="0" fillId="0" borderId="1" applyNumberFormat="0" applyFill="0" applyProtection="0">
      <alignment horizontal="right"/>
    </xf>
    <xf numFmtId="0" fontId="0" fillId="0" borderId="1" applyNumberFormat="0" applyFill="0" applyProtection="0">
      <alignment horizontal="right"/>
    </xf>
    <xf numFmtId="0" fontId="26" fillId="35" borderId="0" applyNumberFormat="0" applyBorder="0" applyProtection="0">
      <alignment horizontal="left"/>
    </xf>
    <xf numFmtId="176" fontId="32" fillId="56" borderId="20">
      <alignment vertical="center"/>
      <protection/>
    </xf>
    <xf numFmtId="167" fontId="33" fillId="56" borderId="20">
      <alignment vertical="center"/>
      <protection/>
    </xf>
    <xf numFmtId="176" fontId="34" fillId="57" borderId="20">
      <alignment vertical="center"/>
      <protection/>
    </xf>
    <xf numFmtId="0" fontId="0" fillId="58" borderId="21" applyBorder="0">
      <alignment horizontal="left" vertical="center"/>
      <protection/>
    </xf>
    <xf numFmtId="49" fontId="0" fillId="59" borderId="1">
      <alignment vertical="center" wrapText="1"/>
      <protection/>
    </xf>
    <xf numFmtId="0" fontId="0" fillId="60" borderId="22">
      <alignment horizontal="left" vertical="center" wrapText="1"/>
      <protection/>
    </xf>
    <xf numFmtId="0" fontId="35" fillId="61" borderId="1">
      <alignment horizontal="left" vertical="center" wrapText="1"/>
      <protection/>
    </xf>
    <xf numFmtId="0" fontId="0" fillId="33" borderId="1">
      <alignment horizontal="left" vertical="center" wrapText="1"/>
      <protection/>
    </xf>
    <xf numFmtId="0" fontId="0" fillId="62" borderId="1">
      <alignment horizontal="left" vertical="center" wrapText="1"/>
      <protection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23" applyNumberFormat="0" applyFill="0" applyAlignment="0" applyProtection="0"/>
    <xf numFmtId="0" fontId="22" fillId="0" borderId="24" applyNumberFormat="0" applyFill="0" applyAlignment="0" applyProtection="0"/>
    <xf numFmtId="0" fontId="22" fillId="0" borderId="24" applyNumberFormat="0" applyFill="0" applyAlignment="0" applyProtection="0"/>
    <xf numFmtId="0" fontId="22" fillId="0" borderId="24" applyNumberFormat="0" applyFill="0" applyAlignment="0" applyProtection="0"/>
    <xf numFmtId="0" fontId="22" fillId="0" borderId="24" applyNumberFormat="0" applyFill="0" applyAlignment="0" applyProtection="0"/>
    <xf numFmtId="173" fontId="25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" fontId="5" fillId="0" borderId="0">
      <alignment/>
      <protection/>
    </xf>
    <xf numFmtId="0" fontId="27" fillId="0" borderId="0" applyNumberFormat="0" applyFill="0" applyBorder="0" applyProtection="0">
      <alignment/>
    </xf>
  </cellStyleXfs>
  <cellXfs count="97">
    <xf numFmtId="0" fontId="0" fillId="0" borderId="0" xfId="0"/>
    <xf numFmtId="0" fontId="0" fillId="0" borderId="0" xfId="0" applyFont="1"/>
    <xf numFmtId="2" fontId="0" fillId="0" borderId="0" xfId="0" applyNumberFormat="1"/>
    <xf numFmtId="0" fontId="55" fillId="0" borderId="0" xfId="0" applyFont="1"/>
    <xf numFmtId="0" fontId="0" fillId="0" borderId="25" xfId="0" applyBorder="1"/>
    <xf numFmtId="1" fontId="56" fillId="2" borderId="26" xfId="237" applyNumberFormat="1" applyFont="1" applyFill="1" applyBorder="1" applyAlignment="1">
      <alignment horizontal="right" vertical="center"/>
      <protection/>
    </xf>
    <xf numFmtId="170" fontId="0" fillId="0" borderId="0" xfId="0" applyNumberFormat="1"/>
    <xf numFmtId="1" fontId="0" fillId="0" borderId="0" xfId="0" applyNumberFormat="1"/>
    <xf numFmtId="0" fontId="38" fillId="0" borderId="0" xfId="237">
      <alignment/>
      <protection/>
    </xf>
    <xf numFmtId="1" fontId="38" fillId="0" borderId="0" xfId="237" applyNumberFormat="1">
      <alignment/>
      <protection/>
    </xf>
    <xf numFmtId="0" fontId="56" fillId="54" borderId="26" xfId="237" applyFont="1" applyFill="1" applyBorder="1" applyAlignment="1">
      <alignment vertical="center"/>
      <protection/>
    </xf>
    <xf numFmtId="1" fontId="56" fillId="2" borderId="26" xfId="237" applyNumberFormat="1" applyFont="1" applyFill="1" applyBorder="1" applyAlignment="1">
      <alignment vertical="center"/>
      <protection/>
    </xf>
    <xf numFmtId="0" fontId="57" fillId="63" borderId="0" xfId="0" applyFont="1" applyFill="1"/>
    <xf numFmtId="0" fontId="53" fillId="0" borderId="0" xfId="0" applyFont="1"/>
    <xf numFmtId="0" fontId="53" fillId="30" borderId="25" xfId="0" applyFont="1" applyFill="1" applyBorder="1"/>
    <xf numFmtId="0" fontId="53" fillId="14" borderId="25" xfId="0" applyFont="1" applyFill="1" applyBorder="1"/>
    <xf numFmtId="0" fontId="53" fillId="14" borderId="0" xfId="0" applyFont="1" applyFill="1"/>
    <xf numFmtId="3" fontId="0" fillId="0" borderId="0" xfId="0" applyNumberFormat="1"/>
    <xf numFmtId="0" fontId="0" fillId="0" borderId="0" xfId="0" applyFont="1"/>
    <xf numFmtId="0" fontId="0" fillId="64" borderId="0" xfId="0" applyFill="1"/>
    <xf numFmtId="0" fontId="0" fillId="65" borderId="0" xfId="0" applyFill="1"/>
    <xf numFmtId="0" fontId="0" fillId="65" borderId="25" xfId="0" applyFill="1" applyBorder="1"/>
    <xf numFmtId="0" fontId="3" fillId="0" borderId="0" xfId="0" applyFont="1"/>
    <xf numFmtId="0" fontId="2" fillId="65" borderId="25" xfId="0" applyFont="1" applyFill="1" applyBorder="1"/>
    <xf numFmtId="0" fontId="58" fillId="0" borderId="0" xfId="227" applyFont="1" applyFill="1"/>
    <xf numFmtId="0" fontId="58" fillId="0" borderId="0" xfId="227" applyFont="1" applyFill="1" applyBorder="1"/>
    <xf numFmtId="0" fontId="58" fillId="0" borderId="25" xfId="227" applyFont="1" applyFill="1" applyBorder="1"/>
    <xf numFmtId="0" fontId="0" fillId="66" borderId="0" xfId="0" applyFill="1"/>
    <xf numFmtId="0" fontId="0" fillId="66" borderId="0" xfId="0" applyFont="1" applyFill="1"/>
    <xf numFmtId="0" fontId="0" fillId="66" borderId="0" xfId="0" applyFont="1" applyFill="1"/>
    <xf numFmtId="0" fontId="0" fillId="67" borderId="0" xfId="0" applyFill="1"/>
    <xf numFmtId="0" fontId="0" fillId="67" borderId="0" xfId="0" applyFont="1" applyFill="1"/>
    <xf numFmtId="0" fontId="0" fillId="67" borderId="0" xfId="0" applyFont="1" applyFill="1"/>
    <xf numFmtId="0" fontId="1" fillId="67" borderId="0" xfId="227" applyFont="1" applyFill="1" applyAlignment="1">
      <alignment vertical="center"/>
    </xf>
    <xf numFmtId="0" fontId="0" fillId="67" borderId="0" xfId="189" applyFont="1" applyFill="1" applyBorder="1"/>
    <xf numFmtId="0" fontId="1" fillId="68" borderId="0" xfId="227" applyFont="1" applyFill="1" applyAlignment="1">
      <alignment vertical="center"/>
    </xf>
    <xf numFmtId="0" fontId="0" fillId="68" borderId="0" xfId="0" applyFill="1"/>
    <xf numFmtId="0" fontId="0" fillId="68" borderId="0" xfId="0" applyFont="1" applyFill="1"/>
    <xf numFmtId="0" fontId="0" fillId="68" borderId="0" xfId="0" applyFont="1" applyFill="1"/>
    <xf numFmtId="0" fontId="0" fillId="67" borderId="0" xfId="0" applyFont="1" applyFill="1" applyAlignment="1">
      <alignment horizontal="left"/>
    </xf>
    <xf numFmtId="0" fontId="0" fillId="66" borderId="0" xfId="0" applyFont="1" applyFill="1" applyAlignment="1">
      <alignment horizontal="left"/>
    </xf>
    <xf numFmtId="0" fontId="0" fillId="66" borderId="0" xfId="0" applyFill="1" applyAlignment="1">
      <alignment horizontal="left" vertical="center"/>
    </xf>
    <xf numFmtId="0" fontId="0" fillId="66" borderId="0" xfId="0" applyFill="1" applyAlignment="1">
      <alignment horizontal="left"/>
    </xf>
    <xf numFmtId="0" fontId="2" fillId="67" borderId="0" xfId="0" applyFont="1" applyFill="1"/>
    <xf numFmtId="0" fontId="0" fillId="67" borderId="0" xfId="0" applyFill="1" applyAlignment="1">
      <alignment horizontal="right"/>
    </xf>
    <xf numFmtId="0" fontId="1" fillId="67" borderId="25" xfId="227" applyFont="1" applyFill="1" applyBorder="1" applyAlignment="1">
      <alignment vertical="center"/>
    </xf>
    <xf numFmtId="0" fontId="0" fillId="67" borderId="25" xfId="0" applyFill="1" applyBorder="1"/>
    <xf numFmtId="0" fontId="0" fillId="67" borderId="25" xfId="0" applyFont="1" applyFill="1" applyBorder="1"/>
    <xf numFmtId="0" fontId="0" fillId="67" borderId="25" xfId="0" applyFont="1" applyFill="1" applyBorder="1" applyAlignment="1">
      <alignment horizontal="left"/>
    </xf>
    <xf numFmtId="0" fontId="2" fillId="67" borderId="25" xfId="0" applyFont="1" applyFill="1" applyBorder="1"/>
    <xf numFmtId="0" fontId="2" fillId="0" borderId="25" xfId="0" applyFont="1" applyBorder="1"/>
    <xf numFmtId="0" fontId="0" fillId="67" borderId="25" xfId="0" applyFont="1" applyFill="1" applyBorder="1"/>
    <xf numFmtId="0" fontId="0" fillId="66" borderId="25" xfId="0" applyFont="1" applyFill="1" applyBorder="1"/>
    <xf numFmtId="0" fontId="0" fillId="66" borderId="25" xfId="0" applyFill="1" applyBorder="1"/>
    <xf numFmtId="0" fontId="0" fillId="66" borderId="25" xfId="0" applyFont="1" applyFill="1" applyBorder="1"/>
    <xf numFmtId="0" fontId="0" fillId="66" borderId="25" xfId="0" applyFont="1" applyFill="1" applyBorder="1" applyAlignment="1">
      <alignment horizontal="left"/>
    </xf>
    <xf numFmtId="0" fontId="0" fillId="67" borderId="25" xfId="189" applyFont="1" applyFill="1" applyBorder="1"/>
    <xf numFmtId="0" fontId="0" fillId="66" borderId="25" xfId="0" applyFill="1" applyBorder="1" applyAlignment="1">
      <alignment horizontal="left" vertical="center"/>
    </xf>
    <xf numFmtId="0" fontId="0" fillId="68" borderId="25" xfId="0" applyFont="1" applyFill="1" applyBorder="1"/>
    <xf numFmtId="0" fontId="1" fillId="68" borderId="25" xfId="227" applyFont="1" applyFill="1" applyBorder="1" applyAlignment="1">
      <alignment vertical="center"/>
    </xf>
    <xf numFmtId="0" fontId="0" fillId="68" borderId="25" xfId="0" applyFill="1" applyBorder="1"/>
    <xf numFmtId="0" fontId="0" fillId="68" borderId="25" xfId="0" applyFont="1" applyFill="1" applyBorder="1"/>
    <xf numFmtId="0" fontId="2" fillId="65" borderId="25" xfId="0" applyFont="1" applyFill="1" applyBorder="1" quotePrefix="1"/>
    <xf numFmtId="0" fontId="0" fillId="0" borderId="25" xfId="0" applyFont="1" applyBorder="1"/>
    <xf numFmtId="0" fontId="2" fillId="0" borderId="0" xfId="0" applyFont="1"/>
    <xf numFmtId="0" fontId="0" fillId="65" borderId="0" xfId="0" applyFont="1" applyFill="1"/>
    <xf numFmtId="2" fontId="0" fillId="0" borderId="0" xfId="0" applyNumberFormat="1" applyFont="1"/>
    <xf numFmtId="2" fontId="0" fillId="65" borderId="0" xfId="0" applyNumberFormat="1" applyFont="1" applyFill="1"/>
    <xf numFmtId="0" fontId="59" fillId="51" borderId="0" xfId="227" applyFont="1"/>
    <xf numFmtId="0" fontId="0" fillId="68" borderId="0" xfId="0" applyFont="1" applyFill="1" applyAlignment="1">
      <alignment horizontal="left"/>
    </xf>
    <xf numFmtId="0" fontId="0" fillId="68" borderId="25" xfId="0" applyFont="1" applyFill="1" applyBorder="1" applyAlignment="1">
      <alignment horizontal="left"/>
    </xf>
    <xf numFmtId="0" fontId="0" fillId="68" borderId="0" xfId="0" applyFont="1" applyFill="1" applyAlignment="1">
      <alignment horizontal="left"/>
    </xf>
    <xf numFmtId="0" fontId="60" fillId="68" borderId="0" xfId="0" applyFont="1" applyFill="1"/>
    <xf numFmtId="0" fontId="59" fillId="0" borderId="0" xfId="227" applyFont="1" applyFill="1"/>
    <xf numFmtId="0" fontId="1" fillId="0" borderId="0" xfId="237" applyFont="1">
      <alignment/>
      <protection/>
    </xf>
    <xf numFmtId="0" fontId="1" fillId="0" borderId="0" xfId="237" applyFont="1" applyAlignment="1">
      <alignment horizontal="right"/>
      <protection/>
    </xf>
    <xf numFmtId="1" fontId="1" fillId="0" borderId="0" xfId="237" applyNumberFormat="1" applyFont="1">
      <alignment/>
      <protection/>
    </xf>
    <xf numFmtId="170" fontId="1" fillId="0" borderId="0" xfId="237" applyNumberFormat="1" applyFont="1">
      <alignment/>
      <protection/>
    </xf>
    <xf numFmtId="0" fontId="61" fillId="0" borderId="0" xfId="0" applyFont="1"/>
    <xf numFmtId="0" fontId="0" fillId="67" borderId="0" xfId="0" applyFill="1" applyAlignment="1">
      <alignment horizontal="left"/>
    </xf>
    <xf numFmtId="0" fontId="62" fillId="67" borderId="0" xfId="0" applyFont="1" applyFill="1"/>
    <xf numFmtId="0" fontId="62" fillId="67" borderId="25" xfId="0" applyFont="1" applyFill="1" applyBorder="1"/>
    <xf numFmtId="0" fontId="62" fillId="66" borderId="0" xfId="0" applyFont="1" applyFill="1"/>
    <xf numFmtId="0" fontId="62" fillId="66" borderId="25" xfId="0" applyFont="1" applyFill="1" applyBorder="1"/>
    <xf numFmtId="1" fontId="56" fillId="2" borderId="26" xfId="0" applyNumberFormat="1" applyFont="1" applyFill="1" applyBorder="1" applyAlignment="1">
      <alignment vertical="center"/>
    </xf>
    <xf numFmtId="0" fontId="0" fillId="69" borderId="0" xfId="0" applyFont="1" applyFill="1"/>
    <xf numFmtId="2" fontId="0" fillId="69" borderId="0" xfId="0" applyNumberFormat="1" applyFont="1" applyFill="1"/>
    <xf numFmtId="177" fontId="0" fillId="0" borderId="0" xfId="0" applyNumberFormat="1"/>
    <xf numFmtId="0" fontId="0" fillId="66" borderId="0" xfId="0" applyFont="1" applyFill="1" applyAlignment="1">
      <alignment horizontal="left"/>
    </xf>
    <xf numFmtId="0" fontId="0" fillId="66" borderId="25" xfId="0" applyFont="1" applyFill="1" applyBorder="1" applyAlignment="1">
      <alignment horizontal="left"/>
    </xf>
    <xf numFmtId="0" fontId="0" fillId="68" borderId="0" xfId="0" applyFont="1" applyFill="1" applyBorder="1"/>
    <xf numFmtId="0" fontId="1" fillId="68" borderId="0" xfId="227" applyFont="1" applyFill="1" applyBorder="1" applyAlignment="1">
      <alignment vertical="center"/>
    </xf>
    <xf numFmtId="0" fontId="0" fillId="68" borderId="0" xfId="0" applyFill="1" applyBorder="1"/>
    <xf numFmtId="0" fontId="0" fillId="68" borderId="0" xfId="0" applyFont="1" applyFill="1" applyBorder="1"/>
    <xf numFmtId="0" fontId="0" fillId="68" borderId="0" xfId="0" applyFont="1" applyFill="1" applyBorder="1" applyAlignment="1">
      <alignment horizontal="left"/>
    </xf>
    <xf numFmtId="2" fontId="50" fillId="51" borderId="0" xfId="227" applyNumberFormat="1"/>
    <xf numFmtId="2" fontId="50" fillId="51" borderId="0" xfId="227" applyNumberFormat="1" applyBorder="1"/>
  </cellXfs>
  <cellStyles count="36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1" xfId="20" builtinId="30"/>
    <cellStyle name="20% - Accent1 2" xfId="21"/>
    <cellStyle name="20% - Accent1 3" xfId="22"/>
    <cellStyle name="20% - Accent1 4" xfId="23"/>
    <cellStyle name="20% - Accent1 5" xfId="24"/>
    <cellStyle name="20% - Accent2" xfId="25" builtinId="34"/>
    <cellStyle name="20% - Accent2 2" xfId="26"/>
    <cellStyle name="20% - Accent2 3" xfId="27"/>
    <cellStyle name="20% - Accent2 4" xfId="28"/>
    <cellStyle name="20% - Accent2 5" xfId="29"/>
    <cellStyle name="20% - Accent3" xfId="30" builtinId="38"/>
    <cellStyle name="20% - Accent3 2" xfId="31"/>
    <cellStyle name="20% - Accent3 3" xfId="32"/>
    <cellStyle name="20% - Accent3 4" xfId="33"/>
    <cellStyle name="20% - Accent3 5" xfId="34"/>
    <cellStyle name="20% - Accent4" xfId="35" builtinId="42"/>
    <cellStyle name="20% - Accent4 2" xfId="36"/>
    <cellStyle name="20% - Accent4 3" xfId="37"/>
    <cellStyle name="20% - Accent4 4" xfId="38"/>
    <cellStyle name="20% - Accent4 5" xfId="39"/>
    <cellStyle name="20% - Accent5" xfId="40" builtinId="46"/>
    <cellStyle name="20% - Accent5 2" xfId="41"/>
    <cellStyle name="20% - Accent5 3" xfId="42"/>
    <cellStyle name="20% - Accent5 4" xfId="43"/>
    <cellStyle name="20% - Accent5 5" xfId="44"/>
    <cellStyle name="20% - Accent6" xfId="45" builtinId="50"/>
    <cellStyle name="20% - Accent6 2" xfId="46"/>
    <cellStyle name="20% - Accent6 3" xfId="47"/>
    <cellStyle name="20% - Accent6 4" xfId="48"/>
    <cellStyle name="20% - Accent6 5" xfId="49"/>
    <cellStyle name="40% - Accent1" xfId="50" builtinId="31"/>
    <cellStyle name="40% - Accent1 2" xfId="51"/>
    <cellStyle name="40% - Accent1 3" xfId="52"/>
    <cellStyle name="40% - Accent1 4" xfId="53"/>
    <cellStyle name="40% - Accent1 5" xfId="54"/>
    <cellStyle name="40% - Accent2" xfId="55" builtinId="35"/>
    <cellStyle name="40% - Accent2 2" xfId="56"/>
    <cellStyle name="40% - Accent2 3" xfId="57"/>
    <cellStyle name="40% - Accent2 4" xfId="58"/>
    <cellStyle name="40% - Accent2 5" xfId="59"/>
    <cellStyle name="40% - Accent3" xfId="60" builtinId="39"/>
    <cellStyle name="40% - Accent3 2" xfId="61"/>
    <cellStyle name="40% - Accent3 3" xfId="62"/>
    <cellStyle name="40% - Accent3 4" xfId="63"/>
    <cellStyle name="40% - Accent3 5" xfId="64"/>
    <cellStyle name="40% - Accent4" xfId="65" builtinId="43"/>
    <cellStyle name="40% - Accent4 2" xfId="66"/>
    <cellStyle name="40% - Accent4 3" xfId="67"/>
    <cellStyle name="40% - Accent4 4" xfId="68"/>
    <cellStyle name="40% - Accent4 5" xfId="69"/>
    <cellStyle name="40% - Accent5" xfId="70" builtinId="47"/>
    <cellStyle name="40% - Accent5 2" xfId="71"/>
    <cellStyle name="40% - Accent5 3" xfId="72"/>
    <cellStyle name="40% - Accent5 4" xfId="73"/>
    <cellStyle name="40% - Accent5 5" xfId="74"/>
    <cellStyle name="40% - Accent6" xfId="75" builtinId="51"/>
    <cellStyle name="40% - Accent6 2" xfId="76"/>
    <cellStyle name="40% - Accent6 3" xfId="77"/>
    <cellStyle name="40% - Accent6 4" xfId="78"/>
    <cellStyle name="40% - Accent6 5" xfId="79"/>
    <cellStyle name="5x indented GHG Textfiels" xfId="80"/>
    <cellStyle name="60% - Accent1" xfId="81" builtinId="32"/>
    <cellStyle name="60% - Accent1 2" xfId="82"/>
    <cellStyle name="60% - Accent1 3" xfId="83"/>
    <cellStyle name="60% - Accent1 4" xfId="84"/>
    <cellStyle name="60% - Accent1 5" xfId="85"/>
    <cellStyle name="60% - Accent2" xfId="86" builtinId="36"/>
    <cellStyle name="60% - Accent2 2" xfId="87"/>
    <cellStyle name="60% - Accent2 3" xfId="88"/>
    <cellStyle name="60% - Accent2 4" xfId="89"/>
    <cellStyle name="60% - Accent2 5" xfId="90"/>
    <cellStyle name="60% - Accent3" xfId="91" builtinId="40"/>
    <cellStyle name="60% - Accent3 2" xfId="92"/>
    <cellStyle name="60% - Accent3 3" xfId="93"/>
    <cellStyle name="60% - Accent3 4" xfId="94"/>
    <cellStyle name="60% - Accent3 5" xfId="95"/>
    <cellStyle name="60% - Accent4" xfId="96" builtinId="44"/>
    <cellStyle name="60% - Accent4 2" xfId="97"/>
    <cellStyle name="60% - Accent4 3" xfId="98"/>
    <cellStyle name="60% - Accent4 4" xfId="99"/>
    <cellStyle name="60% - Accent4 5" xfId="100"/>
    <cellStyle name="60% - Accent5" xfId="101" builtinId="48"/>
    <cellStyle name="60% - Accent5 2" xfId="102"/>
    <cellStyle name="60% - Accent5 3" xfId="103"/>
    <cellStyle name="60% - Accent5 4" xfId="104"/>
    <cellStyle name="60% - Accent5 5" xfId="105"/>
    <cellStyle name="60% - Accent6" xfId="106" builtinId="52"/>
    <cellStyle name="60% - Accent6 2" xfId="107"/>
    <cellStyle name="60% - Accent6 3" xfId="108"/>
    <cellStyle name="60% - Accent6 4" xfId="109"/>
    <cellStyle name="60% - Accent6 5" xfId="110"/>
    <cellStyle name="Accent1" xfId="111" builtinId="29"/>
    <cellStyle name="Accent1 2" xfId="112"/>
    <cellStyle name="Accent1 3" xfId="113"/>
    <cellStyle name="Accent1 4" xfId="114"/>
    <cellStyle name="Accent1 5" xfId="115"/>
    <cellStyle name="Accent2" xfId="116" builtinId="33"/>
    <cellStyle name="Accent2 2" xfId="117"/>
    <cellStyle name="Accent2 3" xfId="118"/>
    <cellStyle name="Accent2 4" xfId="119"/>
    <cellStyle name="Accent2 5" xfId="120"/>
    <cellStyle name="Accent3" xfId="121" builtinId="37"/>
    <cellStyle name="Accent3 2" xfId="122"/>
    <cellStyle name="Accent3 3" xfId="123"/>
    <cellStyle name="Accent3 4" xfId="124"/>
    <cellStyle name="Accent3 5" xfId="125"/>
    <cellStyle name="Accent4" xfId="126" builtinId="41"/>
    <cellStyle name="Accent4 2" xfId="127"/>
    <cellStyle name="Accent4 3" xfId="128"/>
    <cellStyle name="Accent4 4" xfId="129"/>
    <cellStyle name="Accent4 5" xfId="130"/>
    <cellStyle name="Accent5" xfId="131" builtinId="45"/>
    <cellStyle name="Accent5 2" xfId="132"/>
    <cellStyle name="Accent5 3" xfId="133"/>
    <cellStyle name="Accent5 4" xfId="134"/>
    <cellStyle name="Accent5 5" xfId="135"/>
    <cellStyle name="Accent6" xfId="136" builtinId="49"/>
    <cellStyle name="Accent6 2" xfId="137"/>
    <cellStyle name="Accent6 3" xfId="138"/>
    <cellStyle name="Accent6 4" xfId="139"/>
    <cellStyle name="Accent6 5" xfId="140"/>
    <cellStyle name="AggOrange_CRFReport-template" xfId="141"/>
    <cellStyle name="AggOrange9_CRFReport-template" xfId="142"/>
    <cellStyle name="Bad" xfId="143" builtinId="27"/>
    <cellStyle name="Bad 2" xfId="144"/>
    <cellStyle name="Bad 3" xfId="145"/>
    <cellStyle name="Bad 4" xfId="146"/>
    <cellStyle name="Bad 5" xfId="147"/>
    <cellStyle name="Calculation" xfId="148" builtinId="22"/>
    <cellStyle name="Calculation 2" xfId="149"/>
    <cellStyle name="Calculation 3" xfId="150"/>
    <cellStyle name="Calculation 4" xfId="151"/>
    <cellStyle name="Calculation 5" xfId="152"/>
    <cellStyle name="Check Cell" xfId="153" builtinId="23"/>
    <cellStyle name="Check Cell 2" xfId="154"/>
    <cellStyle name="Check Cell 3" xfId="155"/>
    <cellStyle name="Check Cell 4" xfId="156"/>
    <cellStyle name="Check Cell 5" xfId="157"/>
    <cellStyle name="coin" xfId="158"/>
    <cellStyle name="Comma 2" xfId="159"/>
    <cellStyle name="Comma 2 2" xfId="160"/>
    <cellStyle name="Comma 2 3" xfId="161"/>
    <cellStyle name="Comma 2 3 2" xfId="162"/>
    <cellStyle name="Comma 2 4" xfId="163"/>
    <cellStyle name="Comma 2 4 2" xfId="164"/>
    <cellStyle name="Comma 2 4 3" xfId="165"/>
    <cellStyle name="Currency 2" xfId="166"/>
    <cellStyle name="CustomizationCells" xfId="167"/>
    <cellStyle name="donn_normal" xfId="168"/>
    <cellStyle name="ent_col_ser" xfId="169"/>
    <cellStyle name="entete_source" xfId="170"/>
    <cellStyle name="Euro" xfId="171"/>
    <cellStyle name="Euro 2" xfId="172"/>
    <cellStyle name="Euro 2 2" xfId="173"/>
    <cellStyle name="Euro 2 2 2" xfId="174"/>
    <cellStyle name="Euro 3" xfId="175"/>
    <cellStyle name="Euro 4" xfId="176"/>
    <cellStyle name="Euro 5" xfId="177"/>
    <cellStyle name="Euro 5 2" xfId="178"/>
    <cellStyle name="Euro 5 3" xfId="179"/>
    <cellStyle name="Euro 6" xfId="180"/>
    <cellStyle name="Explanatory Text" xfId="181" builtinId="53"/>
    <cellStyle name="Explanatory Text 2" xfId="182"/>
    <cellStyle name="Explanatory Text 3" xfId="183"/>
    <cellStyle name="Explanatory Text 4" xfId="184"/>
    <cellStyle name="Explanatory Text 5" xfId="185"/>
    <cellStyle name="Float" xfId="186"/>
    <cellStyle name="Float 2" xfId="187"/>
    <cellStyle name="Good" xfId="188" builtinId="26"/>
    <cellStyle name="Good 2" xfId="189"/>
    <cellStyle name="Good 3" xfId="190"/>
    <cellStyle name="Good 4" xfId="191"/>
    <cellStyle name="Good 5" xfId="192"/>
    <cellStyle name="Good 6" xfId="193"/>
    <cellStyle name="Heading 1" xfId="194" builtinId="16"/>
    <cellStyle name="Heading 1 2" xfId="195"/>
    <cellStyle name="Heading 1 3" xfId="196"/>
    <cellStyle name="Heading 1 4" xfId="197"/>
    <cellStyle name="Heading 1 5" xfId="198"/>
    <cellStyle name="Heading 2" xfId="199" builtinId="17"/>
    <cellStyle name="Heading 2 2" xfId="200"/>
    <cellStyle name="Heading 2 3" xfId="201"/>
    <cellStyle name="Heading 2 4" xfId="202"/>
    <cellStyle name="Heading 2 5" xfId="203"/>
    <cellStyle name="Heading 3" xfId="204" builtinId="18"/>
    <cellStyle name="Heading 3 2" xfId="205"/>
    <cellStyle name="Heading 3 3" xfId="206"/>
    <cellStyle name="Heading 3 4" xfId="207"/>
    <cellStyle name="Heading 3 5" xfId="208"/>
    <cellStyle name="Heading 4" xfId="209" builtinId="19"/>
    <cellStyle name="Heading 4 2" xfId="210"/>
    <cellStyle name="Heading 4 3" xfId="211"/>
    <cellStyle name="Heading 4 4" xfId="212"/>
    <cellStyle name="Heading 4 5" xfId="213"/>
    <cellStyle name="Input" xfId="214" builtinId="20"/>
    <cellStyle name="Input 2" xfId="215"/>
    <cellStyle name="Input 3" xfId="216"/>
    <cellStyle name="Input 3 2" xfId="217"/>
    <cellStyle name="Input 4" xfId="218"/>
    <cellStyle name="Input 5" xfId="219"/>
    <cellStyle name="InputCells" xfId="220"/>
    <cellStyle name="ligne_titre_0" xfId="221"/>
    <cellStyle name="Linked Cell" xfId="222" builtinId="24"/>
    <cellStyle name="Linked Cell 2" xfId="223"/>
    <cellStyle name="Linked Cell 3" xfId="224"/>
    <cellStyle name="Linked Cell 4" xfId="225"/>
    <cellStyle name="Linked Cell 5" xfId="226"/>
    <cellStyle name="Neutral" xfId="227" builtinId="28"/>
    <cellStyle name="Neutral 2" xfId="228"/>
    <cellStyle name="Neutral 3" xfId="229"/>
    <cellStyle name="Neutral 4" xfId="230"/>
    <cellStyle name="Neutral 5" xfId="231"/>
    <cellStyle name="Normal 10" xfId="232"/>
    <cellStyle name="Normal 11" xfId="233"/>
    <cellStyle name="Normal 2 2" xfId="234"/>
    <cellStyle name="Normal 2 2 2" xfId="235"/>
    <cellStyle name="Normal 2 2 3" xfId="236"/>
    <cellStyle name="Normal 2 3" xfId="237"/>
    <cellStyle name="Normal 2 3 2" xfId="238"/>
    <cellStyle name="Normal 2 3 3" xfId="239"/>
    <cellStyle name="Normal 2 4" xfId="240"/>
    <cellStyle name="Normal 2 5" xfId="241"/>
    <cellStyle name="Normal 2 6" xfId="242"/>
    <cellStyle name="Normal 2 7" xfId="243"/>
    <cellStyle name="Normal 3" xfId="244"/>
    <cellStyle name="Normal 3 2" xfId="245"/>
    <cellStyle name="Normal 3 2 2" xfId="246"/>
    <cellStyle name="Normal 3 3" xfId="247"/>
    <cellStyle name="Normal 3 4" xfId="248"/>
    <cellStyle name="Normal 3 4 2" xfId="249"/>
    <cellStyle name="Normal 3 5" xfId="250"/>
    <cellStyle name="Normal 3 6" xfId="251"/>
    <cellStyle name="Normal 4" xfId="252"/>
    <cellStyle name="Normal 4 2" xfId="253"/>
    <cellStyle name="Normal 4 2 2" xfId="254"/>
    <cellStyle name="Normal 4 3" xfId="255"/>
    <cellStyle name="Normal 4 4" xfId="256"/>
    <cellStyle name="Normal 5" xfId="257"/>
    <cellStyle name="Normal 5 2" xfId="258"/>
    <cellStyle name="Normal 5 3" xfId="259"/>
    <cellStyle name="Normal 5 4" xfId="260"/>
    <cellStyle name="Normal 5 5" xfId="261"/>
    <cellStyle name="Normal 6" xfId="262"/>
    <cellStyle name="Normal 6 2" xfId="263"/>
    <cellStyle name="Normal 6 2 2" xfId="264"/>
    <cellStyle name="Normal 6 3" xfId="265"/>
    <cellStyle name="Normal 6 4" xfId="266"/>
    <cellStyle name="Normal 7" xfId="267"/>
    <cellStyle name="Normal 7 2" xfId="268"/>
    <cellStyle name="Normal 8" xfId="269"/>
    <cellStyle name="Normal 8 2" xfId="270"/>
    <cellStyle name="Normal 9" xfId="271"/>
    <cellStyle name="Normal GHG Numbers (0.00)" xfId="272"/>
    <cellStyle name="Normal GHG Textfiels Bold" xfId="273"/>
    <cellStyle name="Normal GHG-Shade" xfId="274"/>
    <cellStyle name="Normale_B2020" xfId="275"/>
    <cellStyle name="Note 2" xfId="276"/>
    <cellStyle name="Note 2 2" xfId="277"/>
    <cellStyle name="Note 3" xfId="278"/>
    <cellStyle name="Note 3 2" xfId="279"/>
    <cellStyle name="Note 4" xfId="280"/>
    <cellStyle name="Note 4 2" xfId="281"/>
    <cellStyle name="Note 4 3" xfId="282"/>
    <cellStyle name="Note 5" xfId="283"/>
    <cellStyle name="Note 6" xfId="284"/>
    <cellStyle name="Note 7" xfId="285"/>
    <cellStyle name="num_note" xfId="286"/>
    <cellStyle name="Nuovo" xfId="287"/>
    <cellStyle name="Nuovo 2" xfId="288"/>
    <cellStyle name="Nuovo 2 2" xfId="289"/>
    <cellStyle name="Nuovo 2 3" xfId="290"/>
    <cellStyle name="Nuovo 3" xfId="291"/>
    <cellStyle name="Output" xfId="292" builtinId="21"/>
    <cellStyle name="Output 2" xfId="293"/>
    <cellStyle name="Output 3" xfId="294"/>
    <cellStyle name="Output 4" xfId="295"/>
    <cellStyle name="Output 5" xfId="296"/>
    <cellStyle name="Percent 2" xfId="297"/>
    <cellStyle name="Percent 2 2" xfId="298"/>
    <cellStyle name="Percent 2 2 2" xfId="299"/>
    <cellStyle name="Percent 2 2 3" xfId="300"/>
    <cellStyle name="Percent 2 2 3 2" xfId="301"/>
    <cellStyle name="Percent 2 3" xfId="302"/>
    <cellStyle name="Percent 2 3 2" xfId="303"/>
    <cellStyle name="Percent 2 3 3" xfId="304"/>
    <cellStyle name="Percent 2 3 3 2" xfId="305"/>
    <cellStyle name="Percent 2 4" xfId="306"/>
    <cellStyle name="Percent 2 5" xfId="307"/>
    <cellStyle name="Percent 2 5 2" xfId="308"/>
    <cellStyle name="Percent 2 5 3" xfId="309"/>
    <cellStyle name="Percent 3" xfId="310"/>
    <cellStyle name="Percent 3 2" xfId="311"/>
    <cellStyle name="Percent 3 2 2" xfId="312"/>
    <cellStyle name="Percent 3 2 3" xfId="313"/>
    <cellStyle name="Percent 3 3" xfId="314"/>
    <cellStyle name="Percent 3 3 2" xfId="315"/>
    <cellStyle name="Percent 3 3 3" xfId="316"/>
    <cellStyle name="Percent 3 3 3 2" xfId="317"/>
    <cellStyle name="Percent 3 4" xfId="318"/>
    <cellStyle name="Percent 3 4 2" xfId="319"/>
    <cellStyle name="Percent 3 5" xfId="320"/>
    <cellStyle name="Percent 3 6" xfId="321"/>
    <cellStyle name="Percent 3 6 2" xfId="322"/>
    <cellStyle name="Percent 3 6 3" xfId="323"/>
    <cellStyle name="Percent 4" xfId="324"/>
    <cellStyle name="Percent 4 2" xfId="325"/>
    <cellStyle name="Percent 4 2 2" xfId="326"/>
    <cellStyle name="Percent 4 3" xfId="327"/>
    <cellStyle name="Percent 4 4" xfId="328"/>
    <cellStyle name="Percent 4 5" xfId="329"/>
    <cellStyle name="Percent 4 5 2" xfId="330"/>
    <cellStyle name="Percent 5" xfId="331"/>
    <cellStyle name="Percent 5 2" xfId="332"/>
    <cellStyle name="Percent 6" xfId="333"/>
    <cellStyle name="Pilkku_Layo9704" xfId="334"/>
    <cellStyle name="Pyör. luku_Layo9704" xfId="335"/>
    <cellStyle name="Pyör. valuutta_Layo9704" xfId="336"/>
    <cellStyle name="source" xfId="337"/>
    <cellStyle name="source 2" xfId="338"/>
    <cellStyle name="source 3" xfId="339"/>
    <cellStyle name="Style 21" xfId="340"/>
    <cellStyle name="Style 21 2" xfId="341"/>
    <cellStyle name="Style 22" xfId="342"/>
    <cellStyle name="Style 23" xfId="343"/>
    <cellStyle name="Style 24" xfId="344"/>
    <cellStyle name="Style 25" xfId="345"/>
    <cellStyle name="Style 25 2" xfId="346"/>
    <cellStyle name="Style 26" xfId="347"/>
    <cellStyle name="tableau | cellule | normal | decimal 1" xfId="348"/>
    <cellStyle name="tableau | cellule | normal | pourcentage | decimal 1" xfId="349"/>
    <cellStyle name="tableau | cellule | total | decimal 1" xfId="350"/>
    <cellStyle name="tableau | coin superieur gauche" xfId="351"/>
    <cellStyle name="tableau | entete-colonne | series" xfId="352"/>
    <cellStyle name="tableau | entete-ligne | normal" xfId="353"/>
    <cellStyle name="tableau | entete-ligne | total" xfId="354"/>
    <cellStyle name="tableau | ligne-titre | niveau1" xfId="355"/>
    <cellStyle name="tableau | ligne-titre | niveau2" xfId="356"/>
    <cellStyle name="Title 2" xfId="357"/>
    <cellStyle name="Title 3" xfId="358"/>
    <cellStyle name="Title 4" xfId="359"/>
    <cellStyle name="Title 5" xfId="360"/>
    <cellStyle name="Title 6" xfId="361"/>
    <cellStyle name="Total" xfId="362" builtinId="25"/>
    <cellStyle name="Total 2" xfId="363"/>
    <cellStyle name="Total 3" xfId="364"/>
    <cellStyle name="Total 4" xfId="365"/>
    <cellStyle name="Total 5" xfId="366"/>
    <cellStyle name="Valuutta_Layo9704" xfId="367"/>
    <cellStyle name="Warning Text" xfId="368" builtinId="11"/>
    <cellStyle name="Warning Text 2" xfId="369"/>
    <cellStyle name="Warning Text 3" xfId="370"/>
    <cellStyle name="Warning Text 4" xfId="371"/>
    <cellStyle name="Warning Text 5" xfId="372"/>
    <cellStyle name="Обычный_CRF2002 (1)" xfId="373"/>
    <cellStyle name="已访问的超链接" xfId="37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9" Type="http://schemas.openxmlformats.org/officeDocument/2006/relationships/worksheet" Target="worksheets/sheet7.xml" /><Relationship Id="rId1" Type="http://schemas.openxmlformats.org/officeDocument/2006/relationships/theme" Target="theme/theme1.xml" /><Relationship Id="rId12" Type="http://schemas.openxmlformats.org/officeDocument/2006/relationships/calcChain" Target="calcChain.xml" /><Relationship Id="rId8" Type="http://schemas.openxmlformats.org/officeDocument/2006/relationships/worksheet" Target="worksheets/sheet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11" Type="http://schemas.openxmlformats.org/officeDocument/2006/relationships/externalLink" Target="externalLinks/externalLink1.xml" /><Relationship Id="rId10" Type="http://schemas.openxmlformats.org/officeDocument/2006/relationships/sharedStrings" Target="sharedStrings.xml" /><Relationship Id="rId5" Type="http://schemas.openxmlformats.org/officeDocument/2006/relationships/worksheet" Target="worksheets/sheet3.xml" 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3" Type="http://schemas.openxmlformats.org/officeDocument/2006/relationships/printerSettings" Target="../printerSettings/printerSettings1.bin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.vml" /><Relationship Id="rId3" Type="http://schemas.openxmlformats.org/officeDocument/2006/relationships/printerSettings" Target="../printerSettings/printerSettings3.bin" /><Relationship Id="rId1" Type="http://schemas.openxmlformats.org/officeDocument/2006/relationships/comments" Target="../comments3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42"/>
  <sheetViews>
    <sheetView tabSelected="1" zoomScale="70" zoomScaleNormal="70" workbookViewId="0" topLeftCell="A1">
      <pane ySplit="4" topLeftCell="A174" activePane="bottomLeft" state="frozen"/>
      <selection pane="topLeft" activeCell="A1" sqref="A1"/>
      <selection pane="bottomLeft" activeCell="A187" sqref="A187:CG241"/>
    </sheetView>
  </sheetViews>
  <sheetFormatPr defaultRowHeight="12.75"/>
  <cols>
    <col min="1" max="1" width="10.7142857142857" customWidth="1"/>
    <col min="2" max="2" width="30.7142857142857" customWidth="1"/>
    <col min="3" max="3" width="8.71428571428571" customWidth="1"/>
    <col min="4" max="4" width="5.28571428571429" customWidth="1"/>
    <col min="5" max="5" width="9.14285714285714" customWidth="1"/>
    <col min="6" max="6" width="6" customWidth="1"/>
    <col min="7" max="7" width="22.4285714285714" customWidth="1"/>
    <col min="8" max="8" width="9.85714285714286" bestFit="1" customWidth="1"/>
    <col min="9" max="10" width="6.57142857142857" customWidth="1"/>
    <col min="11" max="13" width="5.57142857142857" customWidth="1"/>
    <col min="14" max="15" width="6.57142857142857" customWidth="1"/>
    <col min="16" max="16" width="5.57142857142857" customWidth="1"/>
    <col min="17" max="18" width="6.57142857142857" customWidth="1"/>
    <col min="19" max="19" width="7.71428571428571" customWidth="1"/>
    <col min="20" max="20" width="6.57142857142857" customWidth="1"/>
    <col min="21" max="21" width="5.57142857142857" customWidth="1"/>
    <col min="22" max="23" width="6.57142857142857" customWidth="1"/>
    <col min="24" max="25" width="5.57142857142857" customWidth="1"/>
    <col min="26" max="27" width="6.57142857142857" customWidth="1"/>
    <col min="28" max="28" width="5.57142857142857" customWidth="1"/>
    <col min="29" max="29" width="6.57142857142857" customWidth="1"/>
    <col min="30" max="32" width="5.57142857142857" customWidth="1"/>
    <col min="33" max="35" width="6.57142857142857" customWidth="1"/>
    <col min="36" max="36" width="8.85714285714286" customWidth="1"/>
    <col min="37" max="37" width="6.57142857142857" customWidth="1"/>
    <col min="38" max="39" width="5.57142857142857" customWidth="1"/>
    <col min="40" max="40" width="6.57142857142857" customWidth="1"/>
    <col min="41" max="41" width="5.57142857142857" customWidth="1"/>
    <col min="42" max="43" width="6.57142857142857" customWidth="1"/>
    <col min="44" max="45" width="5.57142857142857" customWidth="1"/>
    <col min="46" max="46" width="9.85714285714286" customWidth="1"/>
  </cols>
  <sheetData>
    <row r="1" spans="1:9 40:40" ht="15.75">
      <c r="A1" s="22" t="s">
        <v>247</v>
      </c>
      <c r="I1" s="87">
        <f>1/AN1</f>
        <v>0.090497737556561084</v>
      </c>
      <c r="AN1">
        <f>(12.6+9.5)/2</f>
        <v>11.050000000000001</v>
      </c>
    </row>
    <row r="3" spans="5:6 47:47" ht="12.75">
      <c r="E3" s="3" t="s">
        <v>97</v>
      </c>
      <c r="F3" s="3"/>
      <c r="AU3" t="s">
        <v>274</v>
      </c>
    </row>
    <row r="4" spans="1:55" ht="12.75">
      <c r="A4" s="50" t="s">
        <v>263</v>
      </c>
      <c r="B4" s="50" t="s">
        <v>264</v>
      </c>
      <c r="C4" s="50" t="s">
        <v>266</v>
      </c>
      <c r="D4" s="50"/>
      <c r="E4" s="23" t="s">
        <v>36</v>
      </c>
      <c r="F4" s="23" t="s">
        <v>37</v>
      </c>
      <c r="G4" s="23" t="s">
        <v>94</v>
      </c>
      <c r="H4" s="23" t="s">
        <v>47</v>
      </c>
      <c r="I4" s="23" t="s">
        <v>0</v>
      </c>
      <c r="J4" s="23" t="s">
        <v>1</v>
      </c>
      <c r="K4" s="23" t="s">
        <v>31</v>
      </c>
      <c r="L4" s="23" t="s">
        <v>3</v>
      </c>
      <c r="M4" s="23" t="s">
        <v>4</v>
      </c>
      <c r="N4" s="23" t="s">
        <v>5</v>
      </c>
      <c r="O4" s="23" t="s">
        <v>6</v>
      </c>
      <c r="P4" s="23" t="s">
        <v>7</v>
      </c>
      <c r="Q4" s="23" t="s">
        <v>48</v>
      </c>
      <c r="R4" s="23" t="s">
        <v>8</v>
      </c>
      <c r="S4" s="23" t="s">
        <v>9</v>
      </c>
      <c r="T4" s="23" t="s">
        <v>10</v>
      </c>
      <c r="U4" s="23" t="s">
        <v>32</v>
      </c>
      <c r="V4" s="23" t="s">
        <v>11</v>
      </c>
      <c r="W4" s="23" t="s">
        <v>12</v>
      </c>
      <c r="X4" s="23" t="s">
        <v>27</v>
      </c>
      <c r="Y4" s="23" t="s">
        <v>14</v>
      </c>
      <c r="Z4" s="23" t="s">
        <v>15</v>
      </c>
      <c r="AA4" s="23" t="s">
        <v>16</v>
      </c>
      <c r="AB4" s="23" t="s">
        <v>17</v>
      </c>
      <c r="AC4" s="23" t="s">
        <v>18</v>
      </c>
      <c r="AD4" s="23" t="s">
        <v>20</v>
      </c>
      <c r="AE4" s="23" t="s">
        <v>21</v>
      </c>
      <c r="AF4" s="23" t="s">
        <v>22</v>
      </c>
      <c r="AG4" s="23" t="s">
        <v>23</v>
      </c>
      <c r="AH4" s="23" t="s">
        <v>24</v>
      </c>
      <c r="AI4" s="23" t="s">
        <v>25</v>
      </c>
      <c r="AJ4" s="23" t="s">
        <v>26</v>
      </c>
      <c r="AK4" s="23" t="s">
        <v>2</v>
      </c>
      <c r="AL4" s="23" t="s">
        <v>13</v>
      </c>
      <c r="AM4" s="23" t="s">
        <v>19</v>
      </c>
      <c r="AN4" s="23" t="s">
        <v>41</v>
      </c>
      <c r="AO4" s="23" t="s">
        <v>45</v>
      </c>
      <c r="AP4" s="23" t="s">
        <v>42</v>
      </c>
      <c r="AQ4" s="23" t="s">
        <v>33</v>
      </c>
      <c r="AR4" s="23" t="s">
        <v>43</v>
      </c>
      <c r="AS4" s="23" t="s">
        <v>46</v>
      </c>
      <c r="AT4" s="23"/>
      <c r="AU4" s="62" t="s">
        <v>275</v>
      </c>
      <c r="AV4" s="23"/>
      <c r="AW4" s="23"/>
      <c r="AX4" s="23"/>
      <c r="AY4" s="23"/>
      <c r="AZ4" s="23"/>
      <c r="BA4" s="23"/>
      <c r="BB4" s="23"/>
      <c r="BC4" s="23"/>
    </row>
    <row r="5" spans="1:55" ht="14.45" customHeight="1">
      <c r="A5" s="33" t="s">
        <v>248</v>
      </c>
      <c r="B5" s="33" t="s">
        <v>252</v>
      </c>
      <c r="C5" s="33" t="s">
        <v>265</v>
      </c>
      <c r="D5" s="30"/>
      <c r="E5" s="31" t="s">
        <v>29</v>
      </c>
      <c r="F5" s="39">
        <v>2010</v>
      </c>
      <c r="G5" s="30" t="s">
        <v>100</v>
      </c>
      <c r="H5" s="30">
        <f t="shared" si="0" ref="H5:H46">AVERAGE(I5:AJ5)</f>
        <v>0.095357142857142849</v>
      </c>
      <c r="I5" s="30">
        <v>0.09</v>
      </c>
      <c r="J5" s="30">
        <v>0.08</v>
      </c>
      <c r="K5" s="30">
        <v>0.10</v>
      </c>
      <c r="L5" s="30">
        <v>0.10</v>
      </c>
      <c r="M5" s="44">
        <v>0.11</v>
      </c>
      <c r="N5" s="30">
        <v>0.11</v>
      </c>
      <c r="O5" s="30">
        <v>0.09</v>
      </c>
      <c r="P5" s="30">
        <v>0.10</v>
      </c>
      <c r="Q5" s="30">
        <v>0.11</v>
      </c>
      <c r="R5" s="30">
        <v>0.10</v>
      </c>
      <c r="S5" s="30">
        <v>0.11</v>
      </c>
      <c r="T5" s="30">
        <v>0.09</v>
      </c>
      <c r="U5" s="30">
        <v>0.09</v>
      </c>
      <c r="V5" s="30">
        <v>0.09</v>
      </c>
      <c r="W5" s="30">
        <v>0.10</v>
      </c>
      <c r="X5" s="30">
        <v>0.10</v>
      </c>
      <c r="Y5" s="30">
        <v>0.070000000000000007</v>
      </c>
      <c r="Z5" s="30">
        <v>0.08</v>
      </c>
      <c r="AA5" s="30">
        <v>0.11</v>
      </c>
      <c r="AB5" s="30">
        <v>0.10</v>
      </c>
      <c r="AC5" s="30">
        <v>0.09</v>
      </c>
      <c r="AD5" s="30">
        <v>0.09</v>
      </c>
      <c r="AE5" s="30">
        <v>0.10</v>
      </c>
      <c r="AF5" s="30">
        <v>0.10</v>
      </c>
      <c r="AG5" s="30">
        <v>0.10</v>
      </c>
      <c r="AH5" s="30">
        <v>0.09</v>
      </c>
      <c r="AI5" s="30">
        <v>0.11</v>
      </c>
      <c r="AJ5" s="30">
        <v>0.06</v>
      </c>
      <c r="AK5" s="30">
        <v>0.08</v>
      </c>
      <c r="AL5" s="30">
        <v>0.10</v>
      </c>
      <c r="AM5" s="30">
        <v>0.11</v>
      </c>
      <c r="AN5" s="32">
        <v>0.11</v>
      </c>
      <c r="AO5" s="30">
        <v>0.09</v>
      </c>
      <c r="AP5" s="30">
        <v>0.11</v>
      </c>
      <c r="AQ5" s="30">
        <v>0.09</v>
      </c>
      <c r="AR5" s="30">
        <v>0.09</v>
      </c>
      <c r="AS5" s="30">
        <v>0.09</v>
      </c>
      <c r="AT5" s="30"/>
      <c r="AU5" s="80">
        <v>1</v>
      </c>
      <c r="AV5" s="30"/>
      <c r="AW5" s="30"/>
      <c r="AX5" s="30"/>
      <c r="AY5" s="30"/>
      <c r="AZ5" s="30"/>
      <c r="BA5" s="30"/>
      <c r="BB5" s="30"/>
      <c r="BC5" s="30"/>
    </row>
    <row r="6" spans="1:55" ht="14.45" customHeight="1">
      <c r="A6" s="33" t="s">
        <v>248</v>
      </c>
      <c r="B6" s="33" t="s">
        <v>252</v>
      </c>
      <c r="C6" s="33" t="s">
        <v>265</v>
      </c>
      <c r="D6" s="30"/>
      <c r="E6" s="31" t="s">
        <v>29</v>
      </c>
      <c r="F6" s="39">
        <v>2020</v>
      </c>
      <c r="G6" s="30" t="s">
        <v>100</v>
      </c>
      <c r="H6" s="30">
        <f t="shared" si="0"/>
        <v>0.097668446184433613</v>
      </c>
      <c r="I6" s="30">
        <v>0.092181454825757569</v>
      </c>
      <c r="J6" s="30">
        <v>0.08193907095622896</v>
      </c>
      <c r="K6" s="30">
        <v>0.10242383869528621</v>
      </c>
      <c r="L6" s="30">
        <v>0.10242383869528621</v>
      </c>
      <c r="M6" s="30">
        <v>0.11266622256481482</v>
      </c>
      <c r="N6" s="30">
        <v>0.11266622256481482</v>
      </c>
      <c r="O6" s="30">
        <v>0.092181454825757569</v>
      </c>
      <c r="P6" s="30">
        <v>0.10242383869528621</v>
      </c>
      <c r="Q6" s="30">
        <v>0.11266622256481482</v>
      </c>
      <c r="R6" s="30">
        <v>0.10242383869528621</v>
      </c>
      <c r="S6" s="30">
        <v>0.11266622256481482</v>
      </c>
      <c r="T6" s="30">
        <v>0.092181454825757569</v>
      </c>
      <c r="U6" s="30">
        <v>0.092181454825757569</v>
      </c>
      <c r="V6" s="30">
        <v>0.092181454825757569</v>
      </c>
      <c r="W6" s="30">
        <v>0.10242383869528621</v>
      </c>
      <c r="X6" s="30">
        <v>0.10242383869528621</v>
      </c>
      <c r="Y6" s="30">
        <v>0.07169668708670035</v>
      </c>
      <c r="Z6" s="30">
        <v>0.08193907095622896</v>
      </c>
      <c r="AA6" s="30">
        <v>0.11266622256481482</v>
      </c>
      <c r="AB6" s="30">
        <v>0.10242383869528621</v>
      </c>
      <c r="AC6" s="30">
        <v>0.092181454825757569</v>
      </c>
      <c r="AD6" s="30">
        <v>0.092181454825757569</v>
      </c>
      <c r="AE6" s="30">
        <v>0.10242383869528621</v>
      </c>
      <c r="AF6" s="30">
        <v>0.10242383869528621</v>
      </c>
      <c r="AG6" s="30">
        <v>0.10242383869528621</v>
      </c>
      <c r="AH6" s="30">
        <v>0.092181454825757569</v>
      </c>
      <c r="AI6" s="30">
        <v>0.11266622256481482</v>
      </c>
      <c r="AJ6" s="30">
        <v>0.061454303217171713</v>
      </c>
      <c r="AK6" s="30">
        <v>0.08193907095622896</v>
      </c>
      <c r="AL6" s="30">
        <v>0.10242383869528621</v>
      </c>
      <c r="AM6" s="30">
        <v>0.11266622256481482</v>
      </c>
      <c r="AN6" s="30">
        <v>0.11266622256481482</v>
      </c>
      <c r="AO6" s="30">
        <v>0.092181454825757569</v>
      </c>
      <c r="AP6" s="30">
        <v>0.11266622256481482</v>
      </c>
      <c r="AQ6" s="30">
        <v>0.092181454825757569</v>
      </c>
      <c r="AR6" s="30">
        <v>0.092181454825757569</v>
      </c>
      <c r="AS6" s="30">
        <v>0.092181454825757569</v>
      </c>
      <c r="AT6" s="30"/>
      <c r="AU6" s="80">
        <v>1.024238386952862</v>
      </c>
      <c r="AV6" s="30"/>
      <c r="AW6" s="30"/>
      <c r="AX6" s="30"/>
      <c r="AY6" s="32" t="s">
        <v>273</v>
      </c>
      <c r="AZ6" s="30"/>
      <c r="BA6" s="30"/>
      <c r="BB6" s="30"/>
      <c r="BC6" s="30"/>
    </row>
    <row r="7" spans="1:55" ht="14.45" customHeight="1">
      <c r="A7" s="33" t="s">
        <v>248</v>
      </c>
      <c r="B7" s="33" t="s">
        <v>252</v>
      </c>
      <c r="C7" s="33" t="s">
        <v>265</v>
      </c>
      <c r="D7" s="30"/>
      <c r="E7" s="31" t="s">
        <v>29</v>
      </c>
      <c r="F7" s="39">
        <v>2025</v>
      </c>
      <c r="G7" s="30" t="s">
        <v>100</v>
      </c>
      <c r="H7" s="30">
        <f t="shared" si="0"/>
        <v>0.098952503588484078</v>
      </c>
      <c r="I7" s="30">
        <v>0.09339337417340067</v>
      </c>
      <c r="J7" s="30">
        <v>0.08301633259857838</v>
      </c>
      <c r="K7" s="30">
        <v>0.10377041574822297</v>
      </c>
      <c r="L7" s="30">
        <v>0.10377041574822297</v>
      </c>
      <c r="M7" s="30">
        <v>0.11414745732304526</v>
      </c>
      <c r="N7" s="30">
        <v>0.11414745732304526</v>
      </c>
      <c r="O7" s="30">
        <v>0.09339337417340067</v>
      </c>
      <c r="P7" s="30">
        <v>0.10377041574822297</v>
      </c>
      <c r="Q7" s="30">
        <v>0.11414745732304526</v>
      </c>
      <c r="R7" s="30">
        <v>0.10377041574822297</v>
      </c>
      <c r="S7" s="30">
        <v>0.11414745732304526</v>
      </c>
      <c r="T7" s="30">
        <v>0.09339337417340067</v>
      </c>
      <c r="U7" s="30">
        <v>0.09339337417340067</v>
      </c>
      <c r="V7" s="30">
        <v>0.09339337417340067</v>
      </c>
      <c r="W7" s="30">
        <v>0.10377041574822297</v>
      </c>
      <c r="X7" s="30">
        <v>0.10377041574822297</v>
      </c>
      <c r="Y7" s="30">
        <v>0.072639291023756089</v>
      </c>
      <c r="Z7" s="30">
        <v>0.08301633259857838</v>
      </c>
      <c r="AA7" s="30">
        <v>0.11414745732304526</v>
      </c>
      <c r="AB7" s="30">
        <v>0.10377041574822297</v>
      </c>
      <c r="AC7" s="30">
        <v>0.09339337417340067</v>
      </c>
      <c r="AD7" s="30">
        <v>0.09339337417340067</v>
      </c>
      <c r="AE7" s="30">
        <v>0.10377041574822297</v>
      </c>
      <c r="AF7" s="30">
        <v>0.10377041574822297</v>
      </c>
      <c r="AG7" s="30">
        <v>0.10377041574822297</v>
      </c>
      <c r="AH7" s="30">
        <v>0.09339337417340067</v>
      </c>
      <c r="AI7" s="30">
        <v>0.11414745732304526</v>
      </c>
      <c r="AJ7" s="30">
        <v>0.062262249448933778</v>
      </c>
      <c r="AK7" s="30">
        <v>0.08301633259857838</v>
      </c>
      <c r="AL7" s="30">
        <v>0.10377041574822297</v>
      </c>
      <c r="AM7" s="30">
        <v>0.11414745732304526</v>
      </c>
      <c r="AN7" s="30">
        <v>0.11414745732304526</v>
      </c>
      <c r="AO7" s="30">
        <v>0.09339337417340067</v>
      </c>
      <c r="AP7" s="30">
        <v>0.11414745732304526</v>
      </c>
      <c r="AQ7" s="30">
        <v>0.09339337417340067</v>
      </c>
      <c r="AR7" s="30">
        <v>0.09339337417340067</v>
      </c>
      <c r="AS7" s="30">
        <v>0.09339337417340067</v>
      </c>
      <c r="AT7" s="30"/>
      <c r="AU7" s="80">
        <v>1.0377041574822297</v>
      </c>
      <c r="AV7" s="30"/>
      <c r="AW7" s="30"/>
      <c r="AX7" s="30"/>
      <c r="AY7" s="30">
        <v>2010</v>
      </c>
      <c r="AZ7" s="43">
        <v>1.67</v>
      </c>
      <c r="BA7" s="30"/>
      <c r="BB7" s="30"/>
      <c r="BC7" s="30"/>
    </row>
    <row r="8" spans="1:55" ht="14.45" customHeight="1">
      <c r="A8" s="33" t="s">
        <v>248</v>
      </c>
      <c r="B8" s="33" t="s">
        <v>252</v>
      </c>
      <c r="C8" s="33" t="s">
        <v>265</v>
      </c>
      <c r="D8" s="30"/>
      <c r="E8" s="31" t="s">
        <v>29</v>
      </c>
      <c r="F8" s="39">
        <v>2030</v>
      </c>
      <c r="G8" s="30" t="s">
        <v>100</v>
      </c>
      <c r="H8" s="30">
        <f t="shared" si="0"/>
        <v>0.10023656099253447</v>
      </c>
      <c r="I8" s="30">
        <v>0.094605293521043785</v>
      </c>
      <c r="J8" s="30">
        <v>0.084093594240927813</v>
      </c>
      <c r="K8" s="30">
        <v>0.10511699280115977</v>
      </c>
      <c r="L8" s="30">
        <v>0.10511699280115977</v>
      </c>
      <c r="M8" s="30">
        <v>0.11562869208127574</v>
      </c>
      <c r="N8" s="30">
        <v>0.11562869208127574</v>
      </c>
      <c r="O8" s="30">
        <v>0.094605293521043785</v>
      </c>
      <c r="P8" s="30">
        <v>0.10511699280115977</v>
      </c>
      <c r="Q8" s="30">
        <v>0.11562869208127574</v>
      </c>
      <c r="R8" s="30">
        <v>0.10511699280115977</v>
      </c>
      <c r="S8" s="30">
        <v>0.11562869208127574</v>
      </c>
      <c r="T8" s="30">
        <v>0.094605293521043785</v>
      </c>
      <c r="U8" s="30">
        <v>0.094605293521043785</v>
      </c>
      <c r="V8" s="30">
        <v>0.094605293521043785</v>
      </c>
      <c r="W8" s="30">
        <v>0.10511699280115977</v>
      </c>
      <c r="X8" s="30">
        <v>0.10511699280115977</v>
      </c>
      <c r="Y8" s="30">
        <v>0.073581894960811842</v>
      </c>
      <c r="Z8" s="30">
        <v>0.084093594240927813</v>
      </c>
      <c r="AA8" s="30">
        <v>0.11562869208127574</v>
      </c>
      <c r="AB8" s="30">
        <v>0.10511699280115977</v>
      </c>
      <c r="AC8" s="30">
        <v>0.094605293521043785</v>
      </c>
      <c r="AD8" s="30">
        <v>0.094605293521043785</v>
      </c>
      <c r="AE8" s="30">
        <v>0.10511699280115977</v>
      </c>
      <c r="AF8" s="30">
        <v>0.10511699280115977</v>
      </c>
      <c r="AG8" s="30">
        <v>0.10511699280115977</v>
      </c>
      <c r="AH8" s="30">
        <v>0.094605293521043785</v>
      </c>
      <c r="AI8" s="30">
        <v>0.11562869208127574</v>
      </c>
      <c r="AJ8" s="30">
        <v>0.063070195680695856</v>
      </c>
      <c r="AK8" s="30">
        <v>0.084093594240927813</v>
      </c>
      <c r="AL8" s="30">
        <v>0.10511699280115977</v>
      </c>
      <c r="AM8" s="30">
        <v>0.11562869208127574</v>
      </c>
      <c r="AN8" s="30">
        <v>0.11562869208127574</v>
      </c>
      <c r="AO8" s="30">
        <v>0.094605293521043785</v>
      </c>
      <c r="AP8" s="30">
        <v>0.11562869208127574</v>
      </c>
      <c r="AQ8" s="30">
        <v>0.094605293521043785</v>
      </c>
      <c r="AR8" s="30">
        <v>0.094605293521043785</v>
      </c>
      <c r="AS8" s="30">
        <v>0.094605293521043785</v>
      </c>
      <c r="AT8" s="30"/>
      <c r="AU8" s="80">
        <v>1.0511699280115976</v>
      </c>
      <c r="AV8" s="30"/>
      <c r="AW8" s="30"/>
      <c r="AX8" s="30"/>
      <c r="AY8" s="30">
        <v>2015</v>
      </c>
      <c r="AZ8" s="43">
        <v>1.6879902694272353</v>
      </c>
      <c r="BA8" s="30"/>
      <c r="BB8" s="30"/>
      <c r="BC8" s="30"/>
    </row>
    <row r="9" spans="1:55" ht="14.45" customHeight="1">
      <c r="A9" s="33" t="s">
        <v>248</v>
      </c>
      <c r="B9" s="33" t="s">
        <v>252</v>
      </c>
      <c r="C9" s="33" t="s">
        <v>265</v>
      </c>
      <c r="D9" s="30"/>
      <c r="E9" s="31" t="s">
        <v>29</v>
      </c>
      <c r="F9" s="39">
        <v>2035</v>
      </c>
      <c r="G9" s="30" t="s">
        <v>100</v>
      </c>
      <c r="H9" s="30">
        <f t="shared" si="0"/>
        <v>0.10152061839658495</v>
      </c>
      <c r="I9" s="30">
        <v>0.095817212868686899</v>
      </c>
      <c r="J9" s="30">
        <v>0.085170855883277247</v>
      </c>
      <c r="K9" s="30">
        <v>0.10646356985409655</v>
      </c>
      <c r="L9" s="30">
        <v>0.10646356985409655</v>
      </c>
      <c r="M9" s="30">
        <v>0.1171099268395062</v>
      </c>
      <c r="N9" s="30">
        <v>0.1171099268395062</v>
      </c>
      <c r="O9" s="30">
        <v>0.095817212868686899</v>
      </c>
      <c r="P9" s="30">
        <v>0.10646356985409655</v>
      </c>
      <c r="Q9" s="30">
        <v>0.1171099268395062</v>
      </c>
      <c r="R9" s="30">
        <v>0.10646356985409655</v>
      </c>
      <c r="S9" s="30">
        <v>0.1171099268395062</v>
      </c>
      <c r="T9" s="30">
        <v>0.095817212868686899</v>
      </c>
      <c r="U9" s="30">
        <v>0.095817212868686899</v>
      </c>
      <c r="V9" s="30">
        <v>0.095817212868686899</v>
      </c>
      <c r="W9" s="30">
        <v>0.10646356985409655</v>
      </c>
      <c r="X9" s="30">
        <v>0.10646356985409655</v>
      </c>
      <c r="Y9" s="30">
        <v>0.074524498897867594</v>
      </c>
      <c r="Z9" s="30">
        <v>0.085170855883277247</v>
      </c>
      <c r="AA9" s="30">
        <v>0.1171099268395062</v>
      </c>
      <c r="AB9" s="30">
        <v>0.10646356985409655</v>
      </c>
      <c r="AC9" s="30">
        <v>0.095817212868686899</v>
      </c>
      <c r="AD9" s="30">
        <v>0.095817212868686899</v>
      </c>
      <c r="AE9" s="30">
        <v>0.10646356985409655</v>
      </c>
      <c r="AF9" s="30">
        <v>0.10646356985409655</v>
      </c>
      <c r="AG9" s="30">
        <v>0.10646356985409655</v>
      </c>
      <c r="AH9" s="30">
        <v>0.095817212868686899</v>
      </c>
      <c r="AI9" s="30">
        <v>0.1171099268395062</v>
      </c>
      <c r="AJ9" s="30">
        <v>0.063878141912457928</v>
      </c>
      <c r="AK9" s="30">
        <v>0.085170855883277247</v>
      </c>
      <c r="AL9" s="30">
        <v>0.10646356985409655</v>
      </c>
      <c r="AM9" s="30">
        <v>0.1171099268395062</v>
      </c>
      <c r="AN9" s="30">
        <v>0.1171099268395062</v>
      </c>
      <c r="AO9" s="30">
        <v>0.095817212868686899</v>
      </c>
      <c r="AP9" s="30">
        <v>0.1171099268395062</v>
      </c>
      <c r="AQ9" s="30">
        <v>0.095817212868686899</v>
      </c>
      <c r="AR9" s="30">
        <v>0.095817212868686899</v>
      </c>
      <c r="AS9" s="30">
        <v>0.095817212868686899</v>
      </c>
      <c r="AT9" s="30"/>
      <c r="AU9" s="80">
        <v>1.0646356985409655</v>
      </c>
      <c r="AV9" s="30"/>
      <c r="AW9" s="30"/>
      <c r="AX9" s="30"/>
      <c r="AY9" s="30">
        <v>2020</v>
      </c>
      <c r="AZ9" s="30">
        <f>AZ8+($AZ$11-$AZ$8)/($AY$11-$AY$8)*(AY9-AY8)</f>
        <v>1.7104781062112795</v>
      </c>
      <c r="BA9" s="30"/>
      <c r="BB9" s="30"/>
      <c r="BC9" s="30"/>
    </row>
    <row r="10" spans="1:55" ht="14.45" customHeight="1">
      <c r="A10" s="33" t="s">
        <v>248</v>
      </c>
      <c r="B10" s="33" t="s">
        <v>252</v>
      </c>
      <c r="C10" s="33" t="s">
        <v>265</v>
      </c>
      <c r="D10" s="30"/>
      <c r="E10" s="31" t="s">
        <v>29</v>
      </c>
      <c r="F10" s="39">
        <v>2040</v>
      </c>
      <c r="G10" s="30" t="s">
        <v>100</v>
      </c>
      <c r="H10" s="30">
        <f t="shared" si="0"/>
        <v>0.10280467580063536</v>
      </c>
      <c r="I10" s="30">
        <v>0.09702913221633</v>
      </c>
      <c r="J10" s="30">
        <v>0.08624811752562668</v>
      </c>
      <c r="K10" s="30">
        <v>0.10781014690703335</v>
      </c>
      <c r="L10" s="30">
        <v>0.10781014690703335</v>
      </c>
      <c r="M10" s="30">
        <v>0.11859116159773668</v>
      </c>
      <c r="N10" s="30">
        <v>0.11859116159773668</v>
      </c>
      <c r="O10" s="30">
        <v>0.09702913221633</v>
      </c>
      <c r="P10" s="30">
        <v>0.10781014690703335</v>
      </c>
      <c r="Q10" s="30">
        <v>0.11859116159773668</v>
      </c>
      <c r="R10" s="30">
        <v>0.10781014690703335</v>
      </c>
      <c r="S10" s="30">
        <v>0.11859116159773668</v>
      </c>
      <c r="T10" s="30">
        <v>0.09702913221633</v>
      </c>
      <c r="U10" s="30">
        <v>0.09702913221633</v>
      </c>
      <c r="V10" s="30">
        <v>0.09702913221633</v>
      </c>
      <c r="W10" s="30">
        <v>0.10781014690703335</v>
      </c>
      <c r="X10" s="30">
        <v>0.10781014690703335</v>
      </c>
      <c r="Y10" s="30">
        <v>0.075467102834923347</v>
      </c>
      <c r="Z10" s="30">
        <v>0.08624811752562668</v>
      </c>
      <c r="AA10" s="30">
        <v>0.11859116159773668</v>
      </c>
      <c r="AB10" s="30">
        <v>0.10781014690703335</v>
      </c>
      <c r="AC10" s="30">
        <v>0.09702913221633</v>
      </c>
      <c r="AD10" s="30">
        <v>0.09702913221633</v>
      </c>
      <c r="AE10" s="30">
        <v>0.10781014690703335</v>
      </c>
      <c r="AF10" s="30">
        <v>0.10781014690703335</v>
      </c>
      <c r="AG10" s="30">
        <v>0.10781014690703335</v>
      </c>
      <c r="AH10" s="30">
        <v>0.09702913221633</v>
      </c>
      <c r="AI10" s="30">
        <v>0.11859116159773668</v>
      </c>
      <c r="AJ10" s="30">
        <v>0.06468608814422</v>
      </c>
      <c r="AK10" s="30">
        <v>0.08624811752562668</v>
      </c>
      <c r="AL10" s="30">
        <v>0.10781014690703335</v>
      </c>
      <c r="AM10" s="30">
        <v>0.11859116159773668</v>
      </c>
      <c r="AN10" s="30">
        <v>0.11859116159773668</v>
      </c>
      <c r="AO10" s="30">
        <v>0.09702913221633</v>
      </c>
      <c r="AP10" s="30">
        <v>0.11859116159773668</v>
      </c>
      <c r="AQ10" s="30">
        <v>0.09702913221633</v>
      </c>
      <c r="AR10" s="30">
        <v>0.09702913221633</v>
      </c>
      <c r="AS10" s="30">
        <v>0.09702913221633</v>
      </c>
      <c r="AT10" s="30"/>
      <c r="AU10" s="80">
        <v>1.0781014690703334</v>
      </c>
      <c r="AV10" s="30"/>
      <c r="AW10" s="30"/>
      <c r="AX10" s="30"/>
      <c r="AY10" s="30">
        <v>2025</v>
      </c>
      <c r="AZ10" s="30">
        <f>AZ9+($AZ$11-$AZ$8)/($AY$11-$AY$8)*(AY10-AY9)</f>
        <v>1.7329659429953237</v>
      </c>
      <c r="BA10" s="30"/>
      <c r="BB10" s="30"/>
      <c r="BC10" s="30"/>
    </row>
    <row r="11" spans="1:55" ht="14.45" customHeight="1">
      <c r="A11" s="45" t="s">
        <v>248</v>
      </c>
      <c r="B11" s="45" t="s">
        <v>252</v>
      </c>
      <c r="C11" s="45" t="s">
        <v>265</v>
      </c>
      <c r="D11" s="46"/>
      <c r="E11" s="47" t="s">
        <v>29</v>
      </c>
      <c r="F11" s="48">
        <v>2050</v>
      </c>
      <c r="G11" s="46" t="s">
        <v>100</v>
      </c>
      <c r="H11" s="46">
        <f t="shared" si="0"/>
        <v>0.10537279060873619</v>
      </c>
      <c r="I11" s="46">
        <v>0.099452970911616187</v>
      </c>
      <c r="J11" s="46">
        <v>0.088402640810325506</v>
      </c>
      <c r="K11" s="46">
        <v>0.1105033010129069</v>
      </c>
      <c r="L11" s="46">
        <v>0.1105033010129069</v>
      </c>
      <c r="M11" s="46">
        <v>0.12155363111419758</v>
      </c>
      <c r="N11" s="46">
        <v>0.12155363111419758</v>
      </c>
      <c r="O11" s="46">
        <v>0.099452970911616187</v>
      </c>
      <c r="P11" s="46">
        <v>0.1105033010129069</v>
      </c>
      <c r="Q11" s="46">
        <v>0.12155363111419758</v>
      </c>
      <c r="R11" s="46">
        <v>0.1105033010129069</v>
      </c>
      <c r="S11" s="46">
        <v>0.12155363111419758</v>
      </c>
      <c r="T11" s="46">
        <v>0.099452970911616187</v>
      </c>
      <c r="U11" s="46">
        <v>0.099452970911616187</v>
      </c>
      <c r="V11" s="46">
        <v>0.099452970911616187</v>
      </c>
      <c r="W11" s="46">
        <v>0.1105033010129069</v>
      </c>
      <c r="X11" s="46">
        <v>0.1105033010129069</v>
      </c>
      <c r="Y11" s="46">
        <v>0.077352310709034824</v>
      </c>
      <c r="Z11" s="46">
        <v>0.088402640810325506</v>
      </c>
      <c r="AA11" s="46">
        <v>0.12155363111419758</v>
      </c>
      <c r="AB11" s="46">
        <v>0.1105033010129069</v>
      </c>
      <c r="AC11" s="46">
        <v>0.099452970911616187</v>
      </c>
      <c r="AD11" s="46">
        <v>0.099452970911616187</v>
      </c>
      <c r="AE11" s="46">
        <v>0.1105033010129069</v>
      </c>
      <c r="AF11" s="46">
        <v>0.1105033010129069</v>
      </c>
      <c r="AG11" s="46">
        <v>0.1105033010129069</v>
      </c>
      <c r="AH11" s="46">
        <v>0.099452970911616187</v>
      </c>
      <c r="AI11" s="46">
        <v>0.12155363111419758</v>
      </c>
      <c r="AJ11" s="46">
        <v>0.066301980607744129</v>
      </c>
      <c r="AK11" s="46">
        <v>0.088402640810325506</v>
      </c>
      <c r="AL11" s="46">
        <v>0.1105033010129069</v>
      </c>
      <c r="AM11" s="46">
        <v>0.12155363111419758</v>
      </c>
      <c r="AN11" s="46">
        <v>0.12155363111419758</v>
      </c>
      <c r="AO11" s="46">
        <v>0.099452970911616187</v>
      </c>
      <c r="AP11" s="46">
        <v>0.12155363111419758</v>
      </c>
      <c r="AQ11" s="46">
        <v>0.099452970911616187</v>
      </c>
      <c r="AR11" s="46">
        <v>0.099452970911616187</v>
      </c>
      <c r="AS11" s="46">
        <v>0.099452970911616187</v>
      </c>
      <c r="AT11" s="46"/>
      <c r="AU11" s="81">
        <v>1.1050330101290688</v>
      </c>
      <c r="AV11" s="46"/>
      <c r="AW11" s="46"/>
      <c r="AX11" s="46"/>
      <c r="AY11" s="46">
        <v>2030</v>
      </c>
      <c r="AZ11" s="49">
        <v>1.7554537797793679</v>
      </c>
      <c r="BA11" s="46"/>
      <c r="BB11" s="46"/>
      <c r="BC11" s="46"/>
    </row>
    <row r="12" spans="1:55" ht="14.45" customHeight="1">
      <c r="A12" s="32" t="s">
        <v>248</v>
      </c>
      <c r="B12" s="33" t="s">
        <v>252</v>
      </c>
      <c r="C12" s="33" t="s">
        <v>267</v>
      </c>
      <c r="D12" s="30"/>
      <c r="E12" s="31" t="s">
        <v>29</v>
      </c>
      <c r="F12" s="39">
        <v>2010</v>
      </c>
      <c r="G12" s="30" t="s">
        <v>102</v>
      </c>
      <c r="H12" s="30">
        <f t="shared" si="0"/>
        <v>0.087053571428571411</v>
      </c>
      <c r="I12" s="30">
        <v>0.087499999999999994</v>
      </c>
      <c r="J12" s="30">
        <v>0.087499999999999994</v>
      </c>
      <c r="K12" s="30">
        <v>0.087499999999999994</v>
      </c>
      <c r="L12" s="30">
        <v>0.087499999999999994</v>
      </c>
      <c r="M12" s="30">
        <v>0.10</v>
      </c>
      <c r="N12" s="30">
        <v>0.087499999999999994</v>
      </c>
      <c r="O12" s="30">
        <v>0.09</v>
      </c>
      <c r="P12" s="30">
        <v>0.087499999999999994</v>
      </c>
      <c r="Q12" s="30">
        <v>0.087499999999999994</v>
      </c>
      <c r="R12" s="30">
        <v>0.087499999999999994</v>
      </c>
      <c r="S12" s="30">
        <v>0.087499999999999994</v>
      </c>
      <c r="T12" s="30">
        <v>0.087499999999999994</v>
      </c>
      <c r="U12" s="30">
        <v>0.087499999999999994</v>
      </c>
      <c r="V12" s="30">
        <v>0.087499999999999994</v>
      </c>
      <c r="W12" s="30">
        <v>0.087499999999999994</v>
      </c>
      <c r="X12" s="30">
        <v>0.087499999999999994</v>
      </c>
      <c r="Y12" s="30">
        <v>0.087499999999999994</v>
      </c>
      <c r="Z12" s="30">
        <v>0.087499999999999994</v>
      </c>
      <c r="AA12" s="30">
        <v>0.087499999999999994</v>
      </c>
      <c r="AB12" s="30">
        <v>0.087499999999999994</v>
      </c>
      <c r="AC12" s="30">
        <v>0.087499999999999994</v>
      </c>
      <c r="AD12" s="30">
        <v>0.087499999999999994</v>
      </c>
      <c r="AE12" s="30">
        <v>0.087499999999999994</v>
      </c>
      <c r="AF12" s="30">
        <v>0.087499999999999994</v>
      </c>
      <c r="AG12" s="30">
        <v>0.087499999999999994</v>
      </c>
      <c r="AH12" s="30">
        <v>0.087499999999999994</v>
      </c>
      <c r="AI12" s="30">
        <v>0.087499999999999994</v>
      </c>
      <c r="AJ12" s="30">
        <v>0.06</v>
      </c>
      <c r="AK12" s="30">
        <v>0.087499999999999994</v>
      </c>
      <c r="AL12" s="30">
        <v>0.10</v>
      </c>
      <c r="AM12" s="30">
        <v>0.087499999999999994</v>
      </c>
      <c r="AN12" s="30">
        <v>0.087499999999999994</v>
      </c>
      <c r="AO12" s="30">
        <v>0.087499999999999994</v>
      </c>
      <c r="AP12" s="30">
        <v>0.087499999999999994</v>
      </c>
      <c r="AQ12" s="30">
        <v>0.087499999999999994</v>
      </c>
      <c r="AR12" s="30">
        <v>0.087499999999999994</v>
      </c>
      <c r="AS12" s="30">
        <v>0.087499999999999994</v>
      </c>
      <c r="AT12" s="30"/>
      <c r="AU12" s="80">
        <v>1</v>
      </c>
      <c r="AV12" s="30"/>
      <c r="AW12" s="30"/>
      <c r="AX12" s="30"/>
      <c r="AY12" s="30">
        <v>2035</v>
      </c>
      <c r="AZ12" s="30">
        <f>AZ11+($AZ$14-$AZ$11)/($AY$14-$AY$11)*(AY12-AY11)</f>
        <v>1.7779416165634121</v>
      </c>
      <c r="BA12" s="30"/>
      <c r="BB12" s="30"/>
      <c r="BC12" s="30"/>
    </row>
    <row r="13" spans="1:55" ht="14.45" customHeight="1">
      <c r="A13" s="32" t="s">
        <v>248</v>
      </c>
      <c r="B13" s="33" t="s">
        <v>252</v>
      </c>
      <c r="C13" s="33" t="s">
        <v>267</v>
      </c>
      <c r="D13" s="30"/>
      <c r="E13" s="31" t="s">
        <v>29</v>
      </c>
      <c r="F13" s="39">
        <v>2020</v>
      </c>
      <c r="G13" s="30" t="s">
        <v>102</v>
      </c>
      <c r="H13" s="30">
        <f t="shared" si="0"/>
        <v>0.089163609578485722</v>
      </c>
      <c r="I13" s="30">
        <v>0.08962085885837541</v>
      </c>
      <c r="J13" s="30">
        <v>0.08962085885837541</v>
      </c>
      <c r="K13" s="30">
        <v>0.08962085885837541</v>
      </c>
      <c r="L13" s="30">
        <v>0.08962085885837541</v>
      </c>
      <c r="M13" s="30">
        <v>0.10242383869528621</v>
      </c>
      <c r="N13" s="30">
        <v>0.08962085885837541</v>
      </c>
      <c r="O13" s="30">
        <v>0.092181454825757569</v>
      </c>
      <c r="P13" s="30">
        <v>0.08962085885837541</v>
      </c>
      <c r="Q13" s="30">
        <v>0.08962085885837541</v>
      </c>
      <c r="R13" s="30">
        <v>0.08962085885837541</v>
      </c>
      <c r="S13" s="30">
        <v>0.08962085885837541</v>
      </c>
      <c r="T13" s="30">
        <v>0.08962085885837541</v>
      </c>
      <c r="U13" s="30">
        <v>0.08962085885837541</v>
      </c>
      <c r="V13" s="30">
        <v>0.08962085885837541</v>
      </c>
      <c r="W13" s="30">
        <v>0.08962085885837541</v>
      </c>
      <c r="X13" s="30">
        <v>0.08962085885837541</v>
      </c>
      <c r="Y13" s="30">
        <v>0.08962085885837541</v>
      </c>
      <c r="Z13" s="30">
        <v>0.08962085885837541</v>
      </c>
      <c r="AA13" s="30">
        <v>0.08962085885837541</v>
      </c>
      <c r="AB13" s="30">
        <v>0.08962085885837541</v>
      </c>
      <c r="AC13" s="30">
        <v>0.08962085885837541</v>
      </c>
      <c r="AD13" s="30">
        <v>0.08962085885837541</v>
      </c>
      <c r="AE13" s="30">
        <v>0.08962085885837541</v>
      </c>
      <c r="AF13" s="30">
        <v>0.08962085885837541</v>
      </c>
      <c r="AG13" s="30">
        <v>0.08962085885837541</v>
      </c>
      <c r="AH13" s="30">
        <v>0.08962085885837541</v>
      </c>
      <c r="AI13" s="30">
        <v>0.08962085885837541</v>
      </c>
      <c r="AJ13" s="30">
        <v>0.061454303217171713</v>
      </c>
      <c r="AK13" s="30">
        <v>0.08962085885837541</v>
      </c>
      <c r="AL13" s="30">
        <v>0.10242383869528621</v>
      </c>
      <c r="AM13" s="30">
        <v>0.08962085885837541</v>
      </c>
      <c r="AN13" s="30">
        <v>0.08962085885837541</v>
      </c>
      <c r="AO13" s="30">
        <v>0.08962085885837541</v>
      </c>
      <c r="AP13" s="30">
        <v>0.08962085885837541</v>
      </c>
      <c r="AQ13" s="30">
        <v>0.08962085885837541</v>
      </c>
      <c r="AR13" s="30">
        <v>0.08962085885837541</v>
      </c>
      <c r="AS13" s="30">
        <v>0.08962085885837541</v>
      </c>
      <c r="AT13" s="30"/>
      <c r="AU13" s="80">
        <v>1.024238386952862</v>
      </c>
      <c r="AV13" s="30"/>
      <c r="AW13" s="30"/>
      <c r="AX13" s="30"/>
      <c r="AY13" s="30">
        <v>2040</v>
      </c>
      <c r="AZ13" s="30">
        <f>AZ12+($AZ$14-$AZ$11)/($AY$14-$AY$11)*(AY13-AY12)</f>
        <v>1.8004294533474563</v>
      </c>
      <c r="BA13" s="30"/>
      <c r="BB13" s="30"/>
      <c r="BC13" s="30"/>
    </row>
    <row r="14" spans="1:55" ht="14.45" customHeight="1">
      <c r="A14" s="32" t="s">
        <v>248</v>
      </c>
      <c r="B14" s="33" t="s">
        <v>252</v>
      </c>
      <c r="C14" s="33" t="s">
        <v>267</v>
      </c>
      <c r="D14" s="30"/>
      <c r="E14" s="31" t="s">
        <v>29</v>
      </c>
      <c r="F14" s="39">
        <v>2025</v>
      </c>
      <c r="G14" s="30" t="s">
        <v>102</v>
      </c>
      <c r="H14" s="30">
        <f t="shared" si="0"/>
        <v>0.090335852995104771</v>
      </c>
      <c r="I14" s="30">
        <v>0.090799113779695087</v>
      </c>
      <c r="J14" s="30">
        <v>0.090799113779695087</v>
      </c>
      <c r="K14" s="30">
        <v>0.090799113779695087</v>
      </c>
      <c r="L14" s="30">
        <v>0.090799113779695087</v>
      </c>
      <c r="M14" s="30">
        <v>0.10377041574822297</v>
      </c>
      <c r="N14" s="30">
        <v>0.090799113779695087</v>
      </c>
      <c r="O14" s="30">
        <v>0.09339337417340067</v>
      </c>
      <c r="P14" s="30">
        <v>0.090799113779695087</v>
      </c>
      <c r="Q14" s="30">
        <v>0.090799113779695087</v>
      </c>
      <c r="R14" s="30">
        <v>0.090799113779695087</v>
      </c>
      <c r="S14" s="30">
        <v>0.090799113779695087</v>
      </c>
      <c r="T14" s="30">
        <v>0.090799113779695087</v>
      </c>
      <c r="U14" s="30">
        <v>0.090799113779695087</v>
      </c>
      <c r="V14" s="30">
        <v>0.090799113779695087</v>
      </c>
      <c r="W14" s="30">
        <v>0.090799113779695087</v>
      </c>
      <c r="X14" s="30">
        <v>0.090799113779695087</v>
      </c>
      <c r="Y14" s="30">
        <v>0.090799113779695087</v>
      </c>
      <c r="Z14" s="30">
        <v>0.090799113779695087</v>
      </c>
      <c r="AA14" s="30">
        <v>0.090799113779695087</v>
      </c>
      <c r="AB14" s="30">
        <v>0.090799113779695087</v>
      </c>
      <c r="AC14" s="30">
        <v>0.090799113779695087</v>
      </c>
      <c r="AD14" s="30">
        <v>0.090799113779695087</v>
      </c>
      <c r="AE14" s="30">
        <v>0.090799113779695087</v>
      </c>
      <c r="AF14" s="30">
        <v>0.090799113779695087</v>
      </c>
      <c r="AG14" s="30">
        <v>0.090799113779695087</v>
      </c>
      <c r="AH14" s="30">
        <v>0.090799113779695087</v>
      </c>
      <c r="AI14" s="30">
        <v>0.090799113779695087</v>
      </c>
      <c r="AJ14" s="30">
        <v>0.062262249448933778</v>
      </c>
      <c r="AK14" s="30">
        <v>0.090799113779695087</v>
      </c>
      <c r="AL14" s="30">
        <v>0.10377041574822297</v>
      </c>
      <c r="AM14" s="30">
        <v>0.090799113779695087</v>
      </c>
      <c r="AN14" s="30">
        <v>0.090799113779695087</v>
      </c>
      <c r="AO14" s="30">
        <v>0.090799113779695087</v>
      </c>
      <c r="AP14" s="30">
        <v>0.090799113779695087</v>
      </c>
      <c r="AQ14" s="30">
        <v>0.090799113779695087</v>
      </c>
      <c r="AR14" s="30">
        <v>0.090799113779695087</v>
      </c>
      <c r="AS14" s="30">
        <v>0.090799113779695087</v>
      </c>
      <c r="AT14" s="30"/>
      <c r="AU14" s="80">
        <v>1.0377041574822297</v>
      </c>
      <c r="AV14" s="30"/>
      <c r="AW14" s="30"/>
      <c r="AX14" s="30"/>
      <c r="AY14" s="30">
        <v>2050</v>
      </c>
      <c r="AZ14" s="43">
        <v>1.8454051269155449</v>
      </c>
      <c r="BA14" s="30"/>
      <c r="BB14" s="30"/>
      <c r="BC14" s="30"/>
    </row>
    <row r="15" spans="1:55" ht="14.45" customHeight="1">
      <c r="A15" s="32" t="s">
        <v>248</v>
      </c>
      <c r="B15" s="33" t="s">
        <v>252</v>
      </c>
      <c r="C15" s="33" t="s">
        <v>267</v>
      </c>
      <c r="D15" s="30"/>
      <c r="E15" s="31" t="s">
        <v>29</v>
      </c>
      <c r="F15" s="39">
        <v>2030</v>
      </c>
      <c r="G15" s="30" t="s">
        <v>102</v>
      </c>
      <c r="H15" s="30">
        <f t="shared" si="0"/>
        <v>0.091508096411723902</v>
      </c>
      <c r="I15" s="30">
        <v>0.091977368701014778</v>
      </c>
      <c r="J15" s="30">
        <v>0.091977368701014778</v>
      </c>
      <c r="K15" s="30">
        <v>0.091977368701014778</v>
      </c>
      <c r="L15" s="30">
        <v>0.091977368701014778</v>
      </c>
      <c r="M15" s="30">
        <v>0.10511699280115977</v>
      </c>
      <c r="N15" s="30">
        <v>0.091977368701014778</v>
      </c>
      <c r="O15" s="30">
        <v>0.094605293521043785</v>
      </c>
      <c r="P15" s="30">
        <v>0.091977368701014778</v>
      </c>
      <c r="Q15" s="30">
        <v>0.091977368701014778</v>
      </c>
      <c r="R15" s="30">
        <v>0.091977368701014778</v>
      </c>
      <c r="S15" s="30">
        <v>0.091977368701014778</v>
      </c>
      <c r="T15" s="30">
        <v>0.091977368701014778</v>
      </c>
      <c r="U15" s="30">
        <v>0.091977368701014778</v>
      </c>
      <c r="V15" s="30">
        <v>0.091977368701014778</v>
      </c>
      <c r="W15" s="30">
        <v>0.091977368701014778</v>
      </c>
      <c r="X15" s="30">
        <v>0.091977368701014778</v>
      </c>
      <c r="Y15" s="30">
        <v>0.091977368701014778</v>
      </c>
      <c r="Z15" s="30">
        <v>0.091977368701014778</v>
      </c>
      <c r="AA15" s="30">
        <v>0.091977368701014778</v>
      </c>
      <c r="AB15" s="30">
        <v>0.091977368701014778</v>
      </c>
      <c r="AC15" s="30">
        <v>0.091977368701014778</v>
      </c>
      <c r="AD15" s="30">
        <v>0.091977368701014778</v>
      </c>
      <c r="AE15" s="30">
        <v>0.091977368701014778</v>
      </c>
      <c r="AF15" s="30">
        <v>0.091977368701014778</v>
      </c>
      <c r="AG15" s="30">
        <v>0.091977368701014778</v>
      </c>
      <c r="AH15" s="30">
        <v>0.091977368701014778</v>
      </c>
      <c r="AI15" s="30">
        <v>0.091977368701014778</v>
      </c>
      <c r="AJ15" s="30">
        <v>0.063070195680695856</v>
      </c>
      <c r="AK15" s="30">
        <v>0.091977368701014778</v>
      </c>
      <c r="AL15" s="30">
        <v>0.10511699280115977</v>
      </c>
      <c r="AM15" s="30">
        <v>0.091977368701014778</v>
      </c>
      <c r="AN15" s="30">
        <v>0.091977368701014778</v>
      </c>
      <c r="AO15" s="30">
        <v>0.091977368701014778</v>
      </c>
      <c r="AP15" s="30">
        <v>0.091977368701014778</v>
      </c>
      <c r="AQ15" s="30">
        <v>0.091977368701014778</v>
      </c>
      <c r="AR15" s="30">
        <v>0.091977368701014778</v>
      </c>
      <c r="AS15" s="30">
        <v>0.091977368701014778</v>
      </c>
      <c r="AT15" s="30"/>
      <c r="AU15" s="80">
        <v>1.0511699280115976</v>
      </c>
      <c r="AV15" s="30"/>
      <c r="AW15" s="30"/>
      <c r="AX15" s="30"/>
      <c r="AY15" s="30"/>
      <c r="AZ15" s="30"/>
      <c r="BA15" s="30"/>
      <c r="BB15" s="30"/>
      <c r="BC15" s="30"/>
    </row>
    <row r="16" spans="1:55" ht="14.45" customHeight="1">
      <c r="A16" s="32" t="s">
        <v>248</v>
      </c>
      <c r="B16" s="33" t="s">
        <v>252</v>
      </c>
      <c r="C16" s="33" t="s">
        <v>267</v>
      </c>
      <c r="D16" s="30"/>
      <c r="E16" s="31" t="s">
        <v>29</v>
      </c>
      <c r="F16" s="39">
        <v>2035</v>
      </c>
      <c r="G16" s="30" t="s">
        <v>102</v>
      </c>
      <c r="H16" s="30">
        <f t="shared" si="0"/>
        <v>0.092680339828342992</v>
      </c>
      <c r="I16" s="30">
        <v>0.093155623622334482</v>
      </c>
      <c r="J16" s="30">
        <v>0.093155623622334482</v>
      </c>
      <c r="K16" s="30">
        <v>0.093155623622334482</v>
      </c>
      <c r="L16" s="30">
        <v>0.093155623622334482</v>
      </c>
      <c r="M16" s="30">
        <v>0.10646356985409655</v>
      </c>
      <c r="N16" s="30">
        <v>0.093155623622334482</v>
      </c>
      <c r="O16" s="30">
        <v>0.095817212868686899</v>
      </c>
      <c r="P16" s="30">
        <v>0.093155623622334482</v>
      </c>
      <c r="Q16" s="30">
        <v>0.093155623622334482</v>
      </c>
      <c r="R16" s="30">
        <v>0.093155623622334482</v>
      </c>
      <c r="S16" s="30">
        <v>0.093155623622334482</v>
      </c>
      <c r="T16" s="30">
        <v>0.093155623622334482</v>
      </c>
      <c r="U16" s="30">
        <v>0.093155623622334482</v>
      </c>
      <c r="V16" s="30">
        <v>0.093155623622334482</v>
      </c>
      <c r="W16" s="30">
        <v>0.093155623622334482</v>
      </c>
      <c r="X16" s="30">
        <v>0.093155623622334482</v>
      </c>
      <c r="Y16" s="30">
        <v>0.093155623622334482</v>
      </c>
      <c r="Z16" s="30">
        <v>0.093155623622334482</v>
      </c>
      <c r="AA16" s="30">
        <v>0.093155623622334482</v>
      </c>
      <c r="AB16" s="30">
        <v>0.093155623622334482</v>
      </c>
      <c r="AC16" s="30">
        <v>0.093155623622334482</v>
      </c>
      <c r="AD16" s="30">
        <v>0.093155623622334482</v>
      </c>
      <c r="AE16" s="30">
        <v>0.093155623622334482</v>
      </c>
      <c r="AF16" s="30">
        <v>0.093155623622334482</v>
      </c>
      <c r="AG16" s="30">
        <v>0.093155623622334482</v>
      </c>
      <c r="AH16" s="30">
        <v>0.093155623622334482</v>
      </c>
      <c r="AI16" s="30">
        <v>0.093155623622334482</v>
      </c>
      <c r="AJ16" s="30">
        <v>0.063878141912457928</v>
      </c>
      <c r="AK16" s="30">
        <v>0.093155623622334482</v>
      </c>
      <c r="AL16" s="30">
        <v>0.10646356985409655</v>
      </c>
      <c r="AM16" s="30">
        <v>0.093155623622334482</v>
      </c>
      <c r="AN16" s="30">
        <v>0.093155623622334482</v>
      </c>
      <c r="AO16" s="30">
        <v>0.093155623622334482</v>
      </c>
      <c r="AP16" s="30">
        <v>0.093155623622334482</v>
      </c>
      <c r="AQ16" s="30">
        <v>0.093155623622334482</v>
      </c>
      <c r="AR16" s="30">
        <v>0.093155623622334482</v>
      </c>
      <c r="AS16" s="30">
        <v>0.093155623622334482</v>
      </c>
      <c r="AT16" s="30"/>
      <c r="AU16" s="80">
        <v>1.0646356985409655</v>
      </c>
      <c r="AV16" s="30"/>
      <c r="AW16" s="30"/>
      <c r="AX16" s="30"/>
      <c r="AY16" s="30"/>
      <c r="AZ16" s="30"/>
      <c r="BA16" s="30"/>
      <c r="BB16" s="30"/>
      <c r="BC16" s="30"/>
    </row>
    <row r="17" spans="1:55" ht="14.45" customHeight="1">
      <c r="A17" s="32" t="s">
        <v>248</v>
      </c>
      <c r="B17" s="33" t="s">
        <v>252</v>
      </c>
      <c r="C17" s="33" t="s">
        <v>267</v>
      </c>
      <c r="D17" s="30"/>
      <c r="E17" s="31" t="s">
        <v>29</v>
      </c>
      <c r="F17" s="39">
        <v>2040</v>
      </c>
      <c r="G17" s="30" t="s">
        <v>102</v>
      </c>
      <c r="H17" s="30">
        <f t="shared" si="0"/>
        <v>0.093852583244962068</v>
      </c>
      <c r="I17" s="30">
        <v>0.094333878543654173</v>
      </c>
      <c r="J17" s="30">
        <v>0.094333878543654173</v>
      </c>
      <c r="K17" s="30">
        <v>0.094333878543654173</v>
      </c>
      <c r="L17" s="30">
        <v>0.094333878543654173</v>
      </c>
      <c r="M17" s="30">
        <v>0.10781014690703335</v>
      </c>
      <c r="N17" s="30">
        <v>0.094333878543654173</v>
      </c>
      <c r="O17" s="30">
        <v>0.09702913221633</v>
      </c>
      <c r="P17" s="30">
        <v>0.094333878543654173</v>
      </c>
      <c r="Q17" s="30">
        <v>0.094333878543654173</v>
      </c>
      <c r="R17" s="30">
        <v>0.094333878543654173</v>
      </c>
      <c r="S17" s="30">
        <v>0.094333878543654173</v>
      </c>
      <c r="T17" s="30">
        <v>0.094333878543654173</v>
      </c>
      <c r="U17" s="30">
        <v>0.094333878543654173</v>
      </c>
      <c r="V17" s="30">
        <v>0.094333878543654173</v>
      </c>
      <c r="W17" s="30">
        <v>0.094333878543654173</v>
      </c>
      <c r="X17" s="30">
        <v>0.094333878543654173</v>
      </c>
      <c r="Y17" s="30">
        <v>0.094333878543654173</v>
      </c>
      <c r="Z17" s="30">
        <v>0.094333878543654173</v>
      </c>
      <c r="AA17" s="30">
        <v>0.094333878543654173</v>
      </c>
      <c r="AB17" s="30">
        <v>0.094333878543654173</v>
      </c>
      <c r="AC17" s="30">
        <v>0.094333878543654173</v>
      </c>
      <c r="AD17" s="30">
        <v>0.094333878543654173</v>
      </c>
      <c r="AE17" s="30">
        <v>0.094333878543654173</v>
      </c>
      <c r="AF17" s="30">
        <v>0.094333878543654173</v>
      </c>
      <c r="AG17" s="30">
        <v>0.094333878543654173</v>
      </c>
      <c r="AH17" s="30">
        <v>0.094333878543654173</v>
      </c>
      <c r="AI17" s="30">
        <v>0.094333878543654173</v>
      </c>
      <c r="AJ17" s="30">
        <v>0.06468608814422</v>
      </c>
      <c r="AK17" s="30">
        <v>0.094333878543654173</v>
      </c>
      <c r="AL17" s="30">
        <v>0.10781014690703335</v>
      </c>
      <c r="AM17" s="30">
        <v>0.094333878543654173</v>
      </c>
      <c r="AN17" s="30">
        <v>0.094333878543654173</v>
      </c>
      <c r="AO17" s="30">
        <v>0.094333878543654173</v>
      </c>
      <c r="AP17" s="30">
        <v>0.094333878543654173</v>
      </c>
      <c r="AQ17" s="30">
        <v>0.094333878543654173</v>
      </c>
      <c r="AR17" s="30">
        <v>0.094333878543654173</v>
      </c>
      <c r="AS17" s="30">
        <v>0.094333878543654173</v>
      </c>
      <c r="AT17" s="30"/>
      <c r="AU17" s="80">
        <v>1.0781014690703334</v>
      </c>
      <c r="AV17" s="30"/>
      <c r="AW17" s="30"/>
      <c r="AX17" s="30"/>
      <c r="AY17" s="30"/>
      <c r="AZ17" s="30"/>
      <c r="BA17" s="30"/>
      <c r="BB17" s="30"/>
      <c r="BC17" s="30"/>
    </row>
    <row r="18" spans="1:55" ht="14.45" customHeight="1">
      <c r="A18" s="51" t="s">
        <v>248</v>
      </c>
      <c r="B18" s="45" t="s">
        <v>252</v>
      </c>
      <c r="C18" s="45" t="s">
        <v>267</v>
      </c>
      <c r="D18" s="46"/>
      <c r="E18" s="47" t="s">
        <v>29</v>
      </c>
      <c r="F18" s="48">
        <v>2050</v>
      </c>
      <c r="G18" s="46" t="s">
        <v>102</v>
      </c>
      <c r="H18" s="46">
        <f t="shared" si="0"/>
        <v>0.096197070078200178</v>
      </c>
      <c r="I18" s="46">
        <v>0.096690388386293513</v>
      </c>
      <c r="J18" s="46">
        <v>0.096690388386293513</v>
      </c>
      <c r="K18" s="46">
        <v>0.096690388386293513</v>
      </c>
      <c r="L18" s="46">
        <v>0.096690388386293513</v>
      </c>
      <c r="M18" s="46">
        <v>0.1105033010129069</v>
      </c>
      <c r="N18" s="46">
        <v>0.096690388386293513</v>
      </c>
      <c r="O18" s="46">
        <v>0.099452970911616187</v>
      </c>
      <c r="P18" s="46">
        <v>0.096690388386293513</v>
      </c>
      <c r="Q18" s="46">
        <v>0.096690388386293513</v>
      </c>
      <c r="R18" s="46">
        <v>0.096690388386293513</v>
      </c>
      <c r="S18" s="46">
        <v>0.096690388386293513</v>
      </c>
      <c r="T18" s="46">
        <v>0.096690388386293513</v>
      </c>
      <c r="U18" s="46">
        <v>0.096690388386293513</v>
      </c>
      <c r="V18" s="46">
        <v>0.096690388386293513</v>
      </c>
      <c r="W18" s="46">
        <v>0.096690388386293513</v>
      </c>
      <c r="X18" s="46">
        <v>0.096690388386293513</v>
      </c>
      <c r="Y18" s="46">
        <v>0.096690388386293513</v>
      </c>
      <c r="Z18" s="46">
        <v>0.096690388386293513</v>
      </c>
      <c r="AA18" s="46">
        <v>0.096690388386293513</v>
      </c>
      <c r="AB18" s="46">
        <v>0.096690388386293513</v>
      </c>
      <c r="AC18" s="46">
        <v>0.096690388386293513</v>
      </c>
      <c r="AD18" s="46">
        <v>0.096690388386293513</v>
      </c>
      <c r="AE18" s="46">
        <v>0.096690388386293513</v>
      </c>
      <c r="AF18" s="46">
        <v>0.096690388386293513</v>
      </c>
      <c r="AG18" s="46">
        <v>0.096690388386293513</v>
      </c>
      <c r="AH18" s="46">
        <v>0.096690388386293513</v>
      </c>
      <c r="AI18" s="46">
        <v>0.096690388386293513</v>
      </c>
      <c r="AJ18" s="46">
        <v>0.066301980607744129</v>
      </c>
      <c r="AK18" s="46">
        <v>0.096690388386293513</v>
      </c>
      <c r="AL18" s="46">
        <v>0.1105033010129069</v>
      </c>
      <c r="AM18" s="46">
        <v>0.096690388386293513</v>
      </c>
      <c r="AN18" s="46">
        <v>0.096690388386293513</v>
      </c>
      <c r="AO18" s="46">
        <v>0.096690388386293513</v>
      </c>
      <c r="AP18" s="46">
        <v>0.096690388386293513</v>
      </c>
      <c r="AQ18" s="46">
        <v>0.096690388386293513</v>
      </c>
      <c r="AR18" s="46">
        <v>0.096690388386293513</v>
      </c>
      <c r="AS18" s="46">
        <v>0.096690388386293513</v>
      </c>
      <c r="AT18" s="46"/>
      <c r="AU18" s="81">
        <v>1.1050330101290688</v>
      </c>
      <c r="AV18" s="46"/>
      <c r="AW18" s="46"/>
      <c r="AX18" s="46"/>
      <c r="AY18" s="46"/>
      <c r="AZ18" s="46"/>
      <c r="BA18" s="46"/>
      <c r="BB18" s="46"/>
      <c r="BC18" s="46"/>
    </row>
    <row r="19" spans="1:55" ht="14.45" customHeight="1">
      <c r="A19" s="32" t="s">
        <v>248</v>
      </c>
      <c r="B19" s="33" t="s">
        <v>252</v>
      </c>
      <c r="C19" s="33" t="s">
        <v>268</v>
      </c>
      <c r="D19" s="30"/>
      <c r="E19" s="31" t="s">
        <v>29</v>
      </c>
      <c r="F19" s="39">
        <v>2010</v>
      </c>
      <c r="G19" s="30" t="s">
        <v>104</v>
      </c>
      <c r="H19" s="30">
        <f t="shared" si="0"/>
        <v>0.050000000000000003</v>
      </c>
      <c r="I19" s="30">
        <v>0.05</v>
      </c>
      <c r="J19" s="30">
        <v>0.05</v>
      </c>
      <c r="K19" s="30">
        <v>0.05</v>
      </c>
      <c r="L19" s="30">
        <v>0.05</v>
      </c>
      <c r="M19" s="30">
        <v>0.05</v>
      </c>
      <c r="N19" s="30">
        <v>0.05</v>
      </c>
      <c r="O19" s="30">
        <v>0.05</v>
      </c>
      <c r="P19" s="30">
        <v>0.05</v>
      </c>
      <c r="Q19" s="30">
        <v>0.05</v>
      </c>
      <c r="R19" s="30">
        <v>0.05</v>
      </c>
      <c r="S19" s="30">
        <v>0.05</v>
      </c>
      <c r="T19" s="30">
        <v>0.05</v>
      </c>
      <c r="U19" s="30">
        <v>0.05</v>
      </c>
      <c r="V19" s="30">
        <v>0.05</v>
      </c>
      <c r="W19" s="30">
        <v>0.05</v>
      </c>
      <c r="X19" s="30">
        <v>0.05</v>
      </c>
      <c r="Y19" s="30">
        <v>0.05</v>
      </c>
      <c r="Z19" s="30">
        <v>0.05</v>
      </c>
      <c r="AA19" s="30">
        <v>0.05</v>
      </c>
      <c r="AB19" s="30">
        <v>0.05</v>
      </c>
      <c r="AC19" s="30">
        <v>0.05</v>
      </c>
      <c r="AD19" s="30">
        <v>0.05</v>
      </c>
      <c r="AE19" s="30">
        <v>0.05</v>
      </c>
      <c r="AF19" s="30">
        <v>0.05</v>
      </c>
      <c r="AG19" s="30">
        <v>0.05</v>
      </c>
      <c r="AH19" s="30">
        <v>0.05</v>
      </c>
      <c r="AI19" s="30">
        <v>0.05</v>
      </c>
      <c r="AJ19" s="30">
        <v>0.05</v>
      </c>
      <c r="AK19" s="30">
        <v>0.05</v>
      </c>
      <c r="AL19" s="30">
        <v>0.05</v>
      </c>
      <c r="AM19" s="30">
        <v>0.05</v>
      </c>
      <c r="AN19" s="30">
        <v>0.05</v>
      </c>
      <c r="AO19" s="30">
        <v>0.05</v>
      </c>
      <c r="AP19" s="30">
        <v>0.05</v>
      </c>
      <c r="AQ19" s="30">
        <v>0.05</v>
      </c>
      <c r="AR19" s="30">
        <v>0.05</v>
      </c>
      <c r="AS19" s="30">
        <v>0.05</v>
      </c>
      <c r="AT19" s="30"/>
      <c r="AU19" s="80">
        <v>1</v>
      </c>
      <c r="AV19" s="30"/>
      <c r="AW19" s="30"/>
      <c r="AX19" s="30"/>
      <c r="AY19" s="30"/>
      <c r="AZ19" s="30"/>
      <c r="BA19" s="30"/>
      <c r="BB19" s="30"/>
      <c r="BC19" s="30"/>
    </row>
    <row r="20" spans="1:55" ht="14.45" customHeight="1">
      <c r="A20" s="32" t="s">
        <v>248</v>
      </c>
      <c r="B20" s="33" t="s">
        <v>252</v>
      </c>
      <c r="C20" s="33" t="s">
        <v>268</v>
      </c>
      <c r="D20" s="30"/>
      <c r="E20" s="31" t="s">
        <v>29</v>
      </c>
      <c r="F20" s="39">
        <v>2020</v>
      </c>
      <c r="G20" s="30" t="s">
        <v>104</v>
      </c>
      <c r="H20" s="30">
        <f t="shared" si="0"/>
        <v>0.050000000000000003</v>
      </c>
      <c r="I20" s="30">
        <v>0.05</v>
      </c>
      <c r="J20" s="30">
        <v>0.05</v>
      </c>
      <c r="K20" s="30">
        <v>0.05</v>
      </c>
      <c r="L20" s="30">
        <v>0.05</v>
      </c>
      <c r="M20" s="30">
        <v>0.05</v>
      </c>
      <c r="N20" s="30">
        <v>0.05</v>
      </c>
      <c r="O20" s="30">
        <v>0.05</v>
      </c>
      <c r="P20" s="30">
        <v>0.05</v>
      </c>
      <c r="Q20" s="30">
        <v>0.05</v>
      </c>
      <c r="R20" s="30">
        <v>0.05</v>
      </c>
      <c r="S20" s="30">
        <v>0.05</v>
      </c>
      <c r="T20" s="30">
        <v>0.05</v>
      </c>
      <c r="U20" s="30">
        <v>0.05</v>
      </c>
      <c r="V20" s="30">
        <v>0.05</v>
      </c>
      <c r="W20" s="30">
        <v>0.05</v>
      </c>
      <c r="X20" s="30">
        <v>0.05</v>
      </c>
      <c r="Y20" s="30">
        <v>0.05</v>
      </c>
      <c r="Z20" s="30">
        <v>0.05</v>
      </c>
      <c r="AA20" s="30">
        <v>0.05</v>
      </c>
      <c r="AB20" s="30">
        <v>0.05</v>
      </c>
      <c r="AC20" s="30">
        <v>0.05</v>
      </c>
      <c r="AD20" s="30">
        <v>0.05</v>
      </c>
      <c r="AE20" s="30">
        <v>0.05</v>
      </c>
      <c r="AF20" s="30">
        <v>0.05</v>
      </c>
      <c r="AG20" s="30">
        <v>0.05</v>
      </c>
      <c r="AH20" s="30">
        <v>0.05</v>
      </c>
      <c r="AI20" s="30">
        <v>0.05</v>
      </c>
      <c r="AJ20" s="30">
        <v>0.05</v>
      </c>
      <c r="AK20" s="30">
        <v>0.05</v>
      </c>
      <c r="AL20" s="30">
        <v>0.05</v>
      </c>
      <c r="AM20" s="30">
        <v>0.05</v>
      </c>
      <c r="AN20" s="30">
        <v>0.05</v>
      </c>
      <c r="AO20" s="30">
        <v>0.05</v>
      </c>
      <c r="AP20" s="30">
        <v>0.05</v>
      </c>
      <c r="AQ20" s="30">
        <v>0.05</v>
      </c>
      <c r="AR20" s="30">
        <v>0.05</v>
      </c>
      <c r="AS20" s="30">
        <v>0.05</v>
      </c>
      <c r="AT20" s="30"/>
      <c r="AU20" s="80">
        <v>1</v>
      </c>
      <c r="AV20" s="30"/>
      <c r="AW20" s="30"/>
      <c r="AX20" s="30"/>
      <c r="AY20" s="30"/>
      <c r="AZ20" s="30"/>
      <c r="BA20" s="30"/>
      <c r="BB20" s="30"/>
      <c r="BC20" s="30"/>
    </row>
    <row r="21" spans="1:55" ht="14.45" customHeight="1">
      <c r="A21" s="32" t="s">
        <v>248</v>
      </c>
      <c r="B21" s="33" t="s">
        <v>252</v>
      </c>
      <c r="C21" s="33" t="s">
        <v>268</v>
      </c>
      <c r="D21" s="30"/>
      <c r="E21" s="31" t="s">
        <v>29</v>
      </c>
      <c r="F21" s="39">
        <v>2025</v>
      </c>
      <c r="G21" s="30" t="s">
        <v>104</v>
      </c>
      <c r="H21" s="30">
        <f t="shared" si="0"/>
        <v>0.050000000000000003</v>
      </c>
      <c r="I21" s="30">
        <v>0.05</v>
      </c>
      <c r="J21" s="30">
        <v>0.05</v>
      </c>
      <c r="K21" s="30">
        <v>0.05</v>
      </c>
      <c r="L21" s="30">
        <v>0.05</v>
      </c>
      <c r="M21" s="30">
        <v>0.05</v>
      </c>
      <c r="N21" s="30">
        <v>0.05</v>
      </c>
      <c r="O21" s="30">
        <v>0.05</v>
      </c>
      <c r="P21" s="30">
        <v>0.05</v>
      </c>
      <c r="Q21" s="30">
        <v>0.05</v>
      </c>
      <c r="R21" s="30">
        <v>0.05</v>
      </c>
      <c r="S21" s="30">
        <v>0.05</v>
      </c>
      <c r="T21" s="30">
        <v>0.05</v>
      </c>
      <c r="U21" s="30">
        <v>0.05</v>
      </c>
      <c r="V21" s="30">
        <v>0.05</v>
      </c>
      <c r="W21" s="30">
        <v>0.05</v>
      </c>
      <c r="X21" s="30">
        <v>0.05</v>
      </c>
      <c r="Y21" s="30">
        <v>0.05</v>
      </c>
      <c r="Z21" s="30">
        <v>0.05</v>
      </c>
      <c r="AA21" s="30">
        <v>0.05</v>
      </c>
      <c r="AB21" s="30">
        <v>0.05</v>
      </c>
      <c r="AC21" s="30">
        <v>0.05</v>
      </c>
      <c r="AD21" s="30">
        <v>0.05</v>
      </c>
      <c r="AE21" s="30">
        <v>0.05</v>
      </c>
      <c r="AF21" s="30">
        <v>0.05</v>
      </c>
      <c r="AG21" s="30">
        <v>0.05</v>
      </c>
      <c r="AH21" s="30">
        <v>0.05</v>
      </c>
      <c r="AI21" s="30">
        <v>0.05</v>
      </c>
      <c r="AJ21" s="30">
        <v>0.05</v>
      </c>
      <c r="AK21" s="30">
        <v>0.05</v>
      </c>
      <c r="AL21" s="30">
        <v>0.05</v>
      </c>
      <c r="AM21" s="30">
        <v>0.05</v>
      </c>
      <c r="AN21" s="30">
        <v>0.05</v>
      </c>
      <c r="AO21" s="30">
        <v>0.05</v>
      </c>
      <c r="AP21" s="30">
        <v>0.05</v>
      </c>
      <c r="AQ21" s="30">
        <v>0.05</v>
      </c>
      <c r="AR21" s="30">
        <v>0.05</v>
      </c>
      <c r="AS21" s="30">
        <v>0.05</v>
      </c>
      <c r="AT21" s="30"/>
      <c r="AU21" s="80">
        <v>1</v>
      </c>
      <c r="AV21" s="30"/>
      <c r="AW21" s="30"/>
      <c r="AX21" s="30"/>
      <c r="AY21" s="30"/>
      <c r="AZ21" s="30"/>
      <c r="BA21" s="30"/>
      <c r="BB21" s="30"/>
      <c r="BC21" s="30"/>
    </row>
    <row r="22" spans="1:55" ht="14.45" customHeight="1">
      <c r="A22" s="32" t="s">
        <v>248</v>
      </c>
      <c r="B22" s="33" t="s">
        <v>252</v>
      </c>
      <c r="C22" s="33" t="s">
        <v>268</v>
      </c>
      <c r="D22" s="30"/>
      <c r="E22" s="31" t="s">
        <v>29</v>
      </c>
      <c r="F22" s="39">
        <v>2030</v>
      </c>
      <c r="G22" s="30" t="s">
        <v>104</v>
      </c>
      <c r="H22" s="30">
        <f t="shared" si="0"/>
        <v>0.050000000000000003</v>
      </c>
      <c r="I22" s="30">
        <v>0.05</v>
      </c>
      <c r="J22" s="30">
        <v>0.05</v>
      </c>
      <c r="K22" s="30">
        <v>0.05</v>
      </c>
      <c r="L22" s="30">
        <v>0.05</v>
      </c>
      <c r="M22" s="30">
        <v>0.05</v>
      </c>
      <c r="N22" s="30">
        <v>0.05</v>
      </c>
      <c r="O22" s="30">
        <v>0.05</v>
      </c>
      <c r="P22" s="30">
        <v>0.05</v>
      </c>
      <c r="Q22" s="30">
        <v>0.05</v>
      </c>
      <c r="R22" s="30">
        <v>0.05</v>
      </c>
      <c r="S22" s="30">
        <v>0.05</v>
      </c>
      <c r="T22" s="30">
        <v>0.05</v>
      </c>
      <c r="U22" s="30">
        <v>0.05</v>
      </c>
      <c r="V22" s="30">
        <v>0.05</v>
      </c>
      <c r="W22" s="30">
        <v>0.05</v>
      </c>
      <c r="X22" s="30">
        <v>0.05</v>
      </c>
      <c r="Y22" s="30">
        <v>0.05</v>
      </c>
      <c r="Z22" s="30">
        <v>0.05</v>
      </c>
      <c r="AA22" s="30">
        <v>0.05</v>
      </c>
      <c r="AB22" s="30">
        <v>0.05</v>
      </c>
      <c r="AC22" s="30">
        <v>0.05</v>
      </c>
      <c r="AD22" s="30">
        <v>0.05</v>
      </c>
      <c r="AE22" s="30">
        <v>0.05</v>
      </c>
      <c r="AF22" s="30">
        <v>0.05</v>
      </c>
      <c r="AG22" s="30">
        <v>0.05</v>
      </c>
      <c r="AH22" s="30">
        <v>0.05</v>
      </c>
      <c r="AI22" s="30">
        <v>0.05</v>
      </c>
      <c r="AJ22" s="30">
        <v>0.05</v>
      </c>
      <c r="AK22" s="30">
        <v>0.05</v>
      </c>
      <c r="AL22" s="30">
        <v>0.05</v>
      </c>
      <c r="AM22" s="30">
        <v>0.05</v>
      </c>
      <c r="AN22" s="30">
        <v>0.05</v>
      </c>
      <c r="AO22" s="30">
        <v>0.05</v>
      </c>
      <c r="AP22" s="30">
        <v>0.05</v>
      </c>
      <c r="AQ22" s="30">
        <v>0.05</v>
      </c>
      <c r="AR22" s="30">
        <v>0.05</v>
      </c>
      <c r="AS22" s="30">
        <v>0.05</v>
      </c>
      <c r="AT22" s="30"/>
      <c r="AU22" s="80">
        <v>1</v>
      </c>
      <c r="AV22" s="30"/>
      <c r="AW22" s="30"/>
      <c r="AX22" s="30"/>
      <c r="AY22" s="30"/>
      <c r="AZ22" s="30"/>
      <c r="BA22" s="30"/>
      <c r="BB22" s="30"/>
      <c r="BC22" s="30"/>
    </row>
    <row r="23" spans="1:55" ht="14.45" customHeight="1">
      <c r="A23" s="32" t="s">
        <v>248</v>
      </c>
      <c r="B23" s="33" t="s">
        <v>252</v>
      </c>
      <c r="C23" s="33" t="s">
        <v>268</v>
      </c>
      <c r="D23" s="30"/>
      <c r="E23" s="31" t="s">
        <v>29</v>
      </c>
      <c r="F23" s="39">
        <v>2035</v>
      </c>
      <c r="G23" s="30" t="s">
        <v>104</v>
      </c>
      <c r="H23" s="30">
        <f t="shared" si="0"/>
        <v>0.050000000000000003</v>
      </c>
      <c r="I23" s="30">
        <v>0.05</v>
      </c>
      <c r="J23" s="30">
        <v>0.05</v>
      </c>
      <c r="K23" s="30">
        <v>0.05</v>
      </c>
      <c r="L23" s="30">
        <v>0.05</v>
      </c>
      <c r="M23" s="30">
        <v>0.05</v>
      </c>
      <c r="N23" s="30">
        <v>0.05</v>
      </c>
      <c r="O23" s="30">
        <v>0.05</v>
      </c>
      <c r="P23" s="30">
        <v>0.05</v>
      </c>
      <c r="Q23" s="30">
        <v>0.05</v>
      </c>
      <c r="R23" s="30">
        <v>0.05</v>
      </c>
      <c r="S23" s="30">
        <v>0.05</v>
      </c>
      <c r="T23" s="30">
        <v>0.05</v>
      </c>
      <c r="U23" s="30">
        <v>0.05</v>
      </c>
      <c r="V23" s="30">
        <v>0.05</v>
      </c>
      <c r="W23" s="30">
        <v>0.05</v>
      </c>
      <c r="X23" s="30">
        <v>0.05</v>
      </c>
      <c r="Y23" s="30">
        <v>0.05</v>
      </c>
      <c r="Z23" s="30">
        <v>0.05</v>
      </c>
      <c r="AA23" s="30">
        <v>0.05</v>
      </c>
      <c r="AB23" s="30">
        <v>0.05</v>
      </c>
      <c r="AC23" s="30">
        <v>0.05</v>
      </c>
      <c r="AD23" s="30">
        <v>0.05</v>
      </c>
      <c r="AE23" s="30">
        <v>0.05</v>
      </c>
      <c r="AF23" s="30">
        <v>0.05</v>
      </c>
      <c r="AG23" s="30">
        <v>0.05</v>
      </c>
      <c r="AH23" s="30">
        <v>0.05</v>
      </c>
      <c r="AI23" s="30">
        <v>0.05</v>
      </c>
      <c r="AJ23" s="30">
        <v>0.05</v>
      </c>
      <c r="AK23" s="30">
        <v>0.05</v>
      </c>
      <c r="AL23" s="30">
        <v>0.05</v>
      </c>
      <c r="AM23" s="30">
        <v>0.05</v>
      </c>
      <c r="AN23" s="30">
        <v>0.05</v>
      </c>
      <c r="AO23" s="30">
        <v>0.05</v>
      </c>
      <c r="AP23" s="30">
        <v>0.05</v>
      </c>
      <c r="AQ23" s="30">
        <v>0.05</v>
      </c>
      <c r="AR23" s="30">
        <v>0.05</v>
      </c>
      <c r="AS23" s="30">
        <v>0.05</v>
      </c>
      <c r="AT23" s="30"/>
      <c r="AU23" s="80">
        <v>1</v>
      </c>
      <c r="AV23" s="30"/>
      <c r="AW23" s="30"/>
      <c r="AX23" s="30"/>
      <c r="AY23" s="30"/>
      <c r="AZ23" s="30"/>
      <c r="BA23" s="30"/>
      <c r="BB23" s="30"/>
      <c r="BC23" s="30"/>
    </row>
    <row r="24" spans="1:55" ht="14.45" customHeight="1">
      <c r="A24" s="32" t="s">
        <v>248</v>
      </c>
      <c r="B24" s="33" t="s">
        <v>252</v>
      </c>
      <c r="C24" s="33" t="s">
        <v>268</v>
      </c>
      <c r="D24" s="30"/>
      <c r="E24" s="31" t="s">
        <v>29</v>
      </c>
      <c r="F24" s="39">
        <v>2040</v>
      </c>
      <c r="G24" s="30" t="s">
        <v>104</v>
      </c>
      <c r="H24" s="30">
        <f t="shared" si="0"/>
        <v>0.050000000000000003</v>
      </c>
      <c r="I24" s="30">
        <v>0.05</v>
      </c>
      <c r="J24" s="30">
        <v>0.05</v>
      </c>
      <c r="K24" s="30">
        <v>0.05</v>
      </c>
      <c r="L24" s="30">
        <v>0.05</v>
      </c>
      <c r="M24" s="30">
        <v>0.05</v>
      </c>
      <c r="N24" s="30">
        <v>0.05</v>
      </c>
      <c r="O24" s="30">
        <v>0.05</v>
      </c>
      <c r="P24" s="30">
        <v>0.05</v>
      </c>
      <c r="Q24" s="30">
        <v>0.05</v>
      </c>
      <c r="R24" s="30">
        <v>0.05</v>
      </c>
      <c r="S24" s="30">
        <v>0.05</v>
      </c>
      <c r="T24" s="30">
        <v>0.05</v>
      </c>
      <c r="U24" s="30">
        <v>0.05</v>
      </c>
      <c r="V24" s="30">
        <v>0.05</v>
      </c>
      <c r="W24" s="30">
        <v>0.05</v>
      </c>
      <c r="X24" s="30">
        <v>0.05</v>
      </c>
      <c r="Y24" s="30">
        <v>0.05</v>
      </c>
      <c r="Z24" s="30">
        <v>0.05</v>
      </c>
      <c r="AA24" s="30">
        <v>0.05</v>
      </c>
      <c r="AB24" s="30">
        <v>0.05</v>
      </c>
      <c r="AC24" s="30">
        <v>0.05</v>
      </c>
      <c r="AD24" s="30">
        <v>0.05</v>
      </c>
      <c r="AE24" s="30">
        <v>0.05</v>
      </c>
      <c r="AF24" s="30">
        <v>0.05</v>
      </c>
      <c r="AG24" s="30">
        <v>0.05</v>
      </c>
      <c r="AH24" s="30">
        <v>0.05</v>
      </c>
      <c r="AI24" s="30">
        <v>0.05</v>
      </c>
      <c r="AJ24" s="30">
        <v>0.05</v>
      </c>
      <c r="AK24" s="30">
        <v>0.05</v>
      </c>
      <c r="AL24" s="30">
        <v>0.05</v>
      </c>
      <c r="AM24" s="30">
        <v>0.05</v>
      </c>
      <c r="AN24" s="30">
        <v>0.05</v>
      </c>
      <c r="AO24" s="30">
        <v>0.05</v>
      </c>
      <c r="AP24" s="30">
        <v>0.05</v>
      </c>
      <c r="AQ24" s="30">
        <v>0.05</v>
      </c>
      <c r="AR24" s="30">
        <v>0.05</v>
      </c>
      <c r="AS24" s="30">
        <v>0.05</v>
      </c>
      <c r="AT24" s="30"/>
      <c r="AU24" s="80">
        <v>1</v>
      </c>
      <c r="AV24" s="30"/>
      <c r="AW24" s="30"/>
      <c r="AX24" s="30"/>
      <c r="AY24" s="30"/>
      <c r="AZ24" s="30"/>
      <c r="BA24" s="30"/>
      <c r="BB24" s="30"/>
      <c r="BC24" s="30"/>
    </row>
    <row r="25" spans="1:55" ht="14.45" customHeight="1">
      <c r="A25" s="51" t="s">
        <v>248</v>
      </c>
      <c r="B25" s="45" t="s">
        <v>252</v>
      </c>
      <c r="C25" s="45" t="s">
        <v>268</v>
      </c>
      <c r="D25" s="46"/>
      <c r="E25" s="47" t="s">
        <v>29</v>
      </c>
      <c r="F25" s="48">
        <v>2050</v>
      </c>
      <c r="G25" s="46" t="s">
        <v>104</v>
      </c>
      <c r="H25" s="46">
        <f t="shared" si="0"/>
        <v>0.050000000000000003</v>
      </c>
      <c r="I25" s="46">
        <v>0.05</v>
      </c>
      <c r="J25" s="46">
        <v>0.05</v>
      </c>
      <c r="K25" s="46">
        <v>0.05</v>
      </c>
      <c r="L25" s="46">
        <v>0.05</v>
      </c>
      <c r="M25" s="46">
        <v>0.05</v>
      </c>
      <c r="N25" s="46">
        <v>0.05</v>
      </c>
      <c r="O25" s="46">
        <v>0.05</v>
      </c>
      <c r="P25" s="46">
        <v>0.05</v>
      </c>
      <c r="Q25" s="46">
        <v>0.05</v>
      </c>
      <c r="R25" s="46">
        <v>0.05</v>
      </c>
      <c r="S25" s="46">
        <v>0.05</v>
      </c>
      <c r="T25" s="46">
        <v>0.05</v>
      </c>
      <c r="U25" s="46">
        <v>0.05</v>
      </c>
      <c r="V25" s="46">
        <v>0.05</v>
      </c>
      <c r="W25" s="46">
        <v>0.05</v>
      </c>
      <c r="X25" s="46">
        <v>0.05</v>
      </c>
      <c r="Y25" s="46">
        <v>0.05</v>
      </c>
      <c r="Z25" s="46">
        <v>0.05</v>
      </c>
      <c r="AA25" s="46">
        <v>0.05</v>
      </c>
      <c r="AB25" s="46">
        <v>0.05</v>
      </c>
      <c r="AC25" s="46">
        <v>0.05</v>
      </c>
      <c r="AD25" s="46">
        <v>0.05</v>
      </c>
      <c r="AE25" s="46">
        <v>0.05</v>
      </c>
      <c r="AF25" s="46">
        <v>0.05</v>
      </c>
      <c r="AG25" s="46">
        <v>0.05</v>
      </c>
      <c r="AH25" s="46">
        <v>0.05</v>
      </c>
      <c r="AI25" s="46">
        <v>0.05</v>
      </c>
      <c r="AJ25" s="46">
        <v>0.05</v>
      </c>
      <c r="AK25" s="46">
        <v>0.05</v>
      </c>
      <c r="AL25" s="46">
        <v>0.05</v>
      </c>
      <c r="AM25" s="46">
        <v>0.05</v>
      </c>
      <c r="AN25" s="46">
        <v>0.05</v>
      </c>
      <c r="AO25" s="46">
        <v>0.05</v>
      </c>
      <c r="AP25" s="46">
        <v>0.05</v>
      </c>
      <c r="AQ25" s="46">
        <v>0.05</v>
      </c>
      <c r="AR25" s="46">
        <v>0.05</v>
      </c>
      <c r="AS25" s="46">
        <v>0.05</v>
      </c>
      <c r="AT25" s="46"/>
      <c r="AU25" s="81">
        <v>1</v>
      </c>
      <c r="AV25" s="46"/>
      <c r="AW25" s="46"/>
      <c r="AX25" s="46"/>
      <c r="AY25" s="46"/>
      <c r="AZ25" s="46"/>
      <c r="BA25" s="46"/>
      <c r="BB25" s="46"/>
      <c r="BC25" s="46"/>
    </row>
    <row r="26" spans="1:55" ht="14.45" customHeight="1">
      <c r="A26" s="29" t="s">
        <v>248</v>
      </c>
      <c r="B26" s="29" t="s">
        <v>251</v>
      </c>
      <c r="C26" s="29" t="s">
        <v>269</v>
      </c>
      <c r="D26" s="27"/>
      <c r="E26" s="28" t="s">
        <v>29</v>
      </c>
      <c r="F26" s="40">
        <v>2010</v>
      </c>
      <c r="G26" s="27" t="s">
        <v>98</v>
      </c>
      <c r="H26" s="27">
        <f t="shared" si="0"/>
        <v>0.0332</v>
      </c>
      <c r="I26" s="27">
        <v>0.0332</v>
      </c>
      <c r="J26" s="27">
        <v>0.0332</v>
      </c>
      <c r="K26" s="27">
        <v>0.0332</v>
      </c>
      <c r="L26" s="27">
        <v>0.0332</v>
      </c>
      <c r="M26" s="27">
        <v>0.0332</v>
      </c>
      <c r="N26" s="27">
        <v>0.0332</v>
      </c>
      <c r="O26" s="27">
        <v>0.0332</v>
      </c>
      <c r="P26" s="27">
        <v>0.0332</v>
      </c>
      <c r="Q26" s="27">
        <v>0.0332</v>
      </c>
      <c r="R26" s="27">
        <v>0.0332</v>
      </c>
      <c r="S26" s="27">
        <v>0.0332</v>
      </c>
      <c r="T26" s="27">
        <v>0.0332</v>
      </c>
      <c r="U26" s="27">
        <v>0.0332</v>
      </c>
      <c r="V26" s="27">
        <v>0.0332</v>
      </c>
      <c r="W26" s="27">
        <v>0.0332</v>
      </c>
      <c r="X26" s="27">
        <v>0.0332</v>
      </c>
      <c r="Y26" s="27">
        <v>0.0332</v>
      </c>
      <c r="Z26" s="27">
        <v>0.0332</v>
      </c>
      <c r="AA26" s="27">
        <v>0.0332</v>
      </c>
      <c r="AB26" s="27">
        <v>0.0332</v>
      </c>
      <c r="AC26" s="27">
        <v>0.0332</v>
      </c>
      <c r="AD26" s="27">
        <v>0.0332</v>
      </c>
      <c r="AE26" s="27">
        <v>0.0332</v>
      </c>
      <c r="AF26" s="27">
        <v>0.0332</v>
      </c>
      <c r="AG26" s="27">
        <v>0.0332</v>
      </c>
      <c r="AH26" s="27">
        <v>0.0332</v>
      </c>
      <c r="AI26" s="27">
        <v>0.0332</v>
      </c>
      <c r="AJ26" s="27">
        <v>0.0332</v>
      </c>
      <c r="AK26" s="27">
        <v>0.0332</v>
      </c>
      <c r="AL26" s="27">
        <v>0.0332</v>
      </c>
      <c r="AM26" s="27">
        <v>0.0332</v>
      </c>
      <c r="AN26" s="27">
        <v>0.0332</v>
      </c>
      <c r="AO26" s="27">
        <v>0.0332</v>
      </c>
      <c r="AP26" s="27">
        <v>0.0332</v>
      </c>
      <c r="AQ26" s="27">
        <v>0.0332</v>
      </c>
      <c r="AR26" s="27">
        <v>0.0332</v>
      </c>
      <c r="AS26" s="27">
        <v>0.0332</v>
      </c>
      <c r="AT26" s="27"/>
      <c r="AU26" s="82">
        <v>0.83</v>
      </c>
      <c r="AV26" s="27"/>
      <c r="AW26" s="27"/>
      <c r="AX26" s="27"/>
      <c r="AY26" s="27"/>
      <c r="AZ26" s="27"/>
      <c r="BA26" s="27"/>
      <c r="BB26" s="27"/>
      <c r="BC26" s="27"/>
    </row>
    <row r="27" spans="1:55" ht="14.45" customHeight="1">
      <c r="A27" s="29" t="s">
        <v>248</v>
      </c>
      <c r="B27" s="29" t="s">
        <v>251</v>
      </c>
      <c r="C27" s="29" t="s">
        <v>269</v>
      </c>
      <c r="D27" s="27"/>
      <c r="E27" s="28" t="s">
        <v>29</v>
      </c>
      <c r="F27" s="40">
        <v>2020</v>
      </c>
      <c r="G27" s="27" t="s">
        <v>98</v>
      </c>
      <c r="H27" s="27">
        <f t="shared" si="0"/>
        <v>0.034004714446835019</v>
      </c>
      <c r="I27" s="27">
        <v>0.034004714446835019</v>
      </c>
      <c r="J27" s="27">
        <v>0.034004714446835019</v>
      </c>
      <c r="K27" s="27">
        <v>0.034004714446835019</v>
      </c>
      <c r="L27" s="27">
        <v>0.034004714446835019</v>
      </c>
      <c r="M27" s="27">
        <v>0.034004714446835019</v>
      </c>
      <c r="N27" s="27">
        <v>0.034004714446835019</v>
      </c>
      <c r="O27" s="27">
        <v>0.034004714446835019</v>
      </c>
      <c r="P27" s="27">
        <v>0.034004714446835019</v>
      </c>
      <c r="Q27" s="27">
        <v>0.034004714446835019</v>
      </c>
      <c r="R27" s="27">
        <v>0.034004714446835019</v>
      </c>
      <c r="S27" s="27">
        <v>0.034004714446835019</v>
      </c>
      <c r="T27" s="27">
        <v>0.034004714446835019</v>
      </c>
      <c r="U27" s="27">
        <v>0.034004714446835019</v>
      </c>
      <c r="V27" s="27">
        <v>0.034004714446835019</v>
      </c>
      <c r="W27" s="27">
        <v>0.034004714446835019</v>
      </c>
      <c r="X27" s="27">
        <v>0.034004714446835019</v>
      </c>
      <c r="Y27" s="27">
        <v>0.034004714446835019</v>
      </c>
      <c r="Z27" s="27">
        <v>0.034004714446835019</v>
      </c>
      <c r="AA27" s="27">
        <v>0.034004714446835019</v>
      </c>
      <c r="AB27" s="27">
        <v>0.034004714446835019</v>
      </c>
      <c r="AC27" s="27">
        <v>0.034004714446835019</v>
      </c>
      <c r="AD27" s="27">
        <v>0.034004714446835019</v>
      </c>
      <c r="AE27" s="27">
        <v>0.034004714446835019</v>
      </c>
      <c r="AF27" s="27">
        <v>0.034004714446835019</v>
      </c>
      <c r="AG27" s="27">
        <v>0.034004714446835019</v>
      </c>
      <c r="AH27" s="27">
        <v>0.034004714446835019</v>
      </c>
      <c r="AI27" s="27">
        <v>0.034004714446835019</v>
      </c>
      <c r="AJ27" s="27">
        <v>0.034004714446835019</v>
      </c>
      <c r="AK27" s="27">
        <v>0.034004714446835019</v>
      </c>
      <c r="AL27" s="27">
        <v>0.034004714446835019</v>
      </c>
      <c r="AM27" s="27">
        <v>0.034004714446835019</v>
      </c>
      <c r="AN27" s="27">
        <v>0.034004714446835019</v>
      </c>
      <c r="AO27" s="27">
        <v>0.034004714446835019</v>
      </c>
      <c r="AP27" s="27">
        <v>0.034004714446835019</v>
      </c>
      <c r="AQ27" s="27">
        <v>0.034004714446835019</v>
      </c>
      <c r="AR27" s="27">
        <v>0.034004714446835019</v>
      </c>
      <c r="AS27" s="27">
        <v>0.034004714446835019</v>
      </c>
      <c r="AT27" s="27"/>
      <c r="AU27" s="82">
        <v>0.85011786117087551</v>
      </c>
      <c r="AV27" s="27"/>
      <c r="AW27" s="27"/>
      <c r="AX27" s="27"/>
      <c r="AY27" s="27"/>
      <c r="AZ27" s="27"/>
      <c r="BA27" s="27"/>
      <c r="BB27" s="27"/>
      <c r="BC27" s="27"/>
    </row>
    <row r="28" spans="1:55" ht="14.45" customHeight="1">
      <c r="A28" s="29" t="s">
        <v>248</v>
      </c>
      <c r="B28" s="29" t="s">
        <v>251</v>
      </c>
      <c r="C28" s="29" t="s">
        <v>269</v>
      </c>
      <c r="D28" s="27"/>
      <c r="E28" s="28" t="s">
        <v>29</v>
      </c>
      <c r="F28" s="40">
        <v>2025</v>
      </c>
      <c r="G28" s="27" t="s">
        <v>98</v>
      </c>
      <c r="H28" s="27">
        <f t="shared" si="0"/>
        <v>0.034451778028410034</v>
      </c>
      <c r="I28" s="27">
        <v>0.034451778028410034</v>
      </c>
      <c r="J28" s="27">
        <v>0.034451778028410034</v>
      </c>
      <c r="K28" s="27">
        <v>0.034451778028410034</v>
      </c>
      <c r="L28" s="27">
        <v>0.034451778028410034</v>
      </c>
      <c r="M28" s="27">
        <v>0.034451778028410034</v>
      </c>
      <c r="N28" s="27">
        <v>0.034451778028410034</v>
      </c>
      <c r="O28" s="27">
        <v>0.034451778028410034</v>
      </c>
      <c r="P28" s="27">
        <v>0.034451778028410034</v>
      </c>
      <c r="Q28" s="27">
        <v>0.034451778028410034</v>
      </c>
      <c r="R28" s="27">
        <v>0.034451778028410034</v>
      </c>
      <c r="S28" s="27">
        <v>0.034451778028410034</v>
      </c>
      <c r="T28" s="27">
        <v>0.034451778028410034</v>
      </c>
      <c r="U28" s="27">
        <v>0.034451778028410034</v>
      </c>
      <c r="V28" s="27">
        <v>0.034451778028410034</v>
      </c>
      <c r="W28" s="27">
        <v>0.034451778028410034</v>
      </c>
      <c r="X28" s="27">
        <v>0.034451778028410034</v>
      </c>
      <c r="Y28" s="27">
        <v>0.034451778028410034</v>
      </c>
      <c r="Z28" s="27">
        <v>0.034451778028410034</v>
      </c>
      <c r="AA28" s="27">
        <v>0.034451778028410034</v>
      </c>
      <c r="AB28" s="27">
        <v>0.034451778028410034</v>
      </c>
      <c r="AC28" s="27">
        <v>0.034451778028410034</v>
      </c>
      <c r="AD28" s="27">
        <v>0.034451778028410034</v>
      </c>
      <c r="AE28" s="27">
        <v>0.034451778028410034</v>
      </c>
      <c r="AF28" s="27">
        <v>0.034451778028410034</v>
      </c>
      <c r="AG28" s="27">
        <v>0.034451778028410034</v>
      </c>
      <c r="AH28" s="27">
        <v>0.034451778028410034</v>
      </c>
      <c r="AI28" s="27">
        <v>0.034451778028410034</v>
      </c>
      <c r="AJ28" s="27">
        <v>0.034451778028410034</v>
      </c>
      <c r="AK28" s="27">
        <v>0.034451778028410034</v>
      </c>
      <c r="AL28" s="27">
        <v>0.034451778028410034</v>
      </c>
      <c r="AM28" s="27">
        <v>0.034451778028410034</v>
      </c>
      <c r="AN28" s="27">
        <v>0.034451778028410034</v>
      </c>
      <c r="AO28" s="27">
        <v>0.034451778028410034</v>
      </c>
      <c r="AP28" s="27">
        <v>0.034451778028410034</v>
      </c>
      <c r="AQ28" s="27">
        <v>0.034451778028410034</v>
      </c>
      <c r="AR28" s="27">
        <v>0.034451778028410034</v>
      </c>
      <c r="AS28" s="27">
        <v>0.034451778028410034</v>
      </c>
      <c r="AT28" s="27"/>
      <c r="AU28" s="82">
        <v>0.86129445071025079</v>
      </c>
      <c r="AV28" s="27"/>
      <c r="AW28" s="27"/>
      <c r="AX28" s="27"/>
      <c r="AY28" s="27"/>
      <c r="AZ28" s="27"/>
      <c r="BA28" s="27"/>
      <c r="BB28" s="27"/>
      <c r="BC28" s="27"/>
    </row>
    <row r="29" spans="1:55" ht="14.45" customHeight="1">
      <c r="A29" s="29" t="s">
        <v>248</v>
      </c>
      <c r="B29" s="29" t="s">
        <v>251</v>
      </c>
      <c r="C29" s="29" t="s">
        <v>269</v>
      </c>
      <c r="D29" s="27"/>
      <c r="E29" s="28" t="s">
        <v>29</v>
      </c>
      <c r="F29" s="40">
        <v>2030</v>
      </c>
      <c r="G29" s="27" t="s">
        <v>98</v>
      </c>
      <c r="H29" s="27">
        <f t="shared" si="0"/>
        <v>0.034898841609985042</v>
      </c>
      <c r="I29" s="27">
        <v>0.034898841609985042</v>
      </c>
      <c r="J29" s="27">
        <v>0.034898841609985042</v>
      </c>
      <c r="K29" s="27">
        <v>0.034898841609985042</v>
      </c>
      <c r="L29" s="27">
        <v>0.034898841609985042</v>
      </c>
      <c r="M29" s="27">
        <v>0.034898841609985042</v>
      </c>
      <c r="N29" s="27">
        <v>0.034898841609985042</v>
      </c>
      <c r="O29" s="27">
        <v>0.034898841609985042</v>
      </c>
      <c r="P29" s="27">
        <v>0.034898841609985042</v>
      </c>
      <c r="Q29" s="27">
        <v>0.034898841609985042</v>
      </c>
      <c r="R29" s="27">
        <v>0.034898841609985042</v>
      </c>
      <c r="S29" s="27">
        <v>0.034898841609985042</v>
      </c>
      <c r="T29" s="27">
        <v>0.034898841609985042</v>
      </c>
      <c r="U29" s="27">
        <v>0.034898841609985042</v>
      </c>
      <c r="V29" s="27">
        <v>0.034898841609985042</v>
      </c>
      <c r="W29" s="27">
        <v>0.034898841609985042</v>
      </c>
      <c r="X29" s="27">
        <v>0.034898841609985042</v>
      </c>
      <c r="Y29" s="27">
        <v>0.034898841609985042</v>
      </c>
      <c r="Z29" s="27">
        <v>0.034898841609985042</v>
      </c>
      <c r="AA29" s="27">
        <v>0.034898841609985042</v>
      </c>
      <c r="AB29" s="27">
        <v>0.034898841609985042</v>
      </c>
      <c r="AC29" s="27">
        <v>0.034898841609985042</v>
      </c>
      <c r="AD29" s="27">
        <v>0.034898841609985042</v>
      </c>
      <c r="AE29" s="27">
        <v>0.034898841609985042</v>
      </c>
      <c r="AF29" s="27">
        <v>0.034898841609985042</v>
      </c>
      <c r="AG29" s="27">
        <v>0.034898841609985042</v>
      </c>
      <c r="AH29" s="27">
        <v>0.034898841609985042</v>
      </c>
      <c r="AI29" s="27">
        <v>0.034898841609985042</v>
      </c>
      <c r="AJ29" s="27">
        <v>0.034898841609985042</v>
      </c>
      <c r="AK29" s="27">
        <v>0.034898841609985042</v>
      </c>
      <c r="AL29" s="27">
        <v>0.034898841609985042</v>
      </c>
      <c r="AM29" s="27">
        <v>0.034898841609985042</v>
      </c>
      <c r="AN29" s="27">
        <v>0.034898841609985042</v>
      </c>
      <c r="AO29" s="27">
        <v>0.034898841609985042</v>
      </c>
      <c r="AP29" s="27">
        <v>0.034898841609985042</v>
      </c>
      <c r="AQ29" s="27">
        <v>0.034898841609985042</v>
      </c>
      <c r="AR29" s="27">
        <v>0.034898841609985042</v>
      </c>
      <c r="AS29" s="27">
        <v>0.034898841609985042</v>
      </c>
      <c r="AT29" s="27"/>
      <c r="AU29" s="82">
        <v>0.87247104024962607</v>
      </c>
      <c r="AV29" s="27"/>
      <c r="AW29" s="27"/>
      <c r="AX29" s="27"/>
      <c r="AY29" s="27"/>
      <c r="AZ29" s="27"/>
      <c r="BA29" s="27"/>
      <c r="BB29" s="27"/>
      <c r="BC29" s="27"/>
    </row>
    <row r="30" spans="1:55" ht="14.45" customHeight="1">
      <c r="A30" s="29" t="s">
        <v>248</v>
      </c>
      <c r="B30" s="29" t="s">
        <v>251</v>
      </c>
      <c r="C30" s="29" t="s">
        <v>269</v>
      </c>
      <c r="D30" s="27"/>
      <c r="E30" s="28" t="s">
        <v>29</v>
      </c>
      <c r="F30" s="40">
        <v>2035</v>
      </c>
      <c r="G30" s="27" t="s">
        <v>98</v>
      </c>
      <c r="H30" s="27">
        <f t="shared" si="0"/>
        <v>0.035345905191560056</v>
      </c>
      <c r="I30" s="27">
        <v>0.035345905191560056</v>
      </c>
      <c r="J30" s="27">
        <v>0.035345905191560056</v>
      </c>
      <c r="K30" s="27">
        <v>0.035345905191560056</v>
      </c>
      <c r="L30" s="27">
        <v>0.035345905191560056</v>
      </c>
      <c r="M30" s="27">
        <v>0.035345905191560056</v>
      </c>
      <c r="N30" s="27">
        <v>0.035345905191560056</v>
      </c>
      <c r="O30" s="27">
        <v>0.035345905191560056</v>
      </c>
      <c r="P30" s="27">
        <v>0.035345905191560056</v>
      </c>
      <c r="Q30" s="27">
        <v>0.035345905191560056</v>
      </c>
      <c r="R30" s="27">
        <v>0.035345905191560056</v>
      </c>
      <c r="S30" s="27">
        <v>0.035345905191560056</v>
      </c>
      <c r="T30" s="27">
        <v>0.035345905191560056</v>
      </c>
      <c r="U30" s="27">
        <v>0.035345905191560056</v>
      </c>
      <c r="V30" s="27">
        <v>0.035345905191560056</v>
      </c>
      <c r="W30" s="27">
        <v>0.035345905191560056</v>
      </c>
      <c r="X30" s="27">
        <v>0.035345905191560056</v>
      </c>
      <c r="Y30" s="27">
        <v>0.035345905191560056</v>
      </c>
      <c r="Z30" s="27">
        <v>0.035345905191560056</v>
      </c>
      <c r="AA30" s="27">
        <v>0.035345905191560056</v>
      </c>
      <c r="AB30" s="27">
        <v>0.035345905191560056</v>
      </c>
      <c r="AC30" s="27">
        <v>0.035345905191560056</v>
      </c>
      <c r="AD30" s="27">
        <v>0.035345905191560056</v>
      </c>
      <c r="AE30" s="27">
        <v>0.035345905191560056</v>
      </c>
      <c r="AF30" s="27">
        <v>0.035345905191560056</v>
      </c>
      <c r="AG30" s="27">
        <v>0.035345905191560056</v>
      </c>
      <c r="AH30" s="27">
        <v>0.035345905191560056</v>
      </c>
      <c r="AI30" s="27">
        <v>0.035345905191560056</v>
      </c>
      <c r="AJ30" s="27">
        <v>0.035345905191560056</v>
      </c>
      <c r="AK30" s="27">
        <v>0.035345905191560056</v>
      </c>
      <c r="AL30" s="27">
        <v>0.035345905191560056</v>
      </c>
      <c r="AM30" s="27">
        <v>0.035345905191560056</v>
      </c>
      <c r="AN30" s="27">
        <v>0.035345905191560056</v>
      </c>
      <c r="AO30" s="27">
        <v>0.035345905191560056</v>
      </c>
      <c r="AP30" s="27">
        <v>0.035345905191560056</v>
      </c>
      <c r="AQ30" s="27">
        <v>0.035345905191560056</v>
      </c>
      <c r="AR30" s="27">
        <v>0.035345905191560056</v>
      </c>
      <c r="AS30" s="27">
        <v>0.035345905191560056</v>
      </c>
      <c r="AT30" s="27"/>
      <c r="AU30" s="82">
        <v>0.88364762978900135</v>
      </c>
      <c r="AV30" s="27"/>
      <c r="AW30" s="27"/>
      <c r="AX30" s="27"/>
      <c r="AY30" s="27"/>
      <c r="AZ30" s="27"/>
      <c r="BA30" s="27"/>
      <c r="BB30" s="27"/>
      <c r="BC30" s="27"/>
    </row>
    <row r="31" spans="1:55" ht="14.45" customHeight="1">
      <c r="A31" s="29" t="s">
        <v>248</v>
      </c>
      <c r="B31" s="29" t="s">
        <v>251</v>
      </c>
      <c r="C31" s="29" t="s">
        <v>269</v>
      </c>
      <c r="D31" s="27"/>
      <c r="E31" s="28" t="s">
        <v>29</v>
      </c>
      <c r="F31" s="40">
        <v>2040</v>
      </c>
      <c r="G31" s="27" t="s">
        <v>98</v>
      </c>
      <c r="H31" s="27">
        <f t="shared" si="0"/>
        <v>0.035792968773135064</v>
      </c>
      <c r="I31" s="27">
        <v>0.035792968773135064</v>
      </c>
      <c r="J31" s="27">
        <v>0.035792968773135064</v>
      </c>
      <c r="K31" s="27">
        <v>0.035792968773135064</v>
      </c>
      <c r="L31" s="27">
        <v>0.035792968773135064</v>
      </c>
      <c r="M31" s="27">
        <v>0.035792968773135064</v>
      </c>
      <c r="N31" s="27">
        <v>0.035792968773135064</v>
      </c>
      <c r="O31" s="27">
        <v>0.035792968773135064</v>
      </c>
      <c r="P31" s="27">
        <v>0.035792968773135064</v>
      </c>
      <c r="Q31" s="27">
        <v>0.035792968773135064</v>
      </c>
      <c r="R31" s="27">
        <v>0.035792968773135064</v>
      </c>
      <c r="S31" s="27">
        <v>0.035792968773135064</v>
      </c>
      <c r="T31" s="27">
        <v>0.035792968773135064</v>
      </c>
      <c r="U31" s="27">
        <v>0.035792968773135064</v>
      </c>
      <c r="V31" s="27">
        <v>0.035792968773135064</v>
      </c>
      <c r="W31" s="27">
        <v>0.035792968773135064</v>
      </c>
      <c r="X31" s="27">
        <v>0.035792968773135064</v>
      </c>
      <c r="Y31" s="27">
        <v>0.035792968773135064</v>
      </c>
      <c r="Z31" s="27">
        <v>0.035792968773135064</v>
      </c>
      <c r="AA31" s="27">
        <v>0.035792968773135064</v>
      </c>
      <c r="AB31" s="27">
        <v>0.035792968773135064</v>
      </c>
      <c r="AC31" s="27">
        <v>0.035792968773135064</v>
      </c>
      <c r="AD31" s="27">
        <v>0.035792968773135064</v>
      </c>
      <c r="AE31" s="27">
        <v>0.035792968773135064</v>
      </c>
      <c r="AF31" s="27">
        <v>0.035792968773135064</v>
      </c>
      <c r="AG31" s="27">
        <v>0.035792968773135064</v>
      </c>
      <c r="AH31" s="27">
        <v>0.035792968773135064</v>
      </c>
      <c r="AI31" s="27">
        <v>0.035792968773135064</v>
      </c>
      <c r="AJ31" s="27">
        <v>0.035792968773135064</v>
      </c>
      <c r="AK31" s="27">
        <v>0.035792968773135064</v>
      </c>
      <c r="AL31" s="27">
        <v>0.035792968773135064</v>
      </c>
      <c r="AM31" s="27">
        <v>0.035792968773135064</v>
      </c>
      <c r="AN31" s="27">
        <v>0.035792968773135064</v>
      </c>
      <c r="AO31" s="27">
        <v>0.035792968773135064</v>
      </c>
      <c r="AP31" s="27">
        <v>0.035792968773135064</v>
      </c>
      <c r="AQ31" s="27">
        <v>0.035792968773135064</v>
      </c>
      <c r="AR31" s="27">
        <v>0.035792968773135064</v>
      </c>
      <c r="AS31" s="27">
        <v>0.035792968773135064</v>
      </c>
      <c r="AT31" s="27"/>
      <c r="AU31" s="82">
        <v>0.89482421932837664</v>
      </c>
      <c r="AV31" s="27"/>
      <c r="AW31" s="27"/>
      <c r="AX31" s="27"/>
      <c r="AY31" s="27"/>
      <c r="AZ31" s="27"/>
      <c r="BA31" s="27"/>
      <c r="BB31" s="27"/>
      <c r="BC31" s="27"/>
    </row>
    <row r="32" spans="1:55" ht="14.45" customHeight="1">
      <c r="A32" s="52" t="s">
        <v>248</v>
      </c>
      <c r="B32" s="52" t="s">
        <v>251</v>
      </c>
      <c r="C32" s="52" t="s">
        <v>269</v>
      </c>
      <c r="D32" s="53"/>
      <c r="E32" s="54" t="s">
        <v>29</v>
      </c>
      <c r="F32" s="55">
        <v>2050</v>
      </c>
      <c r="G32" s="53" t="s">
        <v>98</v>
      </c>
      <c r="H32" s="53">
        <f t="shared" si="0"/>
        <v>0.036687095936285087</v>
      </c>
      <c r="I32" s="53">
        <v>0.036687095936285087</v>
      </c>
      <c r="J32" s="53">
        <v>0.036687095936285087</v>
      </c>
      <c r="K32" s="53">
        <v>0.036687095936285087</v>
      </c>
      <c r="L32" s="53">
        <v>0.036687095936285087</v>
      </c>
      <c r="M32" s="53">
        <v>0.036687095936285087</v>
      </c>
      <c r="N32" s="53">
        <v>0.036687095936285087</v>
      </c>
      <c r="O32" s="53">
        <v>0.036687095936285087</v>
      </c>
      <c r="P32" s="53">
        <v>0.036687095936285087</v>
      </c>
      <c r="Q32" s="53">
        <v>0.036687095936285087</v>
      </c>
      <c r="R32" s="53">
        <v>0.036687095936285087</v>
      </c>
      <c r="S32" s="53">
        <v>0.036687095936285087</v>
      </c>
      <c r="T32" s="53">
        <v>0.036687095936285087</v>
      </c>
      <c r="U32" s="53">
        <v>0.036687095936285087</v>
      </c>
      <c r="V32" s="53">
        <v>0.036687095936285087</v>
      </c>
      <c r="W32" s="53">
        <v>0.036687095936285087</v>
      </c>
      <c r="X32" s="53">
        <v>0.036687095936285087</v>
      </c>
      <c r="Y32" s="53">
        <v>0.036687095936285087</v>
      </c>
      <c r="Z32" s="53">
        <v>0.036687095936285087</v>
      </c>
      <c r="AA32" s="53">
        <v>0.036687095936285087</v>
      </c>
      <c r="AB32" s="53">
        <v>0.036687095936285087</v>
      </c>
      <c r="AC32" s="53">
        <v>0.036687095936285087</v>
      </c>
      <c r="AD32" s="53">
        <v>0.036687095936285087</v>
      </c>
      <c r="AE32" s="53">
        <v>0.036687095936285087</v>
      </c>
      <c r="AF32" s="53">
        <v>0.036687095936285087</v>
      </c>
      <c r="AG32" s="53">
        <v>0.036687095936285087</v>
      </c>
      <c r="AH32" s="53">
        <v>0.036687095936285087</v>
      </c>
      <c r="AI32" s="53">
        <v>0.036687095936285087</v>
      </c>
      <c r="AJ32" s="53">
        <v>0.036687095936285087</v>
      </c>
      <c r="AK32" s="53">
        <v>0.036687095936285087</v>
      </c>
      <c r="AL32" s="53">
        <v>0.036687095936285087</v>
      </c>
      <c r="AM32" s="53">
        <v>0.036687095936285087</v>
      </c>
      <c r="AN32" s="53">
        <v>0.036687095936285087</v>
      </c>
      <c r="AO32" s="53">
        <v>0.036687095936285087</v>
      </c>
      <c r="AP32" s="53">
        <v>0.036687095936285087</v>
      </c>
      <c r="AQ32" s="53">
        <v>0.036687095936285087</v>
      </c>
      <c r="AR32" s="53">
        <v>0.036687095936285087</v>
      </c>
      <c r="AS32" s="53">
        <v>0.036687095936285087</v>
      </c>
      <c r="AT32" s="53"/>
      <c r="AU32" s="83">
        <v>0.91717739840712709</v>
      </c>
      <c r="AV32" s="53"/>
      <c r="AW32" s="53"/>
      <c r="AX32" s="53"/>
      <c r="AY32" s="53"/>
      <c r="AZ32" s="53"/>
      <c r="BA32" s="53"/>
      <c r="BB32" s="53"/>
      <c r="BC32" s="53"/>
    </row>
    <row r="33" spans="1:55" ht="14.45" customHeight="1">
      <c r="A33" s="29" t="s">
        <v>248</v>
      </c>
      <c r="B33" s="29" t="s">
        <v>251</v>
      </c>
      <c r="C33" s="29" t="s">
        <v>270</v>
      </c>
      <c r="D33" s="27"/>
      <c r="E33" s="28" t="s">
        <v>29</v>
      </c>
      <c r="F33" s="40">
        <v>2010</v>
      </c>
      <c r="G33" s="27" t="s">
        <v>147</v>
      </c>
      <c r="H33" s="27">
        <f t="shared" si="0"/>
        <v>0.087053571428571411</v>
      </c>
      <c r="I33" s="27">
        <v>0.087499999999999994</v>
      </c>
      <c r="J33" s="27">
        <v>0.087499999999999994</v>
      </c>
      <c r="K33" s="27">
        <v>0.087499999999999994</v>
      </c>
      <c r="L33" s="27">
        <v>0.087499999999999994</v>
      </c>
      <c r="M33" s="27">
        <v>0.10</v>
      </c>
      <c r="N33" s="27">
        <v>0.087499999999999994</v>
      </c>
      <c r="O33" s="27">
        <v>0.09</v>
      </c>
      <c r="P33" s="27">
        <v>0.087499999999999994</v>
      </c>
      <c r="Q33" s="27">
        <v>0.087499999999999994</v>
      </c>
      <c r="R33" s="27">
        <v>0.087499999999999994</v>
      </c>
      <c r="S33" s="27">
        <v>0.087499999999999994</v>
      </c>
      <c r="T33" s="27">
        <v>0.087499999999999994</v>
      </c>
      <c r="U33" s="27">
        <v>0.087499999999999994</v>
      </c>
      <c r="V33" s="27">
        <v>0.087499999999999994</v>
      </c>
      <c r="W33" s="27">
        <v>0.087499999999999994</v>
      </c>
      <c r="X33" s="27">
        <v>0.087499999999999994</v>
      </c>
      <c r="Y33" s="27">
        <v>0.087499999999999994</v>
      </c>
      <c r="Z33" s="27">
        <v>0.087499999999999994</v>
      </c>
      <c r="AA33" s="27">
        <v>0.087499999999999994</v>
      </c>
      <c r="AB33" s="27">
        <v>0.087499999999999994</v>
      </c>
      <c r="AC33" s="27">
        <v>0.087499999999999994</v>
      </c>
      <c r="AD33" s="27">
        <v>0.087499999999999994</v>
      </c>
      <c r="AE33" s="27">
        <v>0.087499999999999994</v>
      </c>
      <c r="AF33" s="27">
        <v>0.087499999999999994</v>
      </c>
      <c r="AG33" s="27">
        <v>0.087499999999999994</v>
      </c>
      <c r="AH33" s="27">
        <v>0.087499999999999994</v>
      </c>
      <c r="AI33" s="27">
        <v>0.087499999999999994</v>
      </c>
      <c r="AJ33" s="27">
        <v>0.06</v>
      </c>
      <c r="AK33" s="27">
        <v>0.087499999999999994</v>
      </c>
      <c r="AL33" s="27">
        <v>0.10</v>
      </c>
      <c r="AM33" s="27">
        <v>0.087499999999999994</v>
      </c>
      <c r="AN33" s="27">
        <v>0.087499999999999994</v>
      </c>
      <c r="AO33" s="27">
        <v>0.087499999999999994</v>
      </c>
      <c r="AP33" s="27">
        <v>0.087499999999999994</v>
      </c>
      <c r="AQ33" s="27">
        <v>0.087499999999999994</v>
      </c>
      <c r="AR33" s="27">
        <v>0.087499999999999994</v>
      </c>
      <c r="AS33" s="27">
        <v>0.087499999999999994</v>
      </c>
      <c r="AT33" s="27"/>
      <c r="AU33" s="82">
        <v>1</v>
      </c>
      <c r="AV33" s="27"/>
      <c r="AW33" s="27"/>
      <c r="AX33" s="27"/>
      <c r="AY33" s="27"/>
      <c r="AZ33" s="27"/>
      <c r="BA33" s="27"/>
      <c r="BB33" s="27"/>
      <c r="BC33" s="27"/>
    </row>
    <row r="34" spans="1:55" ht="14.45" customHeight="1">
      <c r="A34" s="29" t="s">
        <v>248</v>
      </c>
      <c r="B34" s="29" t="s">
        <v>251</v>
      </c>
      <c r="C34" s="29" t="s">
        <v>270</v>
      </c>
      <c r="D34" s="27"/>
      <c r="E34" s="28" t="s">
        <v>29</v>
      </c>
      <c r="F34" s="40">
        <v>2020</v>
      </c>
      <c r="G34" s="27" t="s">
        <v>147</v>
      </c>
      <c r="H34" s="27">
        <f t="shared" si="0"/>
        <v>0.089163609578485722</v>
      </c>
      <c r="I34" s="27">
        <v>0.08962085885837541</v>
      </c>
      <c r="J34" s="27">
        <v>0.08962085885837541</v>
      </c>
      <c r="K34" s="27">
        <v>0.08962085885837541</v>
      </c>
      <c r="L34" s="27">
        <v>0.08962085885837541</v>
      </c>
      <c r="M34" s="27">
        <v>0.10242383869528621</v>
      </c>
      <c r="N34" s="27">
        <v>0.08962085885837541</v>
      </c>
      <c r="O34" s="27">
        <v>0.092181454825757569</v>
      </c>
      <c r="P34" s="27">
        <v>0.08962085885837541</v>
      </c>
      <c r="Q34" s="27">
        <v>0.08962085885837541</v>
      </c>
      <c r="R34" s="27">
        <v>0.08962085885837541</v>
      </c>
      <c r="S34" s="27">
        <v>0.08962085885837541</v>
      </c>
      <c r="T34" s="27">
        <v>0.08962085885837541</v>
      </c>
      <c r="U34" s="27">
        <v>0.08962085885837541</v>
      </c>
      <c r="V34" s="27">
        <v>0.08962085885837541</v>
      </c>
      <c r="W34" s="27">
        <v>0.08962085885837541</v>
      </c>
      <c r="X34" s="27">
        <v>0.08962085885837541</v>
      </c>
      <c r="Y34" s="27">
        <v>0.08962085885837541</v>
      </c>
      <c r="Z34" s="27">
        <v>0.08962085885837541</v>
      </c>
      <c r="AA34" s="27">
        <v>0.08962085885837541</v>
      </c>
      <c r="AB34" s="27">
        <v>0.08962085885837541</v>
      </c>
      <c r="AC34" s="27">
        <v>0.08962085885837541</v>
      </c>
      <c r="AD34" s="27">
        <v>0.08962085885837541</v>
      </c>
      <c r="AE34" s="27">
        <v>0.08962085885837541</v>
      </c>
      <c r="AF34" s="27">
        <v>0.08962085885837541</v>
      </c>
      <c r="AG34" s="27">
        <v>0.08962085885837541</v>
      </c>
      <c r="AH34" s="27">
        <v>0.08962085885837541</v>
      </c>
      <c r="AI34" s="27">
        <v>0.08962085885837541</v>
      </c>
      <c r="AJ34" s="27">
        <v>0.061454303217171713</v>
      </c>
      <c r="AK34" s="27">
        <v>0.08962085885837541</v>
      </c>
      <c r="AL34" s="27">
        <v>0.10242383869528621</v>
      </c>
      <c r="AM34" s="27">
        <v>0.08962085885837541</v>
      </c>
      <c r="AN34" s="27">
        <v>0.08962085885837541</v>
      </c>
      <c r="AO34" s="27">
        <v>0.08962085885837541</v>
      </c>
      <c r="AP34" s="27">
        <v>0.08962085885837541</v>
      </c>
      <c r="AQ34" s="27">
        <v>0.08962085885837541</v>
      </c>
      <c r="AR34" s="27">
        <v>0.08962085885837541</v>
      </c>
      <c r="AS34" s="27">
        <v>0.08962085885837541</v>
      </c>
      <c r="AT34" s="27"/>
      <c r="AU34" s="82">
        <v>1.024238386952862</v>
      </c>
      <c r="AV34" s="27"/>
      <c r="AW34" s="27"/>
      <c r="AX34" s="27"/>
      <c r="AY34" s="27"/>
      <c r="AZ34" s="27"/>
      <c r="BA34" s="27"/>
      <c r="BB34" s="27"/>
      <c r="BC34" s="27"/>
    </row>
    <row r="35" spans="1:55" ht="14.45" customHeight="1">
      <c r="A35" s="29" t="s">
        <v>248</v>
      </c>
      <c r="B35" s="29" t="s">
        <v>251</v>
      </c>
      <c r="C35" s="29" t="s">
        <v>270</v>
      </c>
      <c r="D35" s="27"/>
      <c r="E35" s="28" t="s">
        <v>29</v>
      </c>
      <c r="F35" s="40">
        <v>2025</v>
      </c>
      <c r="G35" s="27" t="s">
        <v>147</v>
      </c>
      <c r="H35" s="27">
        <f t="shared" si="0"/>
        <v>0.090335852995104771</v>
      </c>
      <c r="I35" s="27">
        <v>0.090799113779695087</v>
      </c>
      <c r="J35" s="27">
        <v>0.090799113779695087</v>
      </c>
      <c r="K35" s="27">
        <v>0.090799113779695087</v>
      </c>
      <c r="L35" s="27">
        <v>0.090799113779695087</v>
      </c>
      <c r="M35" s="27">
        <v>0.10377041574822297</v>
      </c>
      <c r="N35" s="27">
        <v>0.090799113779695087</v>
      </c>
      <c r="O35" s="27">
        <v>0.09339337417340067</v>
      </c>
      <c r="P35" s="27">
        <v>0.090799113779695087</v>
      </c>
      <c r="Q35" s="27">
        <v>0.090799113779695087</v>
      </c>
      <c r="R35" s="27">
        <v>0.090799113779695087</v>
      </c>
      <c r="S35" s="27">
        <v>0.090799113779695087</v>
      </c>
      <c r="T35" s="27">
        <v>0.090799113779695087</v>
      </c>
      <c r="U35" s="27">
        <v>0.090799113779695087</v>
      </c>
      <c r="V35" s="27">
        <v>0.090799113779695087</v>
      </c>
      <c r="W35" s="27">
        <v>0.090799113779695087</v>
      </c>
      <c r="X35" s="27">
        <v>0.090799113779695087</v>
      </c>
      <c r="Y35" s="27">
        <v>0.090799113779695087</v>
      </c>
      <c r="Z35" s="27">
        <v>0.090799113779695087</v>
      </c>
      <c r="AA35" s="27">
        <v>0.090799113779695087</v>
      </c>
      <c r="AB35" s="27">
        <v>0.090799113779695087</v>
      </c>
      <c r="AC35" s="27">
        <v>0.090799113779695087</v>
      </c>
      <c r="AD35" s="27">
        <v>0.090799113779695087</v>
      </c>
      <c r="AE35" s="27">
        <v>0.090799113779695087</v>
      </c>
      <c r="AF35" s="27">
        <v>0.090799113779695087</v>
      </c>
      <c r="AG35" s="27">
        <v>0.090799113779695087</v>
      </c>
      <c r="AH35" s="27">
        <v>0.090799113779695087</v>
      </c>
      <c r="AI35" s="27">
        <v>0.090799113779695087</v>
      </c>
      <c r="AJ35" s="27">
        <v>0.062262249448933778</v>
      </c>
      <c r="AK35" s="27">
        <v>0.090799113779695087</v>
      </c>
      <c r="AL35" s="27">
        <v>0.10377041574822297</v>
      </c>
      <c r="AM35" s="27">
        <v>0.090799113779695087</v>
      </c>
      <c r="AN35" s="27">
        <v>0.090799113779695087</v>
      </c>
      <c r="AO35" s="27">
        <v>0.090799113779695087</v>
      </c>
      <c r="AP35" s="27">
        <v>0.090799113779695087</v>
      </c>
      <c r="AQ35" s="27">
        <v>0.090799113779695087</v>
      </c>
      <c r="AR35" s="27">
        <v>0.090799113779695087</v>
      </c>
      <c r="AS35" s="27">
        <v>0.090799113779695087</v>
      </c>
      <c r="AT35" s="27"/>
      <c r="AU35" s="82">
        <v>1.0377041574822297</v>
      </c>
      <c r="AV35" s="27"/>
      <c r="AW35" s="27"/>
      <c r="AX35" s="27"/>
      <c r="AY35" s="27"/>
      <c r="AZ35" s="27"/>
      <c r="BA35" s="27"/>
      <c r="BB35" s="27"/>
      <c r="BC35" s="27"/>
    </row>
    <row r="36" spans="1:55" ht="14.45" customHeight="1">
      <c r="A36" s="29" t="s">
        <v>248</v>
      </c>
      <c r="B36" s="29" t="s">
        <v>251</v>
      </c>
      <c r="C36" s="29" t="s">
        <v>270</v>
      </c>
      <c r="D36" s="27"/>
      <c r="E36" s="28" t="s">
        <v>29</v>
      </c>
      <c r="F36" s="40">
        <v>2030</v>
      </c>
      <c r="G36" s="27" t="s">
        <v>147</v>
      </c>
      <c r="H36" s="27">
        <f t="shared" si="0"/>
        <v>0.091508096411723902</v>
      </c>
      <c r="I36" s="27">
        <v>0.091977368701014778</v>
      </c>
      <c r="J36" s="27">
        <v>0.091977368701014778</v>
      </c>
      <c r="K36" s="27">
        <v>0.091977368701014778</v>
      </c>
      <c r="L36" s="27">
        <v>0.091977368701014778</v>
      </c>
      <c r="M36" s="27">
        <v>0.10511699280115977</v>
      </c>
      <c r="N36" s="27">
        <v>0.091977368701014778</v>
      </c>
      <c r="O36" s="27">
        <v>0.094605293521043785</v>
      </c>
      <c r="P36" s="27">
        <v>0.091977368701014778</v>
      </c>
      <c r="Q36" s="27">
        <v>0.091977368701014778</v>
      </c>
      <c r="R36" s="27">
        <v>0.091977368701014778</v>
      </c>
      <c r="S36" s="27">
        <v>0.091977368701014778</v>
      </c>
      <c r="T36" s="27">
        <v>0.091977368701014778</v>
      </c>
      <c r="U36" s="27">
        <v>0.091977368701014778</v>
      </c>
      <c r="V36" s="27">
        <v>0.091977368701014778</v>
      </c>
      <c r="W36" s="27">
        <v>0.091977368701014778</v>
      </c>
      <c r="X36" s="27">
        <v>0.091977368701014778</v>
      </c>
      <c r="Y36" s="27">
        <v>0.091977368701014778</v>
      </c>
      <c r="Z36" s="27">
        <v>0.091977368701014778</v>
      </c>
      <c r="AA36" s="27">
        <v>0.091977368701014778</v>
      </c>
      <c r="AB36" s="27">
        <v>0.091977368701014778</v>
      </c>
      <c r="AC36" s="27">
        <v>0.091977368701014778</v>
      </c>
      <c r="AD36" s="27">
        <v>0.091977368701014778</v>
      </c>
      <c r="AE36" s="27">
        <v>0.091977368701014778</v>
      </c>
      <c r="AF36" s="27">
        <v>0.091977368701014778</v>
      </c>
      <c r="AG36" s="27">
        <v>0.091977368701014778</v>
      </c>
      <c r="AH36" s="27">
        <v>0.091977368701014778</v>
      </c>
      <c r="AI36" s="27">
        <v>0.091977368701014778</v>
      </c>
      <c r="AJ36" s="27">
        <v>0.063070195680695856</v>
      </c>
      <c r="AK36" s="27">
        <v>0.091977368701014778</v>
      </c>
      <c r="AL36" s="27">
        <v>0.10511699280115977</v>
      </c>
      <c r="AM36" s="27">
        <v>0.091977368701014778</v>
      </c>
      <c r="AN36" s="27">
        <v>0.091977368701014778</v>
      </c>
      <c r="AO36" s="27">
        <v>0.091977368701014778</v>
      </c>
      <c r="AP36" s="27">
        <v>0.091977368701014778</v>
      </c>
      <c r="AQ36" s="27">
        <v>0.091977368701014778</v>
      </c>
      <c r="AR36" s="27">
        <v>0.091977368701014778</v>
      </c>
      <c r="AS36" s="27">
        <v>0.091977368701014778</v>
      </c>
      <c r="AT36" s="27"/>
      <c r="AU36" s="82">
        <v>1.0511699280115976</v>
      </c>
      <c r="AV36" s="27"/>
      <c r="AW36" s="27"/>
      <c r="AX36" s="27"/>
      <c r="AY36" s="27"/>
      <c r="AZ36" s="27"/>
      <c r="BA36" s="27"/>
      <c r="BB36" s="27"/>
      <c r="BC36" s="27"/>
    </row>
    <row r="37" spans="1:55" ht="14.45" customHeight="1">
      <c r="A37" s="29" t="s">
        <v>248</v>
      </c>
      <c r="B37" s="29" t="s">
        <v>251</v>
      </c>
      <c r="C37" s="29" t="s">
        <v>270</v>
      </c>
      <c r="D37" s="27"/>
      <c r="E37" s="28" t="s">
        <v>29</v>
      </c>
      <c r="F37" s="40">
        <v>2035</v>
      </c>
      <c r="G37" s="27" t="s">
        <v>147</v>
      </c>
      <c r="H37" s="27">
        <f t="shared" si="0"/>
        <v>0.092680339828342992</v>
      </c>
      <c r="I37" s="27">
        <v>0.093155623622334482</v>
      </c>
      <c r="J37" s="27">
        <v>0.093155623622334482</v>
      </c>
      <c r="K37" s="27">
        <v>0.093155623622334482</v>
      </c>
      <c r="L37" s="27">
        <v>0.093155623622334482</v>
      </c>
      <c r="M37" s="27">
        <v>0.10646356985409655</v>
      </c>
      <c r="N37" s="27">
        <v>0.093155623622334482</v>
      </c>
      <c r="O37" s="27">
        <v>0.095817212868686899</v>
      </c>
      <c r="P37" s="27">
        <v>0.093155623622334482</v>
      </c>
      <c r="Q37" s="27">
        <v>0.093155623622334482</v>
      </c>
      <c r="R37" s="27">
        <v>0.093155623622334482</v>
      </c>
      <c r="S37" s="27">
        <v>0.093155623622334482</v>
      </c>
      <c r="T37" s="27">
        <v>0.093155623622334482</v>
      </c>
      <c r="U37" s="27">
        <v>0.093155623622334482</v>
      </c>
      <c r="V37" s="27">
        <v>0.093155623622334482</v>
      </c>
      <c r="W37" s="27">
        <v>0.093155623622334482</v>
      </c>
      <c r="X37" s="27">
        <v>0.093155623622334482</v>
      </c>
      <c r="Y37" s="27">
        <v>0.093155623622334482</v>
      </c>
      <c r="Z37" s="27">
        <v>0.093155623622334482</v>
      </c>
      <c r="AA37" s="27">
        <v>0.093155623622334482</v>
      </c>
      <c r="AB37" s="27">
        <v>0.093155623622334482</v>
      </c>
      <c r="AC37" s="27">
        <v>0.093155623622334482</v>
      </c>
      <c r="AD37" s="27">
        <v>0.093155623622334482</v>
      </c>
      <c r="AE37" s="27">
        <v>0.093155623622334482</v>
      </c>
      <c r="AF37" s="27">
        <v>0.093155623622334482</v>
      </c>
      <c r="AG37" s="27">
        <v>0.093155623622334482</v>
      </c>
      <c r="AH37" s="27">
        <v>0.093155623622334482</v>
      </c>
      <c r="AI37" s="27">
        <v>0.093155623622334482</v>
      </c>
      <c r="AJ37" s="27">
        <v>0.063878141912457928</v>
      </c>
      <c r="AK37" s="27">
        <v>0.093155623622334482</v>
      </c>
      <c r="AL37" s="27">
        <v>0.10646356985409655</v>
      </c>
      <c r="AM37" s="27">
        <v>0.093155623622334482</v>
      </c>
      <c r="AN37" s="27">
        <v>0.093155623622334482</v>
      </c>
      <c r="AO37" s="27">
        <v>0.093155623622334482</v>
      </c>
      <c r="AP37" s="27">
        <v>0.093155623622334482</v>
      </c>
      <c r="AQ37" s="27">
        <v>0.093155623622334482</v>
      </c>
      <c r="AR37" s="27">
        <v>0.093155623622334482</v>
      </c>
      <c r="AS37" s="27">
        <v>0.093155623622334482</v>
      </c>
      <c r="AT37" s="27"/>
      <c r="AU37" s="82">
        <v>1.0646356985409655</v>
      </c>
      <c r="AV37" s="27"/>
      <c r="AW37" s="27"/>
      <c r="AX37" s="27"/>
      <c r="AY37" s="27"/>
      <c r="AZ37" s="27"/>
      <c r="BA37" s="27"/>
      <c r="BB37" s="27"/>
      <c r="BC37" s="27"/>
    </row>
    <row r="38" spans="1:55" ht="14.45" customHeight="1">
      <c r="A38" s="29" t="s">
        <v>248</v>
      </c>
      <c r="B38" s="29" t="s">
        <v>251</v>
      </c>
      <c r="C38" s="29" t="s">
        <v>270</v>
      </c>
      <c r="D38" s="27"/>
      <c r="E38" s="28" t="s">
        <v>29</v>
      </c>
      <c r="F38" s="40">
        <v>2040</v>
      </c>
      <c r="G38" s="27" t="s">
        <v>147</v>
      </c>
      <c r="H38" s="27">
        <f t="shared" si="0"/>
        <v>0.093852583244962068</v>
      </c>
      <c r="I38" s="27">
        <v>0.094333878543654173</v>
      </c>
      <c r="J38" s="27">
        <v>0.094333878543654173</v>
      </c>
      <c r="K38" s="27">
        <v>0.094333878543654173</v>
      </c>
      <c r="L38" s="27">
        <v>0.094333878543654173</v>
      </c>
      <c r="M38" s="27">
        <v>0.10781014690703335</v>
      </c>
      <c r="N38" s="27">
        <v>0.094333878543654173</v>
      </c>
      <c r="O38" s="27">
        <v>0.09702913221633</v>
      </c>
      <c r="P38" s="27">
        <v>0.094333878543654173</v>
      </c>
      <c r="Q38" s="27">
        <v>0.094333878543654173</v>
      </c>
      <c r="R38" s="27">
        <v>0.094333878543654173</v>
      </c>
      <c r="S38" s="27">
        <v>0.094333878543654173</v>
      </c>
      <c r="T38" s="27">
        <v>0.094333878543654173</v>
      </c>
      <c r="U38" s="27">
        <v>0.094333878543654173</v>
      </c>
      <c r="V38" s="27">
        <v>0.094333878543654173</v>
      </c>
      <c r="W38" s="27">
        <v>0.094333878543654173</v>
      </c>
      <c r="X38" s="27">
        <v>0.094333878543654173</v>
      </c>
      <c r="Y38" s="27">
        <v>0.094333878543654173</v>
      </c>
      <c r="Z38" s="27">
        <v>0.094333878543654173</v>
      </c>
      <c r="AA38" s="27">
        <v>0.094333878543654173</v>
      </c>
      <c r="AB38" s="27">
        <v>0.094333878543654173</v>
      </c>
      <c r="AC38" s="27">
        <v>0.094333878543654173</v>
      </c>
      <c r="AD38" s="27">
        <v>0.094333878543654173</v>
      </c>
      <c r="AE38" s="27">
        <v>0.094333878543654173</v>
      </c>
      <c r="AF38" s="27">
        <v>0.094333878543654173</v>
      </c>
      <c r="AG38" s="27">
        <v>0.094333878543654173</v>
      </c>
      <c r="AH38" s="27">
        <v>0.094333878543654173</v>
      </c>
      <c r="AI38" s="27">
        <v>0.094333878543654173</v>
      </c>
      <c r="AJ38" s="27">
        <v>0.06468608814422</v>
      </c>
      <c r="AK38" s="27">
        <v>0.094333878543654173</v>
      </c>
      <c r="AL38" s="27">
        <v>0.10781014690703335</v>
      </c>
      <c r="AM38" s="27">
        <v>0.094333878543654173</v>
      </c>
      <c r="AN38" s="27">
        <v>0.094333878543654173</v>
      </c>
      <c r="AO38" s="27">
        <v>0.094333878543654173</v>
      </c>
      <c r="AP38" s="27">
        <v>0.094333878543654173</v>
      </c>
      <c r="AQ38" s="27">
        <v>0.094333878543654173</v>
      </c>
      <c r="AR38" s="27">
        <v>0.094333878543654173</v>
      </c>
      <c r="AS38" s="27">
        <v>0.094333878543654173</v>
      </c>
      <c r="AT38" s="27"/>
      <c r="AU38" s="82">
        <v>1.0781014690703334</v>
      </c>
      <c r="AV38" s="27"/>
      <c r="AW38" s="27"/>
      <c r="AX38" s="27"/>
      <c r="AY38" s="27"/>
      <c r="AZ38" s="27"/>
      <c r="BA38" s="27"/>
      <c r="BB38" s="27"/>
      <c r="BC38" s="27"/>
    </row>
    <row r="39" spans="1:55" ht="14.45" customHeight="1">
      <c r="A39" s="52" t="s">
        <v>248</v>
      </c>
      <c r="B39" s="52" t="s">
        <v>251</v>
      </c>
      <c r="C39" s="52" t="s">
        <v>270</v>
      </c>
      <c r="D39" s="53"/>
      <c r="E39" s="54" t="s">
        <v>29</v>
      </c>
      <c r="F39" s="55">
        <v>2050</v>
      </c>
      <c r="G39" s="53" t="s">
        <v>147</v>
      </c>
      <c r="H39" s="53">
        <f t="shared" si="0"/>
        <v>0.096197070078200178</v>
      </c>
      <c r="I39" s="53">
        <v>0.096690388386293513</v>
      </c>
      <c r="J39" s="53">
        <v>0.096690388386293513</v>
      </c>
      <c r="K39" s="53">
        <v>0.096690388386293513</v>
      </c>
      <c r="L39" s="53">
        <v>0.096690388386293513</v>
      </c>
      <c r="M39" s="53">
        <v>0.1105033010129069</v>
      </c>
      <c r="N39" s="53">
        <v>0.096690388386293513</v>
      </c>
      <c r="O39" s="53">
        <v>0.099452970911616187</v>
      </c>
      <c r="P39" s="53">
        <v>0.096690388386293513</v>
      </c>
      <c r="Q39" s="53">
        <v>0.096690388386293513</v>
      </c>
      <c r="R39" s="53">
        <v>0.096690388386293513</v>
      </c>
      <c r="S39" s="53">
        <v>0.096690388386293513</v>
      </c>
      <c r="T39" s="53">
        <v>0.096690388386293513</v>
      </c>
      <c r="U39" s="53">
        <v>0.096690388386293513</v>
      </c>
      <c r="V39" s="53">
        <v>0.096690388386293513</v>
      </c>
      <c r="W39" s="53">
        <v>0.096690388386293513</v>
      </c>
      <c r="X39" s="53">
        <v>0.096690388386293513</v>
      </c>
      <c r="Y39" s="53">
        <v>0.096690388386293513</v>
      </c>
      <c r="Z39" s="53">
        <v>0.096690388386293513</v>
      </c>
      <c r="AA39" s="53">
        <v>0.096690388386293513</v>
      </c>
      <c r="AB39" s="53">
        <v>0.096690388386293513</v>
      </c>
      <c r="AC39" s="53">
        <v>0.096690388386293513</v>
      </c>
      <c r="AD39" s="53">
        <v>0.096690388386293513</v>
      </c>
      <c r="AE39" s="53">
        <v>0.096690388386293513</v>
      </c>
      <c r="AF39" s="53">
        <v>0.096690388386293513</v>
      </c>
      <c r="AG39" s="53">
        <v>0.096690388386293513</v>
      </c>
      <c r="AH39" s="53">
        <v>0.096690388386293513</v>
      </c>
      <c r="AI39" s="53">
        <v>0.096690388386293513</v>
      </c>
      <c r="AJ39" s="53">
        <v>0.066301980607744129</v>
      </c>
      <c r="AK39" s="53">
        <v>0.096690388386293513</v>
      </c>
      <c r="AL39" s="53">
        <v>0.1105033010129069</v>
      </c>
      <c r="AM39" s="53">
        <v>0.096690388386293513</v>
      </c>
      <c r="AN39" s="53">
        <v>0.096690388386293513</v>
      </c>
      <c r="AO39" s="53">
        <v>0.096690388386293513</v>
      </c>
      <c r="AP39" s="53">
        <v>0.096690388386293513</v>
      </c>
      <c r="AQ39" s="53">
        <v>0.096690388386293513</v>
      </c>
      <c r="AR39" s="53">
        <v>0.096690388386293513</v>
      </c>
      <c r="AS39" s="53">
        <v>0.096690388386293513</v>
      </c>
      <c r="AT39" s="53"/>
      <c r="AU39" s="83">
        <v>1.1050330101290688</v>
      </c>
      <c r="AV39" s="53"/>
      <c r="AW39" s="53"/>
      <c r="AX39" s="53"/>
      <c r="AY39" s="53"/>
      <c r="AZ39" s="53"/>
      <c r="BA39" s="53"/>
      <c r="BB39" s="53"/>
      <c r="BC39" s="53"/>
    </row>
    <row r="40" spans="1:55" ht="14.45" customHeight="1">
      <c r="A40" s="29" t="s">
        <v>248</v>
      </c>
      <c r="B40" s="29" t="s">
        <v>251</v>
      </c>
      <c r="C40" s="29" t="s">
        <v>271</v>
      </c>
      <c r="D40" s="27"/>
      <c r="E40" s="28" t="s">
        <v>29</v>
      </c>
      <c r="F40" s="40">
        <v>2010</v>
      </c>
      <c r="G40" s="27" t="s">
        <v>146</v>
      </c>
      <c r="H40" s="27">
        <f t="shared" si="0"/>
        <v>0.1907142857142857</v>
      </c>
      <c r="I40" s="27">
        <v>0.18</v>
      </c>
      <c r="J40" s="27">
        <v>0.16</v>
      </c>
      <c r="K40" s="27">
        <v>0.20</v>
      </c>
      <c r="L40" s="27">
        <v>0.20</v>
      </c>
      <c r="M40" s="27">
        <v>0.22</v>
      </c>
      <c r="N40" s="27">
        <v>0.22</v>
      </c>
      <c r="O40" s="27">
        <v>0.18</v>
      </c>
      <c r="P40" s="27">
        <v>0.20</v>
      </c>
      <c r="Q40" s="27">
        <v>0.22</v>
      </c>
      <c r="R40" s="27">
        <v>0.20</v>
      </c>
      <c r="S40" s="27">
        <v>0.22</v>
      </c>
      <c r="T40" s="27">
        <v>0.18</v>
      </c>
      <c r="U40" s="27">
        <v>0.18</v>
      </c>
      <c r="V40" s="27">
        <v>0.18</v>
      </c>
      <c r="W40" s="27">
        <v>0.20</v>
      </c>
      <c r="X40" s="27">
        <v>0.20</v>
      </c>
      <c r="Y40" s="27">
        <v>0.14000000000000001</v>
      </c>
      <c r="Z40" s="27">
        <v>0.16</v>
      </c>
      <c r="AA40" s="27">
        <v>0.22</v>
      </c>
      <c r="AB40" s="27">
        <v>0.20</v>
      </c>
      <c r="AC40" s="27">
        <v>0.18</v>
      </c>
      <c r="AD40" s="27">
        <v>0.18</v>
      </c>
      <c r="AE40" s="27">
        <v>0.20</v>
      </c>
      <c r="AF40" s="27">
        <v>0.20</v>
      </c>
      <c r="AG40" s="27">
        <v>0.20</v>
      </c>
      <c r="AH40" s="27">
        <v>0.18</v>
      </c>
      <c r="AI40" s="27">
        <v>0.22</v>
      </c>
      <c r="AJ40" s="27">
        <v>0.12</v>
      </c>
      <c r="AK40" s="27">
        <v>0.16</v>
      </c>
      <c r="AL40" s="27">
        <v>0.20</v>
      </c>
      <c r="AM40" s="27">
        <v>0.22</v>
      </c>
      <c r="AN40" s="27">
        <v>0.22</v>
      </c>
      <c r="AO40" s="27">
        <v>0.18</v>
      </c>
      <c r="AP40" s="27">
        <v>0.22</v>
      </c>
      <c r="AQ40" s="27">
        <v>0.18</v>
      </c>
      <c r="AR40" s="27">
        <v>0.18</v>
      </c>
      <c r="AS40" s="27">
        <v>0.18</v>
      </c>
      <c r="AT40" s="27"/>
      <c r="AU40" s="82">
        <v>2</v>
      </c>
      <c r="AV40" s="27"/>
      <c r="AW40" s="27"/>
      <c r="AX40" s="27"/>
      <c r="AY40" s="27"/>
      <c r="AZ40" s="27"/>
      <c r="BA40" s="27"/>
      <c r="BB40" s="27"/>
      <c r="BC40" s="27"/>
    </row>
    <row r="41" spans="1:55" ht="14.45" customHeight="1">
      <c r="A41" s="29" t="s">
        <v>248</v>
      </c>
      <c r="B41" s="29" t="s">
        <v>251</v>
      </c>
      <c r="C41" s="29" t="s">
        <v>271</v>
      </c>
      <c r="D41" s="27"/>
      <c r="E41" s="28" t="s">
        <v>29</v>
      </c>
      <c r="F41" s="40">
        <v>2020</v>
      </c>
      <c r="G41" s="27" t="s">
        <v>146</v>
      </c>
      <c r="H41" s="27">
        <f t="shared" si="0"/>
        <v>0.19533689236886723</v>
      </c>
      <c r="I41" s="27">
        <v>0.18436290965151514</v>
      </c>
      <c r="J41" s="27">
        <v>0.16387814191245792</v>
      </c>
      <c r="K41" s="27">
        <v>0.20484767739057241</v>
      </c>
      <c r="L41" s="27">
        <v>0.20484767739057241</v>
      </c>
      <c r="M41" s="27">
        <v>0.22533244512962963</v>
      </c>
      <c r="N41" s="27">
        <v>0.22533244512962963</v>
      </c>
      <c r="O41" s="27">
        <v>0.18436290965151514</v>
      </c>
      <c r="P41" s="27">
        <v>0.20484767739057241</v>
      </c>
      <c r="Q41" s="27">
        <v>0.22533244512962963</v>
      </c>
      <c r="R41" s="27">
        <v>0.20484767739057241</v>
      </c>
      <c r="S41" s="27">
        <v>0.22533244512962963</v>
      </c>
      <c r="T41" s="27">
        <v>0.18436290965151514</v>
      </c>
      <c r="U41" s="27">
        <v>0.18436290965151514</v>
      </c>
      <c r="V41" s="27">
        <v>0.18436290965151514</v>
      </c>
      <c r="W41" s="27">
        <v>0.20484767739057241</v>
      </c>
      <c r="X41" s="27">
        <v>0.20484767739057241</v>
      </c>
      <c r="Y41" s="27">
        <v>0.1433933741734007</v>
      </c>
      <c r="Z41" s="27">
        <v>0.16387814191245792</v>
      </c>
      <c r="AA41" s="27">
        <v>0.22533244512962963</v>
      </c>
      <c r="AB41" s="27">
        <v>0.20484767739057241</v>
      </c>
      <c r="AC41" s="27">
        <v>0.18436290965151514</v>
      </c>
      <c r="AD41" s="27">
        <v>0.18436290965151514</v>
      </c>
      <c r="AE41" s="27">
        <v>0.20484767739057241</v>
      </c>
      <c r="AF41" s="27">
        <v>0.20484767739057241</v>
      </c>
      <c r="AG41" s="27">
        <v>0.20484767739057241</v>
      </c>
      <c r="AH41" s="27">
        <v>0.18436290965151514</v>
      </c>
      <c r="AI41" s="27">
        <v>0.22533244512962963</v>
      </c>
      <c r="AJ41" s="27">
        <v>0.12290860643434343</v>
      </c>
      <c r="AK41" s="27">
        <v>0.16387814191245792</v>
      </c>
      <c r="AL41" s="27">
        <v>0.20484767739057241</v>
      </c>
      <c r="AM41" s="27">
        <v>0.22533244512962963</v>
      </c>
      <c r="AN41" s="27">
        <v>0.22533244512962963</v>
      </c>
      <c r="AO41" s="27">
        <v>0.18436290965151514</v>
      </c>
      <c r="AP41" s="27">
        <v>0.22533244512962963</v>
      </c>
      <c r="AQ41" s="27">
        <v>0.18436290965151514</v>
      </c>
      <c r="AR41" s="27">
        <v>0.18436290965151514</v>
      </c>
      <c r="AS41" s="27">
        <v>0.18436290965151514</v>
      </c>
      <c r="AT41" s="27"/>
      <c r="AU41" s="82">
        <v>2.0484767739057239</v>
      </c>
      <c r="AV41" s="27"/>
      <c r="AW41" s="27"/>
      <c r="AX41" s="27"/>
      <c r="AY41" s="27"/>
      <c r="AZ41" s="27"/>
      <c r="BA41" s="27"/>
      <c r="BB41" s="27"/>
      <c r="BC41" s="27"/>
    </row>
    <row r="42" spans="1:55" ht="14.45" customHeight="1">
      <c r="A42" s="29" t="s">
        <v>248</v>
      </c>
      <c r="B42" s="29" t="s">
        <v>251</v>
      </c>
      <c r="C42" s="29" t="s">
        <v>271</v>
      </c>
      <c r="D42" s="27"/>
      <c r="E42" s="28" t="s">
        <v>29</v>
      </c>
      <c r="F42" s="40">
        <v>2025</v>
      </c>
      <c r="G42" s="27" t="s">
        <v>146</v>
      </c>
      <c r="H42" s="27">
        <f t="shared" si="0"/>
        <v>0.19790500717696816</v>
      </c>
      <c r="I42" s="27">
        <v>0.18678674834680134</v>
      </c>
      <c r="J42" s="27">
        <v>0.16603266519715676</v>
      </c>
      <c r="K42" s="27">
        <v>0.20754083149644595</v>
      </c>
      <c r="L42" s="27">
        <v>0.20754083149644595</v>
      </c>
      <c r="M42" s="27">
        <v>0.22829491464609053</v>
      </c>
      <c r="N42" s="27">
        <v>0.22829491464609053</v>
      </c>
      <c r="O42" s="27">
        <v>0.18678674834680134</v>
      </c>
      <c r="P42" s="27">
        <v>0.20754083149644595</v>
      </c>
      <c r="Q42" s="27">
        <v>0.22829491464609053</v>
      </c>
      <c r="R42" s="27">
        <v>0.20754083149644595</v>
      </c>
      <c r="S42" s="27">
        <v>0.22829491464609053</v>
      </c>
      <c r="T42" s="27">
        <v>0.18678674834680134</v>
      </c>
      <c r="U42" s="27">
        <v>0.18678674834680134</v>
      </c>
      <c r="V42" s="27">
        <v>0.18678674834680134</v>
      </c>
      <c r="W42" s="27">
        <v>0.20754083149644595</v>
      </c>
      <c r="X42" s="27">
        <v>0.20754083149644595</v>
      </c>
      <c r="Y42" s="27">
        <v>0.14527858204751218</v>
      </c>
      <c r="Z42" s="27">
        <v>0.16603266519715676</v>
      </c>
      <c r="AA42" s="27">
        <v>0.22829491464609053</v>
      </c>
      <c r="AB42" s="27">
        <v>0.20754083149644595</v>
      </c>
      <c r="AC42" s="27">
        <v>0.18678674834680134</v>
      </c>
      <c r="AD42" s="27">
        <v>0.18678674834680134</v>
      </c>
      <c r="AE42" s="27">
        <v>0.20754083149644595</v>
      </c>
      <c r="AF42" s="27">
        <v>0.20754083149644595</v>
      </c>
      <c r="AG42" s="27">
        <v>0.20754083149644595</v>
      </c>
      <c r="AH42" s="27">
        <v>0.18678674834680134</v>
      </c>
      <c r="AI42" s="27">
        <v>0.22829491464609053</v>
      </c>
      <c r="AJ42" s="27">
        <v>0.12452449889786756</v>
      </c>
      <c r="AK42" s="27">
        <v>0.16603266519715676</v>
      </c>
      <c r="AL42" s="27">
        <v>0.20754083149644595</v>
      </c>
      <c r="AM42" s="27">
        <v>0.22829491464609053</v>
      </c>
      <c r="AN42" s="27">
        <v>0.22829491464609053</v>
      </c>
      <c r="AO42" s="27">
        <v>0.18678674834680134</v>
      </c>
      <c r="AP42" s="27">
        <v>0.22829491464609053</v>
      </c>
      <c r="AQ42" s="27">
        <v>0.18678674834680134</v>
      </c>
      <c r="AR42" s="27">
        <v>0.18678674834680134</v>
      </c>
      <c r="AS42" s="27">
        <v>0.18678674834680134</v>
      </c>
      <c r="AT42" s="27"/>
      <c r="AU42" s="82">
        <v>2.0754083149644593</v>
      </c>
      <c r="AV42" s="27"/>
      <c r="AW42" s="27"/>
      <c r="AX42" s="27"/>
      <c r="AY42" s="27"/>
      <c r="AZ42" s="27"/>
      <c r="BA42" s="27"/>
      <c r="BB42" s="27"/>
      <c r="BC42" s="27"/>
    </row>
    <row r="43" spans="1:55" ht="14.45" customHeight="1">
      <c r="A43" s="29" t="s">
        <v>248</v>
      </c>
      <c r="B43" s="29" t="s">
        <v>251</v>
      </c>
      <c r="C43" s="29" t="s">
        <v>271</v>
      </c>
      <c r="D43" s="27"/>
      <c r="E43" s="28" t="s">
        <v>29</v>
      </c>
      <c r="F43" s="40">
        <v>2030</v>
      </c>
      <c r="G43" s="27" t="s">
        <v>146</v>
      </c>
      <c r="H43" s="27">
        <f t="shared" si="0"/>
        <v>0.20047312198506895</v>
      </c>
      <c r="I43" s="27">
        <v>0.18921058704208757</v>
      </c>
      <c r="J43" s="27">
        <v>0.16818718848185563</v>
      </c>
      <c r="K43" s="27">
        <v>0.21023398560231954</v>
      </c>
      <c r="L43" s="27">
        <v>0.21023398560231954</v>
      </c>
      <c r="M43" s="27">
        <v>0.23125738416255148</v>
      </c>
      <c r="N43" s="27">
        <v>0.23125738416255148</v>
      </c>
      <c r="O43" s="27">
        <v>0.18921058704208757</v>
      </c>
      <c r="P43" s="27">
        <v>0.21023398560231954</v>
      </c>
      <c r="Q43" s="27">
        <v>0.23125738416255148</v>
      </c>
      <c r="R43" s="27">
        <v>0.21023398560231954</v>
      </c>
      <c r="S43" s="27">
        <v>0.23125738416255148</v>
      </c>
      <c r="T43" s="27">
        <v>0.18921058704208757</v>
      </c>
      <c r="U43" s="27">
        <v>0.18921058704208757</v>
      </c>
      <c r="V43" s="27">
        <v>0.18921058704208757</v>
      </c>
      <c r="W43" s="27">
        <v>0.21023398560231954</v>
      </c>
      <c r="X43" s="27">
        <v>0.21023398560231954</v>
      </c>
      <c r="Y43" s="27">
        <v>0.14716378992162368</v>
      </c>
      <c r="Z43" s="27">
        <v>0.16818718848185563</v>
      </c>
      <c r="AA43" s="27">
        <v>0.23125738416255148</v>
      </c>
      <c r="AB43" s="27">
        <v>0.21023398560231954</v>
      </c>
      <c r="AC43" s="27">
        <v>0.18921058704208757</v>
      </c>
      <c r="AD43" s="27">
        <v>0.18921058704208757</v>
      </c>
      <c r="AE43" s="27">
        <v>0.21023398560231954</v>
      </c>
      <c r="AF43" s="27">
        <v>0.21023398560231954</v>
      </c>
      <c r="AG43" s="27">
        <v>0.21023398560231954</v>
      </c>
      <c r="AH43" s="27">
        <v>0.18921058704208757</v>
      </c>
      <c r="AI43" s="27">
        <v>0.23125738416255148</v>
      </c>
      <c r="AJ43" s="27">
        <v>0.12614039136139171</v>
      </c>
      <c r="AK43" s="27">
        <v>0.16818718848185563</v>
      </c>
      <c r="AL43" s="27">
        <v>0.21023398560231954</v>
      </c>
      <c r="AM43" s="27">
        <v>0.23125738416255148</v>
      </c>
      <c r="AN43" s="27">
        <v>0.23125738416255148</v>
      </c>
      <c r="AO43" s="27">
        <v>0.18921058704208757</v>
      </c>
      <c r="AP43" s="27">
        <v>0.23125738416255148</v>
      </c>
      <c r="AQ43" s="27">
        <v>0.18921058704208757</v>
      </c>
      <c r="AR43" s="27">
        <v>0.18921058704208757</v>
      </c>
      <c r="AS43" s="27">
        <v>0.18921058704208757</v>
      </c>
      <c r="AT43" s="27"/>
      <c r="AU43" s="82">
        <v>2.1023398560231952</v>
      </c>
      <c r="AV43" s="27"/>
      <c r="AW43" s="27"/>
      <c r="AX43" s="27"/>
      <c r="AY43" s="27"/>
      <c r="AZ43" s="27"/>
      <c r="BA43" s="27"/>
      <c r="BB43" s="27"/>
      <c r="BC43" s="27"/>
    </row>
    <row r="44" spans="1:55" ht="14.45" customHeight="1">
      <c r="A44" s="29" t="s">
        <v>248</v>
      </c>
      <c r="B44" s="29" t="s">
        <v>251</v>
      </c>
      <c r="C44" s="29" t="s">
        <v>271</v>
      </c>
      <c r="D44" s="27"/>
      <c r="E44" s="28" t="s">
        <v>29</v>
      </c>
      <c r="F44" s="40">
        <v>2035</v>
      </c>
      <c r="G44" s="27" t="s">
        <v>146</v>
      </c>
      <c r="H44" s="27">
        <f t="shared" si="0"/>
        <v>0.2030412367931699</v>
      </c>
      <c r="I44" s="27">
        <v>0.1916344257373738</v>
      </c>
      <c r="J44" s="27">
        <v>0.17034171176655449</v>
      </c>
      <c r="K44" s="27">
        <v>0.2129271397081931</v>
      </c>
      <c r="L44" s="27">
        <v>0.2129271397081931</v>
      </c>
      <c r="M44" s="27">
        <v>0.23421985367901241</v>
      </c>
      <c r="N44" s="27">
        <v>0.23421985367901241</v>
      </c>
      <c r="O44" s="27">
        <v>0.1916344257373738</v>
      </c>
      <c r="P44" s="27">
        <v>0.2129271397081931</v>
      </c>
      <c r="Q44" s="27">
        <v>0.23421985367901241</v>
      </c>
      <c r="R44" s="27">
        <v>0.2129271397081931</v>
      </c>
      <c r="S44" s="27">
        <v>0.23421985367901241</v>
      </c>
      <c r="T44" s="27">
        <v>0.1916344257373738</v>
      </c>
      <c r="U44" s="27">
        <v>0.1916344257373738</v>
      </c>
      <c r="V44" s="27">
        <v>0.1916344257373738</v>
      </c>
      <c r="W44" s="27">
        <v>0.2129271397081931</v>
      </c>
      <c r="X44" s="27">
        <v>0.2129271397081931</v>
      </c>
      <c r="Y44" s="27">
        <v>0.14904899779573519</v>
      </c>
      <c r="Z44" s="27">
        <v>0.17034171176655449</v>
      </c>
      <c r="AA44" s="27">
        <v>0.23421985367901241</v>
      </c>
      <c r="AB44" s="27">
        <v>0.2129271397081931</v>
      </c>
      <c r="AC44" s="27">
        <v>0.1916344257373738</v>
      </c>
      <c r="AD44" s="27">
        <v>0.1916344257373738</v>
      </c>
      <c r="AE44" s="27">
        <v>0.2129271397081931</v>
      </c>
      <c r="AF44" s="27">
        <v>0.2129271397081931</v>
      </c>
      <c r="AG44" s="27">
        <v>0.2129271397081931</v>
      </c>
      <c r="AH44" s="27">
        <v>0.1916344257373738</v>
      </c>
      <c r="AI44" s="27">
        <v>0.23421985367901241</v>
      </c>
      <c r="AJ44" s="27">
        <v>0.12775628382491586</v>
      </c>
      <c r="AK44" s="27">
        <v>0.17034171176655449</v>
      </c>
      <c r="AL44" s="27">
        <v>0.2129271397081931</v>
      </c>
      <c r="AM44" s="27">
        <v>0.23421985367901241</v>
      </c>
      <c r="AN44" s="27">
        <v>0.23421985367901241</v>
      </c>
      <c r="AO44" s="27">
        <v>0.1916344257373738</v>
      </c>
      <c r="AP44" s="27">
        <v>0.23421985367901241</v>
      </c>
      <c r="AQ44" s="27">
        <v>0.1916344257373738</v>
      </c>
      <c r="AR44" s="27">
        <v>0.1916344257373738</v>
      </c>
      <c r="AS44" s="27">
        <v>0.1916344257373738</v>
      </c>
      <c r="AT44" s="27"/>
      <c r="AU44" s="82">
        <v>2.129271397081931</v>
      </c>
      <c r="AV44" s="27"/>
      <c r="AW44" s="27"/>
      <c r="AX44" s="27"/>
      <c r="AY44" s="27"/>
      <c r="AZ44" s="27"/>
      <c r="BA44" s="27"/>
      <c r="BB44" s="27"/>
      <c r="BC44" s="27"/>
    </row>
    <row r="45" spans="1:55" ht="14.45" customHeight="1">
      <c r="A45" s="29" t="s">
        <v>248</v>
      </c>
      <c r="B45" s="29" t="s">
        <v>251</v>
      </c>
      <c r="C45" s="29" t="s">
        <v>271</v>
      </c>
      <c r="D45" s="27"/>
      <c r="E45" s="28" t="s">
        <v>29</v>
      </c>
      <c r="F45" s="40">
        <v>2040</v>
      </c>
      <c r="G45" s="27" t="s">
        <v>146</v>
      </c>
      <c r="H45" s="27">
        <f t="shared" si="0"/>
        <v>0.20560935160127072</v>
      </c>
      <c r="I45" s="27">
        <v>0.19405826443266</v>
      </c>
      <c r="J45" s="27">
        <v>0.17249623505125336</v>
      </c>
      <c r="K45" s="27">
        <v>0.21562029381406669</v>
      </c>
      <c r="L45" s="27">
        <v>0.21562029381406669</v>
      </c>
      <c r="M45" s="27">
        <v>0.23718232319547336</v>
      </c>
      <c r="N45" s="27">
        <v>0.23718232319547336</v>
      </c>
      <c r="O45" s="27">
        <v>0.19405826443266</v>
      </c>
      <c r="P45" s="27">
        <v>0.21562029381406669</v>
      </c>
      <c r="Q45" s="27">
        <v>0.23718232319547336</v>
      </c>
      <c r="R45" s="27">
        <v>0.21562029381406669</v>
      </c>
      <c r="S45" s="27">
        <v>0.23718232319547336</v>
      </c>
      <c r="T45" s="27">
        <v>0.19405826443266</v>
      </c>
      <c r="U45" s="27">
        <v>0.19405826443266</v>
      </c>
      <c r="V45" s="27">
        <v>0.19405826443266</v>
      </c>
      <c r="W45" s="27">
        <v>0.21562029381406669</v>
      </c>
      <c r="X45" s="27">
        <v>0.21562029381406669</v>
      </c>
      <c r="Y45" s="27">
        <v>0.15093420566984669</v>
      </c>
      <c r="Z45" s="27">
        <v>0.17249623505125336</v>
      </c>
      <c r="AA45" s="27">
        <v>0.23718232319547336</v>
      </c>
      <c r="AB45" s="27">
        <v>0.21562029381406669</v>
      </c>
      <c r="AC45" s="27">
        <v>0.19405826443266</v>
      </c>
      <c r="AD45" s="27">
        <v>0.19405826443266</v>
      </c>
      <c r="AE45" s="27">
        <v>0.21562029381406669</v>
      </c>
      <c r="AF45" s="27">
        <v>0.21562029381406669</v>
      </c>
      <c r="AG45" s="27">
        <v>0.21562029381406669</v>
      </c>
      <c r="AH45" s="27">
        <v>0.19405826443266</v>
      </c>
      <c r="AI45" s="27">
        <v>0.23718232319547336</v>
      </c>
      <c r="AJ45" s="27">
        <v>0.12937217628844</v>
      </c>
      <c r="AK45" s="27">
        <v>0.17249623505125336</v>
      </c>
      <c r="AL45" s="27">
        <v>0.21562029381406669</v>
      </c>
      <c r="AM45" s="27">
        <v>0.23718232319547336</v>
      </c>
      <c r="AN45" s="27">
        <v>0.23718232319547336</v>
      </c>
      <c r="AO45" s="27">
        <v>0.19405826443266</v>
      </c>
      <c r="AP45" s="27">
        <v>0.23718232319547336</v>
      </c>
      <c r="AQ45" s="27">
        <v>0.19405826443266</v>
      </c>
      <c r="AR45" s="27">
        <v>0.19405826443266</v>
      </c>
      <c r="AS45" s="27">
        <v>0.19405826443266</v>
      </c>
      <c r="AT45" s="27"/>
      <c r="AU45" s="82">
        <v>2.1562029381406669</v>
      </c>
      <c r="AV45" s="27"/>
      <c r="AW45" s="27"/>
      <c r="AX45" s="27"/>
      <c r="AY45" s="27"/>
      <c r="AZ45" s="27"/>
      <c r="BA45" s="27"/>
      <c r="BB45" s="27"/>
      <c r="BC45" s="27"/>
    </row>
    <row r="46" spans="1:55" ht="14.45" customHeight="1">
      <c r="A46" s="52" t="s">
        <v>248</v>
      </c>
      <c r="B46" s="52" t="s">
        <v>251</v>
      </c>
      <c r="C46" s="52" t="s">
        <v>271</v>
      </c>
      <c r="D46" s="53"/>
      <c r="E46" s="54" t="s">
        <v>29</v>
      </c>
      <c r="F46" s="55">
        <v>2050</v>
      </c>
      <c r="G46" s="53" t="s">
        <v>146</v>
      </c>
      <c r="H46" s="53">
        <f t="shared" si="0"/>
        <v>0.21074558121747239</v>
      </c>
      <c r="I46" s="53">
        <v>0.19890594182323237</v>
      </c>
      <c r="J46" s="53">
        <v>0.17680528162065101</v>
      </c>
      <c r="K46" s="53">
        <v>0.22100660202581379</v>
      </c>
      <c r="L46" s="53">
        <v>0.22100660202581379</v>
      </c>
      <c r="M46" s="53">
        <v>0.24310726222839515</v>
      </c>
      <c r="N46" s="53">
        <v>0.24310726222839515</v>
      </c>
      <c r="O46" s="53">
        <v>0.19890594182323237</v>
      </c>
      <c r="P46" s="53">
        <v>0.22100660202581379</v>
      </c>
      <c r="Q46" s="53">
        <v>0.24310726222839515</v>
      </c>
      <c r="R46" s="53">
        <v>0.22100660202581379</v>
      </c>
      <c r="S46" s="53">
        <v>0.24310726222839515</v>
      </c>
      <c r="T46" s="53">
        <v>0.19890594182323237</v>
      </c>
      <c r="U46" s="53">
        <v>0.19890594182323237</v>
      </c>
      <c r="V46" s="53">
        <v>0.19890594182323237</v>
      </c>
      <c r="W46" s="53">
        <v>0.22100660202581379</v>
      </c>
      <c r="X46" s="53">
        <v>0.22100660202581379</v>
      </c>
      <c r="Y46" s="53">
        <v>0.15470462141806965</v>
      </c>
      <c r="Z46" s="53">
        <v>0.17680528162065101</v>
      </c>
      <c r="AA46" s="53">
        <v>0.24310726222839515</v>
      </c>
      <c r="AB46" s="53">
        <v>0.22100660202581379</v>
      </c>
      <c r="AC46" s="53">
        <v>0.19890594182323237</v>
      </c>
      <c r="AD46" s="53">
        <v>0.19890594182323237</v>
      </c>
      <c r="AE46" s="53">
        <v>0.22100660202581379</v>
      </c>
      <c r="AF46" s="53">
        <v>0.22100660202581379</v>
      </c>
      <c r="AG46" s="53">
        <v>0.22100660202581379</v>
      </c>
      <c r="AH46" s="53">
        <v>0.19890594182323237</v>
      </c>
      <c r="AI46" s="53">
        <v>0.24310726222839515</v>
      </c>
      <c r="AJ46" s="53">
        <v>0.13260396121548826</v>
      </c>
      <c r="AK46" s="53">
        <v>0.17680528162065101</v>
      </c>
      <c r="AL46" s="53">
        <v>0.22100660202581379</v>
      </c>
      <c r="AM46" s="53">
        <v>0.24310726222839515</v>
      </c>
      <c r="AN46" s="53">
        <v>0.24310726222839515</v>
      </c>
      <c r="AO46" s="53">
        <v>0.19890594182323237</v>
      </c>
      <c r="AP46" s="53">
        <v>0.24310726222839515</v>
      </c>
      <c r="AQ46" s="53">
        <v>0.19890594182323237</v>
      </c>
      <c r="AR46" s="53">
        <v>0.19890594182323237</v>
      </c>
      <c r="AS46" s="53">
        <v>0.19890594182323237</v>
      </c>
      <c r="AT46" s="53"/>
      <c r="AU46" s="83">
        <v>2.2100660202581377</v>
      </c>
      <c r="AV46" s="53"/>
      <c r="AW46" s="53"/>
      <c r="AX46" s="53"/>
      <c r="AY46" s="53"/>
      <c r="AZ46" s="53"/>
      <c r="BA46" s="53"/>
      <c r="BB46" s="53"/>
      <c r="BC46" s="53"/>
    </row>
    <row r="47" spans="1:55" ht="14.45" customHeight="1">
      <c r="A47" s="29" t="s">
        <v>248</v>
      </c>
      <c r="B47" s="29" t="s">
        <v>251</v>
      </c>
      <c r="C47" s="29" t="s">
        <v>272</v>
      </c>
      <c r="D47" s="27"/>
      <c r="E47" s="28" t="s">
        <v>29</v>
      </c>
      <c r="F47" s="40">
        <v>2010</v>
      </c>
      <c r="G47" s="29" t="s">
        <v>249</v>
      </c>
      <c r="H47" s="27">
        <v>0.30726110974134108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82"/>
      <c r="AV47" s="27"/>
      <c r="AW47" s="27"/>
      <c r="AX47" s="27"/>
      <c r="AY47" s="27"/>
      <c r="AZ47" s="27"/>
      <c r="BA47" s="27"/>
      <c r="BB47" s="27"/>
      <c r="BC47" s="27"/>
    </row>
    <row r="48" spans="1:55" ht="14.45" customHeight="1">
      <c r="A48" s="29" t="s">
        <v>248</v>
      </c>
      <c r="B48" s="29" t="s">
        <v>251</v>
      </c>
      <c r="C48" s="29" t="s">
        <v>272</v>
      </c>
      <c r="D48" s="27"/>
      <c r="E48" s="28" t="s">
        <v>29</v>
      </c>
      <c r="F48" s="40">
        <v>2020</v>
      </c>
      <c r="G48" s="29" t="s">
        <v>249</v>
      </c>
      <c r="H48" s="27">
        <v>0.33298604867767173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82"/>
      <c r="AV48" s="27"/>
      <c r="AW48" s="27"/>
      <c r="AX48" s="27"/>
      <c r="AY48" s="27"/>
      <c r="AZ48" s="27"/>
      <c r="BA48" s="27"/>
      <c r="BB48" s="27"/>
      <c r="BC48" s="27"/>
    </row>
    <row r="49" spans="1:55" ht="14.45" customHeight="1">
      <c r="A49" s="29" t="s">
        <v>248</v>
      </c>
      <c r="B49" s="29" t="s">
        <v>251</v>
      </c>
      <c r="C49" s="29" t="s">
        <v>272</v>
      </c>
      <c r="D49" s="27"/>
      <c r="E49" s="28" t="s">
        <v>29</v>
      </c>
      <c r="F49" s="40">
        <v>2025</v>
      </c>
      <c r="G49" s="29" t="s">
        <v>249</v>
      </c>
      <c r="H49" s="27">
        <v>0.35014672203686736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82"/>
      <c r="AV49" s="27"/>
      <c r="AW49" s="27"/>
      <c r="AX49" s="27"/>
      <c r="AY49" s="27"/>
      <c r="AZ49" s="27"/>
      <c r="BA49" s="27"/>
      <c r="BB49" s="27"/>
      <c r="BC49" s="27"/>
    </row>
    <row r="50" spans="1:55" ht="14.45" customHeight="1">
      <c r="A50" s="29" t="s">
        <v>248</v>
      </c>
      <c r="B50" s="29" t="s">
        <v>251</v>
      </c>
      <c r="C50" s="29" t="s">
        <v>272</v>
      </c>
      <c r="D50" s="27"/>
      <c r="E50" s="28" t="s">
        <v>29</v>
      </c>
      <c r="F50" s="40">
        <v>2030</v>
      </c>
      <c r="G50" s="29" t="s">
        <v>249</v>
      </c>
      <c r="H50" s="27">
        <v>0.36819178299703997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82"/>
      <c r="AV50" s="27"/>
      <c r="AW50" s="27"/>
      <c r="AX50" s="27"/>
      <c r="AY50" s="27"/>
      <c r="AZ50" s="27"/>
      <c r="BA50" s="27"/>
      <c r="BB50" s="27"/>
      <c r="BC50" s="27"/>
    </row>
    <row r="51" spans="1:55" ht="14.45" customHeight="1">
      <c r="A51" s="29" t="s">
        <v>248</v>
      </c>
      <c r="B51" s="29" t="s">
        <v>251</v>
      </c>
      <c r="C51" s="29" t="s">
        <v>272</v>
      </c>
      <c r="D51" s="27"/>
      <c r="E51" s="28" t="s">
        <v>29</v>
      </c>
      <c r="F51" s="40">
        <v>2035</v>
      </c>
      <c r="G51" s="29" t="s">
        <v>249</v>
      </c>
      <c r="H51" s="27">
        <v>0.36819178299703997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82"/>
      <c r="AV51" s="27"/>
      <c r="AW51" s="27"/>
      <c r="AX51" s="27"/>
      <c r="AY51" s="27"/>
      <c r="AZ51" s="27"/>
      <c r="BA51" s="27"/>
      <c r="BB51" s="27"/>
      <c r="BC51" s="27"/>
    </row>
    <row r="52" spans="1:55" ht="14.45" customHeight="1">
      <c r="A52" s="29" t="s">
        <v>248</v>
      </c>
      <c r="B52" s="29" t="s">
        <v>251</v>
      </c>
      <c r="C52" s="29" t="s">
        <v>272</v>
      </c>
      <c r="D52" s="27"/>
      <c r="E52" s="28" t="s">
        <v>29</v>
      </c>
      <c r="F52" s="40">
        <v>2040</v>
      </c>
      <c r="G52" s="29" t="s">
        <v>249</v>
      </c>
      <c r="H52" s="27">
        <v>0.36819178299703997</v>
      </c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82"/>
      <c r="AV52" s="27"/>
      <c r="AW52" s="27"/>
      <c r="AX52" s="27"/>
      <c r="AY52" s="27"/>
      <c r="AZ52" s="27"/>
      <c r="BA52" s="27"/>
      <c r="BB52" s="27"/>
      <c r="BC52" s="27"/>
    </row>
    <row r="53" spans="1:55" ht="14.45" customHeight="1">
      <c r="A53" s="52" t="s">
        <v>248</v>
      </c>
      <c r="B53" s="52" t="s">
        <v>251</v>
      </c>
      <c r="C53" s="52" t="s">
        <v>272</v>
      </c>
      <c r="D53" s="53"/>
      <c r="E53" s="54" t="s">
        <v>29</v>
      </c>
      <c r="F53" s="55">
        <v>2050</v>
      </c>
      <c r="G53" s="52" t="s">
        <v>249</v>
      </c>
      <c r="H53" s="53">
        <v>0.36819178299703997</v>
      </c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83"/>
      <c r="AV53" s="53"/>
      <c r="AW53" s="53"/>
      <c r="AX53" s="53"/>
      <c r="AY53" s="53"/>
      <c r="AZ53" s="53"/>
      <c r="BA53" s="53"/>
      <c r="BB53" s="53"/>
      <c r="BC53" s="53"/>
    </row>
    <row r="54" spans="1:55" ht="14.45" customHeight="1">
      <c r="A54" s="32" t="s">
        <v>248</v>
      </c>
      <c r="B54" s="34" t="s">
        <v>253</v>
      </c>
      <c r="C54" s="34" t="s">
        <v>265</v>
      </c>
      <c r="D54" s="30"/>
      <c r="E54" s="31" t="s">
        <v>29</v>
      </c>
      <c r="F54" s="39">
        <v>2010</v>
      </c>
      <c r="G54" s="30" t="s">
        <v>101</v>
      </c>
      <c r="H54" s="30">
        <f t="shared" si="1" ref="H54:H95">AVERAGE(I54:AJ54)</f>
        <v>0.083025793650793656</v>
      </c>
      <c r="I54" s="30">
        <v>0.10</v>
      </c>
      <c r="J54" s="30">
        <v>0.09</v>
      </c>
      <c r="K54" s="30">
        <v>0.06</v>
      </c>
      <c r="L54" s="30">
        <v>0.08</v>
      </c>
      <c r="M54" s="30">
        <v>0.08</v>
      </c>
      <c r="N54" s="30">
        <v>0.08</v>
      </c>
      <c r="O54" s="30">
        <v>0.09</v>
      </c>
      <c r="P54" s="30">
        <v>0.084722222222222296</v>
      </c>
      <c r="Q54" s="30">
        <v>0.08</v>
      </c>
      <c r="R54" s="30">
        <v>0.070000000000000007</v>
      </c>
      <c r="S54" s="30">
        <v>0.08</v>
      </c>
      <c r="T54" s="30">
        <v>0.08</v>
      </c>
      <c r="U54" s="30">
        <v>0.10</v>
      </c>
      <c r="V54" s="30">
        <v>0.08</v>
      </c>
      <c r="W54" s="30">
        <v>0.10</v>
      </c>
      <c r="X54" s="30">
        <v>0.070000000000000007</v>
      </c>
      <c r="Y54" s="30">
        <v>0.10</v>
      </c>
      <c r="Z54" s="30">
        <v>0.09</v>
      </c>
      <c r="AA54" s="30">
        <v>0.09</v>
      </c>
      <c r="AB54" s="30">
        <v>0.08</v>
      </c>
      <c r="AC54" s="30">
        <v>0.09</v>
      </c>
      <c r="AD54" s="30">
        <v>0.08</v>
      </c>
      <c r="AE54" s="30">
        <v>0.070000000000000007</v>
      </c>
      <c r="AF54" s="30">
        <v>0.06</v>
      </c>
      <c r="AG54" s="30">
        <v>0.08</v>
      </c>
      <c r="AH54" s="30">
        <v>0.10</v>
      </c>
      <c r="AI54" s="30">
        <v>0.08</v>
      </c>
      <c r="AJ54" s="30">
        <v>0.08</v>
      </c>
      <c r="AK54" s="30">
        <v>0.09</v>
      </c>
      <c r="AL54" s="30">
        <v>0.08</v>
      </c>
      <c r="AM54" s="30">
        <v>0.08</v>
      </c>
      <c r="AN54" s="30">
        <v>0.08</v>
      </c>
      <c r="AO54" s="30">
        <v>0.10</v>
      </c>
      <c r="AP54" s="30">
        <v>0.08</v>
      </c>
      <c r="AQ54" s="30">
        <v>0.10</v>
      </c>
      <c r="AR54" s="30">
        <v>0.10</v>
      </c>
      <c r="AS54" s="30">
        <v>0.10</v>
      </c>
      <c r="AT54" s="30"/>
      <c r="AU54" s="80">
        <v>1</v>
      </c>
      <c r="AV54" s="30"/>
      <c r="AW54" s="30"/>
      <c r="AX54" s="30"/>
      <c r="AY54" s="30"/>
      <c r="AZ54" s="30"/>
      <c r="BA54" s="30"/>
      <c r="BB54" s="30"/>
      <c r="BC54" s="30"/>
    </row>
    <row r="55" spans="1:55" ht="14.45" customHeight="1">
      <c r="A55" s="32" t="s">
        <v>248</v>
      </c>
      <c r="B55" s="34" t="s">
        <v>253</v>
      </c>
      <c r="C55" s="34" t="s">
        <v>265</v>
      </c>
      <c r="D55" s="30"/>
      <c r="E55" s="31" t="s">
        <v>29</v>
      </c>
      <c r="F55" s="39">
        <v>2020</v>
      </c>
      <c r="G55" s="30" t="s">
        <v>101</v>
      </c>
      <c r="H55" s="30">
        <f t="shared" si="1"/>
        <v>0.085038204964370062</v>
      </c>
      <c r="I55" s="30">
        <v>0.10242383869528621</v>
      </c>
      <c r="J55" s="30">
        <v>0.092181454825757569</v>
      </c>
      <c r="K55" s="30">
        <v>0.061454303217171713</v>
      </c>
      <c r="L55" s="30">
        <v>0.08193907095622896</v>
      </c>
      <c r="M55" s="30">
        <v>0.08193907095622896</v>
      </c>
      <c r="N55" s="30">
        <v>0.08193907095622896</v>
      </c>
      <c r="O55" s="30">
        <v>0.092181454825757569</v>
      </c>
      <c r="P55" s="30">
        <v>0.086775752227950878</v>
      </c>
      <c r="Q55" s="30">
        <v>0.08193907095622896</v>
      </c>
      <c r="R55" s="30">
        <v>0.07169668708670035</v>
      </c>
      <c r="S55" s="30">
        <v>0.08193907095622896</v>
      </c>
      <c r="T55" s="30">
        <v>0.08193907095622896</v>
      </c>
      <c r="U55" s="30">
        <v>0.10242383869528621</v>
      </c>
      <c r="V55" s="30">
        <v>0.08193907095622896</v>
      </c>
      <c r="W55" s="30">
        <v>0.10242383869528621</v>
      </c>
      <c r="X55" s="30">
        <v>0.07169668708670035</v>
      </c>
      <c r="Y55" s="30">
        <v>0.10242383869528621</v>
      </c>
      <c r="Z55" s="30">
        <v>0.092181454825757569</v>
      </c>
      <c r="AA55" s="30">
        <v>0.092181454825757569</v>
      </c>
      <c r="AB55" s="30">
        <v>0.08193907095622896</v>
      </c>
      <c r="AC55" s="30">
        <v>0.092181454825757569</v>
      </c>
      <c r="AD55" s="30">
        <v>0.08193907095622896</v>
      </c>
      <c r="AE55" s="30">
        <v>0.07169668708670035</v>
      </c>
      <c r="AF55" s="30">
        <v>0.061454303217171713</v>
      </c>
      <c r="AG55" s="30">
        <v>0.08193907095622896</v>
      </c>
      <c r="AH55" s="30">
        <v>0.10242383869528621</v>
      </c>
      <c r="AI55" s="30">
        <v>0.08193907095622896</v>
      </c>
      <c r="AJ55" s="30">
        <v>0.08193907095622896</v>
      </c>
      <c r="AK55" s="30">
        <v>0.092181454825757569</v>
      </c>
      <c r="AL55" s="30">
        <v>0.08193907095622896</v>
      </c>
      <c r="AM55" s="30">
        <v>0.08193907095622896</v>
      </c>
      <c r="AN55" s="30">
        <v>0.08193907095622896</v>
      </c>
      <c r="AO55" s="30">
        <v>0.10242383869528621</v>
      </c>
      <c r="AP55" s="30">
        <v>0.08193907095622896</v>
      </c>
      <c r="AQ55" s="30">
        <v>0.10242383869528621</v>
      </c>
      <c r="AR55" s="30">
        <v>0.10242383869528621</v>
      </c>
      <c r="AS55" s="30">
        <v>0.10242383869528621</v>
      </c>
      <c r="AT55" s="30"/>
      <c r="AU55" s="80">
        <v>1.024238386952862</v>
      </c>
      <c r="AV55" s="30"/>
      <c r="AW55" s="30"/>
      <c r="AX55" s="30"/>
      <c r="AY55" s="30"/>
      <c r="AZ55" s="30"/>
      <c r="BA55" s="30"/>
      <c r="BB55" s="30"/>
      <c r="BC55" s="30"/>
    </row>
    <row r="56" spans="1:55" ht="14.45" customHeight="1">
      <c r="A56" s="32" t="s">
        <v>248</v>
      </c>
      <c r="B56" s="34" t="s">
        <v>253</v>
      </c>
      <c r="C56" s="34" t="s">
        <v>265</v>
      </c>
      <c r="D56" s="30"/>
      <c r="E56" s="31" t="s">
        <v>29</v>
      </c>
      <c r="F56" s="39">
        <v>2025</v>
      </c>
      <c r="G56" s="30" t="s">
        <v>101</v>
      </c>
      <c r="H56" s="30">
        <f t="shared" si="1"/>
        <v>0.086156211249690293</v>
      </c>
      <c r="I56" s="30">
        <v>0.10377041574822297</v>
      </c>
      <c r="J56" s="30">
        <v>0.09339337417340067</v>
      </c>
      <c r="K56" s="30">
        <v>0.062262249448933778</v>
      </c>
      <c r="L56" s="30">
        <v>0.08301633259857838</v>
      </c>
      <c r="M56" s="30">
        <v>0.08301633259857838</v>
      </c>
      <c r="N56" s="30">
        <v>0.08301633259857838</v>
      </c>
      <c r="O56" s="30">
        <v>0.09339337417340067</v>
      </c>
      <c r="P56" s="30">
        <v>0.087916602231133428</v>
      </c>
      <c r="Q56" s="30">
        <v>0.08301633259857838</v>
      </c>
      <c r="R56" s="30">
        <v>0.072639291023756089</v>
      </c>
      <c r="S56" s="30">
        <v>0.08301633259857838</v>
      </c>
      <c r="T56" s="30">
        <v>0.08301633259857838</v>
      </c>
      <c r="U56" s="30">
        <v>0.10377041574822297</v>
      </c>
      <c r="V56" s="30">
        <v>0.08301633259857838</v>
      </c>
      <c r="W56" s="30">
        <v>0.10377041574822297</v>
      </c>
      <c r="X56" s="30">
        <v>0.072639291023756089</v>
      </c>
      <c r="Y56" s="30">
        <v>0.10377041574822297</v>
      </c>
      <c r="Z56" s="30">
        <v>0.09339337417340067</v>
      </c>
      <c r="AA56" s="30">
        <v>0.09339337417340067</v>
      </c>
      <c r="AB56" s="30">
        <v>0.08301633259857838</v>
      </c>
      <c r="AC56" s="30">
        <v>0.09339337417340067</v>
      </c>
      <c r="AD56" s="30">
        <v>0.08301633259857838</v>
      </c>
      <c r="AE56" s="30">
        <v>0.072639291023756089</v>
      </c>
      <c r="AF56" s="30">
        <v>0.062262249448933778</v>
      </c>
      <c r="AG56" s="30">
        <v>0.08301633259857838</v>
      </c>
      <c r="AH56" s="30">
        <v>0.10377041574822297</v>
      </c>
      <c r="AI56" s="30">
        <v>0.08301633259857838</v>
      </c>
      <c r="AJ56" s="30">
        <v>0.08301633259857838</v>
      </c>
      <c r="AK56" s="30">
        <v>0.09339337417340067</v>
      </c>
      <c r="AL56" s="30">
        <v>0.08301633259857838</v>
      </c>
      <c r="AM56" s="30">
        <v>0.08301633259857838</v>
      </c>
      <c r="AN56" s="30">
        <v>0.08301633259857838</v>
      </c>
      <c r="AO56" s="30">
        <v>0.10377041574822297</v>
      </c>
      <c r="AP56" s="30">
        <v>0.08301633259857838</v>
      </c>
      <c r="AQ56" s="30">
        <v>0.10377041574822297</v>
      </c>
      <c r="AR56" s="30">
        <v>0.10377041574822297</v>
      </c>
      <c r="AS56" s="30">
        <v>0.10377041574822297</v>
      </c>
      <c r="AT56" s="30"/>
      <c r="AU56" s="80">
        <v>1.0377041574822297</v>
      </c>
      <c r="AV56" s="30"/>
      <c r="AW56" s="30"/>
      <c r="AX56" s="30"/>
      <c r="AY56" s="30"/>
      <c r="AZ56" s="30"/>
      <c r="BA56" s="30"/>
      <c r="BB56" s="30"/>
      <c r="BC56" s="30"/>
    </row>
    <row r="57" spans="1:55" ht="14.45" customHeight="1">
      <c r="A57" s="32" t="s">
        <v>248</v>
      </c>
      <c r="B57" s="34" t="s">
        <v>253</v>
      </c>
      <c r="C57" s="34" t="s">
        <v>265</v>
      </c>
      <c r="D57" s="30"/>
      <c r="E57" s="31" t="s">
        <v>29</v>
      </c>
      <c r="F57" s="39">
        <v>2030</v>
      </c>
      <c r="G57" s="30" t="s">
        <v>101</v>
      </c>
      <c r="H57" s="30">
        <f t="shared" si="1"/>
        <v>0.087274217535010523</v>
      </c>
      <c r="I57" s="30">
        <v>0.10511699280115977</v>
      </c>
      <c r="J57" s="30">
        <v>0.094605293521043785</v>
      </c>
      <c r="K57" s="30">
        <v>0.063070195680695856</v>
      </c>
      <c r="L57" s="30">
        <v>0.084093594240927813</v>
      </c>
      <c r="M57" s="30">
        <v>0.084093594240927813</v>
      </c>
      <c r="N57" s="30">
        <v>0.084093594240927813</v>
      </c>
      <c r="O57" s="30">
        <v>0.094605293521043785</v>
      </c>
      <c r="P57" s="30">
        <v>0.089057452234315979</v>
      </c>
      <c r="Q57" s="30">
        <v>0.084093594240927813</v>
      </c>
      <c r="R57" s="30">
        <v>0.073581894960811842</v>
      </c>
      <c r="S57" s="30">
        <v>0.084093594240927813</v>
      </c>
      <c r="T57" s="30">
        <v>0.084093594240927813</v>
      </c>
      <c r="U57" s="30">
        <v>0.10511699280115977</v>
      </c>
      <c r="V57" s="30">
        <v>0.084093594240927813</v>
      </c>
      <c r="W57" s="30">
        <v>0.10511699280115977</v>
      </c>
      <c r="X57" s="30">
        <v>0.073581894960811842</v>
      </c>
      <c r="Y57" s="30">
        <v>0.10511699280115977</v>
      </c>
      <c r="Z57" s="30">
        <v>0.094605293521043785</v>
      </c>
      <c r="AA57" s="30">
        <v>0.094605293521043785</v>
      </c>
      <c r="AB57" s="30">
        <v>0.084093594240927813</v>
      </c>
      <c r="AC57" s="30">
        <v>0.094605293521043785</v>
      </c>
      <c r="AD57" s="30">
        <v>0.084093594240927813</v>
      </c>
      <c r="AE57" s="30">
        <v>0.073581894960811842</v>
      </c>
      <c r="AF57" s="30">
        <v>0.063070195680695856</v>
      </c>
      <c r="AG57" s="30">
        <v>0.084093594240927813</v>
      </c>
      <c r="AH57" s="30">
        <v>0.10511699280115977</v>
      </c>
      <c r="AI57" s="30">
        <v>0.084093594240927813</v>
      </c>
      <c r="AJ57" s="30">
        <v>0.084093594240927813</v>
      </c>
      <c r="AK57" s="30">
        <v>0.094605293521043785</v>
      </c>
      <c r="AL57" s="30">
        <v>0.084093594240927813</v>
      </c>
      <c r="AM57" s="30">
        <v>0.084093594240927813</v>
      </c>
      <c r="AN57" s="30">
        <v>0.084093594240927813</v>
      </c>
      <c r="AO57" s="30">
        <v>0.10511699280115977</v>
      </c>
      <c r="AP57" s="30">
        <v>0.084093594240927813</v>
      </c>
      <c r="AQ57" s="30">
        <v>0.10511699280115977</v>
      </c>
      <c r="AR57" s="30">
        <v>0.10511699280115977</v>
      </c>
      <c r="AS57" s="30">
        <v>0.10511699280115977</v>
      </c>
      <c r="AT57" s="30"/>
      <c r="AU57" s="80">
        <v>1.0511699280115976</v>
      </c>
      <c r="AV57" s="30"/>
      <c r="AW57" s="30"/>
      <c r="AX57" s="30"/>
      <c r="AY57" s="30"/>
      <c r="AZ57" s="30"/>
      <c r="BA57" s="30"/>
      <c r="BB57" s="30"/>
      <c r="BC57" s="30"/>
    </row>
    <row r="58" spans="1:55" ht="14.45" customHeight="1">
      <c r="A58" s="32" t="s">
        <v>248</v>
      </c>
      <c r="B58" s="34" t="s">
        <v>253</v>
      </c>
      <c r="C58" s="34" t="s">
        <v>265</v>
      </c>
      <c r="D58" s="30"/>
      <c r="E58" s="31" t="s">
        <v>29</v>
      </c>
      <c r="F58" s="39">
        <v>2035</v>
      </c>
      <c r="G58" s="30" t="s">
        <v>101</v>
      </c>
      <c r="H58" s="30">
        <f t="shared" si="1"/>
        <v>0.088392223820330754</v>
      </c>
      <c r="I58" s="30">
        <v>0.10646356985409655</v>
      </c>
      <c r="J58" s="30">
        <v>0.095817212868686899</v>
      </c>
      <c r="K58" s="30">
        <v>0.063878141912457928</v>
      </c>
      <c r="L58" s="30">
        <v>0.085170855883277247</v>
      </c>
      <c r="M58" s="30">
        <v>0.085170855883277247</v>
      </c>
      <c r="N58" s="30">
        <v>0.085170855883277247</v>
      </c>
      <c r="O58" s="30">
        <v>0.095817212868686899</v>
      </c>
      <c r="P58" s="30">
        <v>0.090198302237498543</v>
      </c>
      <c r="Q58" s="30">
        <v>0.085170855883277247</v>
      </c>
      <c r="R58" s="30">
        <v>0.074524498897867594</v>
      </c>
      <c r="S58" s="30">
        <v>0.085170855883277247</v>
      </c>
      <c r="T58" s="30">
        <v>0.085170855883277247</v>
      </c>
      <c r="U58" s="30">
        <v>0.10646356985409655</v>
      </c>
      <c r="V58" s="30">
        <v>0.085170855883277247</v>
      </c>
      <c r="W58" s="30">
        <v>0.10646356985409655</v>
      </c>
      <c r="X58" s="30">
        <v>0.074524498897867594</v>
      </c>
      <c r="Y58" s="30">
        <v>0.10646356985409655</v>
      </c>
      <c r="Z58" s="30">
        <v>0.095817212868686899</v>
      </c>
      <c r="AA58" s="30">
        <v>0.095817212868686899</v>
      </c>
      <c r="AB58" s="30">
        <v>0.085170855883277247</v>
      </c>
      <c r="AC58" s="30">
        <v>0.095817212868686899</v>
      </c>
      <c r="AD58" s="30">
        <v>0.085170855883277247</v>
      </c>
      <c r="AE58" s="30">
        <v>0.074524498897867594</v>
      </c>
      <c r="AF58" s="30">
        <v>0.063878141912457928</v>
      </c>
      <c r="AG58" s="30">
        <v>0.085170855883277247</v>
      </c>
      <c r="AH58" s="30">
        <v>0.10646356985409655</v>
      </c>
      <c r="AI58" s="30">
        <v>0.085170855883277247</v>
      </c>
      <c r="AJ58" s="30">
        <v>0.085170855883277247</v>
      </c>
      <c r="AK58" s="30">
        <v>0.095817212868686899</v>
      </c>
      <c r="AL58" s="30">
        <v>0.085170855883277247</v>
      </c>
      <c r="AM58" s="30">
        <v>0.085170855883277247</v>
      </c>
      <c r="AN58" s="30">
        <v>0.085170855883277247</v>
      </c>
      <c r="AO58" s="30">
        <v>0.10646356985409655</v>
      </c>
      <c r="AP58" s="30">
        <v>0.085170855883277247</v>
      </c>
      <c r="AQ58" s="30">
        <v>0.10646356985409655</v>
      </c>
      <c r="AR58" s="30">
        <v>0.10646356985409655</v>
      </c>
      <c r="AS58" s="30">
        <v>0.10646356985409655</v>
      </c>
      <c r="AT58" s="30"/>
      <c r="AU58" s="80">
        <v>1.0646356985409655</v>
      </c>
      <c r="AV58" s="30"/>
      <c r="AW58" s="30"/>
      <c r="AX58" s="30"/>
      <c r="AY58" s="30"/>
      <c r="AZ58" s="30"/>
      <c r="BA58" s="30"/>
      <c r="BB58" s="30"/>
      <c r="BC58" s="30"/>
    </row>
    <row r="59" spans="1:55" ht="14.45" customHeight="1">
      <c r="A59" s="32" t="s">
        <v>248</v>
      </c>
      <c r="B59" s="34" t="s">
        <v>253</v>
      </c>
      <c r="C59" s="34" t="s">
        <v>265</v>
      </c>
      <c r="D59" s="30"/>
      <c r="E59" s="31" t="s">
        <v>29</v>
      </c>
      <c r="F59" s="39">
        <v>2040</v>
      </c>
      <c r="G59" s="30" t="s">
        <v>101</v>
      </c>
      <c r="H59" s="30">
        <f t="shared" si="1"/>
        <v>0.089510230105650984</v>
      </c>
      <c r="I59" s="30">
        <v>0.10781014690703335</v>
      </c>
      <c r="J59" s="30">
        <v>0.09702913221633</v>
      </c>
      <c r="K59" s="30">
        <v>0.06468608814422</v>
      </c>
      <c r="L59" s="30">
        <v>0.08624811752562668</v>
      </c>
      <c r="M59" s="30">
        <v>0.08624811752562668</v>
      </c>
      <c r="N59" s="30">
        <v>0.08624811752562668</v>
      </c>
      <c r="O59" s="30">
        <v>0.09702913221633</v>
      </c>
      <c r="P59" s="30">
        <v>0.091339152240681107</v>
      </c>
      <c r="Q59" s="30">
        <v>0.08624811752562668</v>
      </c>
      <c r="R59" s="30">
        <v>0.075467102834923347</v>
      </c>
      <c r="S59" s="30">
        <v>0.08624811752562668</v>
      </c>
      <c r="T59" s="30">
        <v>0.08624811752562668</v>
      </c>
      <c r="U59" s="30">
        <v>0.10781014690703335</v>
      </c>
      <c r="V59" s="30">
        <v>0.08624811752562668</v>
      </c>
      <c r="W59" s="30">
        <v>0.10781014690703335</v>
      </c>
      <c r="X59" s="30">
        <v>0.075467102834923347</v>
      </c>
      <c r="Y59" s="30">
        <v>0.10781014690703335</v>
      </c>
      <c r="Z59" s="30">
        <v>0.09702913221633</v>
      </c>
      <c r="AA59" s="30">
        <v>0.09702913221633</v>
      </c>
      <c r="AB59" s="30">
        <v>0.08624811752562668</v>
      </c>
      <c r="AC59" s="30">
        <v>0.09702913221633</v>
      </c>
      <c r="AD59" s="30">
        <v>0.08624811752562668</v>
      </c>
      <c r="AE59" s="30">
        <v>0.075467102834923347</v>
      </c>
      <c r="AF59" s="30">
        <v>0.06468608814422</v>
      </c>
      <c r="AG59" s="30">
        <v>0.08624811752562668</v>
      </c>
      <c r="AH59" s="30">
        <v>0.10781014690703335</v>
      </c>
      <c r="AI59" s="30">
        <v>0.08624811752562668</v>
      </c>
      <c r="AJ59" s="30">
        <v>0.08624811752562668</v>
      </c>
      <c r="AK59" s="30">
        <v>0.09702913221633</v>
      </c>
      <c r="AL59" s="30">
        <v>0.08624811752562668</v>
      </c>
      <c r="AM59" s="30">
        <v>0.08624811752562668</v>
      </c>
      <c r="AN59" s="30">
        <v>0.08624811752562668</v>
      </c>
      <c r="AO59" s="30">
        <v>0.10781014690703335</v>
      </c>
      <c r="AP59" s="30">
        <v>0.08624811752562668</v>
      </c>
      <c r="AQ59" s="30">
        <v>0.10781014690703335</v>
      </c>
      <c r="AR59" s="30">
        <v>0.10781014690703335</v>
      </c>
      <c r="AS59" s="30">
        <v>0.10781014690703335</v>
      </c>
      <c r="AT59" s="30"/>
      <c r="AU59" s="80">
        <v>1.0781014690703334</v>
      </c>
      <c r="AV59" s="30"/>
      <c r="AW59" s="30"/>
      <c r="AX59" s="30"/>
      <c r="AY59" s="30"/>
      <c r="AZ59" s="30"/>
      <c r="BA59" s="30"/>
      <c r="BB59" s="30"/>
      <c r="BC59" s="30"/>
    </row>
    <row r="60" spans="1:55" ht="14.45" customHeight="1">
      <c r="A60" s="51" t="s">
        <v>248</v>
      </c>
      <c r="B60" s="56" t="s">
        <v>253</v>
      </c>
      <c r="C60" s="56" t="s">
        <v>265</v>
      </c>
      <c r="D60" s="46"/>
      <c r="E60" s="47" t="s">
        <v>29</v>
      </c>
      <c r="F60" s="48">
        <v>2050</v>
      </c>
      <c r="G60" s="46" t="s">
        <v>101</v>
      </c>
      <c r="H60" s="46">
        <f t="shared" si="1"/>
        <v>0.091746242676291445</v>
      </c>
      <c r="I60" s="46">
        <v>0.1105033010129069</v>
      </c>
      <c r="J60" s="46">
        <v>0.099452970911616187</v>
      </c>
      <c r="K60" s="46">
        <v>0.066301980607744129</v>
      </c>
      <c r="L60" s="46">
        <v>0.088402640810325506</v>
      </c>
      <c r="M60" s="46">
        <v>0.088402640810325506</v>
      </c>
      <c r="N60" s="46">
        <v>0.088402640810325506</v>
      </c>
      <c r="O60" s="46">
        <v>0.099452970911616187</v>
      </c>
      <c r="P60" s="46">
        <v>0.093620852247046193</v>
      </c>
      <c r="Q60" s="46">
        <v>0.088402640810325506</v>
      </c>
      <c r="R60" s="46">
        <v>0.077352310709034824</v>
      </c>
      <c r="S60" s="46">
        <v>0.088402640810325506</v>
      </c>
      <c r="T60" s="46">
        <v>0.088402640810325506</v>
      </c>
      <c r="U60" s="46">
        <v>0.1105033010129069</v>
      </c>
      <c r="V60" s="46">
        <v>0.088402640810325506</v>
      </c>
      <c r="W60" s="46">
        <v>0.1105033010129069</v>
      </c>
      <c r="X60" s="46">
        <v>0.077352310709034824</v>
      </c>
      <c r="Y60" s="46">
        <v>0.1105033010129069</v>
      </c>
      <c r="Z60" s="46">
        <v>0.099452970911616187</v>
      </c>
      <c r="AA60" s="46">
        <v>0.099452970911616187</v>
      </c>
      <c r="AB60" s="46">
        <v>0.088402640810325506</v>
      </c>
      <c r="AC60" s="46">
        <v>0.099452970911616187</v>
      </c>
      <c r="AD60" s="46">
        <v>0.088402640810325506</v>
      </c>
      <c r="AE60" s="46">
        <v>0.077352310709034824</v>
      </c>
      <c r="AF60" s="46">
        <v>0.066301980607744129</v>
      </c>
      <c r="AG60" s="46">
        <v>0.088402640810325506</v>
      </c>
      <c r="AH60" s="46">
        <v>0.1105033010129069</v>
      </c>
      <c r="AI60" s="46">
        <v>0.088402640810325506</v>
      </c>
      <c r="AJ60" s="46">
        <v>0.088402640810325506</v>
      </c>
      <c r="AK60" s="46">
        <v>0.099452970911616187</v>
      </c>
      <c r="AL60" s="46">
        <v>0.088402640810325506</v>
      </c>
      <c r="AM60" s="46">
        <v>0.088402640810325506</v>
      </c>
      <c r="AN60" s="46">
        <v>0.088402640810325506</v>
      </c>
      <c r="AO60" s="46">
        <v>0.1105033010129069</v>
      </c>
      <c r="AP60" s="46">
        <v>0.088402640810325506</v>
      </c>
      <c r="AQ60" s="46">
        <v>0.1105033010129069</v>
      </c>
      <c r="AR60" s="46">
        <v>0.1105033010129069</v>
      </c>
      <c r="AS60" s="46">
        <v>0.1105033010129069</v>
      </c>
      <c r="AT60" s="46"/>
      <c r="AU60" s="81">
        <v>1.1050330101290688</v>
      </c>
      <c r="AV60" s="46"/>
      <c r="AW60" s="46"/>
      <c r="AX60" s="46"/>
      <c r="AY60" s="46"/>
      <c r="AZ60" s="46"/>
      <c r="BA60" s="46"/>
      <c r="BB60" s="46"/>
      <c r="BC60" s="46"/>
    </row>
    <row r="61" spans="1:55" ht="14.45" customHeight="1">
      <c r="A61" s="32" t="s">
        <v>248</v>
      </c>
      <c r="B61" s="34" t="s">
        <v>253</v>
      </c>
      <c r="C61" s="34" t="s">
        <v>267</v>
      </c>
      <c r="D61" s="30"/>
      <c r="E61" s="31" t="s">
        <v>29</v>
      </c>
      <c r="F61" s="39">
        <v>2010</v>
      </c>
      <c r="G61" s="30" t="s">
        <v>103</v>
      </c>
      <c r="H61" s="30">
        <f t="shared" si="1"/>
        <v>0.079642857142857154</v>
      </c>
      <c r="I61" s="30">
        <v>0.08</v>
      </c>
      <c r="J61" s="30">
        <v>0.08</v>
      </c>
      <c r="K61" s="30">
        <v>0.08</v>
      </c>
      <c r="L61" s="30">
        <v>0.08</v>
      </c>
      <c r="M61" s="30">
        <v>0.08</v>
      </c>
      <c r="N61" s="30">
        <v>0.08</v>
      </c>
      <c r="O61" s="30">
        <v>0.09</v>
      </c>
      <c r="P61" s="30">
        <v>0.08</v>
      </c>
      <c r="Q61" s="30">
        <v>0.08</v>
      </c>
      <c r="R61" s="30">
        <v>0.08</v>
      </c>
      <c r="S61" s="30">
        <v>0.08</v>
      </c>
      <c r="T61" s="30">
        <v>0.08</v>
      </c>
      <c r="U61" s="30">
        <v>0.08</v>
      </c>
      <c r="V61" s="30">
        <v>0.08</v>
      </c>
      <c r="W61" s="30">
        <v>0.08</v>
      </c>
      <c r="X61" s="30">
        <v>0.08</v>
      </c>
      <c r="Y61" s="30">
        <v>0.08</v>
      </c>
      <c r="Z61" s="30">
        <v>0.08</v>
      </c>
      <c r="AA61" s="30">
        <v>0.08</v>
      </c>
      <c r="AB61" s="30">
        <v>0.08</v>
      </c>
      <c r="AC61" s="30">
        <v>0.09</v>
      </c>
      <c r="AD61" s="30">
        <v>0.070000000000000007</v>
      </c>
      <c r="AE61" s="30">
        <v>0.070000000000000007</v>
      </c>
      <c r="AF61" s="30">
        <v>0.08</v>
      </c>
      <c r="AG61" s="30">
        <v>0.08</v>
      </c>
      <c r="AH61" s="30">
        <v>0.08</v>
      </c>
      <c r="AI61" s="30">
        <v>0.08</v>
      </c>
      <c r="AJ61" s="30">
        <v>0.070000000000000007</v>
      </c>
      <c r="AK61" s="30">
        <v>0.08</v>
      </c>
      <c r="AL61" s="30">
        <v>0.08</v>
      </c>
      <c r="AM61" s="30">
        <v>0.08</v>
      </c>
      <c r="AN61" s="30">
        <v>0.08</v>
      </c>
      <c r="AO61" s="30">
        <v>0.08</v>
      </c>
      <c r="AP61" s="30">
        <v>0.08</v>
      </c>
      <c r="AQ61" s="30">
        <v>0.09</v>
      </c>
      <c r="AR61" s="30">
        <v>0.08</v>
      </c>
      <c r="AS61" s="30">
        <v>0.08</v>
      </c>
      <c r="AT61" s="30"/>
      <c r="AU61" s="80">
        <v>1</v>
      </c>
      <c r="AV61" s="30"/>
      <c r="AW61" s="30"/>
      <c r="AX61" s="30"/>
      <c r="AY61" s="30"/>
      <c r="AZ61" s="30"/>
      <c r="BA61" s="30"/>
      <c r="BB61" s="30"/>
      <c r="BC61" s="30"/>
    </row>
    <row r="62" spans="1:55" ht="14.45" customHeight="1">
      <c r="A62" s="32" t="s">
        <v>248</v>
      </c>
      <c r="B62" s="34" t="s">
        <v>253</v>
      </c>
      <c r="C62" s="34" t="s">
        <v>267</v>
      </c>
      <c r="D62" s="30"/>
      <c r="E62" s="31" t="s">
        <v>29</v>
      </c>
      <c r="F62" s="39">
        <v>2020</v>
      </c>
      <c r="G62" s="30" t="s">
        <v>103</v>
      </c>
      <c r="H62" s="30">
        <f t="shared" si="1"/>
        <v>0.081573271532317207</v>
      </c>
      <c r="I62" s="30">
        <v>0.08193907095622896</v>
      </c>
      <c r="J62" s="30">
        <v>0.08193907095622896</v>
      </c>
      <c r="K62" s="30">
        <v>0.08193907095622896</v>
      </c>
      <c r="L62" s="30">
        <v>0.08193907095622896</v>
      </c>
      <c r="M62" s="30">
        <v>0.08193907095622896</v>
      </c>
      <c r="N62" s="30">
        <v>0.08193907095622896</v>
      </c>
      <c r="O62" s="30">
        <v>0.092181454825757569</v>
      </c>
      <c r="P62" s="30">
        <v>0.08193907095622896</v>
      </c>
      <c r="Q62" s="30">
        <v>0.08193907095622896</v>
      </c>
      <c r="R62" s="30">
        <v>0.08193907095622896</v>
      </c>
      <c r="S62" s="30">
        <v>0.08193907095622896</v>
      </c>
      <c r="T62" s="30">
        <v>0.08193907095622896</v>
      </c>
      <c r="U62" s="30">
        <v>0.08193907095622896</v>
      </c>
      <c r="V62" s="30">
        <v>0.08193907095622896</v>
      </c>
      <c r="W62" s="30">
        <v>0.08193907095622896</v>
      </c>
      <c r="X62" s="30">
        <v>0.08193907095622896</v>
      </c>
      <c r="Y62" s="30">
        <v>0.08193907095622896</v>
      </c>
      <c r="Z62" s="30">
        <v>0.08193907095622896</v>
      </c>
      <c r="AA62" s="30">
        <v>0.08193907095622896</v>
      </c>
      <c r="AB62" s="30">
        <v>0.08193907095622896</v>
      </c>
      <c r="AC62" s="30">
        <v>0.092181454825757569</v>
      </c>
      <c r="AD62" s="30">
        <v>0.07169668708670035</v>
      </c>
      <c r="AE62" s="30">
        <v>0.07169668708670035</v>
      </c>
      <c r="AF62" s="30">
        <v>0.08193907095622896</v>
      </c>
      <c r="AG62" s="30">
        <v>0.08193907095622896</v>
      </c>
      <c r="AH62" s="30">
        <v>0.08193907095622896</v>
      </c>
      <c r="AI62" s="30">
        <v>0.08193907095622896</v>
      </c>
      <c r="AJ62" s="30">
        <v>0.07169668708670035</v>
      </c>
      <c r="AK62" s="30">
        <v>0.08193907095622896</v>
      </c>
      <c r="AL62" s="30">
        <v>0.08193907095622896</v>
      </c>
      <c r="AM62" s="30">
        <v>0.08193907095622896</v>
      </c>
      <c r="AN62" s="30">
        <v>0.08193907095622896</v>
      </c>
      <c r="AO62" s="30">
        <v>0.08193907095622896</v>
      </c>
      <c r="AP62" s="30">
        <v>0.08193907095622896</v>
      </c>
      <c r="AQ62" s="30">
        <v>0.092181454825757569</v>
      </c>
      <c r="AR62" s="30">
        <v>0.08193907095622896</v>
      </c>
      <c r="AS62" s="30">
        <v>0.08193907095622896</v>
      </c>
      <c r="AT62" s="30"/>
      <c r="AU62" s="80">
        <v>1.024238386952862</v>
      </c>
      <c r="AV62" s="30"/>
      <c r="AW62" s="30"/>
      <c r="AX62" s="30"/>
      <c r="AY62" s="30"/>
      <c r="AZ62" s="30"/>
      <c r="BA62" s="30"/>
      <c r="BB62" s="30"/>
      <c r="BC62" s="30"/>
    </row>
    <row r="63" spans="1:55" ht="14.45" customHeight="1">
      <c r="A63" s="32" t="s">
        <v>248</v>
      </c>
      <c r="B63" s="34" t="s">
        <v>253</v>
      </c>
      <c r="C63" s="34" t="s">
        <v>267</v>
      </c>
      <c r="D63" s="30"/>
      <c r="E63" s="31" t="s">
        <v>29</v>
      </c>
      <c r="F63" s="39">
        <v>2025</v>
      </c>
      <c r="G63" s="30" t="s">
        <v>103</v>
      </c>
      <c r="H63" s="30">
        <f t="shared" si="1"/>
        <v>0.082645723970906165</v>
      </c>
      <c r="I63" s="30">
        <v>0.08301633259857838</v>
      </c>
      <c r="J63" s="30">
        <v>0.08301633259857838</v>
      </c>
      <c r="K63" s="30">
        <v>0.08301633259857838</v>
      </c>
      <c r="L63" s="30">
        <v>0.08301633259857838</v>
      </c>
      <c r="M63" s="30">
        <v>0.08301633259857838</v>
      </c>
      <c r="N63" s="30">
        <v>0.08301633259857838</v>
      </c>
      <c r="O63" s="30">
        <v>0.09339337417340067</v>
      </c>
      <c r="P63" s="30">
        <v>0.08301633259857838</v>
      </c>
      <c r="Q63" s="30">
        <v>0.08301633259857838</v>
      </c>
      <c r="R63" s="30">
        <v>0.08301633259857838</v>
      </c>
      <c r="S63" s="30">
        <v>0.08301633259857838</v>
      </c>
      <c r="T63" s="30">
        <v>0.08301633259857838</v>
      </c>
      <c r="U63" s="30">
        <v>0.08301633259857838</v>
      </c>
      <c r="V63" s="30">
        <v>0.08301633259857838</v>
      </c>
      <c r="W63" s="30">
        <v>0.08301633259857838</v>
      </c>
      <c r="X63" s="30">
        <v>0.08301633259857838</v>
      </c>
      <c r="Y63" s="30">
        <v>0.08301633259857838</v>
      </c>
      <c r="Z63" s="30">
        <v>0.08301633259857838</v>
      </c>
      <c r="AA63" s="30">
        <v>0.08301633259857838</v>
      </c>
      <c r="AB63" s="30">
        <v>0.08301633259857838</v>
      </c>
      <c r="AC63" s="30">
        <v>0.09339337417340067</v>
      </c>
      <c r="AD63" s="30">
        <v>0.072639291023756089</v>
      </c>
      <c r="AE63" s="30">
        <v>0.072639291023756089</v>
      </c>
      <c r="AF63" s="30">
        <v>0.08301633259857838</v>
      </c>
      <c r="AG63" s="30">
        <v>0.08301633259857838</v>
      </c>
      <c r="AH63" s="30">
        <v>0.08301633259857838</v>
      </c>
      <c r="AI63" s="30">
        <v>0.08301633259857838</v>
      </c>
      <c r="AJ63" s="30">
        <v>0.072639291023756089</v>
      </c>
      <c r="AK63" s="30">
        <v>0.08301633259857838</v>
      </c>
      <c r="AL63" s="30">
        <v>0.08301633259857838</v>
      </c>
      <c r="AM63" s="30">
        <v>0.08301633259857838</v>
      </c>
      <c r="AN63" s="30">
        <v>0.08301633259857838</v>
      </c>
      <c r="AO63" s="30">
        <v>0.08301633259857838</v>
      </c>
      <c r="AP63" s="30">
        <v>0.08301633259857838</v>
      </c>
      <c r="AQ63" s="30">
        <v>0.09339337417340067</v>
      </c>
      <c r="AR63" s="30">
        <v>0.08301633259857838</v>
      </c>
      <c r="AS63" s="30">
        <v>0.08301633259857838</v>
      </c>
      <c r="AT63" s="30"/>
      <c r="AU63" s="80">
        <v>1.0377041574822297</v>
      </c>
      <c r="AV63" s="30"/>
      <c r="AW63" s="30"/>
      <c r="AX63" s="30"/>
      <c r="AY63" s="30"/>
      <c r="AZ63" s="30"/>
      <c r="BA63" s="30"/>
      <c r="BB63" s="30"/>
      <c r="BC63" s="30"/>
    </row>
    <row r="64" spans="1:55" ht="14.45" customHeight="1">
      <c r="A64" s="32" t="s">
        <v>248</v>
      </c>
      <c r="B64" s="34" t="s">
        <v>253</v>
      </c>
      <c r="C64" s="34" t="s">
        <v>267</v>
      </c>
      <c r="D64" s="30"/>
      <c r="E64" s="31" t="s">
        <v>29</v>
      </c>
      <c r="F64" s="39">
        <v>2030</v>
      </c>
      <c r="G64" s="30" t="s">
        <v>103</v>
      </c>
      <c r="H64" s="30">
        <f t="shared" si="1"/>
        <v>0.083718176409495096</v>
      </c>
      <c r="I64" s="30">
        <v>0.084093594240927813</v>
      </c>
      <c r="J64" s="30">
        <v>0.084093594240927813</v>
      </c>
      <c r="K64" s="30">
        <v>0.084093594240927813</v>
      </c>
      <c r="L64" s="30">
        <v>0.084093594240927813</v>
      </c>
      <c r="M64" s="30">
        <v>0.084093594240927813</v>
      </c>
      <c r="N64" s="30">
        <v>0.084093594240927813</v>
      </c>
      <c r="O64" s="30">
        <v>0.094605293521043785</v>
      </c>
      <c r="P64" s="30">
        <v>0.084093594240927813</v>
      </c>
      <c r="Q64" s="30">
        <v>0.084093594240927813</v>
      </c>
      <c r="R64" s="30">
        <v>0.084093594240927813</v>
      </c>
      <c r="S64" s="30">
        <v>0.084093594240927813</v>
      </c>
      <c r="T64" s="30">
        <v>0.084093594240927813</v>
      </c>
      <c r="U64" s="30">
        <v>0.084093594240927813</v>
      </c>
      <c r="V64" s="30">
        <v>0.084093594240927813</v>
      </c>
      <c r="W64" s="30">
        <v>0.084093594240927813</v>
      </c>
      <c r="X64" s="30">
        <v>0.084093594240927813</v>
      </c>
      <c r="Y64" s="30">
        <v>0.084093594240927813</v>
      </c>
      <c r="Z64" s="30">
        <v>0.084093594240927813</v>
      </c>
      <c r="AA64" s="30">
        <v>0.084093594240927813</v>
      </c>
      <c r="AB64" s="30">
        <v>0.084093594240927813</v>
      </c>
      <c r="AC64" s="30">
        <v>0.094605293521043785</v>
      </c>
      <c r="AD64" s="30">
        <v>0.073581894960811842</v>
      </c>
      <c r="AE64" s="30">
        <v>0.073581894960811842</v>
      </c>
      <c r="AF64" s="30">
        <v>0.084093594240927813</v>
      </c>
      <c r="AG64" s="30">
        <v>0.084093594240927813</v>
      </c>
      <c r="AH64" s="30">
        <v>0.084093594240927813</v>
      </c>
      <c r="AI64" s="30">
        <v>0.084093594240927813</v>
      </c>
      <c r="AJ64" s="30">
        <v>0.073581894960811842</v>
      </c>
      <c r="AK64" s="30">
        <v>0.084093594240927813</v>
      </c>
      <c r="AL64" s="30">
        <v>0.084093594240927813</v>
      </c>
      <c r="AM64" s="30">
        <v>0.084093594240927813</v>
      </c>
      <c r="AN64" s="30">
        <v>0.084093594240927813</v>
      </c>
      <c r="AO64" s="30">
        <v>0.084093594240927813</v>
      </c>
      <c r="AP64" s="30">
        <v>0.084093594240927813</v>
      </c>
      <c r="AQ64" s="30">
        <v>0.094605293521043785</v>
      </c>
      <c r="AR64" s="30">
        <v>0.084093594240927813</v>
      </c>
      <c r="AS64" s="30">
        <v>0.084093594240927813</v>
      </c>
      <c r="AT64" s="30"/>
      <c r="AU64" s="80">
        <v>1.0511699280115976</v>
      </c>
      <c r="AV64" s="30"/>
      <c r="AW64" s="30"/>
      <c r="AX64" s="30"/>
      <c r="AY64" s="30"/>
      <c r="AZ64" s="30"/>
      <c r="BA64" s="30"/>
      <c r="BB64" s="30"/>
      <c r="BC64" s="30"/>
    </row>
    <row r="65" spans="1:55" ht="14.45" customHeight="1">
      <c r="A65" s="32" t="s">
        <v>248</v>
      </c>
      <c r="B65" s="34" t="s">
        <v>253</v>
      </c>
      <c r="C65" s="34" t="s">
        <v>267</v>
      </c>
      <c r="D65" s="30"/>
      <c r="E65" s="31" t="s">
        <v>29</v>
      </c>
      <c r="F65" s="39">
        <v>2035</v>
      </c>
      <c r="G65" s="30" t="s">
        <v>103</v>
      </c>
      <c r="H65" s="30">
        <f t="shared" si="1"/>
        <v>0.084790628848084054</v>
      </c>
      <c r="I65" s="30">
        <v>0.085170855883277247</v>
      </c>
      <c r="J65" s="30">
        <v>0.085170855883277247</v>
      </c>
      <c r="K65" s="30">
        <v>0.085170855883277247</v>
      </c>
      <c r="L65" s="30">
        <v>0.085170855883277247</v>
      </c>
      <c r="M65" s="30">
        <v>0.085170855883277247</v>
      </c>
      <c r="N65" s="30">
        <v>0.085170855883277247</v>
      </c>
      <c r="O65" s="30">
        <v>0.095817212868686899</v>
      </c>
      <c r="P65" s="30">
        <v>0.085170855883277247</v>
      </c>
      <c r="Q65" s="30">
        <v>0.085170855883277247</v>
      </c>
      <c r="R65" s="30">
        <v>0.085170855883277247</v>
      </c>
      <c r="S65" s="30">
        <v>0.085170855883277247</v>
      </c>
      <c r="T65" s="30">
        <v>0.085170855883277247</v>
      </c>
      <c r="U65" s="30">
        <v>0.085170855883277247</v>
      </c>
      <c r="V65" s="30">
        <v>0.085170855883277247</v>
      </c>
      <c r="W65" s="30">
        <v>0.085170855883277247</v>
      </c>
      <c r="X65" s="30">
        <v>0.085170855883277247</v>
      </c>
      <c r="Y65" s="30">
        <v>0.085170855883277247</v>
      </c>
      <c r="Z65" s="30">
        <v>0.085170855883277247</v>
      </c>
      <c r="AA65" s="30">
        <v>0.085170855883277247</v>
      </c>
      <c r="AB65" s="30">
        <v>0.085170855883277247</v>
      </c>
      <c r="AC65" s="30">
        <v>0.095817212868686899</v>
      </c>
      <c r="AD65" s="30">
        <v>0.074524498897867594</v>
      </c>
      <c r="AE65" s="30">
        <v>0.074524498897867594</v>
      </c>
      <c r="AF65" s="30">
        <v>0.085170855883277247</v>
      </c>
      <c r="AG65" s="30">
        <v>0.085170855883277247</v>
      </c>
      <c r="AH65" s="30">
        <v>0.085170855883277247</v>
      </c>
      <c r="AI65" s="30">
        <v>0.085170855883277247</v>
      </c>
      <c r="AJ65" s="30">
        <v>0.074524498897867594</v>
      </c>
      <c r="AK65" s="30">
        <v>0.085170855883277247</v>
      </c>
      <c r="AL65" s="30">
        <v>0.085170855883277247</v>
      </c>
      <c r="AM65" s="30">
        <v>0.085170855883277247</v>
      </c>
      <c r="AN65" s="30">
        <v>0.085170855883277247</v>
      </c>
      <c r="AO65" s="30">
        <v>0.085170855883277247</v>
      </c>
      <c r="AP65" s="30">
        <v>0.085170855883277247</v>
      </c>
      <c r="AQ65" s="30">
        <v>0.095817212868686899</v>
      </c>
      <c r="AR65" s="30">
        <v>0.085170855883277247</v>
      </c>
      <c r="AS65" s="30">
        <v>0.085170855883277247</v>
      </c>
      <c r="AT65" s="30"/>
      <c r="AU65" s="80">
        <v>1.0646356985409655</v>
      </c>
      <c r="AV65" s="30"/>
      <c r="AW65" s="30"/>
      <c r="AX65" s="30"/>
      <c r="AY65" s="30"/>
      <c r="AZ65" s="30"/>
      <c r="BA65" s="30"/>
      <c r="BB65" s="30"/>
      <c r="BC65" s="30"/>
    </row>
    <row r="66" spans="1:55" ht="14.45" customHeight="1">
      <c r="A66" s="32" t="s">
        <v>248</v>
      </c>
      <c r="B66" s="34" t="s">
        <v>253</v>
      </c>
      <c r="C66" s="34" t="s">
        <v>267</v>
      </c>
      <c r="D66" s="30"/>
      <c r="E66" s="31" t="s">
        <v>29</v>
      </c>
      <c r="F66" s="39">
        <v>2040</v>
      </c>
      <c r="G66" s="30" t="s">
        <v>103</v>
      </c>
      <c r="H66" s="30">
        <f t="shared" si="1"/>
        <v>0.085863081286672971</v>
      </c>
      <c r="I66" s="30">
        <v>0.08624811752562668</v>
      </c>
      <c r="J66" s="30">
        <v>0.08624811752562668</v>
      </c>
      <c r="K66" s="30">
        <v>0.08624811752562668</v>
      </c>
      <c r="L66" s="30">
        <v>0.08624811752562668</v>
      </c>
      <c r="M66" s="30">
        <v>0.08624811752562668</v>
      </c>
      <c r="N66" s="30">
        <v>0.08624811752562668</v>
      </c>
      <c r="O66" s="30">
        <v>0.09702913221633</v>
      </c>
      <c r="P66" s="30">
        <v>0.08624811752562668</v>
      </c>
      <c r="Q66" s="30">
        <v>0.08624811752562668</v>
      </c>
      <c r="R66" s="30">
        <v>0.08624811752562668</v>
      </c>
      <c r="S66" s="30">
        <v>0.08624811752562668</v>
      </c>
      <c r="T66" s="30">
        <v>0.08624811752562668</v>
      </c>
      <c r="U66" s="30">
        <v>0.08624811752562668</v>
      </c>
      <c r="V66" s="30">
        <v>0.08624811752562668</v>
      </c>
      <c r="W66" s="30">
        <v>0.08624811752562668</v>
      </c>
      <c r="X66" s="30">
        <v>0.08624811752562668</v>
      </c>
      <c r="Y66" s="30">
        <v>0.08624811752562668</v>
      </c>
      <c r="Z66" s="30">
        <v>0.08624811752562668</v>
      </c>
      <c r="AA66" s="30">
        <v>0.08624811752562668</v>
      </c>
      <c r="AB66" s="30">
        <v>0.08624811752562668</v>
      </c>
      <c r="AC66" s="30">
        <v>0.09702913221633</v>
      </c>
      <c r="AD66" s="30">
        <v>0.075467102834923347</v>
      </c>
      <c r="AE66" s="30">
        <v>0.075467102834923347</v>
      </c>
      <c r="AF66" s="30">
        <v>0.08624811752562668</v>
      </c>
      <c r="AG66" s="30">
        <v>0.08624811752562668</v>
      </c>
      <c r="AH66" s="30">
        <v>0.08624811752562668</v>
      </c>
      <c r="AI66" s="30">
        <v>0.08624811752562668</v>
      </c>
      <c r="AJ66" s="30">
        <v>0.075467102834923347</v>
      </c>
      <c r="AK66" s="30">
        <v>0.08624811752562668</v>
      </c>
      <c r="AL66" s="30">
        <v>0.08624811752562668</v>
      </c>
      <c r="AM66" s="30">
        <v>0.08624811752562668</v>
      </c>
      <c r="AN66" s="30">
        <v>0.08624811752562668</v>
      </c>
      <c r="AO66" s="30">
        <v>0.08624811752562668</v>
      </c>
      <c r="AP66" s="30">
        <v>0.08624811752562668</v>
      </c>
      <c r="AQ66" s="30">
        <v>0.09702913221633</v>
      </c>
      <c r="AR66" s="30">
        <v>0.08624811752562668</v>
      </c>
      <c r="AS66" s="30">
        <v>0.08624811752562668</v>
      </c>
      <c r="AT66" s="30"/>
      <c r="AU66" s="80">
        <v>1.0781014690703334</v>
      </c>
      <c r="AV66" s="30"/>
      <c r="AW66" s="30"/>
      <c r="AX66" s="30"/>
      <c r="AY66" s="30"/>
      <c r="AZ66" s="30"/>
      <c r="BA66" s="30"/>
      <c r="BB66" s="30"/>
      <c r="BC66" s="30"/>
    </row>
    <row r="67" spans="1:55" ht="14.45" customHeight="1">
      <c r="A67" s="51" t="s">
        <v>248</v>
      </c>
      <c r="B67" s="56" t="s">
        <v>253</v>
      </c>
      <c r="C67" s="56" t="s">
        <v>267</v>
      </c>
      <c r="D67" s="46"/>
      <c r="E67" s="47" t="s">
        <v>29</v>
      </c>
      <c r="F67" s="48">
        <v>2050</v>
      </c>
      <c r="G67" s="46" t="s">
        <v>103</v>
      </c>
      <c r="H67" s="46">
        <f t="shared" si="1"/>
        <v>0.088007986163850832</v>
      </c>
      <c r="I67" s="46">
        <v>0.088402640810325506</v>
      </c>
      <c r="J67" s="46">
        <v>0.088402640810325506</v>
      </c>
      <c r="K67" s="46">
        <v>0.088402640810325506</v>
      </c>
      <c r="L67" s="46">
        <v>0.088402640810325506</v>
      </c>
      <c r="M67" s="46">
        <v>0.088402640810325506</v>
      </c>
      <c r="N67" s="46">
        <v>0.088402640810325506</v>
      </c>
      <c r="O67" s="46">
        <v>0.099452970911616187</v>
      </c>
      <c r="P67" s="46">
        <v>0.088402640810325506</v>
      </c>
      <c r="Q67" s="46">
        <v>0.088402640810325506</v>
      </c>
      <c r="R67" s="46">
        <v>0.088402640810325506</v>
      </c>
      <c r="S67" s="46">
        <v>0.088402640810325506</v>
      </c>
      <c r="T67" s="46">
        <v>0.088402640810325506</v>
      </c>
      <c r="U67" s="46">
        <v>0.088402640810325506</v>
      </c>
      <c r="V67" s="46">
        <v>0.088402640810325506</v>
      </c>
      <c r="W67" s="46">
        <v>0.088402640810325506</v>
      </c>
      <c r="X67" s="46">
        <v>0.088402640810325506</v>
      </c>
      <c r="Y67" s="46">
        <v>0.088402640810325506</v>
      </c>
      <c r="Z67" s="46">
        <v>0.088402640810325506</v>
      </c>
      <c r="AA67" s="46">
        <v>0.088402640810325506</v>
      </c>
      <c r="AB67" s="46">
        <v>0.088402640810325506</v>
      </c>
      <c r="AC67" s="46">
        <v>0.099452970911616187</v>
      </c>
      <c r="AD67" s="46">
        <v>0.077352310709034824</v>
      </c>
      <c r="AE67" s="46">
        <v>0.077352310709034824</v>
      </c>
      <c r="AF67" s="46">
        <v>0.088402640810325506</v>
      </c>
      <c r="AG67" s="46">
        <v>0.088402640810325506</v>
      </c>
      <c r="AH67" s="46">
        <v>0.088402640810325506</v>
      </c>
      <c r="AI67" s="46">
        <v>0.088402640810325506</v>
      </c>
      <c r="AJ67" s="46">
        <v>0.077352310709034824</v>
      </c>
      <c r="AK67" s="46">
        <v>0.088402640810325506</v>
      </c>
      <c r="AL67" s="46">
        <v>0.088402640810325506</v>
      </c>
      <c r="AM67" s="46">
        <v>0.088402640810325506</v>
      </c>
      <c r="AN67" s="46">
        <v>0.088402640810325506</v>
      </c>
      <c r="AO67" s="46">
        <v>0.088402640810325506</v>
      </c>
      <c r="AP67" s="46">
        <v>0.088402640810325506</v>
      </c>
      <c r="AQ67" s="46">
        <v>0.099452970911616187</v>
      </c>
      <c r="AR67" s="46">
        <v>0.088402640810325506</v>
      </c>
      <c r="AS67" s="46">
        <v>0.088402640810325506</v>
      </c>
      <c r="AT67" s="46"/>
      <c r="AU67" s="81">
        <v>1.1050330101290688</v>
      </c>
      <c r="AV67" s="46"/>
      <c r="AW67" s="46"/>
      <c r="AX67" s="46"/>
      <c r="AY67" s="46"/>
      <c r="AZ67" s="46"/>
      <c r="BA67" s="46"/>
      <c r="BB67" s="46"/>
      <c r="BC67" s="46"/>
    </row>
    <row r="68" spans="1:55" ht="14.45" customHeight="1">
      <c r="A68" s="32" t="s">
        <v>248</v>
      </c>
      <c r="B68" s="34" t="s">
        <v>253</v>
      </c>
      <c r="C68" s="34" t="s">
        <v>268</v>
      </c>
      <c r="D68" s="30"/>
      <c r="E68" s="31" t="s">
        <v>29</v>
      </c>
      <c r="F68" s="39">
        <v>2010</v>
      </c>
      <c r="G68" s="30" t="s">
        <v>105</v>
      </c>
      <c r="H68" s="30">
        <f t="shared" si="1"/>
        <v>0.075999999999999998</v>
      </c>
      <c r="I68" s="30">
        <v>0.075999999999999998</v>
      </c>
      <c r="J68" s="30">
        <v>0.075999999999999998</v>
      </c>
      <c r="K68" s="30">
        <v>0.075999999999999998</v>
      </c>
      <c r="L68" s="30">
        <v>0.075999999999999998</v>
      </c>
      <c r="M68" s="30">
        <v>0.075999999999999998</v>
      </c>
      <c r="N68" s="30">
        <v>0.075999999999999998</v>
      </c>
      <c r="O68" s="30">
        <v>0.075999999999999998</v>
      </c>
      <c r="P68" s="30">
        <v>0.075999999999999998</v>
      </c>
      <c r="Q68" s="30">
        <v>0.075999999999999998</v>
      </c>
      <c r="R68" s="30">
        <v>0.075999999999999998</v>
      </c>
      <c r="S68" s="30">
        <v>0.075999999999999998</v>
      </c>
      <c r="T68" s="30">
        <v>0.075999999999999998</v>
      </c>
      <c r="U68" s="30">
        <v>0.075999999999999998</v>
      </c>
      <c r="V68" s="30">
        <v>0.075999999999999998</v>
      </c>
      <c r="W68" s="30">
        <v>0.075999999999999998</v>
      </c>
      <c r="X68" s="30">
        <v>0.075999999999999998</v>
      </c>
      <c r="Y68" s="30">
        <v>0.075999999999999998</v>
      </c>
      <c r="Z68" s="30">
        <v>0.075999999999999998</v>
      </c>
      <c r="AA68" s="30">
        <v>0.09</v>
      </c>
      <c r="AB68" s="30">
        <v>0.075999999999999998</v>
      </c>
      <c r="AC68" s="30">
        <v>0.08</v>
      </c>
      <c r="AD68" s="30">
        <v>0.070000000000000007</v>
      </c>
      <c r="AE68" s="30">
        <v>0.070000000000000007</v>
      </c>
      <c r="AF68" s="30">
        <v>0.075999999999999998</v>
      </c>
      <c r="AG68" s="30">
        <v>0.075999999999999998</v>
      </c>
      <c r="AH68" s="30">
        <v>0.075999999999999998</v>
      </c>
      <c r="AI68" s="30">
        <v>0.075999999999999998</v>
      </c>
      <c r="AJ68" s="30">
        <v>0.070000000000000007</v>
      </c>
      <c r="AK68" s="30">
        <v>0.075999999999999998</v>
      </c>
      <c r="AL68" s="30">
        <v>0.075999999999999998</v>
      </c>
      <c r="AM68" s="30">
        <v>0.075999999999999998</v>
      </c>
      <c r="AN68" s="30">
        <v>0.075999999999999998</v>
      </c>
      <c r="AO68" s="30">
        <v>0.075999999999999998</v>
      </c>
      <c r="AP68" s="30">
        <v>0.075999999999999998</v>
      </c>
      <c r="AQ68" s="30">
        <v>0.075999999999999998</v>
      </c>
      <c r="AR68" s="30">
        <v>0.075999999999999998</v>
      </c>
      <c r="AS68" s="30">
        <v>0.075999999999999998</v>
      </c>
      <c r="AT68" s="30"/>
      <c r="AU68" s="80">
        <v>1</v>
      </c>
      <c r="AV68" s="30"/>
      <c r="AW68" s="30"/>
      <c r="AX68" s="30"/>
      <c r="AY68" s="30"/>
      <c r="AZ68" s="30"/>
      <c r="BA68" s="30"/>
      <c r="BB68" s="30"/>
      <c r="BC68" s="30"/>
    </row>
    <row r="69" spans="1:55" ht="14.45" customHeight="1">
      <c r="A69" s="32" t="s">
        <v>248</v>
      </c>
      <c r="B69" s="34" t="s">
        <v>253</v>
      </c>
      <c r="C69" s="34" t="s">
        <v>268</v>
      </c>
      <c r="D69" s="30"/>
      <c r="E69" s="31" t="s">
        <v>29</v>
      </c>
      <c r="F69" s="39">
        <v>2020</v>
      </c>
      <c r="G69" s="30" t="s">
        <v>105</v>
      </c>
      <c r="H69" s="30">
        <f t="shared" si="1"/>
        <v>0.075999999999999998</v>
      </c>
      <c r="I69" s="30">
        <v>0.075999999999999998</v>
      </c>
      <c r="J69" s="30">
        <v>0.075999999999999998</v>
      </c>
      <c r="K69" s="30">
        <v>0.075999999999999998</v>
      </c>
      <c r="L69" s="30">
        <v>0.075999999999999998</v>
      </c>
      <c r="M69" s="30">
        <v>0.075999999999999998</v>
      </c>
      <c r="N69" s="30">
        <v>0.075999999999999998</v>
      </c>
      <c r="O69" s="30">
        <v>0.075999999999999998</v>
      </c>
      <c r="P69" s="30">
        <v>0.075999999999999998</v>
      </c>
      <c r="Q69" s="30">
        <v>0.075999999999999998</v>
      </c>
      <c r="R69" s="30">
        <v>0.075999999999999998</v>
      </c>
      <c r="S69" s="30">
        <v>0.075999999999999998</v>
      </c>
      <c r="T69" s="30">
        <v>0.075999999999999998</v>
      </c>
      <c r="U69" s="30">
        <v>0.075999999999999998</v>
      </c>
      <c r="V69" s="30">
        <v>0.075999999999999998</v>
      </c>
      <c r="W69" s="30">
        <v>0.075999999999999998</v>
      </c>
      <c r="X69" s="30">
        <v>0.075999999999999998</v>
      </c>
      <c r="Y69" s="30">
        <v>0.075999999999999998</v>
      </c>
      <c r="Z69" s="30">
        <v>0.075999999999999998</v>
      </c>
      <c r="AA69" s="30">
        <v>0.09</v>
      </c>
      <c r="AB69" s="30">
        <v>0.075999999999999998</v>
      </c>
      <c r="AC69" s="30">
        <v>0.08</v>
      </c>
      <c r="AD69" s="30">
        <v>0.070000000000000007</v>
      </c>
      <c r="AE69" s="30">
        <v>0.070000000000000007</v>
      </c>
      <c r="AF69" s="30">
        <v>0.075999999999999998</v>
      </c>
      <c r="AG69" s="30">
        <v>0.075999999999999998</v>
      </c>
      <c r="AH69" s="30">
        <v>0.075999999999999998</v>
      </c>
      <c r="AI69" s="30">
        <v>0.075999999999999998</v>
      </c>
      <c r="AJ69" s="30">
        <v>0.070000000000000007</v>
      </c>
      <c r="AK69" s="30">
        <v>0.075999999999999998</v>
      </c>
      <c r="AL69" s="30">
        <v>0.075999999999999998</v>
      </c>
      <c r="AM69" s="30">
        <v>0.075999999999999998</v>
      </c>
      <c r="AN69" s="30">
        <v>0.075999999999999998</v>
      </c>
      <c r="AO69" s="30">
        <v>0.075999999999999998</v>
      </c>
      <c r="AP69" s="30">
        <v>0.075999999999999998</v>
      </c>
      <c r="AQ69" s="30">
        <v>0.075999999999999998</v>
      </c>
      <c r="AR69" s="30">
        <v>0.075999999999999998</v>
      </c>
      <c r="AS69" s="30">
        <v>0.075999999999999998</v>
      </c>
      <c r="AT69" s="30"/>
      <c r="AU69" s="80">
        <v>1</v>
      </c>
      <c r="AV69" s="30"/>
      <c r="AW69" s="30"/>
      <c r="AX69" s="30"/>
      <c r="AY69" s="30"/>
      <c r="AZ69" s="30"/>
      <c r="BA69" s="30"/>
      <c r="BB69" s="30"/>
      <c r="BC69" s="30"/>
    </row>
    <row r="70" spans="1:55" ht="14.45" customHeight="1">
      <c r="A70" s="32" t="s">
        <v>248</v>
      </c>
      <c r="B70" s="34" t="s">
        <v>253</v>
      </c>
      <c r="C70" s="34" t="s">
        <v>268</v>
      </c>
      <c r="D70" s="30"/>
      <c r="E70" s="31" t="s">
        <v>29</v>
      </c>
      <c r="F70" s="39">
        <v>2025</v>
      </c>
      <c r="G70" s="30" t="s">
        <v>105</v>
      </c>
      <c r="H70" s="30">
        <f t="shared" si="1"/>
        <v>0.075999999999999998</v>
      </c>
      <c r="I70" s="30">
        <v>0.075999999999999998</v>
      </c>
      <c r="J70" s="30">
        <v>0.075999999999999998</v>
      </c>
      <c r="K70" s="30">
        <v>0.075999999999999998</v>
      </c>
      <c r="L70" s="30">
        <v>0.075999999999999998</v>
      </c>
      <c r="M70" s="30">
        <v>0.075999999999999998</v>
      </c>
      <c r="N70" s="30">
        <v>0.075999999999999998</v>
      </c>
      <c r="O70" s="30">
        <v>0.075999999999999998</v>
      </c>
      <c r="P70" s="30">
        <v>0.075999999999999998</v>
      </c>
      <c r="Q70" s="30">
        <v>0.075999999999999998</v>
      </c>
      <c r="R70" s="30">
        <v>0.075999999999999998</v>
      </c>
      <c r="S70" s="30">
        <v>0.075999999999999998</v>
      </c>
      <c r="T70" s="30">
        <v>0.075999999999999998</v>
      </c>
      <c r="U70" s="30">
        <v>0.075999999999999998</v>
      </c>
      <c r="V70" s="30">
        <v>0.075999999999999998</v>
      </c>
      <c r="W70" s="30">
        <v>0.075999999999999998</v>
      </c>
      <c r="X70" s="30">
        <v>0.075999999999999998</v>
      </c>
      <c r="Y70" s="30">
        <v>0.075999999999999998</v>
      </c>
      <c r="Z70" s="30">
        <v>0.075999999999999998</v>
      </c>
      <c r="AA70" s="30">
        <v>0.09</v>
      </c>
      <c r="AB70" s="30">
        <v>0.075999999999999998</v>
      </c>
      <c r="AC70" s="30">
        <v>0.08</v>
      </c>
      <c r="AD70" s="30">
        <v>0.070000000000000007</v>
      </c>
      <c r="AE70" s="30">
        <v>0.070000000000000007</v>
      </c>
      <c r="AF70" s="30">
        <v>0.075999999999999998</v>
      </c>
      <c r="AG70" s="30">
        <v>0.075999999999999998</v>
      </c>
      <c r="AH70" s="30">
        <v>0.075999999999999998</v>
      </c>
      <c r="AI70" s="30">
        <v>0.075999999999999998</v>
      </c>
      <c r="AJ70" s="30">
        <v>0.070000000000000007</v>
      </c>
      <c r="AK70" s="30">
        <v>0.075999999999999998</v>
      </c>
      <c r="AL70" s="30">
        <v>0.075999999999999998</v>
      </c>
      <c r="AM70" s="30">
        <v>0.075999999999999998</v>
      </c>
      <c r="AN70" s="30">
        <v>0.075999999999999998</v>
      </c>
      <c r="AO70" s="30">
        <v>0.075999999999999998</v>
      </c>
      <c r="AP70" s="30">
        <v>0.075999999999999998</v>
      </c>
      <c r="AQ70" s="30">
        <v>0.075999999999999998</v>
      </c>
      <c r="AR70" s="30">
        <v>0.075999999999999998</v>
      </c>
      <c r="AS70" s="30">
        <v>0.075999999999999998</v>
      </c>
      <c r="AT70" s="30"/>
      <c r="AU70" s="80">
        <v>1</v>
      </c>
      <c r="AV70" s="30"/>
      <c r="AW70" s="30"/>
      <c r="AX70" s="30"/>
      <c r="AY70" s="30"/>
      <c r="AZ70" s="30"/>
      <c r="BA70" s="30"/>
      <c r="BB70" s="30"/>
      <c r="BC70" s="30"/>
    </row>
    <row r="71" spans="1:55" ht="14.45" customHeight="1">
      <c r="A71" s="32" t="s">
        <v>248</v>
      </c>
      <c r="B71" s="34" t="s">
        <v>253</v>
      </c>
      <c r="C71" s="34" t="s">
        <v>268</v>
      </c>
      <c r="D71" s="30"/>
      <c r="E71" s="31" t="s">
        <v>29</v>
      </c>
      <c r="F71" s="39">
        <v>2030</v>
      </c>
      <c r="G71" s="30" t="s">
        <v>105</v>
      </c>
      <c r="H71" s="30">
        <f t="shared" si="1"/>
        <v>0.075999999999999998</v>
      </c>
      <c r="I71" s="30">
        <v>0.075999999999999998</v>
      </c>
      <c r="J71" s="30">
        <v>0.075999999999999998</v>
      </c>
      <c r="K71" s="30">
        <v>0.075999999999999998</v>
      </c>
      <c r="L71" s="30">
        <v>0.075999999999999998</v>
      </c>
      <c r="M71" s="30">
        <v>0.075999999999999998</v>
      </c>
      <c r="N71" s="30">
        <v>0.075999999999999998</v>
      </c>
      <c r="O71" s="30">
        <v>0.075999999999999998</v>
      </c>
      <c r="P71" s="30">
        <v>0.075999999999999998</v>
      </c>
      <c r="Q71" s="30">
        <v>0.075999999999999998</v>
      </c>
      <c r="R71" s="30">
        <v>0.075999999999999998</v>
      </c>
      <c r="S71" s="30">
        <v>0.075999999999999998</v>
      </c>
      <c r="T71" s="30">
        <v>0.075999999999999998</v>
      </c>
      <c r="U71" s="30">
        <v>0.075999999999999998</v>
      </c>
      <c r="V71" s="30">
        <v>0.075999999999999998</v>
      </c>
      <c r="W71" s="30">
        <v>0.075999999999999998</v>
      </c>
      <c r="X71" s="30">
        <v>0.075999999999999998</v>
      </c>
      <c r="Y71" s="30">
        <v>0.075999999999999998</v>
      </c>
      <c r="Z71" s="30">
        <v>0.075999999999999998</v>
      </c>
      <c r="AA71" s="30">
        <v>0.09</v>
      </c>
      <c r="AB71" s="30">
        <v>0.075999999999999998</v>
      </c>
      <c r="AC71" s="30">
        <v>0.08</v>
      </c>
      <c r="AD71" s="30">
        <v>0.070000000000000007</v>
      </c>
      <c r="AE71" s="30">
        <v>0.070000000000000007</v>
      </c>
      <c r="AF71" s="30">
        <v>0.075999999999999998</v>
      </c>
      <c r="AG71" s="30">
        <v>0.075999999999999998</v>
      </c>
      <c r="AH71" s="30">
        <v>0.075999999999999998</v>
      </c>
      <c r="AI71" s="30">
        <v>0.075999999999999998</v>
      </c>
      <c r="AJ71" s="30">
        <v>0.070000000000000007</v>
      </c>
      <c r="AK71" s="30">
        <v>0.075999999999999998</v>
      </c>
      <c r="AL71" s="30">
        <v>0.075999999999999998</v>
      </c>
      <c r="AM71" s="30">
        <v>0.075999999999999998</v>
      </c>
      <c r="AN71" s="30">
        <v>0.075999999999999998</v>
      </c>
      <c r="AO71" s="30">
        <v>0.075999999999999998</v>
      </c>
      <c r="AP71" s="30">
        <v>0.075999999999999998</v>
      </c>
      <c r="AQ71" s="30">
        <v>0.075999999999999998</v>
      </c>
      <c r="AR71" s="30">
        <v>0.075999999999999998</v>
      </c>
      <c r="AS71" s="30">
        <v>0.075999999999999998</v>
      </c>
      <c r="AT71" s="30"/>
      <c r="AU71" s="80">
        <v>1</v>
      </c>
      <c r="AV71" s="30"/>
      <c r="AW71" s="30"/>
      <c r="AX71" s="30"/>
      <c r="AY71" s="30"/>
      <c r="AZ71" s="30"/>
      <c r="BA71" s="30"/>
      <c r="BB71" s="30"/>
      <c r="BC71" s="30"/>
    </row>
    <row r="72" spans="1:55" ht="14.45" customHeight="1">
      <c r="A72" s="32" t="s">
        <v>248</v>
      </c>
      <c r="B72" s="34" t="s">
        <v>253</v>
      </c>
      <c r="C72" s="34" t="s">
        <v>268</v>
      </c>
      <c r="D72" s="30"/>
      <c r="E72" s="31" t="s">
        <v>29</v>
      </c>
      <c r="F72" s="39">
        <v>2035</v>
      </c>
      <c r="G72" s="30" t="s">
        <v>105</v>
      </c>
      <c r="H72" s="30">
        <f t="shared" si="1"/>
        <v>0.075999999999999998</v>
      </c>
      <c r="I72" s="30">
        <v>0.075999999999999998</v>
      </c>
      <c r="J72" s="30">
        <v>0.075999999999999998</v>
      </c>
      <c r="K72" s="30">
        <v>0.075999999999999998</v>
      </c>
      <c r="L72" s="30">
        <v>0.075999999999999998</v>
      </c>
      <c r="M72" s="30">
        <v>0.075999999999999998</v>
      </c>
      <c r="N72" s="30">
        <v>0.075999999999999998</v>
      </c>
      <c r="O72" s="30">
        <v>0.075999999999999998</v>
      </c>
      <c r="P72" s="30">
        <v>0.075999999999999998</v>
      </c>
      <c r="Q72" s="30">
        <v>0.075999999999999998</v>
      </c>
      <c r="R72" s="30">
        <v>0.075999999999999998</v>
      </c>
      <c r="S72" s="30">
        <v>0.075999999999999998</v>
      </c>
      <c r="T72" s="30">
        <v>0.075999999999999998</v>
      </c>
      <c r="U72" s="30">
        <v>0.075999999999999998</v>
      </c>
      <c r="V72" s="30">
        <v>0.075999999999999998</v>
      </c>
      <c r="W72" s="30">
        <v>0.075999999999999998</v>
      </c>
      <c r="X72" s="30">
        <v>0.075999999999999998</v>
      </c>
      <c r="Y72" s="30">
        <v>0.075999999999999998</v>
      </c>
      <c r="Z72" s="30">
        <v>0.075999999999999998</v>
      </c>
      <c r="AA72" s="30">
        <v>0.09</v>
      </c>
      <c r="AB72" s="30">
        <v>0.075999999999999998</v>
      </c>
      <c r="AC72" s="30">
        <v>0.08</v>
      </c>
      <c r="AD72" s="30">
        <v>0.070000000000000007</v>
      </c>
      <c r="AE72" s="30">
        <v>0.070000000000000007</v>
      </c>
      <c r="AF72" s="30">
        <v>0.075999999999999998</v>
      </c>
      <c r="AG72" s="30">
        <v>0.075999999999999998</v>
      </c>
      <c r="AH72" s="30">
        <v>0.075999999999999998</v>
      </c>
      <c r="AI72" s="30">
        <v>0.075999999999999998</v>
      </c>
      <c r="AJ72" s="30">
        <v>0.070000000000000007</v>
      </c>
      <c r="AK72" s="30">
        <v>0.075999999999999998</v>
      </c>
      <c r="AL72" s="30">
        <v>0.075999999999999998</v>
      </c>
      <c r="AM72" s="30">
        <v>0.075999999999999998</v>
      </c>
      <c r="AN72" s="30">
        <v>0.075999999999999998</v>
      </c>
      <c r="AO72" s="30">
        <v>0.075999999999999998</v>
      </c>
      <c r="AP72" s="30">
        <v>0.075999999999999998</v>
      </c>
      <c r="AQ72" s="30">
        <v>0.075999999999999998</v>
      </c>
      <c r="AR72" s="30">
        <v>0.075999999999999998</v>
      </c>
      <c r="AS72" s="30">
        <v>0.075999999999999998</v>
      </c>
      <c r="AT72" s="30"/>
      <c r="AU72" s="80">
        <v>1</v>
      </c>
      <c r="AV72" s="30"/>
      <c r="AW72" s="30"/>
      <c r="AX72" s="30"/>
      <c r="AY72" s="30"/>
      <c r="AZ72" s="30"/>
      <c r="BA72" s="30"/>
      <c r="BB72" s="30"/>
      <c r="BC72" s="30"/>
    </row>
    <row r="73" spans="1:55" ht="14.45" customHeight="1">
      <c r="A73" s="32" t="s">
        <v>248</v>
      </c>
      <c r="B73" s="34" t="s">
        <v>253</v>
      </c>
      <c r="C73" s="34" t="s">
        <v>268</v>
      </c>
      <c r="D73" s="30"/>
      <c r="E73" s="31" t="s">
        <v>29</v>
      </c>
      <c r="F73" s="39">
        <v>2040</v>
      </c>
      <c r="G73" s="30" t="s">
        <v>105</v>
      </c>
      <c r="H73" s="30">
        <f t="shared" si="1"/>
        <v>0.075999999999999998</v>
      </c>
      <c r="I73" s="30">
        <v>0.075999999999999998</v>
      </c>
      <c r="J73" s="30">
        <v>0.075999999999999998</v>
      </c>
      <c r="K73" s="30">
        <v>0.075999999999999998</v>
      </c>
      <c r="L73" s="30">
        <v>0.075999999999999998</v>
      </c>
      <c r="M73" s="30">
        <v>0.075999999999999998</v>
      </c>
      <c r="N73" s="30">
        <v>0.075999999999999998</v>
      </c>
      <c r="O73" s="30">
        <v>0.075999999999999998</v>
      </c>
      <c r="P73" s="30">
        <v>0.075999999999999998</v>
      </c>
      <c r="Q73" s="30">
        <v>0.075999999999999998</v>
      </c>
      <c r="R73" s="30">
        <v>0.075999999999999998</v>
      </c>
      <c r="S73" s="30">
        <v>0.075999999999999998</v>
      </c>
      <c r="T73" s="30">
        <v>0.075999999999999998</v>
      </c>
      <c r="U73" s="30">
        <v>0.075999999999999998</v>
      </c>
      <c r="V73" s="30">
        <v>0.075999999999999998</v>
      </c>
      <c r="W73" s="30">
        <v>0.075999999999999998</v>
      </c>
      <c r="X73" s="30">
        <v>0.075999999999999998</v>
      </c>
      <c r="Y73" s="30">
        <v>0.075999999999999998</v>
      </c>
      <c r="Z73" s="30">
        <v>0.075999999999999998</v>
      </c>
      <c r="AA73" s="30">
        <v>0.09</v>
      </c>
      <c r="AB73" s="30">
        <v>0.075999999999999998</v>
      </c>
      <c r="AC73" s="30">
        <v>0.08</v>
      </c>
      <c r="AD73" s="30">
        <v>0.070000000000000007</v>
      </c>
      <c r="AE73" s="30">
        <v>0.070000000000000007</v>
      </c>
      <c r="AF73" s="30">
        <v>0.075999999999999998</v>
      </c>
      <c r="AG73" s="30">
        <v>0.075999999999999998</v>
      </c>
      <c r="AH73" s="30">
        <v>0.075999999999999998</v>
      </c>
      <c r="AI73" s="30">
        <v>0.075999999999999998</v>
      </c>
      <c r="AJ73" s="30">
        <v>0.070000000000000007</v>
      </c>
      <c r="AK73" s="30">
        <v>0.075999999999999998</v>
      </c>
      <c r="AL73" s="30">
        <v>0.075999999999999998</v>
      </c>
      <c r="AM73" s="30">
        <v>0.075999999999999998</v>
      </c>
      <c r="AN73" s="30">
        <v>0.075999999999999998</v>
      </c>
      <c r="AO73" s="30">
        <v>0.075999999999999998</v>
      </c>
      <c r="AP73" s="30">
        <v>0.075999999999999998</v>
      </c>
      <c r="AQ73" s="30">
        <v>0.075999999999999998</v>
      </c>
      <c r="AR73" s="30">
        <v>0.075999999999999998</v>
      </c>
      <c r="AS73" s="30">
        <v>0.075999999999999998</v>
      </c>
      <c r="AT73" s="30"/>
      <c r="AU73" s="80">
        <v>1</v>
      </c>
      <c r="AV73" s="30"/>
      <c r="AW73" s="30"/>
      <c r="AX73" s="30"/>
      <c r="AY73" s="30"/>
      <c r="AZ73" s="30"/>
      <c r="BA73" s="30"/>
      <c r="BB73" s="30"/>
      <c r="BC73" s="30"/>
    </row>
    <row r="74" spans="1:55" ht="14.45" customHeight="1">
      <c r="A74" s="51" t="s">
        <v>248</v>
      </c>
      <c r="B74" s="56" t="s">
        <v>253</v>
      </c>
      <c r="C74" s="56" t="s">
        <v>268</v>
      </c>
      <c r="D74" s="46"/>
      <c r="E74" s="47" t="s">
        <v>29</v>
      </c>
      <c r="F74" s="48">
        <v>2050</v>
      </c>
      <c r="G74" s="46" t="s">
        <v>105</v>
      </c>
      <c r="H74" s="46">
        <f t="shared" si="1"/>
        <v>0.075999999999999998</v>
      </c>
      <c r="I74" s="46">
        <v>0.075999999999999998</v>
      </c>
      <c r="J74" s="46">
        <v>0.075999999999999998</v>
      </c>
      <c r="K74" s="46">
        <v>0.075999999999999998</v>
      </c>
      <c r="L74" s="46">
        <v>0.075999999999999998</v>
      </c>
      <c r="M74" s="46">
        <v>0.075999999999999998</v>
      </c>
      <c r="N74" s="46">
        <v>0.075999999999999998</v>
      </c>
      <c r="O74" s="46">
        <v>0.075999999999999998</v>
      </c>
      <c r="P74" s="46">
        <v>0.075999999999999998</v>
      </c>
      <c r="Q74" s="46">
        <v>0.075999999999999998</v>
      </c>
      <c r="R74" s="46">
        <v>0.075999999999999998</v>
      </c>
      <c r="S74" s="46">
        <v>0.075999999999999998</v>
      </c>
      <c r="T74" s="46">
        <v>0.075999999999999998</v>
      </c>
      <c r="U74" s="46">
        <v>0.075999999999999998</v>
      </c>
      <c r="V74" s="46">
        <v>0.075999999999999998</v>
      </c>
      <c r="W74" s="46">
        <v>0.075999999999999998</v>
      </c>
      <c r="X74" s="46">
        <v>0.075999999999999998</v>
      </c>
      <c r="Y74" s="46">
        <v>0.075999999999999998</v>
      </c>
      <c r="Z74" s="46">
        <v>0.075999999999999998</v>
      </c>
      <c r="AA74" s="46">
        <v>0.09</v>
      </c>
      <c r="AB74" s="46">
        <v>0.075999999999999998</v>
      </c>
      <c r="AC74" s="46">
        <v>0.08</v>
      </c>
      <c r="AD74" s="46">
        <v>0.070000000000000007</v>
      </c>
      <c r="AE74" s="46">
        <v>0.070000000000000007</v>
      </c>
      <c r="AF74" s="46">
        <v>0.075999999999999998</v>
      </c>
      <c r="AG74" s="46">
        <v>0.075999999999999998</v>
      </c>
      <c r="AH74" s="46">
        <v>0.075999999999999998</v>
      </c>
      <c r="AI74" s="46">
        <v>0.075999999999999998</v>
      </c>
      <c r="AJ74" s="46">
        <v>0.070000000000000007</v>
      </c>
      <c r="AK74" s="46">
        <v>0.075999999999999998</v>
      </c>
      <c r="AL74" s="46">
        <v>0.075999999999999998</v>
      </c>
      <c r="AM74" s="46">
        <v>0.075999999999999998</v>
      </c>
      <c r="AN74" s="46">
        <v>0.075999999999999998</v>
      </c>
      <c r="AO74" s="46">
        <v>0.075999999999999998</v>
      </c>
      <c r="AP74" s="46">
        <v>0.075999999999999998</v>
      </c>
      <c r="AQ74" s="46">
        <v>0.075999999999999998</v>
      </c>
      <c r="AR74" s="46">
        <v>0.075999999999999998</v>
      </c>
      <c r="AS74" s="46">
        <v>0.075999999999999998</v>
      </c>
      <c r="AT74" s="46"/>
      <c r="AU74" s="81">
        <v>1</v>
      </c>
      <c r="AV74" s="46"/>
      <c r="AW74" s="46"/>
      <c r="AX74" s="46"/>
      <c r="AY74" s="46"/>
      <c r="AZ74" s="46"/>
      <c r="BA74" s="46"/>
      <c r="BB74" s="46"/>
      <c r="BC74" s="46"/>
    </row>
    <row r="75" spans="1:55" ht="14.45" customHeight="1">
      <c r="A75" s="29" t="s">
        <v>248</v>
      </c>
      <c r="B75" s="29" t="s">
        <v>254</v>
      </c>
      <c r="C75" s="29" t="s">
        <v>269</v>
      </c>
      <c r="D75" s="27"/>
      <c r="E75" s="28" t="s">
        <v>29</v>
      </c>
      <c r="F75" s="40">
        <v>2010</v>
      </c>
      <c r="G75" s="27" t="s">
        <v>99</v>
      </c>
      <c r="H75" s="27">
        <f t="shared" si="1"/>
        <v>0.0332</v>
      </c>
      <c r="I75" s="27">
        <v>0.0332</v>
      </c>
      <c r="J75" s="27">
        <v>0.0332</v>
      </c>
      <c r="K75" s="27">
        <v>0.0332</v>
      </c>
      <c r="L75" s="27">
        <v>0.0332</v>
      </c>
      <c r="M75" s="27">
        <v>0.0332</v>
      </c>
      <c r="N75" s="27">
        <v>0.0332</v>
      </c>
      <c r="O75" s="27">
        <v>0.0332</v>
      </c>
      <c r="P75" s="27">
        <v>0.0332</v>
      </c>
      <c r="Q75" s="27">
        <v>0.0332</v>
      </c>
      <c r="R75" s="27">
        <v>0.0332</v>
      </c>
      <c r="S75" s="27">
        <v>0.0332</v>
      </c>
      <c r="T75" s="27">
        <v>0.0332</v>
      </c>
      <c r="U75" s="27">
        <v>0.0332</v>
      </c>
      <c r="V75" s="27">
        <v>0.0332</v>
      </c>
      <c r="W75" s="27">
        <v>0.0332</v>
      </c>
      <c r="X75" s="27">
        <v>0.0332</v>
      </c>
      <c r="Y75" s="27">
        <v>0.0332</v>
      </c>
      <c r="Z75" s="27">
        <v>0.0332</v>
      </c>
      <c r="AA75" s="27">
        <v>0.0332</v>
      </c>
      <c r="AB75" s="27">
        <v>0.0332</v>
      </c>
      <c r="AC75" s="27">
        <v>0.0332</v>
      </c>
      <c r="AD75" s="27">
        <v>0.0332</v>
      </c>
      <c r="AE75" s="27">
        <v>0.0332</v>
      </c>
      <c r="AF75" s="27">
        <v>0.0332</v>
      </c>
      <c r="AG75" s="27">
        <v>0.0332</v>
      </c>
      <c r="AH75" s="27">
        <v>0.0332</v>
      </c>
      <c r="AI75" s="27">
        <v>0.0332</v>
      </c>
      <c r="AJ75" s="27">
        <v>0.0332</v>
      </c>
      <c r="AK75" s="27">
        <v>0.0332</v>
      </c>
      <c r="AL75" s="27">
        <v>0.0332</v>
      </c>
      <c r="AM75" s="27">
        <v>0.0332</v>
      </c>
      <c r="AN75" s="27">
        <v>0.0332</v>
      </c>
      <c r="AO75" s="27">
        <v>0.0332</v>
      </c>
      <c r="AP75" s="27">
        <v>0.0332</v>
      </c>
      <c r="AQ75" s="27">
        <v>0.0332</v>
      </c>
      <c r="AR75" s="27">
        <v>0.0332</v>
      </c>
      <c r="AS75" s="27">
        <v>0.0332</v>
      </c>
      <c r="AT75" s="27"/>
      <c r="AU75" s="82">
        <v>0.83</v>
      </c>
      <c r="AV75" s="27"/>
      <c r="AW75" s="27"/>
      <c r="AX75" s="27"/>
      <c r="AY75" s="27"/>
      <c r="AZ75" s="27"/>
      <c r="BA75" s="27"/>
      <c r="BB75" s="27"/>
      <c r="BC75" s="27"/>
    </row>
    <row r="76" spans="1:55" ht="14.45" customHeight="1">
      <c r="A76" s="29" t="s">
        <v>248</v>
      </c>
      <c r="B76" s="29" t="s">
        <v>254</v>
      </c>
      <c r="C76" s="29" t="s">
        <v>269</v>
      </c>
      <c r="D76" s="27"/>
      <c r="E76" s="28" t="s">
        <v>29</v>
      </c>
      <c r="F76" s="40">
        <v>2020</v>
      </c>
      <c r="G76" s="27" t="s">
        <v>99</v>
      </c>
      <c r="H76" s="27">
        <f t="shared" si="1"/>
        <v>0.034004714446835019</v>
      </c>
      <c r="I76" s="27">
        <v>0.034004714446835019</v>
      </c>
      <c r="J76" s="27">
        <v>0.034004714446835019</v>
      </c>
      <c r="K76" s="27">
        <v>0.034004714446835019</v>
      </c>
      <c r="L76" s="27">
        <v>0.034004714446835019</v>
      </c>
      <c r="M76" s="27">
        <v>0.034004714446835019</v>
      </c>
      <c r="N76" s="27">
        <v>0.034004714446835019</v>
      </c>
      <c r="O76" s="27">
        <v>0.034004714446835019</v>
      </c>
      <c r="P76" s="27">
        <v>0.034004714446835019</v>
      </c>
      <c r="Q76" s="27">
        <v>0.034004714446835019</v>
      </c>
      <c r="R76" s="27">
        <v>0.034004714446835019</v>
      </c>
      <c r="S76" s="27">
        <v>0.034004714446835019</v>
      </c>
      <c r="T76" s="27">
        <v>0.034004714446835019</v>
      </c>
      <c r="U76" s="27">
        <v>0.034004714446835019</v>
      </c>
      <c r="V76" s="27">
        <v>0.034004714446835019</v>
      </c>
      <c r="W76" s="27">
        <v>0.034004714446835019</v>
      </c>
      <c r="X76" s="27">
        <v>0.034004714446835019</v>
      </c>
      <c r="Y76" s="27">
        <v>0.034004714446835019</v>
      </c>
      <c r="Z76" s="27">
        <v>0.034004714446835019</v>
      </c>
      <c r="AA76" s="27">
        <v>0.034004714446835019</v>
      </c>
      <c r="AB76" s="27">
        <v>0.034004714446835019</v>
      </c>
      <c r="AC76" s="27">
        <v>0.034004714446835019</v>
      </c>
      <c r="AD76" s="27">
        <v>0.034004714446835019</v>
      </c>
      <c r="AE76" s="27">
        <v>0.034004714446835019</v>
      </c>
      <c r="AF76" s="27">
        <v>0.034004714446835019</v>
      </c>
      <c r="AG76" s="27">
        <v>0.034004714446835019</v>
      </c>
      <c r="AH76" s="27">
        <v>0.034004714446835019</v>
      </c>
      <c r="AI76" s="27">
        <v>0.034004714446835019</v>
      </c>
      <c r="AJ76" s="27">
        <v>0.034004714446835019</v>
      </c>
      <c r="AK76" s="27">
        <v>0.034004714446835019</v>
      </c>
      <c r="AL76" s="27">
        <v>0.034004714446835019</v>
      </c>
      <c r="AM76" s="27">
        <v>0.034004714446835019</v>
      </c>
      <c r="AN76" s="27">
        <v>0.034004714446835019</v>
      </c>
      <c r="AO76" s="27">
        <v>0.034004714446835019</v>
      </c>
      <c r="AP76" s="27">
        <v>0.034004714446835019</v>
      </c>
      <c r="AQ76" s="27">
        <v>0.034004714446835019</v>
      </c>
      <c r="AR76" s="27">
        <v>0.034004714446835019</v>
      </c>
      <c r="AS76" s="27">
        <v>0.034004714446835019</v>
      </c>
      <c r="AT76" s="27"/>
      <c r="AU76" s="82">
        <v>0.85011786117087551</v>
      </c>
      <c r="AV76" s="27"/>
      <c r="AW76" s="27"/>
      <c r="AX76" s="27"/>
      <c r="AY76" s="27"/>
      <c r="AZ76" s="27"/>
      <c r="BA76" s="27"/>
      <c r="BB76" s="27"/>
      <c r="BC76" s="27"/>
    </row>
    <row r="77" spans="1:55" ht="14.45" customHeight="1">
      <c r="A77" s="29" t="s">
        <v>248</v>
      </c>
      <c r="B77" s="29" t="s">
        <v>254</v>
      </c>
      <c r="C77" s="29" t="s">
        <v>269</v>
      </c>
      <c r="D77" s="27"/>
      <c r="E77" s="28" t="s">
        <v>29</v>
      </c>
      <c r="F77" s="40">
        <v>2025</v>
      </c>
      <c r="G77" s="27" t="s">
        <v>99</v>
      </c>
      <c r="H77" s="27">
        <f t="shared" si="1"/>
        <v>0.034451778028410034</v>
      </c>
      <c r="I77" s="27">
        <v>0.034451778028410034</v>
      </c>
      <c r="J77" s="27">
        <v>0.034451778028410034</v>
      </c>
      <c r="K77" s="27">
        <v>0.034451778028410034</v>
      </c>
      <c r="L77" s="27">
        <v>0.034451778028410034</v>
      </c>
      <c r="M77" s="27">
        <v>0.034451778028410034</v>
      </c>
      <c r="N77" s="27">
        <v>0.034451778028410034</v>
      </c>
      <c r="O77" s="27">
        <v>0.034451778028410034</v>
      </c>
      <c r="P77" s="27">
        <v>0.034451778028410034</v>
      </c>
      <c r="Q77" s="27">
        <v>0.034451778028410034</v>
      </c>
      <c r="R77" s="27">
        <v>0.034451778028410034</v>
      </c>
      <c r="S77" s="27">
        <v>0.034451778028410034</v>
      </c>
      <c r="T77" s="27">
        <v>0.034451778028410034</v>
      </c>
      <c r="U77" s="27">
        <v>0.034451778028410034</v>
      </c>
      <c r="V77" s="27">
        <v>0.034451778028410034</v>
      </c>
      <c r="W77" s="27">
        <v>0.034451778028410034</v>
      </c>
      <c r="X77" s="27">
        <v>0.034451778028410034</v>
      </c>
      <c r="Y77" s="27">
        <v>0.034451778028410034</v>
      </c>
      <c r="Z77" s="27">
        <v>0.034451778028410034</v>
      </c>
      <c r="AA77" s="27">
        <v>0.034451778028410034</v>
      </c>
      <c r="AB77" s="27">
        <v>0.034451778028410034</v>
      </c>
      <c r="AC77" s="27">
        <v>0.034451778028410034</v>
      </c>
      <c r="AD77" s="27">
        <v>0.034451778028410034</v>
      </c>
      <c r="AE77" s="27">
        <v>0.034451778028410034</v>
      </c>
      <c r="AF77" s="27">
        <v>0.034451778028410034</v>
      </c>
      <c r="AG77" s="27">
        <v>0.034451778028410034</v>
      </c>
      <c r="AH77" s="27">
        <v>0.034451778028410034</v>
      </c>
      <c r="AI77" s="27">
        <v>0.034451778028410034</v>
      </c>
      <c r="AJ77" s="27">
        <v>0.034451778028410034</v>
      </c>
      <c r="AK77" s="27">
        <v>0.034451778028410034</v>
      </c>
      <c r="AL77" s="27">
        <v>0.034451778028410034</v>
      </c>
      <c r="AM77" s="27">
        <v>0.034451778028410034</v>
      </c>
      <c r="AN77" s="27">
        <v>0.034451778028410034</v>
      </c>
      <c r="AO77" s="27">
        <v>0.034451778028410034</v>
      </c>
      <c r="AP77" s="27">
        <v>0.034451778028410034</v>
      </c>
      <c r="AQ77" s="27">
        <v>0.034451778028410034</v>
      </c>
      <c r="AR77" s="27">
        <v>0.034451778028410034</v>
      </c>
      <c r="AS77" s="27">
        <v>0.034451778028410034</v>
      </c>
      <c r="AT77" s="27"/>
      <c r="AU77" s="82">
        <v>0.86129445071025079</v>
      </c>
      <c r="AV77" s="27"/>
      <c r="AW77" s="27"/>
      <c r="AX77" s="27"/>
      <c r="AY77" s="27"/>
      <c r="AZ77" s="27"/>
      <c r="BA77" s="27"/>
      <c r="BB77" s="27"/>
      <c r="BC77" s="27"/>
    </row>
    <row r="78" spans="1:55" ht="14.45" customHeight="1">
      <c r="A78" s="29" t="s">
        <v>248</v>
      </c>
      <c r="B78" s="29" t="s">
        <v>254</v>
      </c>
      <c r="C78" s="29" t="s">
        <v>269</v>
      </c>
      <c r="D78" s="27"/>
      <c r="E78" s="28" t="s">
        <v>29</v>
      </c>
      <c r="F78" s="40">
        <v>2030</v>
      </c>
      <c r="G78" s="27" t="s">
        <v>99</v>
      </c>
      <c r="H78" s="27">
        <f t="shared" si="1"/>
        <v>0.034898841609985042</v>
      </c>
      <c r="I78" s="27">
        <v>0.034898841609985042</v>
      </c>
      <c r="J78" s="27">
        <v>0.034898841609985042</v>
      </c>
      <c r="K78" s="27">
        <v>0.034898841609985042</v>
      </c>
      <c r="L78" s="27">
        <v>0.034898841609985042</v>
      </c>
      <c r="M78" s="27">
        <v>0.034898841609985042</v>
      </c>
      <c r="N78" s="27">
        <v>0.034898841609985042</v>
      </c>
      <c r="O78" s="27">
        <v>0.034898841609985042</v>
      </c>
      <c r="P78" s="27">
        <v>0.034898841609985042</v>
      </c>
      <c r="Q78" s="27">
        <v>0.034898841609985042</v>
      </c>
      <c r="R78" s="27">
        <v>0.034898841609985042</v>
      </c>
      <c r="S78" s="27">
        <v>0.034898841609985042</v>
      </c>
      <c r="T78" s="27">
        <v>0.034898841609985042</v>
      </c>
      <c r="U78" s="27">
        <v>0.034898841609985042</v>
      </c>
      <c r="V78" s="27">
        <v>0.034898841609985042</v>
      </c>
      <c r="W78" s="27">
        <v>0.034898841609985042</v>
      </c>
      <c r="X78" s="27">
        <v>0.034898841609985042</v>
      </c>
      <c r="Y78" s="27">
        <v>0.034898841609985042</v>
      </c>
      <c r="Z78" s="27">
        <v>0.034898841609985042</v>
      </c>
      <c r="AA78" s="27">
        <v>0.034898841609985042</v>
      </c>
      <c r="AB78" s="27">
        <v>0.034898841609985042</v>
      </c>
      <c r="AC78" s="27">
        <v>0.034898841609985042</v>
      </c>
      <c r="AD78" s="27">
        <v>0.034898841609985042</v>
      </c>
      <c r="AE78" s="27">
        <v>0.034898841609985042</v>
      </c>
      <c r="AF78" s="27">
        <v>0.034898841609985042</v>
      </c>
      <c r="AG78" s="27">
        <v>0.034898841609985042</v>
      </c>
      <c r="AH78" s="27">
        <v>0.034898841609985042</v>
      </c>
      <c r="AI78" s="27">
        <v>0.034898841609985042</v>
      </c>
      <c r="AJ78" s="27">
        <v>0.034898841609985042</v>
      </c>
      <c r="AK78" s="27">
        <v>0.034898841609985042</v>
      </c>
      <c r="AL78" s="27">
        <v>0.034898841609985042</v>
      </c>
      <c r="AM78" s="27">
        <v>0.034898841609985042</v>
      </c>
      <c r="AN78" s="27">
        <v>0.034898841609985042</v>
      </c>
      <c r="AO78" s="27">
        <v>0.034898841609985042</v>
      </c>
      <c r="AP78" s="27">
        <v>0.034898841609985042</v>
      </c>
      <c r="AQ78" s="27">
        <v>0.034898841609985042</v>
      </c>
      <c r="AR78" s="27">
        <v>0.034898841609985042</v>
      </c>
      <c r="AS78" s="27">
        <v>0.034898841609985042</v>
      </c>
      <c r="AT78" s="27"/>
      <c r="AU78" s="82">
        <v>0.87247104024962607</v>
      </c>
      <c r="AV78" s="27"/>
      <c r="AW78" s="27"/>
      <c r="AX78" s="27"/>
      <c r="AY78" s="27"/>
      <c r="AZ78" s="27"/>
      <c r="BA78" s="27"/>
      <c r="BB78" s="27"/>
      <c r="BC78" s="27"/>
    </row>
    <row r="79" spans="1:55" ht="14.45" customHeight="1">
      <c r="A79" s="29" t="s">
        <v>248</v>
      </c>
      <c r="B79" s="29" t="s">
        <v>254</v>
      </c>
      <c r="C79" s="29" t="s">
        <v>269</v>
      </c>
      <c r="D79" s="27"/>
      <c r="E79" s="28" t="s">
        <v>29</v>
      </c>
      <c r="F79" s="40">
        <v>2035</v>
      </c>
      <c r="G79" s="27" t="s">
        <v>99</v>
      </c>
      <c r="H79" s="27">
        <f t="shared" si="1"/>
        <v>0.035345905191560056</v>
      </c>
      <c r="I79" s="27">
        <v>0.035345905191560056</v>
      </c>
      <c r="J79" s="27">
        <v>0.035345905191560056</v>
      </c>
      <c r="K79" s="27">
        <v>0.035345905191560056</v>
      </c>
      <c r="L79" s="27">
        <v>0.035345905191560056</v>
      </c>
      <c r="M79" s="27">
        <v>0.035345905191560056</v>
      </c>
      <c r="N79" s="27">
        <v>0.035345905191560056</v>
      </c>
      <c r="O79" s="27">
        <v>0.035345905191560056</v>
      </c>
      <c r="P79" s="27">
        <v>0.035345905191560056</v>
      </c>
      <c r="Q79" s="27">
        <v>0.035345905191560056</v>
      </c>
      <c r="R79" s="27">
        <v>0.035345905191560056</v>
      </c>
      <c r="S79" s="27">
        <v>0.035345905191560056</v>
      </c>
      <c r="T79" s="27">
        <v>0.035345905191560056</v>
      </c>
      <c r="U79" s="27">
        <v>0.035345905191560056</v>
      </c>
      <c r="V79" s="27">
        <v>0.035345905191560056</v>
      </c>
      <c r="W79" s="27">
        <v>0.035345905191560056</v>
      </c>
      <c r="X79" s="27">
        <v>0.035345905191560056</v>
      </c>
      <c r="Y79" s="27">
        <v>0.035345905191560056</v>
      </c>
      <c r="Z79" s="27">
        <v>0.035345905191560056</v>
      </c>
      <c r="AA79" s="27">
        <v>0.035345905191560056</v>
      </c>
      <c r="AB79" s="27">
        <v>0.035345905191560056</v>
      </c>
      <c r="AC79" s="27">
        <v>0.035345905191560056</v>
      </c>
      <c r="AD79" s="27">
        <v>0.035345905191560056</v>
      </c>
      <c r="AE79" s="27">
        <v>0.035345905191560056</v>
      </c>
      <c r="AF79" s="27">
        <v>0.035345905191560056</v>
      </c>
      <c r="AG79" s="27">
        <v>0.035345905191560056</v>
      </c>
      <c r="AH79" s="27">
        <v>0.035345905191560056</v>
      </c>
      <c r="AI79" s="27">
        <v>0.035345905191560056</v>
      </c>
      <c r="AJ79" s="27">
        <v>0.035345905191560056</v>
      </c>
      <c r="AK79" s="27">
        <v>0.035345905191560056</v>
      </c>
      <c r="AL79" s="27">
        <v>0.035345905191560056</v>
      </c>
      <c r="AM79" s="27">
        <v>0.035345905191560056</v>
      </c>
      <c r="AN79" s="27">
        <v>0.035345905191560056</v>
      </c>
      <c r="AO79" s="27">
        <v>0.035345905191560056</v>
      </c>
      <c r="AP79" s="27">
        <v>0.035345905191560056</v>
      </c>
      <c r="AQ79" s="27">
        <v>0.035345905191560056</v>
      </c>
      <c r="AR79" s="27">
        <v>0.035345905191560056</v>
      </c>
      <c r="AS79" s="27">
        <v>0.035345905191560056</v>
      </c>
      <c r="AT79" s="27"/>
      <c r="AU79" s="82">
        <v>0.88364762978900135</v>
      </c>
      <c r="AV79" s="27"/>
      <c r="AW79" s="27"/>
      <c r="AX79" s="27"/>
      <c r="AY79" s="27"/>
      <c r="AZ79" s="27"/>
      <c r="BA79" s="27"/>
      <c r="BB79" s="27"/>
      <c r="BC79" s="27"/>
    </row>
    <row r="80" spans="1:55" ht="14.45" customHeight="1">
      <c r="A80" s="29" t="s">
        <v>248</v>
      </c>
      <c r="B80" s="29" t="s">
        <v>254</v>
      </c>
      <c r="C80" s="29" t="s">
        <v>269</v>
      </c>
      <c r="D80" s="27"/>
      <c r="E80" s="28" t="s">
        <v>29</v>
      </c>
      <c r="F80" s="40">
        <v>2040</v>
      </c>
      <c r="G80" s="27" t="s">
        <v>99</v>
      </c>
      <c r="H80" s="27">
        <f t="shared" si="1"/>
        <v>0.035792968773135064</v>
      </c>
      <c r="I80" s="27">
        <v>0.035792968773135064</v>
      </c>
      <c r="J80" s="27">
        <v>0.035792968773135064</v>
      </c>
      <c r="K80" s="27">
        <v>0.035792968773135064</v>
      </c>
      <c r="L80" s="27">
        <v>0.035792968773135064</v>
      </c>
      <c r="M80" s="27">
        <v>0.035792968773135064</v>
      </c>
      <c r="N80" s="27">
        <v>0.035792968773135064</v>
      </c>
      <c r="O80" s="27">
        <v>0.035792968773135064</v>
      </c>
      <c r="P80" s="27">
        <v>0.035792968773135064</v>
      </c>
      <c r="Q80" s="27">
        <v>0.035792968773135064</v>
      </c>
      <c r="R80" s="27">
        <v>0.035792968773135064</v>
      </c>
      <c r="S80" s="27">
        <v>0.035792968773135064</v>
      </c>
      <c r="T80" s="27">
        <v>0.035792968773135064</v>
      </c>
      <c r="U80" s="27">
        <v>0.035792968773135064</v>
      </c>
      <c r="V80" s="27">
        <v>0.035792968773135064</v>
      </c>
      <c r="W80" s="27">
        <v>0.035792968773135064</v>
      </c>
      <c r="X80" s="27">
        <v>0.035792968773135064</v>
      </c>
      <c r="Y80" s="27">
        <v>0.035792968773135064</v>
      </c>
      <c r="Z80" s="27">
        <v>0.035792968773135064</v>
      </c>
      <c r="AA80" s="27">
        <v>0.035792968773135064</v>
      </c>
      <c r="AB80" s="27">
        <v>0.035792968773135064</v>
      </c>
      <c r="AC80" s="27">
        <v>0.035792968773135064</v>
      </c>
      <c r="AD80" s="27">
        <v>0.035792968773135064</v>
      </c>
      <c r="AE80" s="27">
        <v>0.035792968773135064</v>
      </c>
      <c r="AF80" s="27">
        <v>0.035792968773135064</v>
      </c>
      <c r="AG80" s="27">
        <v>0.035792968773135064</v>
      </c>
      <c r="AH80" s="27">
        <v>0.035792968773135064</v>
      </c>
      <c r="AI80" s="27">
        <v>0.035792968773135064</v>
      </c>
      <c r="AJ80" s="27">
        <v>0.035792968773135064</v>
      </c>
      <c r="AK80" s="27">
        <v>0.035792968773135064</v>
      </c>
      <c r="AL80" s="27">
        <v>0.035792968773135064</v>
      </c>
      <c r="AM80" s="27">
        <v>0.035792968773135064</v>
      </c>
      <c r="AN80" s="27">
        <v>0.035792968773135064</v>
      </c>
      <c r="AO80" s="27">
        <v>0.035792968773135064</v>
      </c>
      <c r="AP80" s="27">
        <v>0.035792968773135064</v>
      </c>
      <c r="AQ80" s="27">
        <v>0.035792968773135064</v>
      </c>
      <c r="AR80" s="27">
        <v>0.035792968773135064</v>
      </c>
      <c r="AS80" s="27">
        <v>0.035792968773135064</v>
      </c>
      <c r="AT80" s="27"/>
      <c r="AU80" s="82">
        <v>0.89482421932837664</v>
      </c>
      <c r="AV80" s="27"/>
      <c r="AW80" s="27"/>
      <c r="AX80" s="27"/>
      <c r="AY80" s="27"/>
      <c r="AZ80" s="27"/>
      <c r="BA80" s="27"/>
      <c r="BB80" s="27"/>
      <c r="BC80" s="27"/>
    </row>
    <row r="81" spans="1:55" ht="14.45" customHeight="1">
      <c r="A81" s="52" t="s">
        <v>248</v>
      </c>
      <c r="B81" s="52" t="s">
        <v>254</v>
      </c>
      <c r="C81" s="52" t="s">
        <v>269</v>
      </c>
      <c r="D81" s="53"/>
      <c r="E81" s="54" t="s">
        <v>29</v>
      </c>
      <c r="F81" s="55">
        <v>2050</v>
      </c>
      <c r="G81" s="53" t="s">
        <v>99</v>
      </c>
      <c r="H81" s="53">
        <f t="shared" si="1"/>
        <v>0.036687095936285087</v>
      </c>
      <c r="I81" s="53">
        <v>0.036687095936285087</v>
      </c>
      <c r="J81" s="53">
        <v>0.036687095936285087</v>
      </c>
      <c r="K81" s="53">
        <v>0.036687095936285087</v>
      </c>
      <c r="L81" s="53">
        <v>0.036687095936285087</v>
      </c>
      <c r="M81" s="53">
        <v>0.036687095936285087</v>
      </c>
      <c r="N81" s="53">
        <v>0.036687095936285087</v>
      </c>
      <c r="O81" s="53">
        <v>0.036687095936285087</v>
      </c>
      <c r="P81" s="53">
        <v>0.036687095936285087</v>
      </c>
      <c r="Q81" s="53">
        <v>0.036687095936285087</v>
      </c>
      <c r="R81" s="53">
        <v>0.036687095936285087</v>
      </c>
      <c r="S81" s="53">
        <v>0.036687095936285087</v>
      </c>
      <c r="T81" s="53">
        <v>0.036687095936285087</v>
      </c>
      <c r="U81" s="53">
        <v>0.036687095936285087</v>
      </c>
      <c r="V81" s="53">
        <v>0.036687095936285087</v>
      </c>
      <c r="W81" s="53">
        <v>0.036687095936285087</v>
      </c>
      <c r="X81" s="53">
        <v>0.036687095936285087</v>
      </c>
      <c r="Y81" s="53">
        <v>0.036687095936285087</v>
      </c>
      <c r="Z81" s="53">
        <v>0.036687095936285087</v>
      </c>
      <c r="AA81" s="53">
        <v>0.036687095936285087</v>
      </c>
      <c r="AB81" s="53">
        <v>0.036687095936285087</v>
      </c>
      <c r="AC81" s="53">
        <v>0.036687095936285087</v>
      </c>
      <c r="AD81" s="53">
        <v>0.036687095936285087</v>
      </c>
      <c r="AE81" s="53">
        <v>0.036687095936285087</v>
      </c>
      <c r="AF81" s="53">
        <v>0.036687095936285087</v>
      </c>
      <c r="AG81" s="53">
        <v>0.036687095936285087</v>
      </c>
      <c r="AH81" s="53">
        <v>0.036687095936285087</v>
      </c>
      <c r="AI81" s="53">
        <v>0.036687095936285087</v>
      </c>
      <c r="AJ81" s="53">
        <v>0.036687095936285087</v>
      </c>
      <c r="AK81" s="53">
        <v>0.036687095936285087</v>
      </c>
      <c r="AL81" s="53">
        <v>0.036687095936285087</v>
      </c>
      <c r="AM81" s="53">
        <v>0.036687095936285087</v>
      </c>
      <c r="AN81" s="53">
        <v>0.036687095936285087</v>
      </c>
      <c r="AO81" s="53">
        <v>0.036687095936285087</v>
      </c>
      <c r="AP81" s="53">
        <v>0.036687095936285087</v>
      </c>
      <c r="AQ81" s="53">
        <v>0.036687095936285087</v>
      </c>
      <c r="AR81" s="53">
        <v>0.036687095936285087</v>
      </c>
      <c r="AS81" s="53">
        <v>0.036687095936285087</v>
      </c>
      <c r="AT81" s="53"/>
      <c r="AU81" s="83">
        <v>0.91717739840712709</v>
      </c>
      <c r="AV81" s="53"/>
      <c r="AW81" s="53"/>
      <c r="AX81" s="53"/>
      <c r="AY81" s="53"/>
      <c r="AZ81" s="53"/>
      <c r="BA81" s="53"/>
      <c r="BB81" s="53"/>
      <c r="BC81" s="53"/>
    </row>
    <row r="82" spans="1:55" ht="14.45" customHeight="1">
      <c r="A82" s="29" t="s">
        <v>248</v>
      </c>
      <c r="B82" s="29" t="s">
        <v>254</v>
      </c>
      <c r="C82" s="29" t="s">
        <v>270</v>
      </c>
      <c r="D82" s="27"/>
      <c r="E82" s="28" t="s">
        <v>29</v>
      </c>
      <c r="F82" s="40">
        <v>2010</v>
      </c>
      <c r="G82" s="27" t="s">
        <v>149</v>
      </c>
      <c r="H82" s="27">
        <f t="shared" si="1"/>
        <v>0.079642857142857154</v>
      </c>
      <c r="I82" s="27">
        <v>0.08</v>
      </c>
      <c r="J82" s="27">
        <v>0.08</v>
      </c>
      <c r="K82" s="27">
        <v>0.08</v>
      </c>
      <c r="L82" s="27">
        <v>0.08</v>
      </c>
      <c r="M82" s="27">
        <v>0.08</v>
      </c>
      <c r="N82" s="27">
        <v>0.08</v>
      </c>
      <c r="O82" s="27">
        <v>0.09</v>
      </c>
      <c r="P82" s="27">
        <v>0.08</v>
      </c>
      <c r="Q82" s="27">
        <v>0.08</v>
      </c>
      <c r="R82" s="27">
        <v>0.08</v>
      </c>
      <c r="S82" s="27">
        <v>0.08</v>
      </c>
      <c r="T82" s="27">
        <v>0.08</v>
      </c>
      <c r="U82" s="27">
        <v>0.08</v>
      </c>
      <c r="V82" s="27">
        <v>0.08</v>
      </c>
      <c r="W82" s="27">
        <v>0.08</v>
      </c>
      <c r="X82" s="27">
        <v>0.08</v>
      </c>
      <c r="Y82" s="27">
        <v>0.08</v>
      </c>
      <c r="Z82" s="27">
        <v>0.08</v>
      </c>
      <c r="AA82" s="27">
        <v>0.08</v>
      </c>
      <c r="AB82" s="27">
        <v>0.08</v>
      </c>
      <c r="AC82" s="27">
        <v>0.09</v>
      </c>
      <c r="AD82" s="27">
        <v>0.070000000000000007</v>
      </c>
      <c r="AE82" s="27">
        <v>0.070000000000000007</v>
      </c>
      <c r="AF82" s="27">
        <v>0.08</v>
      </c>
      <c r="AG82" s="27">
        <v>0.08</v>
      </c>
      <c r="AH82" s="27">
        <v>0.08</v>
      </c>
      <c r="AI82" s="27">
        <v>0.08</v>
      </c>
      <c r="AJ82" s="27">
        <v>0.070000000000000007</v>
      </c>
      <c r="AK82" s="27">
        <v>0.08</v>
      </c>
      <c r="AL82" s="27">
        <v>0.08</v>
      </c>
      <c r="AM82" s="27">
        <v>0.08</v>
      </c>
      <c r="AN82" s="27">
        <v>0.08</v>
      </c>
      <c r="AO82" s="27">
        <v>0.08</v>
      </c>
      <c r="AP82" s="27">
        <v>0.08</v>
      </c>
      <c r="AQ82" s="27">
        <v>0.09</v>
      </c>
      <c r="AR82" s="27">
        <v>0.08</v>
      </c>
      <c r="AS82" s="27">
        <v>0.08</v>
      </c>
      <c r="AT82" s="27"/>
      <c r="AU82" s="82">
        <v>1</v>
      </c>
      <c r="AV82" s="27"/>
      <c r="AW82" s="27"/>
      <c r="AX82" s="27"/>
      <c r="AY82" s="27"/>
      <c r="AZ82" s="27"/>
      <c r="BA82" s="27"/>
      <c r="BB82" s="27"/>
      <c r="BC82" s="27"/>
    </row>
    <row r="83" spans="1:55" ht="14.45" customHeight="1">
      <c r="A83" s="29" t="s">
        <v>248</v>
      </c>
      <c r="B83" s="29" t="s">
        <v>254</v>
      </c>
      <c r="C83" s="29" t="s">
        <v>270</v>
      </c>
      <c r="D83" s="27"/>
      <c r="E83" s="28" t="s">
        <v>29</v>
      </c>
      <c r="F83" s="40">
        <v>2020</v>
      </c>
      <c r="G83" s="27" t="s">
        <v>149</v>
      </c>
      <c r="H83" s="27">
        <f t="shared" si="1"/>
        <v>0.081573271532317207</v>
      </c>
      <c r="I83" s="27">
        <v>0.08193907095622896</v>
      </c>
      <c r="J83" s="27">
        <v>0.08193907095622896</v>
      </c>
      <c r="K83" s="27">
        <v>0.08193907095622896</v>
      </c>
      <c r="L83" s="27">
        <v>0.08193907095622896</v>
      </c>
      <c r="M83" s="27">
        <v>0.08193907095622896</v>
      </c>
      <c r="N83" s="27">
        <v>0.08193907095622896</v>
      </c>
      <c r="O83" s="27">
        <v>0.092181454825757569</v>
      </c>
      <c r="P83" s="27">
        <v>0.08193907095622896</v>
      </c>
      <c r="Q83" s="27">
        <v>0.08193907095622896</v>
      </c>
      <c r="R83" s="27">
        <v>0.08193907095622896</v>
      </c>
      <c r="S83" s="27">
        <v>0.08193907095622896</v>
      </c>
      <c r="T83" s="27">
        <v>0.08193907095622896</v>
      </c>
      <c r="U83" s="27">
        <v>0.08193907095622896</v>
      </c>
      <c r="V83" s="27">
        <v>0.08193907095622896</v>
      </c>
      <c r="W83" s="27">
        <v>0.08193907095622896</v>
      </c>
      <c r="X83" s="27">
        <v>0.08193907095622896</v>
      </c>
      <c r="Y83" s="27">
        <v>0.08193907095622896</v>
      </c>
      <c r="Z83" s="27">
        <v>0.08193907095622896</v>
      </c>
      <c r="AA83" s="27">
        <v>0.08193907095622896</v>
      </c>
      <c r="AB83" s="27">
        <v>0.08193907095622896</v>
      </c>
      <c r="AC83" s="27">
        <v>0.092181454825757569</v>
      </c>
      <c r="AD83" s="27">
        <v>0.07169668708670035</v>
      </c>
      <c r="AE83" s="27">
        <v>0.07169668708670035</v>
      </c>
      <c r="AF83" s="27">
        <v>0.08193907095622896</v>
      </c>
      <c r="AG83" s="27">
        <v>0.08193907095622896</v>
      </c>
      <c r="AH83" s="27">
        <v>0.08193907095622896</v>
      </c>
      <c r="AI83" s="27">
        <v>0.08193907095622896</v>
      </c>
      <c r="AJ83" s="27">
        <v>0.07169668708670035</v>
      </c>
      <c r="AK83" s="27">
        <v>0.08193907095622896</v>
      </c>
      <c r="AL83" s="27">
        <v>0.08193907095622896</v>
      </c>
      <c r="AM83" s="27">
        <v>0.08193907095622896</v>
      </c>
      <c r="AN83" s="27">
        <v>0.08193907095622896</v>
      </c>
      <c r="AO83" s="27">
        <v>0.08193907095622896</v>
      </c>
      <c r="AP83" s="27">
        <v>0.08193907095622896</v>
      </c>
      <c r="AQ83" s="27">
        <v>0.092181454825757569</v>
      </c>
      <c r="AR83" s="27">
        <v>0.08193907095622896</v>
      </c>
      <c r="AS83" s="27">
        <v>0.08193907095622896</v>
      </c>
      <c r="AT83" s="27"/>
      <c r="AU83" s="82">
        <v>1.024238386952862</v>
      </c>
      <c r="AV83" s="27"/>
      <c r="AW83" s="27"/>
      <c r="AX83" s="27"/>
      <c r="AY83" s="27"/>
      <c r="AZ83" s="27"/>
      <c r="BA83" s="27"/>
      <c r="BB83" s="27"/>
      <c r="BC83" s="27"/>
    </row>
    <row r="84" spans="1:55" ht="14.45" customHeight="1">
      <c r="A84" s="29" t="s">
        <v>248</v>
      </c>
      <c r="B84" s="29" t="s">
        <v>254</v>
      </c>
      <c r="C84" s="29" t="s">
        <v>270</v>
      </c>
      <c r="D84" s="27"/>
      <c r="E84" s="28" t="s">
        <v>29</v>
      </c>
      <c r="F84" s="40">
        <v>2025</v>
      </c>
      <c r="G84" s="27" t="s">
        <v>149</v>
      </c>
      <c r="H84" s="27">
        <f t="shared" si="1"/>
        <v>0.082645723970906165</v>
      </c>
      <c r="I84" s="27">
        <v>0.08301633259857838</v>
      </c>
      <c r="J84" s="27">
        <v>0.08301633259857838</v>
      </c>
      <c r="K84" s="27">
        <v>0.08301633259857838</v>
      </c>
      <c r="L84" s="27">
        <v>0.08301633259857838</v>
      </c>
      <c r="M84" s="27">
        <v>0.08301633259857838</v>
      </c>
      <c r="N84" s="27">
        <v>0.08301633259857838</v>
      </c>
      <c r="O84" s="27">
        <v>0.09339337417340067</v>
      </c>
      <c r="P84" s="27">
        <v>0.08301633259857838</v>
      </c>
      <c r="Q84" s="27">
        <v>0.08301633259857838</v>
      </c>
      <c r="R84" s="27">
        <v>0.08301633259857838</v>
      </c>
      <c r="S84" s="27">
        <v>0.08301633259857838</v>
      </c>
      <c r="T84" s="27">
        <v>0.08301633259857838</v>
      </c>
      <c r="U84" s="27">
        <v>0.08301633259857838</v>
      </c>
      <c r="V84" s="27">
        <v>0.08301633259857838</v>
      </c>
      <c r="W84" s="27">
        <v>0.08301633259857838</v>
      </c>
      <c r="X84" s="27">
        <v>0.08301633259857838</v>
      </c>
      <c r="Y84" s="27">
        <v>0.08301633259857838</v>
      </c>
      <c r="Z84" s="27">
        <v>0.08301633259857838</v>
      </c>
      <c r="AA84" s="27">
        <v>0.08301633259857838</v>
      </c>
      <c r="AB84" s="27">
        <v>0.08301633259857838</v>
      </c>
      <c r="AC84" s="27">
        <v>0.09339337417340067</v>
      </c>
      <c r="AD84" s="27">
        <v>0.072639291023756089</v>
      </c>
      <c r="AE84" s="27">
        <v>0.072639291023756089</v>
      </c>
      <c r="AF84" s="27">
        <v>0.08301633259857838</v>
      </c>
      <c r="AG84" s="27">
        <v>0.08301633259857838</v>
      </c>
      <c r="AH84" s="27">
        <v>0.08301633259857838</v>
      </c>
      <c r="AI84" s="27">
        <v>0.08301633259857838</v>
      </c>
      <c r="AJ84" s="27">
        <v>0.072639291023756089</v>
      </c>
      <c r="AK84" s="27">
        <v>0.08301633259857838</v>
      </c>
      <c r="AL84" s="27">
        <v>0.08301633259857838</v>
      </c>
      <c r="AM84" s="27">
        <v>0.08301633259857838</v>
      </c>
      <c r="AN84" s="27">
        <v>0.08301633259857838</v>
      </c>
      <c r="AO84" s="27">
        <v>0.08301633259857838</v>
      </c>
      <c r="AP84" s="27">
        <v>0.08301633259857838</v>
      </c>
      <c r="AQ84" s="27">
        <v>0.09339337417340067</v>
      </c>
      <c r="AR84" s="27">
        <v>0.08301633259857838</v>
      </c>
      <c r="AS84" s="27">
        <v>0.08301633259857838</v>
      </c>
      <c r="AT84" s="27"/>
      <c r="AU84" s="82">
        <v>1.0377041574822297</v>
      </c>
      <c r="AV84" s="27"/>
      <c r="AW84" s="27"/>
      <c r="AX84" s="27"/>
      <c r="AY84" s="27"/>
      <c r="AZ84" s="27"/>
      <c r="BA84" s="27"/>
      <c r="BB84" s="27"/>
      <c r="BC84" s="27"/>
    </row>
    <row r="85" spans="1:55" ht="14.45" customHeight="1">
      <c r="A85" s="29" t="s">
        <v>248</v>
      </c>
      <c r="B85" s="29" t="s">
        <v>254</v>
      </c>
      <c r="C85" s="29" t="s">
        <v>270</v>
      </c>
      <c r="D85" s="27"/>
      <c r="E85" s="28" t="s">
        <v>29</v>
      </c>
      <c r="F85" s="40">
        <v>2030</v>
      </c>
      <c r="G85" s="27" t="s">
        <v>149</v>
      </c>
      <c r="H85" s="27">
        <f t="shared" si="1"/>
        <v>0.083718176409495096</v>
      </c>
      <c r="I85" s="27">
        <v>0.084093594240927813</v>
      </c>
      <c r="J85" s="27">
        <v>0.084093594240927813</v>
      </c>
      <c r="K85" s="27">
        <v>0.084093594240927813</v>
      </c>
      <c r="L85" s="27">
        <v>0.084093594240927813</v>
      </c>
      <c r="M85" s="27">
        <v>0.084093594240927813</v>
      </c>
      <c r="N85" s="27">
        <v>0.084093594240927813</v>
      </c>
      <c r="O85" s="27">
        <v>0.094605293521043785</v>
      </c>
      <c r="P85" s="27">
        <v>0.084093594240927813</v>
      </c>
      <c r="Q85" s="27">
        <v>0.084093594240927813</v>
      </c>
      <c r="R85" s="27">
        <v>0.084093594240927813</v>
      </c>
      <c r="S85" s="27">
        <v>0.084093594240927813</v>
      </c>
      <c r="T85" s="27">
        <v>0.084093594240927813</v>
      </c>
      <c r="U85" s="27">
        <v>0.084093594240927813</v>
      </c>
      <c r="V85" s="27">
        <v>0.084093594240927813</v>
      </c>
      <c r="W85" s="27">
        <v>0.084093594240927813</v>
      </c>
      <c r="X85" s="27">
        <v>0.084093594240927813</v>
      </c>
      <c r="Y85" s="27">
        <v>0.084093594240927813</v>
      </c>
      <c r="Z85" s="27">
        <v>0.084093594240927813</v>
      </c>
      <c r="AA85" s="27">
        <v>0.084093594240927813</v>
      </c>
      <c r="AB85" s="27">
        <v>0.084093594240927813</v>
      </c>
      <c r="AC85" s="27">
        <v>0.094605293521043785</v>
      </c>
      <c r="AD85" s="27">
        <v>0.073581894960811842</v>
      </c>
      <c r="AE85" s="27">
        <v>0.073581894960811842</v>
      </c>
      <c r="AF85" s="27">
        <v>0.084093594240927813</v>
      </c>
      <c r="AG85" s="27">
        <v>0.084093594240927813</v>
      </c>
      <c r="AH85" s="27">
        <v>0.084093594240927813</v>
      </c>
      <c r="AI85" s="27">
        <v>0.084093594240927813</v>
      </c>
      <c r="AJ85" s="27">
        <v>0.073581894960811842</v>
      </c>
      <c r="AK85" s="27">
        <v>0.084093594240927813</v>
      </c>
      <c r="AL85" s="27">
        <v>0.084093594240927813</v>
      </c>
      <c r="AM85" s="27">
        <v>0.084093594240927813</v>
      </c>
      <c r="AN85" s="27">
        <v>0.084093594240927813</v>
      </c>
      <c r="AO85" s="27">
        <v>0.084093594240927813</v>
      </c>
      <c r="AP85" s="27">
        <v>0.084093594240927813</v>
      </c>
      <c r="AQ85" s="27">
        <v>0.094605293521043785</v>
      </c>
      <c r="AR85" s="27">
        <v>0.084093594240927813</v>
      </c>
      <c r="AS85" s="27">
        <v>0.084093594240927813</v>
      </c>
      <c r="AT85" s="27"/>
      <c r="AU85" s="82">
        <v>1.0511699280115976</v>
      </c>
      <c r="AV85" s="27"/>
      <c r="AW85" s="27"/>
      <c r="AX85" s="27"/>
      <c r="AY85" s="27"/>
      <c r="AZ85" s="27"/>
      <c r="BA85" s="27"/>
      <c r="BB85" s="27"/>
      <c r="BC85" s="27"/>
    </row>
    <row r="86" spans="1:55" ht="14.45" customHeight="1">
      <c r="A86" s="29" t="s">
        <v>248</v>
      </c>
      <c r="B86" s="29" t="s">
        <v>254</v>
      </c>
      <c r="C86" s="29" t="s">
        <v>270</v>
      </c>
      <c r="D86" s="27"/>
      <c r="E86" s="28" t="s">
        <v>29</v>
      </c>
      <c r="F86" s="40">
        <v>2035</v>
      </c>
      <c r="G86" s="27" t="s">
        <v>149</v>
      </c>
      <c r="H86" s="27">
        <f t="shared" si="1"/>
        <v>0.084790628848084054</v>
      </c>
      <c r="I86" s="27">
        <v>0.085170855883277247</v>
      </c>
      <c r="J86" s="27">
        <v>0.085170855883277247</v>
      </c>
      <c r="K86" s="27">
        <v>0.085170855883277247</v>
      </c>
      <c r="L86" s="27">
        <v>0.085170855883277247</v>
      </c>
      <c r="M86" s="27">
        <v>0.085170855883277247</v>
      </c>
      <c r="N86" s="27">
        <v>0.085170855883277247</v>
      </c>
      <c r="O86" s="27">
        <v>0.095817212868686899</v>
      </c>
      <c r="P86" s="27">
        <v>0.085170855883277247</v>
      </c>
      <c r="Q86" s="27">
        <v>0.085170855883277247</v>
      </c>
      <c r="R86" s="27">
        <v>0.085170855883277247</v>
      </c>
      <c r="S86" s="27">
        <v>0.085170855883277247</v>
      </c>
      <c r="T86" s="27">
        <v>0.085170855883277247</v>
      </c>
      <c r="U86" s="27">
        <v>0.085170855883277247</v>
      </c>
      <c r="V86" s="27">
        <v>0.085170855883277247</v>
      </c>
      <c r="W86" s="27">
        <v>0.085170855883277247</v>
      </c>
      <c r="X86" s="27">
        <v>0.085170855883277247</v>
      </c>
      <c r="Y86" s="27">
        <v>0.085170855883277247</v>
      </c>
      <c r="Z86" s="27">
        <v>0.085170855883277247</v>
      </c>
      <c r="AA86" s="27">
        <v>0.085170855883277247</v>
      </c>
      <c r="AB86" s="27">
        <v>0.085170855883277247</v>
      </c>
      <c r="AC86" s="27">
        <v>0.095817212868686899</v>
      </c>
      <c r="AD86" s="27">
        <v>0.074524498897867594</v>
      </c>
      <c r="AE86" s="27">
        <v>0.074524498897867594</v>
      </c>
      <c r="AF86" s="27">
        <v>0.085170855883277247</v>
      </c>
      <c r="AG86" s="27">
        <v>0.085170855883277247</v>
      </c>
      <c r="AH86" s="27">
        <v>0.085170855883277247</v>
      </c>
      <c r="AI86" s="27">
        <v>0.085170855883277247</v>
      </c>
      <c r="AJ86" s="27">
        <v>0.074524498897867594</v>
      </c>
      <c r="AK86" s="27">
        <v>0.085170855883277247</v>
      </c>
      <c r="AL86" s="27">
        <v>0.085170855883277247</v>
      </c>
      <c r="AM86" s="27">
        <v>0.085170855883277247</v>
      </c>
      <c r="AN86" s="27">
        <v>0.085170855883277247</v>
      </c>
      <c r="AO86" s="27">
        <v>0.085170855883277247</v>
      </c>
      <c r="AP86" s="27">
        <v>0.085170855883277247</v>
      </c>
      <c r="AQ86" s="27">
        <v>0.095817212868686899</v>
      </c>
      <c r="AR86" s="27">
        <v>0.085170855883277247</v>
      </c>
      <c r="AS86" s="27">
        <v>0.085170855883277247</v>
      </c>
      <c r="AT86" s="27"/>
      <c r="AU86" s="82">
        <v>1.0646356985409655</v>
      </c>
      <c r="AV86" s="27"/>
      <c r="AW86" s="27"/>
      <c r="AX86" s="27"/>
      <c r="AY86" s="27"/>
      <c r="AZ86" s="27"/>
      <c r="BA86" s="27"/>
      <c r="BB86" s="27"/>
      <c r="BC86" s="27"/>
    </row>
    <row r="87" spans="1:55" ht="14.45" customHeight="1">
      <c r="A87" s="29" t="s">
        <v>248</v>
      </c>
      <c r="B87" s="29" t="s">
        <v>254</v>
      </c>
      <c r="C87" s="29" t="s">
        <v>270</v>
      </c>
      <c r="D87" s="27"/>
      <c r="E87" s="28" t="s">
        <v>29</v>
      </c>
      <c r="F87" s="40">
        <v>2040</v>
      </c>
      <c r="G87" s="27" t="s">
        <v>149</v>
      </c>
      <c r="H87" s="27">
        <f t="shared" si="1"/>
        <v>0.085863081286672971</v>
      </c>
      <c r="I87" s="27">
        <v>0.08624811752562668</v>
      </c>
      <c r="J87" s="27">
        <v>0.08624811752562668</v>
      </c>
      <c r="K87" s="27">
        <v>0.08624811752562668</v>
      </c>
      <c r="L87" s="27">
        <v>0.08624811752562668</v>
      </c>
      <c r="M87" s="27">
        <v>0.08624811752562668</v>
      </c>
      <c r="N87" s="27">
        <v>0.08624811752562668</v>
      </c>
      <c r="O87" s="27">
        <v>0.09702913221633</v>
      </c>
      <c r="P87" s="27">
        <v>0.08624811752562668</v>
      </c>
      <c r="Q87" s="27">
        <v>0.08624811752562668</v>
      </c>
      <c r="R87" s="27">
        <v>0.08624811752562668</v>
      </c>
      <c r="S87" s="27">
        <v>0.08624811752562668</v>
      </c>
      <c r="T87" s="27">
        <v>0.08624811752562668</v>
      </c>
      <c r="U87" s="27">
        <v>0.08624811752562668</v>
      </c>
      <c r="V87" s="27">
        <v>0.08624811752562668</v>
      </c>
      <c r="W87" s="27">
        <v>0.08624811752562668</v>
      </c>
      <c r="X87" s="27">
        <v>0.08624811752562668</v>
      </c>
      <c r="Y87" s="27">
        <v>0.08624811752562668</v>
      </c>
      <c r="Z87" s="27">
        <v>0.08624811752562668</v>
      </c>
      <c r="AA87" s="27">
        <v>0.08624811752562668</v>
      </c>
      <c r="AB87" s="27">
        <v>0.08624811752562668</v>
      </c>
      <c r="AC87" s="27">
        <v>0.09702913221633</v>
      </c>
      <c r="AD87" s="27">
        <v>0.075467102834923347</v>
      </c>
      <c r="AE87" s="27">
        <v>0.075467102834923347</v>
      </c>
      <c r="AF87" s="27">
        <v>0.08624811752562668</v>
      </c>
      <c r="AG87" s="27">
        <v>0.08624811752562668</v>
      </c>
      <c r="AH87" s="27">
        <v>0.08624811752562668</v>
      </c>
      <c r="AI87" s="27">
        <v>0.08624811752562668</v>
      </c>
      <c r="AJ87" s="27">
        <v>0.075467102834923347</v>
      </c>
      <c r="AK87" s="27">
        <v>0.08624811752562668</v>
      </c>
      <c r="AL87" s="27">
        <v>0.08624811752562668</v>
      </c>
      <c r="AM87" s="27">
        <v>0.08624811752562668</v>
      </c>
      <c r="AN87" s="27">
        <v>0.08624811752562668</v>
      </c>
      <c r="AO87" s="27">
        <v>0.08624811752562668</v>
      </c>
      <c r="AP87" s="27">
        <v>0.08624811752562668</v>
      </c>
      <c r="AQ87" s="27">
        <v>0.09702913221633</v>
      </c>
      <c r="AR87" s="27">
        <v>0.08624811752562668</v>
      </c>
      <c r="AS87" s="27">
        <v>0.08624811752562668</v>
      </c>
      <c r="AT87" s="27"/>
      <c r="AU87" s="82">
        <v>1.0781014690703334</v>
      </c>
      <c r="AV87" s="27"/>
      <c r="AW87" s="27"/>
      <c r="AX87" s="27"/>
      <c r="AY87" s="27"/>
      <c r="AZ87" s="27"/>
      <c r="BA87" s="27"/>
      <c r="BB87" s="27"/>
      <c r="BC87" s="27"/>
    </row>
    <row r="88" spans="1:55" ht="14.45" customHeight="1">
      <c r="A88" s="52" t="s">
        <v>248</v>
      </c>
      <c r="B88" s="52" t="s">
        <v>254</v>
      </c>
      <c r="C88" s="52" t="s">
        <v>270</v>
      </c>
      <c r="D88" s="53"/>
      <c r="E88" s="54" t="s">
        <v>29</v>
      </c>
      <c r="F88" s="55">
        <v>2050</v>
      </c>
      <c r="G88" s="53" t="s">
        <v>149</v>
      </c>
      <c r="H88" s="53">
        <f t="shared" si="1"/>
        <v>0.088007986163850832</v>
      </c>
      <c r="I88" s="53">
        <v>0.088402640810325506</v>
      </c>
      <c r="J88" s="53">
        <v>0.088402640810325506</v>
      </c>
      <c r="K88" s="53">
        <v>0.088402640810325506</v>
      </c>
      <c r="L88" s="53">
        <v>0.088402640810325506</v>
      </c>
      <c r="M88" s="53">
        <v>0.088402640810325506</v>
      </c>
      <c r="N88" s="53">
        <v>0.088402640810325506</v>
      </c>
      <c r="O88" s="53">
        <v>0.099452970911616187</v>
      </c>
      <c r="P88" s="53">
        <v>0.088402640810325506</v>
      </c>
      <c r="Q88" s="53">
        <v>0.088402640810325506</v>
      </c>
      <c r="R88" s="53">
        <v>0.088402640810325506</v>
      </c>
      <c r="S88" s="53">
        <v>0.088402640810325506</v>
      </c>
      <c r="T88" s="53">
        <v>0.088402640810325506</v>
      </c>
      <c r="U88" s="53">
        <v>0.088402640810325506</v>
      </c>
      <c r="V88" s="53">
        <v>0.088402640810325506</v>
      </c>
      <c r="W88" s="53">
        <v>0.088402640810325506</v>
      </c>
      <c r="X88" s="53">
        <v>0.088402640810325506</v>
      </c>
      <c r="Y88" s="53">
        <v>0.088402640810325506</v>
      </c>
      <c r="Z88" s="53">
        <v>0.088402640810325506</v>
      </c>
      <c r="AA88" s="53">
        <v>0.088402640810325506</v>
      </c>
      <c r="AB88" s="53">
        <v>0.088402640810325506</v>
      </c>
      <c r="AC88" s="53">
        <v>0.099452970911616187</v>
      </c>
      <c r="AD88" s="53">
        <v>0.077352310709034824</v>
      </c>
      <c r="AE88" s="53">
        <v>0.077352310709034824</v>
      </c>
      <c r="AF88" s="53">
        <v>0.088402640810325506</v>
      </c>
      <c r="AG88" s="53">
        <v>0.088402640810325506</v>
      </c>
      <c r="AH88" s="53">
        <v>0.088402640810325506</v>
      </c>
      <c r="AI88" s="53">
        <v>0.088402640810325506</v>
      </c>
      <c r="AJ88" s="53">
        <v>0.077352310709034824</v>
      </c>
      <c r="AK88" s="53">
        <v>0.088402640810325506</v>
      </c>
      <c r="AL88" s="53">
        <v>0.088402640810325506</v>
      </c>
      <c r="AM88" s="53">
        <v>0.088402640810325506</v>
      </c>
      <c r="AN88" s="53">
        <v>0.088402640810325506</v>
      </c>
      <c r="AO88" s="53">
        <v>0.088402640810325506</v>
      </c>
      <c r="AP88" s="53">
        <v>0.088402640810325506</v>
      </c>
      <c r="AQ88" s="53">
        <v>0.099452970911616187</v>
      </c>
      <c r="AR88" s="53">
        <v>0.088402640810325506</v>
      </c>
      <c r="AS88" s="53">
        <v>0.088402640810325506</v>
      </c>
      <c r="AT88" s="53"/>
      <c r="AU88" s="83">
        <v>1.1050330101290688</v>
      </c>
      <c r="AV88" s="53"/>
      <c r="AW88" s="53"/>
      <c r="AX88" s="53"/>
      <c r="AY88" s="53"/>
      <c r="AZ88" s="53"/>
      <c r="BA88" s="53"/>
      <c r="BB88" s="53"/>
      <c r="BC88" s="53"/>
    </row>
    <row r="89" spans="1:55" ht="14.45" customHeight="1">
      <c r="A89" s="29" t="s">
        <v>248</v>
      </c>
      <c r="B89" s="29" t="s">
        <v>254</v>
      </c>
      <c r="C89" s="29" t="s">
        <v>271</v>
      </c>
      <c r="D89" s="27"/>
      <c r="E89" s="28" t="s">
        <v>29</v>
      </c>
      <c r="F89" s="40">
        <v>2010</v>
      </c>
      <c r="G89" s="27" t="s">
        <v>148</v>
      </c>
      <c r="H89" s="27">
        <f t="shared" si="1"/>
        <v>0.16605158730158731</v>
      </c>
      <c r="I89" s="27">
        <v>0.20</v>
      </c>
      <c r="J89" s="27">
        <v>0.18</v>
      </c>
      <c r="K89" s="27">
        <v>0.12</v>
      </c>
      <c r="L89" s="27">
        <v>0.16</v>
      </c>
      <c r="M89" s="27">
        <v>0.16</v>
      </c>
      <c r="N89" s="27">
        <v>0.16</v>
      </c>
      <c r="O89" s="27">
        <v>0.18</v>
      </c>
      <c r="P89" s="27">
        <v>0.16944444444444459</v>
      </c>
      <c r="Q89" s="27">
        <v>0.16</v>
      </c>
      <c r="R89" s="27">
        <v>0.14000000000000001</v>
      </c>
      <c r="S89" s="27">
        <v>0.16</v>
      </c>
      <c r="T89" s="27">
        <v>0.16</v>
      </c>
      <c r="U89" s="27">
        <v>0.20</v>
      </c>
      <c r="V89" s="27">
        <v>0.16</v>
      </c>
      <c r="W89" s="27">
        <v>0.20</v>
      </c>
      <c r="X89" s="27">
        <v>0.14000000000000001</v>
      </c>
      <c r="Y89" s="27">
        <v>0.20</v>
      </c>
      <c r="Z89" s="27">
        <v>0.18</v>
      </c>
      <c r="AA89" s="27">
        <v>0.18</v>
      </c>
      <c r="AB89" s="27">
        <v>0.16</v>
      </c>
      <c r="AC89" s="27">
        <v>0.18</v>
      </c>
      <c r="AD89" s="27">
        <v>0.16</v>
      </c>
      <c r="AE89" s="27">
        <v>0.14000000000000001</v>
      </c>
      <c r="AF89" s="27">
        <v>0.12</v>
      </c>
      <c r="AG89" s="27">
        <v>0.16</v>
      </c>
      <c r="AH89" s="27">
        <v>0.20</v>
      </c>
      <c r="AI89" s="27">
        <v>0.16</v>
      </c>
      <c r="AJ89" s="27">
        <v>0.16</v>
      </c>
      <c r="AK89" s="27">
        <v>0.18</v>
      </c>
      <c r="AL89" s="27">
        <v>0.16</v>
      </c>
      <c r="AM89" s="27">
        <v>0.16</v>
      </c>
      <c r="AN89" s="27">
        <v>0.16</v>
      </c>
      <c r="AO89" s="27">
        <v>0.20</v>
      </c>
      <c r="AP89" s="27">
        <v>0.16</v>
      </c>
      <c r="AQ89" s="27">
        <v>0.20</v>
      </c>
      <c r="AR89" s="27">
        <v>0.20</v>
      </c>
      <c r="AS89" s="27">
        <v>0.20</v>
      </c>
      <c r="AT89" s="27"/>
      <c r="AU89" s="82">
        <v>2</v>
      </c>
      <c r="AV89" s="27"/>
      <c r="AW89" s="27"/>
      <c r="AX89" s="27"/>
      <c r="AY89" s="27"/>
      <c r="AZ89" s="27"/>
      <c r="BA89" s="27"/>
      <c r="BB89" s="27"/>
      <c r="BC89" s="27"/>
    </row>
    <row r="90" spans="1:55" ht="14.45" customHeight="1">
      <c r="A90" s="29" t="s">
        <v>248</v>
      </c>
      <c r="B90" s="29" t="s">
        <v>254</v>
      </c>
      <c r="C90" s="29" t="s">
        <v>271</v>
      </c>
      <c r="D90" s="27"/>
      <c r="E90" s="28" t="s">
        <v>29</v>
      </c>
      <c r="F90" s="40">
        <v>2020</v>
      </c>
      <c r="G90" s="27" t="s">
        <v>148</v>
      </c>
      <c r="H90" s="29">
        <f t="shared" si="1"/>
        <v>0.17007640992874012</v>
      </c>
      <c r="I90" s="29">
        <v>0.20484767739057241</v>
      </c>
      <c r="J90" s="29">
        <v>0.18436290965151514</v>
      </c>
      <c r="K90" s="29">
        <v>0.12290860643434343</v>
      </c>
      <c r="L90" s="29">
        <v>0.16387814191245792</v>
      </c>
      <c r="M90" s="29">
        <v>0.16387814191245792</v>
      </c>
      <c r="N90" s="29">
        <v>0.16387814191245792</v>
      </c>
      <c r="O90" s="29">
        <v>0.18436290965151514</v>
      </c>
      <c r="P90" s="29">
        <v>0.17355150445590176</v>
      </c>
      <c r="Q90" s="29">
        <v>0.16387814191245792</v>
      </c>
      <c r="R90" s="29">
        <v>0.1433933741734007</v>
      </c>
      <c r="S90" s="29">
        <v>0.16387814191245792</v>
      </c>
      <c r="T90" s="29">
        <v>0.16387814191245792</v>
      </c>
      <c r="U90" s="29">
        <v>0.20484767739057241</v>
      </c>
      <c r="V90" s="29">
        <v>0.16387814191245792</v>
      </c>
      <c r="W90" s="29">
        <v>0.20484767739057241</v>
      </c>
      <c r="X90" s="29">
        <v>0.1433933741734007</v>
      </c>
      <c r="Y90" s="29">
        <v>0.20484767739057241</v>
      </c>
      <c r="Z90" s="29">
        <v>0.18436290965151514</v>
      </c>
      <c r="AA90" s="29">
        <v>0.18436290965151514</v>
      </c>
      <c r="AB90" s="29">
        <v>0.16387814191245792</v>
      </c>
      <c r="AC90" s="29">
        <v>0.18436290965151514</v>
      </c>
      <c r="AD90" s="29">
        <v>0.16387814191245792</v>
      </c>
      <c r="AE90" s="29">
        <v>0.1433933741734007</v>
      </c>
      <c r="AF90" s="29">
        <v>0.12290860643434343</v>
      </c>
      <c r="AG90" s="29">
        <v>0.16387814191245792</v>
      </c>
      <c r="AH90" s="29">
        <v>0.20484767739057241</v>
      </c>
      <c r="AI90" s="29">
        <v>0.16387814191245792</v>
      </c>
      <c r="AJ90" s="29">
        <v>0.16387814191245792</v>
      </c>
      <c r="AK90" s="29">
        <v>0.18436290965151514</v>
      </c>
      <c r="AL90" s="29">
        <v>0.16387814191245792</v>
      </c>
      <c r="AM90" s="29">
        <v>0.16387814191245792</v>
      </c>
      <c r="AN90" s="29">
        <v>0.16387814191245792</v>
      </c>
      <c r="AO90" s="29">
        <v>0.20484767739057241</v>
      </c>
      <c r="AP90" s="29">
        <v>0.16387814191245792</v>
      </c>
      <c r="AQ90" s="29">
        <v>0.20484767739057241</v>
      </c>
      <c r="AR90" s="29">
        <v>0.20484767739057241</v>
      </c>
      <c r="AS90" s="29">
        <v>0.20484767739057241</v>
      </c>
      <c r="AT90" s="27"/>
      <c r="AU90" s="82">
        <v>2.0484767739057239</v>
      </c>
      <c r="AV90" s="27"/>
      <c r="AW90" s="27"/>
      <c r="AX90" s="27"/>
      <c r="AY90" s="27"/>
      <c r="AZ90" s="27"/>
      <c r="BA90" s="27"/>
      <c r="BB90" s="27"/>
      <c r="BC90" s="27"/>
    </row>
    <row r="91" spans="1:55" ht="14.45" customHeight="1">
      <c r="A91" s="29" t="s">
        <v>248</v>
      </c>
      <c r="B91" s="29" t="s">
        <v>254</v>
      </c>
      <c r="C91" s="29" t="s">
        <v>271</v>
      </c>
      <c r="D91" s="27"/>
      <c r="E91" s="28" t="s">
        <v>29</v>
      </c>
      <c r="F91" s="40">
        <v>2025</v>
      </c>
      <c r="G91" s="27" t="s">
        <v>148</v>
      </c>
      <c r="H91" s="29">
        <f t="shared" si="1"/>
        <v>0.17231242249938059</v>
      </c>
      <c r="I91" s="29">
        <v>0.20754083149644595</v>
      </c>
      <c r="J91" s="29">
        <v>0.18678674834680134</v>
      </c>
      <c r="K91" s="29">
        <v>0.12452449889786756</v>
      </c>
      <c r="L91" s="29">
        <v>0.16603266519715676</v>
      </c>
      <c r="M91" s="29">
        <v>0.16603266519715676</v>
      </c>
      <c r="N91" s="29">
        <v>0.16603266519715676</v>
      </c>
      <c r="O91" s="29">
        <v>0.18678674834680134</v>
      </c>
      <c r="P91" s="29">
        <v>0.17583320446226686</v>
      </c>
      <c r="Q91" s="29">
        <v>0.16603266519715676</v>
      </c>
      <c r="R91" s="29">
        <v>0.14527858204751218</v>
      </c>
      <c r="S91" s="29">
        <v>0.16603266519715676</v>
      </c>
      <c r="T91" s="29">
        <v>0.16603266519715676</v>
      </c>
      <c r="U91" s="29">
        <v>0.20754083149644595</v>
      </c>
      <c r="V91" s="29">
        <v>0.16603266519715676</v>
      </c>
      <c r="W91" s="29">
        <v>0.20754083149644595</v>
      </c>
      <c r="X91" s="29">
        <v>0.14527858204751218</v>
      </c>
      <c r="Y91" s="29">
        <v>0.20754083149644595</v>
      </c>
      <c r="Z91" s="29">
        <v>0.18678674834680134</v>
      </c>
      <c r="AA91" s="29">
        <v>0.18678674834680134</v>
      </c>
      <c r="AB91" s="29">
        <v>0.16603266519715676</v>
      </c>
      <c r="AC91" s="29">
        <v>0.18678674834680134</v>
      </c>
      <c r="AD91" s="29">
        <v>0.16603266519715676</v>
      </c>
      <c r="AE91" s="29">
        <v>0.14527858204751218</v>
      </c>
      <c r="AF91" s="29">
        <v>0.12452449889786756</v>
      </c>
      <c r="AG91" s="29">
        <v>0.16603266519715676</v>
      </c>
      <c r="AH91" s="29">
        <v>0.20754083149644595</v>
      </c>
      <c r="AI91" s="29">
        <v>0.16603266519715676</v>
      </c>
      <c r="AJ91" s="29">
        <v>0.16603266519715676</v>
      </c>
      <c r="AK91" s="29">
        <v>0.18678674834680134</v>
      </c>
      <c r="AL91" s="29">
        <v>0.16603266519715676</v>
      </c>
      <c r="AM91" s="29">
        <v>0.16603266519715676</v>
      </c>
      <c r="AN91" s="29">
        <v>0.16603266519715676</v>
      </c>
      <c r="AO91" s="29">
        <v>0.20754083149644595</v>
      </c>
      <c r="AP91" s="29">
        <v>0.16603266519715676</v>
      </c>
      <c r="AQ91" s="29">
        <v>0.20754083149644595</v>
      </c>
      <c r="AR91" s="29">
        <v>0.20754083149644595</v>
      </c>
      <c r="AS91" s="29">
        <v>0.20754083149644595</v>
      </c>
      <c r="AT91" s="27"/>
      <c r="AU91" s="82">
        <v>2.0754083149644593</v>
      </c>
      <c r="AV91" s="27"/>
      <c r="AW91" s="27"/>
      <c r="AX91" s="27"/>
      <c r="AY91" s="27"/>
      <c r="AZ91" s="27"/>
      <c r="BA91" s="27"/>
      <c r="BB91" s="27"/>
      <c r="BC91" s="27"/>
    </row>
    <row r="92" spans="1:55" ht="14.45" customHeight="1">
      <c r="A92" s="29" t="s">
        <v>248</v>
      </c>
      <c r="B92" s="29" t="s">
        <v>254</v>
      </c>
      <c r="C92" s="29" t="s">
        <v>271</v>
      </c>
      <c r="D92" s="27"/>
      <c r="E92" s="28" t="s">
        <v>29</v>
      </c>
      <c r="F92" s="40">
        <v>2030</v>
      </c>
      <c r="G92" s="27" t="s">
        <v>148</v>
      </c>
      <c r="H92" s="29">
        <f t="shared" si="1"/>
        <v>0.17454843507002105</v>
      </c>
      <c r="I92" s="29">
        <v>0.21023398560231954</v>
      </c>
      <c r="J92" s="29">
        <v>0.18921058704208757</v>
      </c>
      <c r="K92" s="29">
        <v>0.12614039136139171</v>
      </c>
      <c r="L92" s="29">
        <v>0.16818718848185563</v>
      </c>
      <c r="M92" s="29">
        <v>0.16818718848185563</v>
      </c>
      <c r="N92" s="29">
        <v>0.16818718848185563</v>
      </c>
      <c r="O92" s="29">
        <v>0.18921058704208757</v>
      </c>
      <c r="P92" s="29">
        <v>0.17811490446863196</v>
      </c>
      <c r="Q92" s="29">
        <v>0.16818718848185563</v>
      </c>
      <c r="R92" s="29">
        <v>0.14716378992162368</v>
      </c>
      <c r="S92" s="29">
        <v>0.16818718848185563</v>
      </c>
      <c r="T92" s="29">
        <v>0.16818718848185563</v>
      </c>
      <c r="U92" s="29">
        <v>0.21023398560231954</v>
      </c>
      <c r="V92" s="29">
        <v>0.16818718848185563</v>
      </c>
      <c r="W92" s="29">
        <v>0.21023398560231954</v>
      </c>
      <c r="X92" s="29">
        <v>0.14716378992162368</v>
      </c>
      <c r="Y92" s="29">
        <v>0.21023398560231954</v>
      </c>
      <c r="Z92" s="29">
        <v>0.18921058704208757</v>
      </c>
      <c r="AA92" s="29">
        <v>0.18921058704208757</v>
      </c>
      <c r="AB92" s="29">
        <v>0.16818718848185563</v>
      </c>
      <c r="AC92" s="29">
        <v>0.18921058704208757</v>
      </c>
      <c r="AD92" s="29">
        <v>0.16818718848185563</v>
      </c>
      <c r="AE92" s="29">
        <v>0.14716378992162368</v>
      </c>
      <c r="AF92" s="29">
        <v>0.12614039136139171</v>
      </c>
      <c r="AG92" s="29">
        <v>0.16818718848185563</v>
      </c>
      <c r="AH92" s="29">
        <v>0.21023398560231954</v>
      </c>
      <c r="AI92" s="29">
        <v>0.16818718848185563</v>
      </c>
      <c r="AJ92" s="29">
        <v>0.16818718848185563</v>
      </c>
      <c r="AK92" s="29">
        <v>0.18921058704208757</v>
      </c>
      <c r="AL92" s="29">
        <v>0.16818718848185563</v>
      </c>
      <c r="AM92" s="29">
        <v>0.16818718848185563</v>
      </c>
      <c r="AN92" s="29">
        <v>0.16818718848185563</v>
      </c>
      <c r="AO92" s="29">
        <v>0.21023398560231954</v>
      </c>
      <c r="AP92" s="29">
        <v>0.16818718848185563</v>
      </c>
      <c r="AQ92" s="29">
        <v>0.21023398560231954</v>
      </c>
      <c r="AR92" s="29">
        <v>0.21023398560231954</v>
      </c>
      <c r="AS92" s="29">
        <v>0.21023398560231954</v>
      </c>
      <c r="AT92" s="27"/>
      <c r="AU92" s="82">
        <v>2.1023398560231952</v>
      </c>
      <c r="AV92" s="27"/>
      <c r="AW92" s="27"/>
      <c r="AX92" s="27"/>
      <c r="AY92" s="27"/>
      <c r="AZ92" s="27"/>
      <c r="BA92" s="27"/>
      <c r="BB92" s="27"/>
      <c r="BC92" s="27"/>
    </row>
    <row r="93" spans="1:55" ht="14.45" customHeight="1">
      <c r="A93" s="29" t="s">
        <v>248</v>
      </c>
      <c r="B93" s="29" t="s">
        <v>254</v>
      </c>
      <c r="C93" s="29" t="s">
        <v>271</v>
      </c>
      <c r="D93" s="27"/>
      <c r="E93" s="28" t="s">
        <v>29</v>
      </c>
      <c r="F93" s="40">
        <v>2035</v>
      </c>
      <c r="G93" s="27" t="s">
        <v>148</v>
      </c>
      <c r="H93" s="29">
        <f t="shared" si="1"/>
        <v>0.17678444764066151</v>
      </c>
      <c r="I93" s="29">
        <v>0.2129271397081931</v>
      </c>
      <c r="J93" s="29">
        <v>0.1916344257373738</v>
      </c>
      <c r="K93" s="29">
        <v>0.12775628382491586</v>
      </c>
      <c r="L93" s="29">
        <v>0.17034171176655449</v>
      </c>
      <c r="M93" s="29">
        <v>0.17034171176655449</v>
      </c>
      <c r="N93" s="29">
        <v>0.17034171176655449</v>
      </c>
      <c r="O93" s="29">
        <v>0.1916344257373738</v>
      </c>
      <c r="P93" s="29">
        <v>0.18039660447499709</v>
      </c>
      <c r="Q93" s="29">
        <v>0.17034171176655449</v>
      </c>
      <c r="R93" s="29">
        <v>0.14904899779573519</v>
      </c>
      <c r="S93" s="29">
        <v>0.17034171176655449</v>
      </c>
      <c r="T93" s="29">
        <v>0.17034171176655449</v>
      </c>
      <c r="U93" s="29">
        <v>0.2129271397081931</v>
      </c>
      <c r="V93" s="29">
        <v>0.17034171176655449</v>
      </c>
      <c r="W93" s="29">
        <v>0.2129271397081931</v>
      </c>
      <c r="X93" s="29">
        <v>0.14904899779573519</v>
      </c>
      <c r="Y93" s="29">
        <v>0.2129271397081931</v>
      </c>
      <c r="Z93" s="29">
        <v>0.1916344257373738</v>
      </c>
      <c r="AA93" s="29">
        <v>0.1916344257373738</v>
      </c>
      <c r="AB93" s="29">
        <v>0.17034171176655449</v>
      </c>
      <c r="AC93" s="29">
        <v>0.1916344257373738</v>
      </c>
      <c r="AD93" s="29">
        <v>0.17034171176655449</v>
      </c>
      <c r="AE93" s="29">
        <v>0.14904899779573519</v>
      </c>
      <c r="AF93" s="29">
        <v>0.12775628382491586</v>
      </c>
      <c r="AG93" s="29">
        <v>0.17034171176655449</v>
      </c>
      <c r="AH93" s="29">
        <v>0.2129271397081931</v>
      </c>
      <c r="AI93" s="29">
        <v>0.17034171176655449</v>
      </c>
      <c r="AJ93" s="29">
        <v>0.17034171176655449</v>
      </c>
      <c r="AK93" s="29">
        <v>0.1916344257373738</v>
      </c>
      <c r="AL93" s="29">
        <v>0.17034171176655449</v>
      </c>
      <c r="AM93" s="29">
        <v>0.17034171176655449</v>
      </c>
      <c r="AN93" s="29">
        <v>0.17034171176655449</v>
      </c>
      <c r="AO93" s="29">
        <v>0.2129271397081931</v>
      </c>
      <c r="AP93" s="29">
        <v>0.17034171176655449</v>
      </c>
      <c r="AQ93" s="29">
        <v>0.2129271397081931</v>
      </c>
      <c r="AR93" s="29">
        <v>0.2129271397081931</v>
      </c>
      <c r="AS93" s="29">
        <v>0.2129271397081931</v>
      </c>
      <c r="AT93" s="27"/>
      <c r="AU93" s="82">
        <v>2.129271397081931</v>
      </c>
      <c r="AV93" s="27"/>
      <c r="AW93" s="27"/>
      <c r="AX93" s="27"/>
      <c r="AY93" s="27"/>
      <c r="AZ93" s="27"/>
      <c r="BA93" s="27"/>
      <c r="BB93" s="27"/>
      <c r="BC93" s="27"/>
    </row>
    <row r="94" spans="1:55" ht="14.45" customHeight="1">
      <c r="A94" s="29" t="s">
        <v>248</v>
      </c>
      <c r="B94" s="29" t="s">
        <v>254</v>
      </c>
      <c r="C94" s="29" t="s">
        <v>271</v>
      </c>
      <c r="D94" s="27"/>
      <c r="E94" s="28" t="s">
        <v>29</v>
      </c>
      <c r="F94" s="40">
        <v>2040</v>
      </c>
      <c r="G94" s="27" t="s">
        <v>148</v>
      </c>
      <c r="H94" s="29">
        <f t="shared" si="1"/>
        <v>0.17902046021130197</v>
      </c>
      <c r="I94" s="29">
        <v>0.21562029381406669</v>
      </c>
      <c r="J94" s="29">
        <v>0.19405826443266</v>
      </c>
      <c r="K94" s="29">
        <v>0.12937217628844</v>
      </c>
      <c r="L94" s="29">
        <v>0.17249623505125336</v>
      </c>
      <c r="M94" s="29">
        <v>0.17249623505125336</v>
      </c>
      <c r="N94" s="29">
        <v>0.17249623505125336</v>
      </c>
      <c r="O94" s="29">
        <v>0.19405826443266</v>
      </c>
      <c r="P94" s="29">
        <v>0.18267830448136221</v>
      </c>
      <c r="Q94" s="29">
        <v>0.17249623505125336</v>
      </c>
      <c r="R94" s="29">
        <v>0.15093420566984669</v>
      </c>
      <c r="S94" s="29">
        <v>0.17249623505125336</v>
      </c>
      <c r="T94" s="29">
        <v>0.17249623505125336</v>
      </c>
      <c r="U94" s="29">
        <v>0.21562029381406669</v>
      </c>
      <c r="V94" s="29">
        <v>0.17249623505125336</v>
      </c>
      <c r="W94" s="29">
        <v>0.21562029381406669</v>
      </c>
      <c r="X94" s="29">
        <v>0.15093420566984669</v>
      </c>
      <c r="Y94" s="29">
        <v>0.21562029381406669</v>
      </c>
      <c r="Z94" s="29">
        <v>0.19405826443266</v>
      </c>
      <c r="AA94" s="29">
        <v>0.19405826443266</v>
      </c>
      <c r="AB94" s="29">
        <v>0.17249623505125336</v>
      </c>
      <c r="AC94" s="29">
        <v>0.19405826443266</v>
      </c>
      <c r="AD94" s="29">
        <v>0.17249623505125336</v>
      </c>
      <c r="AE94" s="29">
        <v>0.15093420566984669</v>
      </c>
      <c r="AF94" s="29">
        <v>0.12937217628844</v>
      </c>
      <c r="AG94" s="29">
        <v>0.17249623505125336</v>
      </c>
      <c r="AH94" s="29">
        <v>0.21562029381406669</v>
      </c>
      <c r="AI94" s="29">
        <v>0.17249623505125336</v>
      </c>
      <c r="AJ94" s="29">
        <v>0.17249623505125336</v>
      </c>
      <c r="AK94" s="29">
        <v>0.19405826443266</v>
      </c>
      <c r="AL94" s="29">
        <v>0.17249623505125336</v>
      </c>
      <c r="AM94" s="29">
        <v>0.17249623505125336</v>
      </c>
      <c r="AN94" s="29">
        <v>0.17249623505125336</v>
      </c>
      <c r="AO94" s="29">
        <v>0.21562029381406669</v>
      </c>
      <c r="AP94" s="29">
        <v>0.17249623505125336</v>
      </c>
      <c r="AQ94" s="29">
        <v>0.21562029381406669</v>
      </c>
      <c r="AR94" s="29">
        <v>0.21562029381406669</v>
      </c>
      <c r="AS94" s="29">
        <v>0.21562029381406669</v>
      </c>
      <c r="AT94" s="27"/>
      <c r="AU94" s="82">
        <v>2.1562029381406669</v>
      </c>
      <c r="AV94" s="27"/>
      <c r="AW94" s="27"/>
      <c r="AX94" s="27"/>
      <c r="AY94" s="27"/>
      <c r="AZ94" s="27"/>
      <c r="BA94" s="27"/>
      <c r="BB94" s="27"/>
      <c r="BC94" s="27"/>
    </row>
    <row r="95" spans="1:55" ht="14.45" customHeight="1">
      <c r="A95" s="52" t="s">
        <v>248</v>
      </c>
      <c r="B95" s="52" t="s">
        <v>254</v>
      </c>
      <c r="C95" s="52" t="s">
        <v>271</v>
      </c>
      <c r="D95" s="53"/>
      <c r="E95" s="54" t="s">
        <v>29</v>
      </c>
      <c r="F95" s="55">
        <v>2050</v>
      </c>
      <c r="G95" s="53" t="s">
        <v>148</v>
      </c>
      <c r="H95" s="52">
        <f t="shared" si="1"/>
        <v>0.18349248535258289</v>
      </c>
      <c r="I95" s="52">
        <v>0.22100660202581379</v>
      </c>
      <c r="J95" s="52">
        <v>0.19890594182323237</v>
      </c>
      <c r="K95" s="52">
        <v>0.13260396121548826</v>
      </c>
      <c r="L95" s="52">
        <v>0.17680528162065101</v>
      </c>
      <c r="M95" s="52">
        <v>0.17680528162065101</v>
      </c>
      <c r="N95" s="52">
        <v>0.17680528162065101</v>
      </c>
      <c r="O95" s="52">
        <v>0.19890594182323237</v>
      </c>
      <c r="P95" s="52">
        <v>0.18724170449409239</v>
      </c>
      <c r="Q95" s="52">
        <v>0.17680528162065101</v>
      </c>
      <c r="R95" s="52">
        <v>0.15470462141806965</v>
      </c>
      <c r="S95" s="52">
        <v>0.17680528162065101</v>
      </c>
      <c r="T95" s="52">
        <v>0.17680528162065101</v>
      </c>
      <c r="U95" s="52">
        <v>0.22100660202581379</v>
      </c>
      <c r="V95" s="52">
        <v>0.17680528162065101</v>
      </c>
      <c r="W95" s="52">
        <v>0.22100660202581379</v>
      </c>
      <c r="X95" s="52">
        <v>0.15470462141806965</v>
      </c>
      <c r="Y95" s="52">
        <v>0.22100660202581379</v>
      </c>
      <c r="Z95" s="52">
        <v>0.19890594182323237</v>
      </c>
      <c r="AA95" s="52">
        <v>0.19890594182323237</v>
      </c>
      <c r="AB95" s="52">
        <v>0.17680528162065101</v>
      </c>
      <c r="AC95" s="52">
        <v>0.19890594182323237</v>
      </c>
      <c r="AD95" s="52">
        <v>0.17680528162065101</v>
      </c>
      <c r="AE95" s="52">
        <v>0.15470462141806965</v>
      </c>
      <c r="AF95" s="52">
        <v>0.13260396121548826</v>
      </c>
      <c r="AG95" s="52">
        <v>0.17680528162065101</v>
      </c>
      <c r="AH95" s="52">
        <v>0.22100660202581379</v>
      </c>
      <c r="AI95" s="52">
        <v>0.17680528162065101</v>
      </c>
      <c r="AJ95" s="52">
        <v>0.17680528162065101</v>
      </c>
      <c r="AK95" s="52">
        <v>0.19890594182323237</v>
      </c>
      <c r="AL95" s="52">
        <v>0.17680528162065101</v>
      </c>
      <c r="AM95" s="52">
        <v>0.17680528162065101</v>
      </c>
      <c r="AN95" s="52">
        <v>0.17680528162065101</v>
      </c>
      <c r="AO95" s="52">
        <v>0.22100660202581379</v>
      </c>
      <c r="AP95" s="52">
        <v>0.17680528162065101</v>
      </c>
      <c r="AQ95" s="52">
        <v>0.22100660202581379</v>
      </c>
      <c r="AR95" s="52">
        <v>0.22100660202581379</v>
      </c>
      <c r="AS95" s="52">
        <v>0.22100660202581379</v>
      </c>
      <c r="AT95" s="53"/>
      <c r="AU95" s="83">
        <v>2.2100660202581377</v>
      </c>
      <c r="AV95" s="53"/>
      <c r="AW95" s="53"/>
      <c r="AX95" s="53"/>
      <c r="AY95" s="53"/>
      <c r="AZ95" s="53"/>
      <c r="BA95" s="53"/>
      <c r="BB95" s="53"/>
      <c r="BC95" s="53"/>
    </row>
    <row r="96" spans="1:55" ht="14.45" customHeight="1">
      <c r="A96" s="29" t="s">
        <v>248</v>
      </c>
      <c r="B96" s="29" t="s">
        <v>254</v>
      </c>
      <c r="C96" s="29" t="s">
        <v>272</v>
      </c>
      <c r="D96" s="27"/>
      <c r="E96" s="28" t="s">
        <v>29</v>
      </c>
      <c r="F96" s="40">
        <v>2010</v>
      </c>
      <c r="G96" s="29" t="s">
        <v>250</v>
      </c>
      <c r="H96" s="27">
        <v>0.30726110974134108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</row>
    <row r="97" spans="1:55" ht="12.75">
      <c r="A97" s="29" t="s">
        <v>248</v>
      </c>
      <c r="B97" s="29" t="s">
        <v>254</v>
      </c>
      <c r="C97" s="27" t="s">
        <v>272</v>
      </c>
      <c r="D97" s="27"/>
      <c r="E97" s="28" t="s">
        <v>29</v>
      </c>
      <c r="F97" s="42">
        <v>2020</v>
      </c>
      <c r="G97" s="29" t="s">
        <v>250</v>
      </c>
      <c r="H97" s="27">
        <v>0.33298604867767173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</row>
    <row r="98" spans="1:55" ht="12.75">
      <c r="A98" s="29" t="s">
        <v>248</v>
      </c>
      <c r="B98" s="29" t="s">
        <v>254</v>
      </c>
      <c r="C98" s="27" t="s">
        <v>272</v>
      </c>
      <c r="D98" s="27"/>
      <c r="E98" s="28" t="s">
        <v>29</v>
      </c>
      <c r="F98" s="42">
        <v>2025</v>
      </c>
      <c r="G98" s="29" t="s">
        <v>250</v>
      </c>
      <c r="H98" s="27">
        <v>0.35014672203686736</v>
      </c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</row>
    <row r="99" spans="1:55" ht="12.75">
      <c r="A99" s="29" t="s">
        <v>248</v>
      </c>
      <c r="B99" s="29" t="s">
        <v>254</v>
      </c>
      <c r="C99" s="27" t="s">
        <v>272</v>
      </c>
      <c r="D99" s="27"/>
      <c r="E99" s="28" t="s">
        <v>29</v>
      </c>
      <c r="F99" s="42">
        <v>2030</v>
      </c>
      <c r="G99" s="29" t="s">
        <v>250</v>
      </c>
      <c r="H99" s="27">
        <v>0.36819178299703997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</row>
    <row r="100" spans="1:55" ht="12.75">
      <c r="A100" s="29" t="s">
        <v>248</v>
      </c>
      <c r="B100" s="29" t="s">
        <v>254</v>
      </c>
      <c r="C100" s="41" t="s">
        <v>272</v>
      </c>
      <c r="D100" s="27"/>
      <c r="E100" s="28" t="s">
        <v>29</v>
      </c>
      <c r="F100" s="42">
        <v>2035</v>
      </c>
      <c r="G100" s="29" t="s">
        <v>250</v>
      </c>
      <c r="H100" s="27">
        <v>0.36819178299703997</v>
      </c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</row>
    <row r="101" spans="1:55" ht="14.45" customHeight="1">
      <c r="A101" s="29" t="s">
        <v>248</v>
      </c>
      <c r="B101" s="29" t="s">
        <v>254</v>
      </c>
      <c r="C101" s="41" t="s">
        <v>272</v>
      </c>
      <c r="D101" s="27"/>
      <c r="E101" s="28" t="s">
        <v>29</v>
      </c>
      <c r="F101" s="40">
        <v>2040</v>
      </c>
      <c r="G101" s="29" t="s">
        <v>250</v>
      </c>
      <c r="H101" s="27">
        <v>0.36819178299703997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</row>
    <row r="102" spans="1:55" ht="14.45" customHeight="1">
      <c r="A102" s="52" t="s">
        <v>248</v>
      </c>
      <c r="B102" s="52" t="s">
        <v>254</v>
      </c>
      <c r="C102" s="57" t="s">
        <v>272</v>
      </c>
      <c r="D102" s="53"/>
      <c r="E102" s="54" t="s">
        <v>29</v>
      </c>
      <c r="F102" s="55">
        <v>2050</v>
      </c>
      <c r="G102" s="52" t="s">
        <v>250</v>
      </c>
      <c r="H102" s="53">
        <v>0.36819178299703997</v>
      </c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</row>
    <row r="103" spans="1:55" ht="14.45" customHeight="1">
      <c r="A103" s="32" t="s">
        <v>258</v>
      </c>
      <c r="B103" s="32" t="s">
        <v>282</v>
      </c>
      <c r="C103" s="34" t="s">
        <v>265</v>
      </c>
      <c r="D103" s="30"/>
      <c r="E103" s="31" t="s">
        <v>29</v>
      </c>
      <c r="F103" s="39">
        <v>2010</v>
      </c>
      <c r="G103" s="32" t="s">
        <v>285</v>
      </c>
      <c r="H103" s="30">
        <f t="shared" si="2" ref="H103:H144">AVERAGE(I103:AJ103)</f>
        <v>0.117528699643383</v>
      </c>
      <c r="I103" s="30">
        <v>0.095218081183551601</v>
      </c>
      <c r="J103" s="30">
        <v>0.10361969848816199</v>
      </c>
      <c r="K103" s="30">
        <v>0.092784361390447698</v>
      </c>
      <c r="L103" s="30">
        <v>0.114044829974671</v>
      </c>
      <c r="M103" s="30">
        <v>0.10855632289622399</v>
      </c>
      <c r="N103" s="30">
        <v>0.11700010774532101</v>
      </c>
      <c r="O103" s="30">
        <v>0.092036888145743595</v>
      </c>
      <c r="P103" s="30">
        <v>0.118437880938806</v>
      </c>
      <c r="Q103" s="30">
        <v>0.116721265948143</v>
      </c>
      <c r="R103" s="30">
        <v>0.118203291106111</v>
      </c>
      <c r="S103" s="30">
        <v>0.103957439548966</v>
      </c>
      <c r="T103" s="30">
        <v>0.095394324684570306</v>
      </c>
      <c r="U103" s="30">
        <v>0.14463639347038099</v>
      </c>
      <c r="V103" s="30">
        <v>0.113604413499276</v>
      </c>
      <c r="W103" s="30">
        <v>0.17410163103408099</v>
      </c>
      <c r="X103" s="30">
        <v>0.113429238866598</v>
      </c>
      <c r="Y103" s="30">
        <v>0.13399563454993901</v>
      </c>
      <c r="Z103" s="30">
        <v>0.11886177510938201</v>
      </c>
      <c r="AA103" s="30">
        <v>0.127491964405818</v>
      </c>
      <c r="AB103" s="30">
        <v>0.131293205393269</v>
      </c>
      <c r="AC103" s="30">
        <v>0.11952731292831099</v>
      </c>
      <c r="AD103" s="30">
        <v>0.12619013889924299</v>
      </c>
      <c r="AE103" s="30">
        <v>0.14025631370671399</v>
      </c>
      <c r="AF103" s="30">
        <v>0.114838437511216</v>
      </c>
      <c r="AG103" s="30">
        <v>0.101009453044025</v>
      </c>
      <c r="AH103" s="30">
        <v>0.110848943480575</v>
      </c>
      <c r="AI103" s="30">
        <v>0.13040484478618999</v>
      </c>
      <c r="AJ103" s="30">
        <v>0.11433939727898899</v>
      </c>
      <c r="AK103" s="30">
        <v>0.11858440363995</v>
      </c>
      <c r="AL103" s="30">
        <v>0.13212961864410999</v>
      </c>
      <c r="AM103" s="30">
        <v>0.123912339422979</v>
      </c>
      <c r="AN103" s="30">
        <v>0.116721265948143</v>
      </c>
      <c r="AO103" s="30">
        <v>0.14463639347038099</v>
      </c>
      <c r="AP103" s="30">
        <v>0.116721265948143</v>
      </c>
      <c r="AQ103" s="30">
        <v>0.108385724603052</v>
      </c>
      <c r="AR103" s="30">
        <v>0.14463639347038099</v>
      </c>
      <c r="AS103" s="30">
        <v>0.14463639347038099</v>
      </c>
      <c r="AT103" s="30"/>
      <c r="AU103" s="80">
        <v>1</v>
      </c>
      <c r="AV103" s="30"/>
      <c r="AW103" s="30"/>
      <c r="AX103" s="30"/>
      <c r="AY103" s="30"/>
      <c r="AZ103" s="30"/>
      <c r="BA103" s="30"/>
      <c r="BB103" s="30"/>
      <c r="BC103" s="30"/>
    </row>
    <row r="104" spans="1:55" ht="14.45" customHeight="1">
      <c r="A104" s="32" t="s">
        <v>258</v>
      </c>
      <c r="B104" s="32" t="s">
        <v>282</v>
      </c>
      <c r="C104" s="34" t="s">
        <v>265</v>
      </c>
      <c r="D104" s="30"/>
      <c r="E104" s="31" t="s">
        <v>29</v>
      </c>
      <c r="F104" s="79">
        <v>2020</v>
      </c>
      <c r="G104" s="32" t="s">
        <v>285</v>
      </c>
      <c r="H104" s="30">
        <f t="shared" si="2"/>
        <v>0.12037740574340601</v>
      </c>
      <c r="I104" s="30">
        <v>0.097526013880187543</v>
      </c>
      <c r="J104" s="30">
        <v>0.10613127283605694</v>
      </c>
      <c r="K104" s="30">
        <v>0.09503330464500355</v>
      </c>
      <c r="L104" s="30">
        <v>0.11680909269357043</v>
      </c>
      <c r="M104" s="30">
        <v>0.11118755305676251</v>
      </c>
      <c r="N104" s="30">
        <v>0.11983600163037864</v>
      </c>
      <c r="O104" s="30">
        <v>0.0942677138545574</v>
      </c>
      <c r="P104" s="30">
        <v>0.12130862412687778</v>
      </c>
      <c r="Q104" s="30">
        <v>0.11955040115782201</v>
      </c>
      <c r="R104" s="30">
        <v>0.1210683482150427</v>
      </c>
      <c r="S104" s="30">
        <v>0.10647720019538259</v>
      </c>
      <c r="T104" s="30">
        <v>0.097706529239381876</v>
      </c>
      <c r="U104" s="30">
        <v>0.14814214634278247</v>
      </c>
      <c r="V104" s="30">
        <v>0.11635800123322439</v>
      </c>
      <c r="W104" s="30">
        <v>0.17832157373620944</v>
      </c>
      <c r="X104" s="30">
        <v>0.11617858065001521</v>
      </c>
      <c r="Y104" s="30">
        <v>0.13724347259015471</v>
      </c>
      <c r="Z104" s="30">
        <v>0.12174279280838726</v>
      </c>
      <c r="AA104" s="30">
        <v>0.13058216397246672</v>
      </c>
      <c r="AB104" s="30">
        <v>0.13447554090987263</v>
      </c>
      <c r="AC104" s="30">
        <v>0.12242446219050322</v>
      </c>
      <c r="AD104" s="30">
        <v>0.12924878431551826</v>
      </c>
      <c r="AE104" s="30">
        <v>0.14365590051091931</v>
      </c>
      <c r="AF104" s="30">
        <v>0.11762193599667491</v>
      </c>
      <c r="AG104" s="30">
        <v>0.10345775925280302</v>
      </c>
      <c r="AH104" s="30">
        <v>0.1135357430659731</v>
      </c>
      <c r="AI104" s="30">
        <v>0.13356564787464556</v>
      </c>
      <c r="AJ104" s="30">
        <v>0.11711079983419415</v>
      </c>
      <c r="AK104" s="30">
        <v>0.12145869830194948</v>
      </c>
      <c r="AL104" s="30">
        <v>0.13533222746874002</v>
      </c>
      <c r="AM104" s="30">
        <v>0.12691577465414752</v>
      </c>
      <c r="AN104" s="30">
        <v>0.11955040115782201</v>
      </c>
      <c r="AO104" s="30">
        <v>0.14814214634278247</v>
      </c>
      <c r="AP104" s="30">
        <v>0.11955040115782201</v>
      </c>
      <c r="AQ104" s="30">
        <v>0.1110128197361471</v>
      </c>
      <c r="AR104" s="30">
        <v>0.14814214634278247</v>
      </c>
      <c r="AS104" s="30">
        <v>0.14814214634278247</v>
      </c>
      <c r="AT104" s="30"/>
      <c r="AU104" s="80">
        <v>1.024238386952862</v>
      </c>
      <c r="AV104" s="30"/>
      <c r="AW104" s="30"/>
      <c r="AX104" s="30"/>
      <c r="AY104" s="30"/>
      <c r="AZ104" s="30"/>
      <c r="BA104" s="30"/>
      <c r="BB104" s="30"/>
      <c r="BC104" s="30"/>
    </row>
    <row r="105" spans="1:55" ht="14.45" customHeight="1">
      <c r="A105" s="32" t="s">
        <v>258</v>
      </c>
      <c r="B105" s="32" t="s">
        <v>282</v>
      </c>
      <c r="C105" s="34" t="s">
        <v>265</v>
      </c>
      <c r="D105" s="30"/>
      <c r="E105" s="31" t="s">
        <v>29</v>
      </c>
      <c r="F105" s="79">
        <v>2025</v>
      </c>
      <c r="G105" s="32" t="s">
        <v>285</v>
      </c>
      <c r="H105" s="30">
        <f t="shared" si="2"/>
        <v>0.1219600202434188</v>
      </c>
      <c r="I105" s="30">
        <v>0.098808198711651959</v>
      </c>
      <c r="J105" s="30">
        <v>0.10752659191822081</v>
      </c>
      <c r="K105" s="30">
        <v>0.096282717564201245</v>
      </c>
      <c r="L105" s="30">
        <v>0.1183447942040701</v>
      </c>
      <c r="M105" s="30">
        <v>0.11264934759039499</v>
      </c>
      <c r="N105" s="30">
        <v>0.12141149823318843</v>
      </c>
      <c r="O105" s="30">
        <v>0.095507061470565063</v>
      </c>
      <c r="P105" s="30">
        <v>0.1229034814535843</v>
      </c>
      <c r="Q105" s="30">
        <v>0.12112214294097699</v>
      </c>
      <c r="R105" s="30">
        <v>0.12266004660889364</v>
      </c>
      <c r="S105" s="30">
        <v>0.10787706722116958</v>
      </c>
      <c r="T105" s="30">
        <v>0.098991087325388291</v>
      </c>
      <c r="U105" s="30">
        <v>0.15008978682744997</v>
      </c>
      <c r="V105" s="30">
        <v>0.11788777219652903</v>
      </c>
      <c r="W105" s="30">
        <v>0.18066598634850303</v>
      </c>
      <c r="X105" s="30">
        <v>0.11770599275191367</v>
      </c>
      <c r="Y105" s="30">
        <v>0.13904782705694121</v>
      </c>
      <c r="Z105" s="30">
        <v>0.12334335819672351</v>
      </c>
      <c r="AA105" s="30">
        <v>0.13229894150949378</v>
      </c>
      <c r="AB105" s="30">
        <v>0.13624350508576352</v>
      </c>
      <c r="AC105" s="30">
        <v>0.12403398955838778</v>
      </c>
      <c r="AD105" s="30">
        <v>0.13094803176900449</v>
      </c>
      <c r="AE105" s="30">
        <v>0.14554455984658893</v>
      </c>
      <c r="AF105" s="30">
        <v>0.11916832404415208</v>
      </c>
      <c r="AG105" s="30">
        <v>0.10481792936879081</v>
      </c>
      <c r="AH105" s="30">
        <v>0.11502840950230538</v>
      </c>
      <c r="AI105" s="30">
        <v>0.13532164959045423</v>
      </c>
      <c r="AJ105" s="30">
        <v>0.11865046792041922</v>
      </c>
      <c r="AK105" s="30">
        <v>0.12305552866972697</v>
      </c>
      <c r="AL105" s="30">
        <v>0.13711145459353447</v>
      </c>
      <c r="AM105" s="30">
        <v>0.12858434978257449</v>
      </c>
      <c r="AN105" s="30">
        <v>0.12112214294097699</v>
      </c>
      <c r="AO105" s="30">
        <v>0.15008978682744997</v>
      </c>
      <c r="AP105" s="30">
        <v>0.12112214294097699</v>
      </c>
      <c r="AQ105" s="30">
        <v>0.11247231703231104</v>
      </c>
      <c r="AR105" s="30">
        <v>0.15008978682744997</v>
      </c>
      <c r="AS105" s="30">
        <v>0.15008978682744997</v>
      </c>
      <c r="AT105" s="30"/>
      <c r="AU105" s="80">
        <v>1.0377041574822297</v>
      </c>
      <c r="AV105" s="30"/>
      <c r="AW105" s="30"/>
      <c r="AX105" s="30"/>
      <c r="AY105" s="30"/>
      <c r="AZ105" s="30"/>
      <c r="BA105" s="30"/>
      <c r="BB105" s="30"/>
      <c r="BC105" s="30"/>
    </row>
    <row r="106" spans="1:55" ht="14.45" customHeight="1">
      <c r="A106" s="32" t="s">
        <v>258</v>
      </c>
      <c r="B106" s="32" t="s">
        <v>282</v>
      </c>
      <c r="C106" s="34" t="s">
        <v>265</v>
      </c>
      <c r="D106" s="30"/>
      <c r="E106" s="31" t="s">
        <v>29</v>
      </c>
      <c r="F106" s="79">
        <v>2030</v>
      </c>
      <c r="G106" s="32" t="s">
        <v>285</v>
      </c>
      <c r="H106" s="30">
        <f t="shared" si="2"/>
        <v>0.12354263474343158</v>
      </c>
      <c r="I106" s="30">
        <v>0.10009038354311639</v>
      </c>
      <c r="J106" s="30">
        <v>0.10892191100038469</v>
      </c>
      <c r="K106" s="30">
        <v>0.097532130483398954</v>
      </c>
      <c r="L106" s="30">
        <v>0.1198804957145698</v>
      </c>
      <c r="M106" s="30">
        <v>0.11411114212402752</v>
      </c>
      <c r="N106" s="30">
        <v>0.12298699483599825</v>
      </c>
      <c r="O106" s="30">
        <v>0.096746409086572754</v>
      </c>
      <c r="P106" s="30">
        <v>0.12449833878029087</v>
      </c>
      <c r="Q106" s="30">
        <v>0.12269388472413201</v>
      </c>
      <c r="R106" s="30">
        <v>0.12425174500274461</v>
      </c>
      <c r="S106" s="30">
        <v>0.1092769342469566</v>
      </c>
      <c r="T106" s="30">
        <v>0.10027564541139473</v>
      </c>
      <c r="U106" s="30">
        <v>0.15203742731211747</v>
      </c>
      <c r="V106" s="30">
        <v>0.11941754315983372</v>
      </c>
      <c r="W106" s="30">
        <v>0.18301039896079666</v>
      </c>
      <c r="X106" s="30">
        <v>0.11923340485381213</v>
      </c>
      <c r="Y106" s="30">
        <v>0.14085218152372772</v>
      </c>
      <c r="Z106" s="30">
        <v>0.12494392358505979</v>
      </c>
      <c r="AA106" s="30">
        <v>0.13401571904652088</v>
      </c>
      <c r="AB106" s="30">
        <v>0.13801146926165447</v>
      </c>
      <c r="AC106" s="30">
        <v>0.12564351692627238</v>
      </c>
      <c r="AD106" s="30">
        <v>0.13264727922249075</v>
      </c>
      <c r="AE106" s="30">
        <v>0.1474332191822586</v>
      </c>
      <c r="AF106" s="30">
        <v>0.12071471209162928</v>
      </c>
      <c r="AG106" s="30">
        <v>0.10617809948477862</v>
      </c>
      <c r="AH106" s="30">
        <v>0.11652107593863767</v>
      </c>
      <c r="AI106" s="30">
        <v>0.1370776513062629</v>
      </c>
      <c r="AJ106" s="30">
        <v>0.12019013600664431</v>
      </c>
      <c r="AK106" s="30">
        <v>0.12465235903750448</v>
      </c>
      <c r="AL106" s="30">
        <v>0.13889068171832894</v>
      </c>
      <c r="AM106" s="30">
        <v>0.13025292491100149</v>
      </c>
      <c r="AN106" s="30">
        <v>0.12269388472413201</v>
      </c>
      <c r="AO106" s="30">
        <v>0.15203742731211747</v>
      </c>
      <c r="AP106" s="30">
        <v>0.12269388472413201</v>
      </c>
      <c r="AQ106" s="30">
        <v>0.11393181432847502</v>
      </c>
      <c r="AR106" s="30">
        <v>0.15203742731211747</v>
      </c>
      <c r="AS106" s="30">
        <v>0.15203742731211747</v>
      </c>
      <c r="AT106" s="30"/>
      <c r="AU106" s="80">
        <v>1.0511699280115976</v>
      </c>
      <c r="AV106" s="30"/>
      <c r="AW106" s="30"/>
      <c r="AX106" s="30"/>
      <c r="AY106" s="30"/>
      <c r="AZ106" s="30"/>
      <c r="BA106" s="30"/>
      <c r="BB106" s="30"/>
      <c r="BC106" s="30"/>
    </row>
    <row r="107" spans="1:55" ht="14.45" customHeight="1">
      <c r="A107" s="32" t="s">
        <v>258</v>
      </c>
      <c r="B107" s="32" t="s">
        <v>282</v>
      </c>
      <c r="C107" s="34" t="s">
        <v>265</v>
      </c>
      <c r="D107" s="30"/>
      <c r="E107" s="31" t="s">
        <v>29</v>
      </c>
      <c r="F107" s="79">
        <v>2035</v>
      </c>
      <c r="G107" s="32" t="s">
        <v>285</v>
      </c>
      <c r="H107" s="30">
        <f t="shared" si="2"/>
        <v>0.12512524924344437</v>
      </c>
      <c r="I107" s="30">
        <v>0.10137256837458082</v>
      </c>
      <c r="J107" s="30">
        <v>0.11031723008254857</v>
      </c>
      <c r="K107" s="30">
        <v>0.098781543402596678</v>
      </c>
      <c r="L107" s="30">
        <v>0.12141619722506949</v>
      </c>
      <c r="M107" s="30">
        <v>0.11557293665766004</v>
      </c>
      <c r="N107" s="30">
        <v>0.12456249143880806</v>
      </c>
      <c r="O107" s="30">
        <v>0.097985756702580445</v>
      </c>
      <c r="P107" s="30">
        <v>0.12609319610699743</v>
      </c>
      <c r="Q107" s="30">
        <v>0.12426562650728704</v>
      </c>
      <c r="R107" s="30">
        <v>0.12584344339659559</v>
      </c>
      <c r="S107" s="30">
        <v>0.11067680127274361</v>
      </c>
      <c r="T107" s="30">
        <v>0.10156020349740118</v>
      </c>
      <c r="U107" s="30">
        <v>0.153985067796785</v>
      </c>
      <c r="V107" s="30">
        <v>0.12094731412313839</v>
      </c>
      <c r="W107" s="30">
        <v>0.18535481157309025</v>
      </c>
      <c r="X107" s="30">
        <v>0.1207608169557106</v>
      </c>
      <c r="Y107" s="30">
        <v>0.14265653599051425</v>
      </c>
      <c r="Z107" s="30">
        <v>0.12654448897339607</v>
      </c>
      <c r="AA107" s="30">
        <v>0.13573249658354797</v>
      </c>
      <c r="AB107" s="30">
        <v>0.1397794334375454</v>
      </c>
      <c r="AC107" s="30">
        <v>0.12725304429415696</v>
      </c>
      <c r="AD107" s="30">
        <v>0.13434652667597702</v>
      </c>
      <c r="AE107" s="30">
        <v>0.14932187851792825</v>
      </c>
      <c r="AF107" s="30">
        <v>0.12226110013910646</v>
      </c>
      <c r="AG107" s="30">
        <v>0.10753826960076641</v>
      </c>
      <c r="AH107" s="30">
        <v>0.11801374237496998</v>
      </c>
      <c r="AI107" s="30">
        <v>0.13883365302207157</v>
      </c>
      <c r="AJ107" s="30">
        <v>0.12172980409286942</v>
      </c>
      <c r="AK107" s="30">
        <v>0.12624918940528199</v>
      </c>
      <c r="AL107" s="30">
        <v>0.14066990884312341</v>
      </c>
      <c r="AM107" s="30">
        <v>0.13192150003942846</v>
      </c>
      <c r="AN107" s="30">
        <v>0.12426562650728704</v>
      </c>
      <c r="AO107" s="30">
        <v>0.153985067796785</v>
      </c>
      <c r="AP107" s="30">
        <v>0.12426562650728704</v>
      </c>
      <c r="AQ107" s="30">
        <v>0.11539131162463898</v>
      </c>
      <c r="AR107" s="30">
        <v>0.153985067796785</v>
      </c>
      <c r="AS107" s="30">
        <v>0.153985067796785</v>
      </c>
      <c r="AT107" s="30"/>
      <c r="AU107" s="80">
        <v>1.0646356985409655</v>
      </c>
      <c r="AV107" s="30"/>
      <c r="AW107" s="30"/>
      <c r="AX107" s="30"/>
      <c r="AY107" s="30"/>
      <c r="AZ107" s="30"/>
      <c r="BA107" s="30"/>
      <c r="BB107" s="30"/>
      <c r="BC107" s="30"/>
    </row>
    <row r="108" spans="1:55" ht="14.45" customHeight="1">
      <c r="A108" s="32" t="s">
        <v>258</v>
      </c>
      <c r="B108" s="32" t="s">
        <v>282</v>
      </c>
      <c r="C108" s="34" t="s">
        <v>265</v>
      </c>
      <c r="D108" s="30"/>
      <c r="E108" s="31" t="s">
        <v>29</v>
      </c>
      <c r="F108" s="39">
        <v>2040</v>
      </c>
      <c r="G108" s="32" t="s">
        <v>285</v>
      </c>
      <c r="H108" s="30">
        <f t="shared" si="2"/>
        <v>0.12670786374345719</v>
      </c>
      <c r="I108" s="30">
        <v>0.10265475320604525</v>
      </c>
      <c r="J108" s="30">
        <v>0.11171254916471246</v>
      </c>
      <c r="K108" s="30">
        <v>0.10003095632179439</v>
      </c>
      <c r="L108" s="30">
        <v>0.12295189873556921</v>
      </c>
      <c r="M108" s="30">
        <v>0.11703473119129257</v>
      </c>
      <c r="N108" s="30">
        <v>0.12613798804161788</v>
      </c>
      <c r="O108" s="30">
        <v>0.099225104318588123</v>
      </c>
      <c r="P108" s="30">
        <v>0.12768805343370399</v>
      </c>
      <c r="Q108" s="30">
        <v>0.12583736829044206</v>
      </c>
      <c r="R108" s="30">
        <v>0.12743514179044654</v>
      </c>
      <c r="S108" s="30">
        <v>0.11207666829853062</v>
      </c>
      <c r="T108" s="30">
        <v>0.10284476158340762</v>
      </c>
      <c r="U108" s="30">
        <v>0.15593270828145253</v>
      </c>
      <c r="V108" s="30">
        <v>0.12247708508644307</v>
      </c>
      <c r="W108" s="30">
        <v>0.18769922418538387</v>
      </c>
      <c r="X108" s="30">
        <v>0.12228822905760907</v>
      </c>
      <c r="Y108" s="30">
        <v>0.14446089045730079</v>
      </c>
      <c r="Z108" s="30">
        <v>0.12814505436173235</v>
      </c>
      <c r="AA108" s="30">
        <v>0.13744927412057506</v>
      </c>
      <c r="AB108" s="30">
        <v>0.14154739761343632</v>
      </c>
      <c r="AC108" s="30">
        <v>0.12886257166204154</v>
      </c>
      <c r="AD108" s="30">
        <v>0.13604577412946331</v>
      </c>
      <c r="AE108" s="30">
        <v>0.15121053785359789</v>
      </c>
      <c r="AF108" s="30">
        <v>0.12380748818658366</v>
      </c>
      <c r="AG108" s="30">
        <v>0.10889843971675423</v>
      </c>
      <c r="AH108" s="30">
        <v>0.11950640881130227</v>
      </c>
      <c r="AI108" s="30">
        <v>0.14058965473788024</v>
      </c>
      <c r="AJ108" s="30">
        <v>0.12326947217909452</v>
      </c>
      <c r="AK108" s="30">
        <v>0.12784601977305948</v>
      </c>
      <c r="AL108" s="30">
        <v>0.14244913596791789</v>
      </c>
      <c r="AM108" s="30">
        <v>0.13359007516785545</v>
      </c>
      <c r="AN108" s="30">
        <v>0.12583736829044206</v>
      </c>
      <c r="AO108" s="30">
        <v>0.15593270828145253</v>
      </c>
      <c r="AP108" s="30">
        <v>0.12583736829044206</v>
      </c>
      <c r="AQ108" s="30">
        <v>0.11685080892080295</v>
      </c>
      <c r="AR108" s="30">
        <v>0.15593270828145253</v>
      </c>
      <c r="AS108" s="30">
        <v>0.15593270828145253</v>
      </c>
      <c r="AT108" s="30"/>
      <c r="AU108" s="80">
        <v>1.0781014690703334</v>
      </c>
      <c r="AV108" s="30"/>
      <c r="AW108" s="30"/>
      <c r="AX108" s="30"/>
      <c r="AY108" s="30"/>
      <c r="AZ108" s="30"/>
      <c r="BA108" s="30"/>
      <c r="BB108" s="30"/>
      <c r="BC108" s="30"/>
    </row>
    <row r="109" spans="1:55" ht="14.45" customHeight="1">
      <c r="A109" s="51" t="s">
        <v>258</v>
      </c>
      <c r="B109" s="51" t="s">
        <v>282</v>
      </c>
      <c r="C109" s="56" t="s">
        <v>265</v>
      </c>
      <c r="D109" s="46"/>
      <c r="E109" s="47" t="s">
        <v>29</v>
      </c>
      <c r="F109" s="48">
        <v>2050</v>
      </c>
      <c r="G109" s="51" t="s">
        <v>285</v>
      </c>
      <c r="H109" s="46">
        <f t="shared" si="2"/>
        <v>0.12987309274348274</v>
      </c>
      <c r="I109" s="46">
        <v>0.10521912286897407</v>
      </c>
      <c r="J109" s="46">
        <v>0.11450318732904018</v>
      </c>
      <c r="K109" s="46">
        <v>0.10252978216018978</v>
      </c>
      <c r="L109" s="46">
        <v>0.12602330175656856</v>
      </c>
      <c r="M109" s="46">
        <v>0.11995832025855756</v>
      </c>
      <c r="N109" s="46">
        <v>0.12928898124723745</v>
      </c>
      <c r="O109" s="46">
        <v>0.10170379955060346</v>
      </c>
      <c r="P109" s="46">
        <v>0.13087776808711707</v>
      </c>
      <c r="Q109" s="46">
        <v>0.12898085185675204</v>
      </c>
      <c r="R109" s="46">
        <v>0.13061853857814842</v>
      </c>
      <c r="S109" s="46">
        <v>0.1148764023501046</v>
      </c>
      <c r="T109" s="46">
        <v>0.10541387775542047</v>
      </c>
      <c r="U109" s="46">
        <v>0.15982798925078751</v>
      </c>
      <c r="V109" s="46">
        <v>0.12553662701305238</v>
      </c>
      <c r="W109" s="46">
        <v>0.19238804940997103</v>
      </c>
      <c r="X109" s="46">
        <v>0.12534305326140596</v>
      </c>
      <c r="Y109" s="46">
        <v>0.14806959939087377</v>
      </c>
      <c r="Z109" s="46">
        <v>0.13134618513840482</v>
      </c>
      <c r="AA109" s="46">
        <v>0.14088282919462916</v>
      </c>
      <c r="AB109" s="46">
        <v>0.14508332596521814</v>
      </c>
      <c r="AC109" s="46">
        <v>0.13208162639781065</v>
      </c>
      <c r="AD109" s="46">
        <v>0.13944426903643578</v>
      </c>
      <c r="AE109" s="46">
        <v>0.15498785652493713</v>
      </c>
      <c r="AF109" s="46">
        <v>0.126900264281538</v>
      </c>
      <c r="AG109" s="46">
        <v>0.11161877994872979</v>
      </c>
      <c r="AH109" s="46">
        <v>0.12249174168396681</v>
      </c>
      <c r="AI109" s="46">
        <v>0.14410165816949755</v>
      </c>
      <c r="AJ109" s="46">
        <v>0.12634880835154466</v>
      </c>
      <c r="AK109" s="46">
        <v>0.13103968050861445</v>
      </c>
      <c r="AL109" s="46">
        <v>0.14600759021750681</v>
      </c>
      <c r="AM109" s="46">
        <v>0.13692722542470936</v>
      </c>
      <c r="AN109" s="46">
        <v>0.12898085185675204</v>
      </c>
      <c r="AO109" s="46">
        <v>0.15982798925078751</v>
      </c>
      <c r="AP109" s="46">
        <v>0.12898085185675204</v>
      </c>
      <c r="AQ109" s="46">
        <v>0.11976980351313082</v>
      </c>
      <c r="AR109" s="46">
        <v>0.15982798925078751</v>
      </c>
      <c r="AS109" s="46">
        <v>0.15982798925078751</v>
      </c>
      <c r="AT109" s="46"/>
      <c r="AU109" s="81">
        <v>1.1050330101290688</v>
      </c>
      <c r="AV109" s="46"/>
      <c r="AW109" s="46"/>
      <c r="AX109" s="46"/>
      <c r="AY109" s="46"/>
      <c r="AZ109" s="46"/>
      <c r="BA109" s="46"/>
      <c r="BB109" s="46"/>
      <c r="BC109" s="46"/>
    </row>
    <row r="110" spans="1:55" ht="14.45" customHeight="1">
      <c r="A110" s="32" t="s">
        <v>258</v>
      </c>
      <c r="B110" s="32" t="s">
        <v>282</v>
      </c>
      <c r="C110" s="34" t="s">
        <v>265</v>
      </c>
      <c r="D110" s="30"/>
      <c r="E110" s="31" t="s">
        <v>29</v>
      </c>
      <c r="F110" s="39">
        <v>2010</v>
      </c>
      <c r="G110" s="32" t="s">
        <v>284</v>
      </c>
      <c r="H110" s="30">
        <f t="shared" si="2"/>
        <v>0.117528699643383</v>
      </c>
      <c r="I110" s="30">
        <v>0.095218081183551601</v>
      </c>
      <c r="J110" s="30">
        <v>0.10361969848816199</v>
      </c>
      <c r="K110" s="30">
        <v>0.092784361390447698</v>
      </c>
      <c r="L110" s="30">
        <v>0.114044829974671</v>
      </c>
      <c r="M110" s="30">
        <v>0.10855632289622399</v>
      </c>
      <c r="N110" s="30">
        <v>0.11700010774532101</v>
      </c>
      <c r="O110" s="30">
        <v>0.092036888145743595</v>
      </c>
      <c r="P110" s="30">
        <v>0.118437880938806</v>
      </c>
      <c r="Q110" s="30">
        <v>0.116721265948143</v>
      </c>
      <c r="R110" s="30">
        <v>0.118203291106111</v>
      </c>
      <c r="S110" s="30">
        <v>0.103957439548966</v>
      </c>
      <c r="T110" s="30">
        <v>0.095394324684570306</v>
      </c>
      <c r="U110" s="30">
        <v>0.14463639347038099</v>
      </c>
      <c r="V110" s="30">
        <v>0.113604413499276</v>
      </c>
      <c r="W110" s="30">
        <v>0.17410163103408099</v>
      </c>
      <c r="X110" s="30">
        <v>0.113429238866598</v>
      </c>
      <c r="Y110" s="30">
        <v>0.13399563454993901</v>
      </c>
      <c r="Z110" s="30">
        <v>0.11886177510938201</v>
      </c>
      <c r="AA110" s="30">
        <v>0.127491964405818</v>
      </c>
      <c r="AB110" s="30">
        <v>0.131293205393269</v>
      </c>
      <c r="AC110" s="30">
        <v>0.11952731292831099</v>
      </c>
      <c r="AD110" s="30">
        <v>0.12619013889924299</v>
      </c>
      <c r="AE110" s="30">
        <v>0.14025631370671399</v>
      </c>
      <c r="AF110" s="30">
        <v>0.114838437511216</v>
      </c>
      <c r="AG110" s="30">
        <v>0.101009453044025</v>
      </c>
      <c r="AH110" s="30">
        <v>0.110848943480575</v>
      </c>
      <c r="AI110" s="30">
        <v>0.13040484478618999</v>
      </c>
      <c r="AJ110" s="30">
        <v>0.11433939727898899</v>
      </c>
      <c r="AK110" s="30">
        <v>0.11858440363995</v>
      </c>
      <c r="AL110" s="30">
        <v>0.13212961864410999</v>
      </c>
      <c r="AM110" s="30">
        <v>0.123912339422979</v>
      </c>
      <c r="AN110" s="30">
        <v>0.116721265948143</v>
      </c>
      <c r="AO110" s="30">
        <v>0.14463639347038099</v>
      </c>
      <c r="AP110" s="30">
        <v>0.116721265948143</v>
      </c>
      <c r="AQ110" s="30">
        <v>0.108385724603052</v>
      </c>
      <c r="AR110" s="30">
        <v>0.14463639347038099</v>
      </c>
      <c r="AS110" s="30">
        <v>0.14463639347038099</v>
      </c>
      <c r="AT110" s="30"/>
      <c r="AU110" s="80">
        <v>1</v>
      </c>
      <c r="AV110" s="30"/>
      <c r="AW110" s="30"/>
      <c r="AX110" s="30"/>
      <c r="AY110" s="30"/>
      <c r="AZ110" s="30"/>
      <c r="BA110" s="30"/>
      <c r="BB110" s="30"/>
      <c r="BC110" s="30"/>
    </row>
    <row r="111" spans="1:55" ht="14.45" customHeight="1">
      <c r="A111" s="32" t="s">
        <v>258</v>
      </c>
      <c r="B111" s="32" t="s">
        <v>282</v>
      </c>
      <c r="C111" s="34" t="s">
        <v>265</v>
      </c>
      <c r="D111" s="30"/>
      <c r="E111" s="31" t="s">
        <v>29</v>
      </c>
      <c r="F111" s="79">
        <v>2020</v>
      </c>
      <c r="G111" s="32" t="s">
        <v>284</v>
      </c>
      <c r="H111" s="30">
        <f t="shared" si="2"/>
        <v>0.13361892037518069</v>
      </c>
      <c r="I111" s="30">
        <v>0.10825387540700819</v>
      </c>
      <c r="J111" s="30">
        <v>0.11780571284802323</v>
      </c>
      <c r="K111" s="30">
        <v>0.10548696815595396</v>
      </c>
      <c r="L111" s="30">
        <v>0.12965809288986319</v>
      </c>
      <c r="M111" s="30">
        <v>0.12341818389300639</v>
      </c>
      <c r="N111" s="30">
        <v>0.13301796180972031</v>
      </c>
      <c r="O111" s="30">
        <v>0.10463716237855873</v>
      </c>
      <c r="P111" s="30">
        <v>0.13465257278083434</v>
      </c>
      <c r="Q111" s="30">
        <v>0.13270094528518245</v>
      </c>
      <c r="R111" s="30">
        <v>0.13438586651869741</v>
      </c>
      <c r="S111" s="30">
        <v>0.11818969221687468</v>
      </c>
      <c r="T111" s="30">
        <v>0.10845424745571389</v>
      </c>
      <c r="U111" s="30">
        <v>0.16443778244048857</v>
      </c>
      <c r="V111" s="30">
        <v>0.12915738136887908</v>
      </c>
      <c r="W111" s="30">
        <v>0.19793694684719251</v>
      </c>
      <c r="X111" s="30">
        <v>0.1289582245215169</v>
      </c>
      <c r="Y111" s="30">
        <v>0.15234025457507175</v>
      </c>
      <c r="Z111" s="30">
        <v>0.13513450001730987</v>
      </c>
      <c r="AA111" s="30">
        <v>0.14494620200943809</v>
      </c>
      <c r="AB111" s="30">
        <v>0.14926785040995863</v>
      </c>
      <c r="AC111" s="30">
        <v>0.13589115303145857</v>
      </c>
      <c r="AD111" s="30">
        <v>0.14346615059022527</v>
      </c>
      <c r="AE111" s="30">
        <v>0.15945804956712045</v>
      </c>
      <c r="AF111" s="30">
        <v>0.13056034895630916</v>
      </c>
      <c r="AG111" s="30">
        <v>0.11483811277061137</v>
      </c>
      <c r="AH111" s="30">
        <v>0.12602467480323015</v>
      </c>
      <c r="AI111" s="30">
        <v>0.14825786914085659</v>
      </c>
      <c r="AJ111" s="30">
        <v>0.1299929878159555</v>
      </c>
      <c r="AK111" s="30">
        <v>0.13481915511516393</v>
      </c>
      <c r="AL111" s="30">
        <v>0.15021877249030144</v>
      </c>
      <c r="AM111" s="30">
        <v>0.14087650986610378</v>
      </c>
      <c r="AN111" s="30">
        <v>0.13270094528518245</v>
      </c>
      <c r="AO111" s="30">
        <v>0.16443778244048857</v>
      </c>
      <c r="AP111" s="30">
        <v>0.13270094528518245</v>
      </c>
      <c r="AQ111" s="30">
        <v>0.1232242299071233</v>
      </c>
      <c r="AR111" s="30">
        <v>0.16443778244048857</v>
      </c>
      <c r="AS111" s="30">
        <v>0.16443778244048857</v>
      </c>
      <c r="AT111" s="30"/>
      <c r="AU111" s="80">
        <v>1.1369046095176769</v>
      </c>
      <c r="AV111" s="30"/>
      <c r="AW111" s="30"/>
      <c r="AX111" s="30"/>
      <c r="AY111" s="30"/>
      <c r="AZ111" s="30"/>
      <c r="BA111" s="30"/>
      <c r="BB111" s="30"/>
      <c r="BC111" s="30"/>
    </row>
    <row r="112" spans="1:55" ht="14.45" customHeight="1">
      <c r="A112" s="32" t="s">
        <v>258</v>
      </c>
      <c r="B112" s="32" t="s">
        <v>282</v>
      </c>
      <c r="C112" s="34" t="s">
        <v>265</v>
      </c>
      <c r="D112" s="30"/>
      <c r="E112" s="31" t="s">
        <v>29</v>
      </c>
      <c r="F112" s="79">
        <v>2025</v>
      </c>
      <c r="G112" s="32" t="s">
        <v>284</v>
      </c>
      <c r="H112" s="30">
        <f t="shared" si="2"/>
        <v>0.13537562247019486</v>
      </c>
      <c r="I112" s="30">
        <v>0.1096771005699337</v>
      </c>
      <c r="J112" s="30">
        <v>0.11935451702922512</v>
      </c>
      <c r="K112" s="30">
        <v>0.1068738164962634</v>
      </c>
      <c r="L112" s="30">
        <v>0.13136272156651782</v>
      </c>
      <c r="M112" s="30">
        <v>0.12504077582533846</v>
      </c>
      <c r="N112" s="30">
        <v>0.13476676303883917</v>
      </c>
      <c r="O112" s="30">
        <v>0.10601283823232724</v>
      </c>
      <c r="P112" s="30">
        <v>0.13642286441347859</v>
      </c>
      <c r="Q112" s="30">
        <v>0.13444557866448448</v>
      </c>
      <c r="R112" s="30">
        <v>0.13615265173587196</v>
      </c>
      <c r="S112" s="30">
        <v>0.11974354461549826</v>
      </c>
      <c r="T112" s="30">
        <v>0.10988010693118103</v>
      </c>
      <c r="U112" s="30">
        <v>0.16659966337846949</v>
      </c>
      <c r="V112" s="30">
        <v>0.13085542713814724</v>
      </c>
      <c r="W112" s="30">
        <v>0.20053924484683838</v>
      </c>
      <c r="X112" s="30">
        <v>0.13065365195462419</v>
      </c>
      <c r="Y112" s="30">
        <v>0.15434308803320476</v>
      </c>
      <c r="Z112" s="30">
        <v>0.13691112759836313</v>
      </c>
      <c r="AA112" s="30">
        <v>0.14685182507553812</v>
      </c>
      <c r="AB112" s="30">
        <v>0.15123029064519755</v>
      </c>
      <c r="AC112" s="30">
        <v>0.13767772840981046</v>
      </c>
      <c r="AD112" s="30">
        <v>0.14535231526359499</v>
      </c>
      <c r="AE112" s="30">
        <v>0.16155446142971375</v>
      </c>
      <c r="AF112" s="30">
        <v>0.13227683968900883</v>
      </c>
      <c r="AG112" s="30">
        <v>0.11634790159935782</v>
      </c>
      <c r="AH112" s="30">
        <v>0.12768153454755898</v>
      </c>
      <c r="AI112" s="30">
        <v>0.1502070310454042</v>
      </c>
      <c r="AJ112" s="30">
        <v>0.13170201939166534</v>
      </c>
      <c r="AK112" s="30">
        <v>0.13659163682339695</v>
      </c>
      <c r="AL112" s="30">
        <v>0.15219371459882328</v>
      </c>
      <c r="AM112" s="30">
        <v>0.1427286282586577</v>
      </c>
      <c r="AN112" s="30">
        <v>0.13444557866448448</v>
      </c>
      <c r="AO112" s="30">
        <v>0.16659966337846949</v>
      </c>
      <c r="AP112" s="30">
        <v>0.13444557866448448</v>
      </c>
      <c r="AQ112" s="30">
        <v>0.12484427190586528</v>
      </c>
      <c r="AR112" s="30">
        <v>0.16659966337846949</v>
      </c>
      <c r="AS112" s="30">
        <v>0.16659966337846949</v>
      </c>
      <c r="AT112" s="30"/>
      <c r="AU112" s="80">
        <v>1.1518516148052751</v>
      </c>
      <c r="AV112" s="30"/>
      <c r="AW112" s="30"/>
      <c r="AX112" s="30"/>
      <c r="AY112" s="30"/>
      <c r="AZ112" s="30"/>
      <c r="BA112" s="30"/>
      <c r="BB112" s="30"/>
      <c r="BC112" s="30"/>
    </row>
    <row r="113" spans="1:55" ht="14.45" customHeight="1">
      <c r="A113" s="32" t="s">
        <v>258</v>
      </c>
      <c r="B113" s="32" t="s">
        <v>282</v>
      </c>
      <c r="C113" s="34" t="s">
        <v>265</v>
      </c>
      <c r="D113" s="30"/>
      <c r="E113" s="31" t="s">
        <v>29</v>
      </c>
      <c r="F113" s="79">
        <v>2030</v>
      </c>
      <c r="G113" s="32" t="s">
        <v>284</v>
      </c>
      <c r="H113" s="30">
        <f t="shared" si="2"/>
        <v>0.1371323245652091</v>
      </c>
      <c r="I113" s="30">
        <v>0.1111003257328592</v>
      </c>
      <c r="J113" s="30">
        <v>0.12090332121042702</v>
      </c>
      <c r="K113" s="30">
        <v>0.10826066483657286</v>
      </c>
      <c r="L113" s="30">
        <v>0.13306735024317248</v>
      </c>
      <c r="M113" s="30">
        <v>0.12666336775767056</v>
      </c>
      <c r="N113" s="30">
        <v>0.13651556426795808</v>
      </c>
      <c r="O113" s="30">
        <v>0.10738851408609577</v>
      </c>
      <c r="P113" s="30">
        <v>0.13819315604612289</v>
      </c>
      <c r="Q113" s="30">
        <v>0.13619021204378656</v>
      </c>
      <c r="R113" s="30">
        <v>0.13791943695304654</v>
      </c>
      <c r="S113" s="30">
        <v>0.12129739701412184</v>
      </c>
      <c r="T113" s="30">
        <v>0.11130596640664817</v>
      </c>
      <c r="U113" s="30">
        <v>0.16876154431645043</v>
      </c>
      <c r="V113" s="30">
        <v>0.13255347290741545</v>
      </c>
      <c r="W113" s="30">
        <v>0.20314154284648431</v>
      </c>
      <c r="X113" s="30">
        <v>0.13234907938773149</v>
      </c>
      <c r="Y113" s="30">
        <v>0.1563459214913378</v>
      </c>
      <c r="Z113" s="30">
        <v>0.13868775517941639</v>
      </c>
      <c r="AA113" s="30">
        <v>0.14875744814163819</v>
      </c>
      <c r="AB113" s="30">
        <v>0.15319273088043647</v>
      </c>
      <c r="AC113" s="30">
        <v>0.13946430378816235</v>
      </c>
      <c r="AD113" s="30">
        <v>0.14723847993696476</v>
      </c>
      <c r="AE113" s="30">
        <v>0.16365087329230707</v>
      </c>
      <c r="AF113" s="30">
        <v>0.13399333042170852</v>
      </c>
      <c r="AG113" s="30">
        <v>0.11785769042810428</v>
      </c>
      <c r="AH113" s="30">
        <v>0.12933839429188784</v>
      </c>
      <c r="AI113" s="30">
        <v>0.15215619294995184</v>
      </c>
      <c r="AJ113" s="30">
        <v>0.13341105096737521</v>
      </c>
      <c r="AK113" s="30">
        <v>0.13836411853163</v>
      </c>
      <c r="AL113" s="30">
        <v>0.15416865670734514</v>
      </c>
      <c r="AM113" s="30">
        <v>0.14458074665121165</v>
      </c>
      <c r="AN113" s="30">
        <v>0.13619021204378656</v>
      </c>
      <c r="AO113" s="30">
        <v>0.16876154431645043</v>
      </c>
      <c r="AP113" s="30">
        <v>0.13619021204378656</v>
      </c>
      <c r="AQ113" s="30">
        <v>0.12646431390460727</v>
      </c>
      <c r="AR113" s="30">
        <v>0.16876154431645043</v>
      </c>
      <c r="AS113" s="30">
        <v>0.16876154431645043</v>
      </c>
      <c r="AT113" s="30"/>
      <c r="AU113" s="80">
        <v>1.1667986200928735</v>
      </c>
      <c r="AV113" s="30"/>
      <c r="AW113" s="30"/>
      <c r="AX113" s="30"/>
      <c r="AY113" s="30"/>
      <c r="AZ113" s="30"/>
      <c r="BA113" s="30"/>
      <c r="BB113" s="30"/>
      <c r="BC113" s="30"/>
    </row>
    <row r="114" spans="1:55" ht="14.45" customHeight="1">
      <c r="A114" s="32" t="s">
        <v>258</v>
      </c>
      <c r="B114" s="32" t="s">
        <v>282</v>
      </c>
      <c r="C114" s="34" t="s">
        <v>265</v>
      </c>
      <c r="D114" s="30"/>
      <c r="E114" s="31" t="s">
        <v>29</v>
      </c>
      <c r="F114" s="79">
        <v>2035</v>
      </c>
      <c r="G114" s="32" t="s">
        <v>284</v>
      </c>
      <c r="H114" s="30">
        <f t="shared" si="2"/>
        <v>0.13888902666022324</v>
      </c>
      <c r="I114" s="30">
        <v>0.11252355089578471</v>
      </c>
      <c r="J114" s="30">
        <v>0.1224521253916289</v>
      </c>
      <c r="K114" s="30">
        <v>0.1096475131768823</v>
      </c>
      <c r="L114" s="30">
        <v>0.13477197891982715</v>
      </c>
      <c r="M114" s="30">
        <v>0.12828595969000264</v>
      </c>
      <c r="N114" s="30">
        <v>0.13826436549707694</v>
      </c>
      <c r="O114" s="30">
        <v>0.10876418993986428</v>
      </c>
      <c r="P114" s="30">
        <v>0.13996344767876714</v>
      </c>
      <c r="Q114" s="30">
        <v>0.13793484542308859</v>
      </c>
      <c r="R114" s="30">
        <v>0.13968622217022109</v>
      </c>
      <c r="S114" s="30">
        <v>0.1228512494127454</v>
      </c>
      <c r="T114" s="30">
        <v>0.11273182588211531</v>
      </c>
      <c r="U114" s="30">
        <v>0.17092342525443135</v>
      </c>
      <c r="V114" s="30">
        <v>0.13425151867668361</v>
      </c>
      <c r="W114" s="30">
        <v>0.20574384084613018</v>
      </c>
      <c r="X114" s="30">
        <v>0.13404450682083877</v>
      </c>
      <c r="Y114" s="30">
        <v>0.15834875494947082</v>
      </c>
      <c r="Z114" s="30">
        <v>0.14046438276046963</v>
      </c>
      <c r="AA114" s="30">
        <v>0.15066307120773823</v>
      </c>
      <c r="AB114" s="30">
        <v>0.15515517111567539</v>
      </c>
      <c r="AC114" s="30">
        <v>0.14125087916651421</v>
      </c>
      <c r="AD114" s="30">
        <v>0.14912464461033451</v>
      </c>
      <c r="AE114" s="30">
        <v>0.16574728515490034</v>
      </c>
      <c r="AF114" s="30">
        <v>0.13570982115440816</v>
      </c>
      <c r="AG114" s="30">
        <v>0.11936747925685072</v>
      </c>
      <c r="AH114" s="30">
        <v>0.13099525403621667</v>
      </c>
      <c r="AI114" s="30">
        <v>0.15410535485449944</v>
      </c>
      <c r="AJ114" s="30">
        <v>0.13512008254308505</v>
      </c>
      <c r="AK114" s="30">
        <v>0.14013660023986299</v>
      </c>
      <c r="AL114" s="30">
        <v>0.15614359881586698</v>
      </c>
      <c r="AM114" s="30">
        <v>0.1464328650437656</v>
      </c>
      <c r="AN114" s="30">
        <v>0.13793484542308859</v>
      </c>
      <c r="AO114" s="30">
        <v>0.17092342525443135</v>
      </c>
      <c r="AP114" s="30">
        <v>0.13793484542308859</v>
      </c>
      <c r="AQ114" s="30">
        <v>0.12808435590334927</v>
      </c>
      <c r="AR114" s="30">
        <v>0.17092342525443135</v>
      </c>
      <c r="AS114" s="30">
        <v>0.17092342525443135</v>
      </c>
      <c r="AT114" s="30"/>
      <c r="AU114" s="80">
        <v>1.1817456253804717</v>
      </c>
      <c r="AV114" s="30"/>
      <c r="AW114" s="30"/>
      <c r="AX114" s="30"/>
      <c r="AY114" s="30"/>
      <c r="AZ114" s="30"/>
      <c r="BA114" s="30"/>
      <c r="BB114" s="30"/>
      <c r="BC114" s="30"/>
    </row>
    <row r="115" spans="1:55" ht="14.45" customHeight="1">
      <c r="A115" s="32" t="s">
        <v>258</v>
      </c>
      <c r="B115" s="32" t="s">
        <v>282</v>
      </c>
      <c r="C115" s="34" t="s">
        <v>265</v>
      </c>
      <c r="D115" s="30"/>
      <c r="E115" s="31" t="s">
        <v>29</v>
      </c>
      <c r="F115" s="39">
        <v>2040</v>
      </c>
      <c r="G115" s="32" t="s">
        <v>284</v>
      </c>
      <c r="H115" s="30">
        <f t="shared" si="2"/>
        <v>0.14064572875523751</v>
      </c>
      <c r="I115" s="30">
        <v>0.1139467760587102</v>
      </c>
      <c r="J115" s="30">
        <v>0.12400092957283079</v>
      </c>
      <c r="K115" s="30">
        <v>0.11103436151719175</v>
      </c>
      <c r="L115" s="30">
        <v>0.13647660759648178</v>
      </c>
      <c r="M115" s="30">
        <v>0.12990855162233472</v>
      </c>
      <c r="N115" s="30">
        <v>0.14001316672619582</v>
      </c>
      <c r="O115" s="30">
        <v>0.1101398657936328</v>
      </c>
      <c r="P115" s="30">
        <v>0.14173373931141139</v>
      </c>
      <c r="Q115" s="30">
        <v>0.13967947880239065</v>
      </c>
      <c r="R115" s="30">
        <v>0.14145300738739564</v>
      </c>
      <c r="S115" s="30">
        <v>0.12440510181136896</v>
      </c>
      <c r="T115" s="30">
        <v>0.11415768535758243</v>
      </c>
      <c r="U115" s="30">
        <v>0.17308530619241227</v>
      </c>
      <c r="V115" s="30">
        <v>0.13594956444595177</v>
      </c>
      <c r="W115" s="30">
        <v>0.20834613884577605</v>
      </c>
      <c r="X115" s="30">
        <v>0.13573993425394604</v>
      </c>
      <c r="Y115" s="30">
        <v>0.16035158840760383</v>
      </c>
      <c r="Z115" s="30">
        <v>0.14224101034152287</v>
      </c>
      <c r="AA115" s="30">
        <v>0.15256869427383826</v>
      </c>
      <c r="AB115" s="30">
        <v>0.15711761135091429</v>
      </c>
      <c r="AC115" s="30">
        <v>0.14303745454486608</v>
      </c>
      <c r="AD115" s="30">
        <v>0.15101080928370422</v>
      </c>
      <c r="AE115" s="30">
        <v>0.16784369701749363</v>
      </c>
      <c r="AF115" s="30">
        <v>0.13742631188710783</v>
      </c>
      <c r="AG115" s="30">
        <v>0.12087726808559716</v>
      </c>
      <c r="AH115" s="30">
        <v>0.13265211378054548</v>
      </c>
      <c r="AI115" s="30">
        <v>0.15605451675904702</v>
      </c>
      <c r="AJ115" s="30">
        <v>0.13682911411879489</v>
      </c>
      <c r="AK115" s="30">
        <v>0.14190908194809601</v>
      </c>
      <c r="AL115" s="30">
        <v>0.15811854092438885</v>
      </c>
      <c r="AM115" s="30">
        <v>0.14828498343631952</v>
      </c>
      <c r="AN115" s="30">
        <v>0.13967947880239065</v>
      </c>
      <c r="AO115" s="30">
        <v>0.17308530619241227</v>
      </c>
      <c r="AP115" s="30">
        <v>0.13967947880239065</v>
      </c>
      <c r="AQ115" s="30">
        <v>0.12970439790209123</v>
      </c>
      <c r="AR115" s="30">
        <v>0.17308530619241227</v>
      </c>
      <c r="AS115" s="30">
        <v>0.17308530619241227</v>
      </c>
      <c r="AT115" s="30"/>
      <c r="AU115" s="80">
        <v>1.1966926306680699</v>
      </c>
      <c r="AV115" s="30"/>
      <c r="AW115" s="30"/>
      <c r="AX115" s="30"/>
      <c r="AY115" s="30"/>
      <c r="AZ115" s="30"/>
      <c r="BA115" s="30"/>
      <c r="BB115" s="30"/>
      <c r="BC115" s="30"/>
    </row>
    <row r="116" spans="1:55" ht="14.45" customHeight="1">
      <c r="A116" s="51" t="s">
        <v>258</v>
      </c>
      <c r="B116" s="51" t="s">
        <v>282</v>
      </c>
      <c r="C116" s="56" t="s">
        <v>265</v>
      </c>
      <c r="D116" s="46"/>
      <c r="E116" s="47" t="s">
        <v>29</v>
      </c>
      <c r="F116" s="48">
        <v>2050</v>
      </c>
      <c r="G116" s="51" t="s">
        <v>284</v>
      </c>
      <c r="H116" s="46">
        <f t="shared" si="2"/>
        <v>0.14415913294526583</v>
      </c>
      <c r="I116" s="46">
        <v>0.11679322638456123</v>
      </c>
      <c r="J116" s="46">
        <v>0.1270985379352346</v>
      </c>
      <c r="K116" s="46">
        <v>0.11380805819781065</v>
      </c>
      <c r="L116" s="46">
        <v>0.13988586494979111</v>
      </c>
      <c r="M116" s="46">
        <v>0.13315373548699888</v>
      </c>
      <c r="N116" s="46">
        <v>0.14351076918443356</v>
      </c>
      <c r="O116" s="46">
        <v>0.11289121750116984</v>
      </c>
      <c r="P116" s="46">
        <v>0.14527432257669995</v>
      </c>
      <c r="Q116" s="46">
        <v>0.14316874556099476</v>
      </c>
      <c r="R116" s="46">
        <v>0.14498657782174476</v>
      </c>
      <c r="S116" s="46">
        <v>0.12751280660861611</v>
      </c>
      <c r="T116" s="46">
        <v>0.11700940430851671</v>
      </c>
      <c r="U116" s="46">
        <v>0.17740906806837412</v>
      </c>
      <c r="V116" s="46">
        <v>0.13934565598448814</v>
      </c>
      <c r="W116" s="46">
        <v>0.21355073484506784</v>
      </c>
      <c r="X116" s="46">
        <v>0.13913078912016061</v>
      </c>
      <c r="Y116" s="46">
        <v>0.16435725532386988</v>
      </c>
      <c r="Z116" s="46">
        <v>0.14579426550362937</v>
      </c>
      <c r="AA116" s="46">
        <v>0.15637994040603839</v>
      </c>
      <c r="AB116" s="46">
        <v>0.16104249182139213</v>
      </c>
      <c r="AC116" s="46">
        <v>0.14661060530156983</v>
      </c>
      <c r="AD116" s="46">
        <v>0.15478313863044374</v>
      </c>
      <c r="AE116" s="46">
        <v>0.17203652074268022</v>
      </c>
      <c r="AF116" s="46">
        <v>0.14085929335250719</v>
      </c>
      <c r="AG116" s="46">
        <v>0.12389684574309007</v>
      </c>
      <c r="AH116" s="46">
        <v>0.13596583326920317</v>
      </c>
      <c r="AI116" s="46">
        <v>0.15995284056814227</v>
      </c>
      <c r="AJ116" s="46">
        <v>0.1402471772702146</v>
      </c>
      <c r="AK116" s="46">
        <v>0.14545404536456205</v>
      </c>
      <c r="AL116" s="46">
        <v>0.16206842514143255</v>
      </c>
      <c r="AM116" s="46">
        <v>0.15198922022142738</v>
      </c>
      <c r="AN116" s="46">
        <v>0.14316874556099476</v>
      </c>
      <c r="AO116" s="46">
        <v>0.17740906806837412</v>
      </c>
      <c r="AP116" s="46">
        <v>0.14316874556099476</v>
      </c>
      <c r="AQ116" s="46">
        <v>0.13294448189957522</v>
      </c>
      <c r="AR116" s="46">
        <v>0.17740906806837412</v>
      </c>
      <c r="AS116" s="46">
        <v>0.17740906806837412</v>
      </c>
      <c r="AT116" s="46"/>
      <c r="AU116" s="81">
        <v>1.2265866412432664</v>
      </c>
      <c r="AV116" s="46"/>
      <c r="AW116" s="46"/>
      <c r="AX116" s="46"/>
      <c r="AY116" s="46"/>
      <c r="AZ116" s="46"/>
      <c r="BA116" s="46"/>
      <c r="BB116" s="46"/>
      <c r="BC116" s="46"/>
    </row>
    <row r="117" spans="1:55" ht="14.45" customHeight="1">
      <c r="A117" s="32" t="s">
        <v>258</v>
      </c>
      <c r="B117" s="32" t="s">
        <v>282</v>
      </c>
      <c r="C117" s="34" t="s">
        <v>267</v>
      </c>
      <c r="D117" s="30"/>
      <c r="E117" s="31" t="s">
        <v>29</v>
      </c>
      <c r="F117" s="39">
        <v>2010</v>
      </c>
      <c r="G117" s="32" t="s">
        <v>131</v>
      </c>
      <c r="H117" s="30">
        <f t="shared" si="2"/>
        <v>0.1327403315236711</v>
      </c>
      <c r="I117" s="30">
        <v>0.13274033134472199</v>
      </c>
      <c r="J117" s="30">
        <v>0.13274033134472199</v>
      </c>
      <c r="K117" s="30">
        <v>0.13274033143188699</v>
      </c>
      <c r="L117" s="30">
        <v>0.132740330622275</v>
      </c>
      <c r="M117" s="30">
        <v>0.13274033280153699</v>
      </c>
      <c r="N117" s="30">
        <v>0.13274033134472199</v>
      </c>
      <c r="O117" s="30">
        <v>0.13274033236171401</v>
      </c>
      <c r="P117" s="30">
        <v>0.13274033268186899</v>
      </c>
      <c r="Q117" s="30">
        <v>0.132740332798573</v>
      </c>
      <c r="R117" s="30">
        <v>0.13274033304177199</v>
      </c>
      <c r="S117" s="30">
        <v>0.13274032890759799</v>
      </c>
      <c r="T117" s="30">
        <v>0.132740330015402</v>
      </c>
      <c r="U117" s="30">
        <v>0.132740329079821</v>
      </c>
      <c r="V117" s="30">
        <v>0.13274032865624</v>
      </c>
      <c r="W117" s="30">
        <v>0.13274033483890499</v>
      </c>
      <c r="X117" s="30">
        <v>0.13274033194228499</v>
      </c>
      <c r="Y117" s="30">
        <v>0.132740332323141</v>
      </c>
      <c r="Z117" s="30">
        <v>0.13274033145288699</v>
      </c>
      <c r="AA117" s="30">
        <v>0.13274033178528399</v>
      </c>
      <c r="AB117" s="30">
        <v>0.13274033134472199</v>
      </c>
      <c r="AC117" s="30">
        <v>0.13274033215036801</v>
      </c>
      <c r="AD117" s="30">
        <v>0.132740330241611</v>
      </c>
      <c r="AE117" s="30">
        <v>0.13274033134472199</v>
      </c>
      <c r="AF117" s="30">
        <v>0.132740331352457</v>
      </c>
      <c r="AG117" s="30">
        <v>0.13274033086054701</v>
      </c>
      <c r="AH117" s="30">
        <v>0.13274033165865001</v>
      </c>
      <c r="AI117" s="30">
        <v>0.13274033134472199</v>
      </c>
      <c r="AJ117" s="30">
        <v>0.132740333589635</v>
      </c>
      <c r="AK117" s="30">
        <v>0.13274033134472199</v>
      </c>
      <c r="AL117" s="30">
        <v>0.13274032959922399</v>
      </c>
      <c r="AM117" s="30">
        <v>0.13274033034493299</v>
      </c>
      <c r="AN117" s="30">
        <v>0.132740332798573</v>
      </c>
      <c r="AO117" s="30">
        <v>0.132740329079821</v>
      </c>
      <c r="AP117" s="30">
        <v>0.132740332798573</v>
      </c>
      <c r="AQ117" s="30">
        <v>0.13274033296643101</v>
      </c>
      <c r="AR117" s="30">
        <v>0.132740329079821</v>
      </c>
      <c r="AS117" s="30">
        <v>0.132740329079821</v>
      </c>
      <c r="AT117" s="30"/>
      <c r="AU117" s="80">
        <v>1</v>
      </c>
      <c r="AV117" s="30"/>
      <c r="AW117" s="30"/>
      <c r="AX117" s="30"/>
      <c r="AY117" s="30"/>
      <c r="AZ117" s="30"/>
      <c r="BA117" s="30"/>
      <c r="BB117" s="30"/>
      <c r="BC117" s="30"/>
    </row>
    <row r="118" spans="1:55" ht="14.45" customHeight="1">
      <c r="A118" s="32" t="s">
        <v>258</v>
      </c>
      <c r="B118" s="32" t="s">
        <v>282</v>
      </c>
      <c r="C118" s="34" t="s">
        <v>267</v>
      </c>
      <c r="D118" s="30"/>
      <c r="E118" s="31" t="s">
        <v>29</v>
      </c>
      <c r="F118" s="79">
        <v>2020</v>
      </c>
      <c r="G118" s="32" t="s">
        <v>131</v>
      </c>
      <c r="H118" s="30">
        <f t="shared" si="2"/>
        <v>0.135957743043393</v>
      </c>
      <c r="I118" s="30">
        <v>0.13595774286010648</v>
      </c>
      <c r="J118" s="30">
        <v>0.13595774286010648</v>
      </c>
      <c r="K118" s="30">
        <v>0.1359577429493842</v>
      </c>
      <c r="L118" s="30">
        <v>0.13595774212014852</v>
      </c>
      <c r="M118" s="30">
        <v>0.13595774435223232</v>
      </c>
      <c r="N118" s="30">
        <v>0.13595774286010648</v>
      </c>
      <c r="O118" s="30">
        <v>0.13595774390174872</v>
      </c>
      <c r="P118" s="30">
        <v>0.13595774422966375</v>
      </c>
      <c r="Q118" s="30">
        <v>0.1359577443491965</v>
      </c>
      <c r="R118" s="30">
        <v>0.13595774459829021</v>
      </c>
      <c r="S118" s="30">
        <v>0.13595774036391051</v>
      </c>
      <c r="T118" s="30">
        <v>0.1359577414985659</v>
      </c>
      <c r="U118" s="30">
        <v>0.13595774054030793</v>
      </c>
      <c r="V118" s="30">
        <v>0.13595774010646</v>
      </c>
      <c r="W118" s="30">
        <v>0.13595774643898284</v>
      </c>
      <c r="X118" s="30">
        <v>0.13595774347215345</v>
      </c>
      <c r="Y118" s="30">
        <v>0.13595774386224077</v>
      </c>
      <c r="Z118" s="30">
        <v>0.13595774297089322</v>
      </c>
      <c r="AA118" s="30">
        <v>0.135957743311347</v>
      </c>
      <c r="AB118" s="30">
        <v>0.13595774286010648</v>
      </c>
      <c r="AC118" s="30">
        <v>0.13595774368528005</v>
      </c>
      <c r="AD118" s="30">
        <v>0.13595774173025785</v>
      </c>
      <c r="AE118" s="30">
        <v>0.13595774286010648</v>
      </c>
      <c r="AF118" s="30">
        <v>0.13595774286802897</v>
      </c>
      <c r="AG118" s="30">
        <v>0.13595774236419586</v>
      </c>
      <c r="AH118" s="30">
        <v>0.13595774318164361</v>
      </c>
      <c r="AI118" s="30">
        <v>0.13595774286010648</v>
      </c>
      <c r="AJ118" s="30">
        <v>0.13595774515943254</v>
      </c>
      <c r="AK118" s="30">
        <v>0.13595774286010648</v>
      </c>
      <c r="AL118" s="30">
        <v>0.13595774107230041</v>
      </c>
      <c r="AM118" s="30">
        <v>0.13595774183608419</v>
      </c>
      <c r="AN118" s="30">
        <v>0.1359577443491965</v>
      </c>
      <c r="AO118" s="30">
        <v>0.13595774054030793</v>
      </c>
      <c r="AP118" s="30">
        <v>0.1359577443491965</v>
      </c>
      <c r="AQ118" s="30">
        <v>0.13595774452112311</v>
      </c>
      <c r="AR118" s="30">
        <v>0.13595774054030793</v>
      </c>
      <c r="AS118" s="30">
        <v>0.13595774054030793</v>
      </c>
      <c r="AT118" s="30"/>
      <c r="AU118" s="80">
        <v>1.024238386952862</v>
      </c>
      <c r="AV118" s="30"/>
      <c r="AW118" s="30"/>
      <c r="AX118" s="30"/>
      <c r="AY118" s="30"/>
      <c r="AZ118" s="30"/>
      <c r="BA118" s="30"/>
      <c r="BB118" s="30"/>
      <c r="BC118" s="30"/>
    </row>
    <row r="119" spans="1:55" ht="14.45" customHeight="1">
      <c r="A119" s="32" t="s">
        <v>258</v>
      </c>
      <c r="B119" s="32" t="s">
        <v>282</v>
      </c>
      <c r="C119" s="34" t="s">
        <v>267</v>
      </c>
      <c r="D119" s="30"/>
      <c r="E119" s="31" t="s">
        <v>29</v>
      </c>
      <c r="F119" s="79">
        <v>2025</v>
      </c>
      <c r="G119" s="32" t="s">
        <v>131</v>
      </c>
      <c r="H119" s="30">
        <f t="shared" si="2"/>
        <v>0.13774519388768294</v>
      </c>
      <c r="I119" s="30">
        <v>0.13774519370198673</v>
      </c>
      <c r="J119" s="30">
        <v>0.13774519370198673</v>
      </c>
      <c r="K119" s="30">
        <v>0.13774519379243821</v>
      </c>
      <c r="L119" s="30">
        <v>0.13774519295230048</v>
      </c>
      <c r="M119" s="30">
        <v>0.13774519521372972</v>
      </c>
      <c r="N119" s="30">
        <v>0.13774519370198673</v>
      </c>
      <c r="O119" s="30">
        <v>0.13774519475732358</v>
      </c>
      <c r="P119" s="30">
        <v>0.13774519508954974</v>
      </c>
      <c r="Q119" s="30">
        <v>0.13774519521065398</v>
      </c>
      <c r="R119" s="30">
        <v>0.13774519546302258</v>
      </c>
      <c r="S119" s="30">
        <v>0.13774519117297301</v>
      </c>
      <c r="T119" s="30">
        <v>0.13774519232254587</v>
      </c>
      <c r="U119" s="30">
        <v>0.13774519135168956</v>
      </c>
      <c r="V119" s="30">
        <v>0.1377451909121378</v>
      </c>
      <c r="W119" s="30">
        <v>0.13774519732791496</v>
      </c>
      <c r="X119" s="30">
        <v>0.13774519432208035</v>
      </c>
      <c r="Y119" s="30">
        <v>0.13774519471729621</v>
      </c>
      <c r="Z119" s="30">
        <v>0.13774519381423</v>
      </c>
      <c r="AA119" s="30">
        <v>0.13774519415915976</v>
      </c>
      <c r="AB119" s="30">
        <v>0.13774519370198673</v>
      </c>
      <c r="AC119" s="30">
        <v>0.13774519453800896</v>
      </c>
      <c r="AD119" s="30">
        <v>0.13774519255728387</v>
      </c>
      <c r="AE119" s="30">
        <v>0.13774519370198673</v>
      </c>
      <c r="AF119" s="30">
        <v>0.13774519371001337</v>
      </c>
      <c r="AG119" s="30">
        <v>0.13774519319955636</v>
      </c>
      <c r="AH119" s="30">
        <v>0.13774519402775115</v>
      </c>
      <c r="AI119" s="30">
        <v>0.13774519370198673</v>
      </c>
      <c r="AJ119" s="30">
        <v>0.13774519603154228</v>
      </c>
      <c r="AK119" s="30">
        <v>0.13774519370198673</v>
      </c>
      <c r="AL119" s="30">
        <v>0.13774519189067622</v>
      </c>
      <c r="AM119" s="30">
        <v>0.13774519266450153</v>
      </c>
      <c r="AN119" s="30">
        <v>0.13774519521065398</v>
      </c>
      <c r="AO119" s="30">
        <v>0.13774519135168956</v>
      </c>
      <c r="AP119" s="30">
        <v>0.13774519521065398</v>
      </c>
      <c r="AQ119" s="30">
        <v>0.13774519538484092</v>
      </c>
      <c r="AR119" s="30">
        <v>0.13774519135168956</v>
      </c>
      <c r="AS119" s="30">
        <v>0.13774519135168956</v>
      </c>
      <c r="AT119" s="30"/>
      <c r="AU119" s="80">
        <v>1.0377041574822297</v>
      </c>
      <c r="AV119" s="30"/>
      <c r="AW119" s="30"/>
      <c r="AX119" s="30"/>
      <c r="AY119" s="30"/>
      <c r="AZ119" s="30"/>
      <c r="BA119" s="30"/>
      <c r="BB119" s="30"/>
      <c r="BC119" s="30"/>
    </row>
    <row r="120" spans="1:55" ht="14.45" customHeight="1">
      <c r="A120" s="32" t="s">
        <v>258</v>
      </c>
      <c r="B120" s="32" t="s">
        <v>282</v>
      </c>
      <c r="C120" s="34" t="s">
        <v>267</v>
      </c>
      <c r="D120" s="30"/>
      <c r="E120" s="31" t="s">
        <v>29</v>
      </c>
      <c r="F120" s="79">
        <v>2030</v>
      </c>
      <c r="G120" s="32" t="s">
        <v>131</v>
      </c>
      <c r="H120" s="30">
        <f t="shared" si="2"/>
        <v>0.13953264473197288</v>
      </c>
      <c r="I120" s="30">
        <v>0.13953264454386702</v>
      </c>
      <c r="J120" s="30">
        <v>0.13953264454386702</v>
      </c>
      <c r="K120" s="30">
        <v>0.13953264463549225</v>
      </c>
      <c r="L120" s="30">
        <v>0.13953264378445249</v>
      </c>
      <c r="M120" s="30">
        <v>0.13953264607522714</v>
      </c>
      <c r="N120" s="30">
        <v>0.13953264454386702</v>
      </c>
      <c r="O120" s="30">
        <v>0.13953264561289846</v>
      </c>
      <c r="P120" s="30">
        <v>0.13953264594943574</v>
      </c>
      <c r="Q120" s="30">
        <v>0.13953264607211149</v>
      </c>
      <c r="R120" s="30">
        <v>0.13953264632775494</v>
      </c>
      <c r="S120" s="30">
        <v>0.13953264198203555</v>
      </c>
      <c r="T120" s="30">
        <v>0.13953264314652583</v>
      </c>
      <c r="U120" s="30">
        <v>0.13953264216307121</v>
      </c>
      <c r="V120" s="30">
        <v>0.1395326417178156</v>
      </c>
      <c r="W120" s="30">
        <v>0.1395326482168471</v>
      </c>
      <c r="X120" s="30">
        <v>0.13953264517200728</v>
      </c>
      <c r="Y120" s="30">
        <v>0.13953264557235168</v>
      </c>
      <c r="Z120" s="30">
        <v>0.13953264465756682</v>
      </c>
      <c r="AA120" s="30">
        <v>0.13953264500697254</v>
      </c>
      <c r="AB120" s="30">
        <v>0.13953264454386702</v>
      </c>
      <c r="AC120" s="30">
        <v>0.1395326453907379</v>
      </c>
      <c r="AD120" s="30">
        <v>0.13953264338430993</v>
      </c>
      <c r="AE120" s="30">
        <v>0.13953264454386702</v>
      </c>
      <c r="AF120" s="30">
        <v>0.13953264455199782</v>
      </c>
      <c r="AG120" s="30">
        <v>0.13953264403491686</v>
      </c>
      <c r="AH120" s="30">
        <v>0.13953264487385872</v>
      </c>
      <c r="AI120" s="30">
        <v>0.13953264454386702</v>
      </c>
      <c r="AJ120" s="30">
        <v>0.13953264690365208</v>
      </c>
      <c r="AK120" s="30">
        <v>0.13953264454386702</v>
      </c>
      <c r="AL120" s="30">
        <v>0.13953264270905202</v>
      </c>
      <c r="AM120" s="30">
        <v>0.13953264349291888</v>
      </c>
      <c r="AN120" s="30">
        <v>0.13953264607211149</v>
      </c>
      <c r="AO120" s="30">
        <v>0.13953264216307121</v>
      </c>
      <c r="AP120" s="30">
        <v>0.13953264607211149</v>
      </c>
      <c r="AQ120" s="30">
        <v>0.13953264624855877</v>
      </c>
      <c r="AR120" s="30">
        <v>0.13953264216307121</v>
      </c>
      <c r="AS120" s="30">
        <v>0.13953264216307121</v>
      </c>
      <c r="AT120" s="30"/>
      <c r="AU120" s="80">
        <v>1.0511699280115976</v>
      </c>
      <c r="AV120" s="30"/>
      <c r="AW120" s="30"/>
      <c r="AX120" s="30"/>
      <c r="AY120" s="30"/>
      <c r="AZ120" s="30"/>
      <c r="BA120" s="30"/>
      <c r="BB120" s="30"/>
      <c r="BC120" s="30"/>
    </row>
    <row r="121" spans="1:55" ht="14.45" customHeight="1">
      <c r="A121" s="32" t="s">
        <v>258</v>
      </c>
      <c r="B121" s="32" t="s">
        <v>282</v>
      </c>
      <c r="C121" s="34" t="s">
        <v>267</v>
      </c>
      <c r="D121" s="30"/>
      <c r="E121" s="31" t="s">
        <v>29</v>
      </c>
      <c r="F121" s="79">
        <v>2035</v>
      </c>
      <c r="G121" s="32" t="s">
        <v>131</v>
      </c>
      <c r="H121" s="30">
        <f t="shared" si="2"/>
        <v>0.14132009557626288</v>
      </c>
      <c r="I121" s="30">
        <v>0.14132009538574733</v>
      </c>
      <c r="J121" s="30">
        <v>0.14132009538574733</v>
      </c>
      <c r="K121" s="30">
        <v>0.14132009547854629</v>
      </c>
      <c r="L121" s="30">
        <v>0.14132009461660447</v>
      </c>
      <c r="M121" s="30">
        <v>0.14132009693672457</v>
      </c>
      <c r="N121" s="30">
        <v>0.14132009538574733</v>
      </c>
      <c r="O121" s="30">
        <v>0.14132009646847332</v>
      </c>
      <c r="P121" s="30">
        <v>0.14132009680932175</v>
      </c>
      <c r="Q121" s="30">
        <v>0.14132009693356901</v>
      </c>
      <c r="R121" s="30">
        <v>0.14132009719248734</v>
      </c>
      <c r="S121" s="30">
        <v>0.14132009279109811</v>
      </c>
      <c r="T121" s="30">
        <v>0.14132009397050579</v>
      </c>
      <c r="U121" s="30">
        <v>0.14132009297445286</v>
      </c>
      <c r="V121" s="30">
        <v>0.14132009252349342</v>
      </c>
      <c r="W121" s="30">
        <v>0.14132009910577928</v>
      </c>
      <c r="X121" s="30">
        <v>0.14132009602193421</v>
      </c>
      <c r="Y121" s="30">
        <v>0.14132009642740712</v>
      </c>
      <c r="Z121" s="30">
        <v>0.14132009550090363</v>
      </c>
      <c r="AA121" s="30">
        <v>0.14132009585478536</v>
      </c>
      <c r="AB121" s="30">
        <v>0.14132009538574733</v>
      </c>
      <c r="AC121" s="30">
        <v>0.14132009624346684</v>
      </c>
      <c r="AD121" s="30">
        <v>0.14132009421133598</v>
      </c>
      <c r="AE121" s="30">
        <v>0.14132009538574733</v>
      </c>
      <c r="AF121" s="30">
        <v>0.14132009539398227</v>
      </c>
      <c r="AG121" s="30">
        <v>0.14132009487027736</v>
      </c>
      <c r="AH121" s="30">
        <v>0.14132009571996629</v>
      </c>
      <c r="AI121" s="30">
        <v>0.14132009538574733</v>
      </c>
      <c r="AJ121" s="30">
        <v>0.14132009777576185</v>
      </c>
      <c r="AK121" s="30">
        <v>0.14132009538574733</v>
      </c>
      <c r="AL121" s="30">
        <v>0.14132009352742783</v>
      </c>
      <c r="AM121" s="30">
        <v>0.14132009432133624</v>
      </c>
      <c r="AN121" s="30">
        <v>0.14132009693356901</v>
      </c>
      <c r="AO121" s="30">
        <v>0.14132009297445286</v>
      </c>
      <c r="AP121" s="30">
        <v>0.14132009693356901</v>
      </c>
      <c r="AQ121" s="30">
        <v>0.14132009711227664</v>
      </c>
      <c r="AR121" s="30">
        <v>0.14132009297445286</v>
      </c>
      <c r="AS121" s="30">
        <v>0.14132009297445286</v>
      </c>
      <c r="AT121" s="30"/>
      <c r="AU121" s="80">
        <v>1.0646356985409655</v>
      </c>
      <c r="AV121" s="30"/>
      <c r="AW121" s="30"/>
      <c r="AX121" s="30"/>
      <c r="AY121" s="30"/>
      <c r="AZ121" s="30"/>
      <c r="BA121" s="30"/>
      <c r="BB121" s="30"/>
      <c r="BC121" s="30"/>
    </row>
    <row r="122" spans="1:55" ht="14.45" customHeight="1">
      <c r="A122" s="32" t="s">
        <v>258</v>
      </c>
      <c r="B122" s="32" t="s">
        <v>282</v>
      </c>
      <c r="C122" s="34" t="s">
        <v>267</v>
      </c>
      <c r="D122" s="30"/>
      <c r="E122" s="31" t="s">
        <v>29</v>
      </c>
      <c r="F122" s="39">
        <v>2040</v>
      </c>
      <c r="G122" s="32" t="s">
        <v>131</v>
      </c>
      <c r="H122" s="30">
        <f t="shared" si="2"/>
        <v>0.14310754642055287</v>
      </c>
      <c r="I122" s="30">
        <v>0.14310754622762761</v>
      </c>
      <c r="J122" s="30">
        <v>0.14310754622762761</v>
      </c>
      <c r="K122" s="30">
        <v>0.14310754632160033</v>
      </c>
      <c r="L122" s="30">
        <v>0.14310754544875645</v>
      </c>
      <c r="M122" s="30">
        <v>0.14310754779822199</v>
      </c>
      <c r="N122" s="30">
        <v>0.14310754622762761</v>
      </c>
      <c r="O122" s="30">
        <v>0.14310754732404821</v>
      </c>
      <c r="P122" s="30">
        <v>0.14310754766920775</v>
      </c>
      <c r="Q122" s="30">
        <v>0.14310754779502652</v>
      </c>
      <c r="R122" s="30">
        <v>0.1431075480572197</v>
      </c>
      <c r="S122" s="30">
        <v>0.14310754360016065</v>
      </c>
      <c r="T122" s="30">
        <v>0.14310754479448579</v>
      </c>
      <c r="U122" s="30">
        <v>0.14310754378583451</v>
      </c>
      <c r="V122" s="30">
        <v>0.14310754332917122</v>
      </c>
      <c r="W122" s="30">
        <v>0.14310754999471142</v>
      </c>
      <c r="X122" s="30">
        <v>0.14310754687186114</v>
      </c>
      <c r="Y122" s="30">
        <v>0.14310754728246258</v>
      </c>
      <c r="Z122" s="30">
        <v>0.14310754634424044</v>
      </c>
      <c r="AA122" s="30">
        <v>0.14310754670259815</v>
      </c>
      <c r="AB122" s="30">
        <v>0.14310754622762761</v>
      </c>
      <c r="AC122" s="30">
        <v>0.14310754709619578</v>
      </c>
      <c r="AD122" s="30">
        <v>0.14310754503836204</v>
      </c>
      <c r="AE122" s="30">
        <v>0.14310754622762761</v>
      </c>
      <c r="AF122" s="30">
        <v>0.14310754623596672</v>
      </c>
      <c r="AG122" s="30">
        <v>0.14310754570563786</v>
      </c>
      <c r="AH122" s="30">
        <v>0.14310754656607386</v>
      </c>
      <c r="AI122" s="30">
        <v>0.14310754622762761</v>
      </c>
      <c r="AJ122" s="30">
        <v>0.14310754864787162</v>
      </c>
      <c r="AK122" s="30">
        <v>0.14310754622762761</v>
      </c>
      <c r="AL122" s="30">
        <v>0.14310754434580367</v>
      </c>
      <c r="AM122" s="30">
        <v>0.14310754514975363</v>
      </c>
      <c r="AN122" s="30">
        <v>0.14310754779502652</v>
      </c>
      <c r="AO122" s="30">
        <v>0.14310754378583451</v>
      </c>
      <c r="AP122" s="30">
        <v>0.14310754779502652</v>
      </c>
      <c r="AQ122" s="30">
        <v>0.14310754797599448</v>
      </c>
      <c r="AR122" s="30">
        <v>0.14310754378583451</v>
      </c>
      <c r="AS122" s="30">
        <v>0.14310754378583451</v>
      </c>
      <c r="AT122" s="30"/>
      <c r="AU122" s="80">
        <v>1.0781014690703334</v>
      </c>
      <c r="AV122" s="30"/>
      <c r="AW122" s="30"/>
      <c r="AX122" s="30"/>
      <c r="AY122" s="30"/>
      <c r="AZ122" s="30"/>
      <c r="BA122" s="30"/>
      <c r="BB122" s="30"/>
      <c r="BC122" s="30"/>
    </row>
    <row r="123" spans="1:55" ht="14.45" customHeight="1">
      <c r="A123" s="51" t="s">
        <v>258</v>
      </c>
      <c r="B123" s="51" t="s">
        <v>282</v>
      </c>
      <c r="C123" s="56" t="s">
        <v>267</v>
      </c>
      <c r="D123" s="46"/>
      <c r="E123" s="47" t="s">
        <v>29</v>
      </c>
      <c r="F123" s="48">
        <v>2050</v>
      </c>
      <c r="G123" s="51" t="s">
        <v>131</v>
      </c>
      <c r="H123" s="46">
        <f t="shared" si="2"/>
        <v>0.14668244810913275</v>
      </c>
      <c r="I123" s="46">
        <v>0.14668244791138813</v>
      </c>
      <c r="J123" s="46">
        <v>0.14668244791138813</v>
      </c>
      <c r="K123" s="46">
        <v>0.14668244800770833</v>
      </c>
      <c r="L123" s="46">
        <v>0.14668244711306036</v>
      </c>
      <c r="M123" s="46">
        <v>0.14668244952121678</v>
      </c>
      <c r="N123" s="46">
        <v>0.14668244791138813</v>
      </c>
      <c r="O123" s="46">
        <v>0.14668244903519789</v>
      </c>
      <c r="P123" s="46">
        <v>0.1466824493889797</v>
      </c>
      <c r="Q123" s="46">
        <v>0.14668244951794149</v>
      </c>
      <c r="R123" s="46">
        <v>0.1466824497866844</v>
      </c>
      <c r="S123" s="46">
        <v>0.14668244521828566</v>
      </c>
      <c r="T123" s="46">
        <v>0.14668244644244566</v>
      </c>
      <c r="U123" s="46">
        <v>0.14668244540859776</v>
      </c>
      <c r="V123" s="46">
        <v>0.14668244494052679</v>
      </c>
      <c r="W123" s="46">
        <v>0.14668245177257569</v>
      </c>
      <c r="X123" s="46">
        <v>0.14668244857171497</v>
      </c>
      <c r="Y123" s="46">
        <v>0.14668244899257343</v>
      </c>
      <c r="Z123" s="46">
        <v>0.14668244803091404</v>
      </c>
      <c r="AA123" s="46">
        <v>0.1466824483982237</v>
      </c>
      <c r="AB123" s="46">
        <v>0.14668244791138813</v>
      </c>
      <c r="AC123" s="46">
        <v>0.14668244880165357</v>
      </c>
      <c r="AD123" s="46">
        <v>0.14668244669241406</v>
      </c>
      <c r="AE123" s="46">
        <v>0.14668244791138813</v>
      </c>
      <c r="AF123" s="46">
        <v>0.14668244791993557</v>
      </c>
      <c r="AG123" s="46">
        <v>0.1466824473763588</v>
      </c>
      <c r="AH123" s="46">
        <v>0.14668244825828897</v>
      </c>
      <c r="AI123" s="46">
        <v>0.14668244791138813</v>
      </c>
      <c r="AJ123" s="46">
        <v>0.1466824503920911</v>
      </c>
      <c r="AK123" s="46">
        <v>0.14668244791138813</v>
      </c>
      <c r="AL123" s="46">
        <v>0.14668244598255523</v>
      </c>
      <c r="AM123" s="46">
        <v>0.14668244680658829</v>
      </c>
      <c r="AN123" s="46">
        <v>0.14668244951794149</v>
      </c>
      <c r="AO123" s="46">
        <v>0.14668244540859776</v>
      </c>
      <c r="AP123" s="46">
        <v>0.14668244951794149</v>
      </c>
      <c r="AQ123" s="46">
        <v>0.14668244970343014</v>
      </c>
      <c r="AR123" s="46">
        <v>0.14668244540859776</v>
      </c>
      <c r="AS123" s="46">
        <v>0.14668244540859776</v>
      </c>
      <c r="AT123" s="46"/>
      <c r="AU123" s="81">
        <v>1.1050330101290688</v>
      </c>
      <c r="AV123" s="46"/>
      <c r="AW123" s="46"/>
      <c r="AX123" s="46"/>
      <c r="AY123" s="46"/>
      <c r="AZ123" s="46"/>
      <c r="BA123" s="46"/>
      <c r="BB123" s="46"/>
      <c r="BC123" s="46"/>
    </row>
    <row r="124" spans="1:55" ht="14.45" customHeight="1">
      <c r="A124" s="32" t="s">
        <v>258</v>
      </c>
      <c r="B124" s="32" t="s">
        <v>282</v>
      </c>
      <c r="C124" s="34" t="s">
        <v>268</v>
      </c>
      <c r="D124" s="30"/>
      <c r="E124" s="31" t="s">
        <v>29</v>
      </c>
      <c r="F124" s="39">
        <v>2010</v>
      </c>
      <c r="G124" s="32" t="s">
        <v>281</v>
      </c>
      <c r="H124" s="30">
        <f t="shared" si="2"/>
        <v>0.1327403315236711</v>
      </c>
      <c r="I124" s="30">
        <v>0.13274033134472199</v>
      </c>
      <c r="J124" s="30">
        <v>0.13274033134472199</v>
      </c>
      <c r="K124" s="30">
        <v>0.13274033143188699</v>
      </c>
      <c r="L124" s="30">
        <v>0.132740330622275</v>
      </c>
      <c r="M124" s="30">
        <v>0.13274033280153699</v>
      </c>
      <c r="N124" s="30">
        <v>0.13274033134472199</v>
      </c>
      <c r="O124" s="30">
        <v>0.13274033236171401</v>
      </c>
      <c r="P124" s="30">
        <v>0.13274033268186899</v>
      </c>
      <c r="Q124" s="30">
        <v>0.132740332798573</v>
      </c>
      <c r="R124" s="30">
        <v>0.13274033304177199</v>
      </c>
      <c r="S124" s="30">
        <v>0.13274032890759799</v>
      </c>
      <c r="T124" s="30">
        <v>0.132740330015402</v>
      </c>
      <c r="U124" s="30">
        <v>0.132740329079821</v>
      </c>
      <c r="V124" s="30">
        <v>0.13274032865624</v>
      </c>
      <c r="W124" s="30">
        <v>0.13274033483890499</v>
      </c>
      <c r="X124" s="30">
        <v>0.13274033194228499</v>
      </c>
      <c r="Y124" s="30">
        <v>0.132740332323141</v>
      </c>
      <c r="Z124" s="30">
        <v>0.13274033145288699</v>
      </c>
      <c r="AA124" s="30">
        <v>0.13274033178528399</v>
      </c>
      <c r="AB124" s="30">
        <v>0.13274033134472199</v>
      </c>
      <c r="AC124" s="30">
        <v>0.13274033215036801</v>
      </c>
      <c r="AD124" s="30">
        <v>0.132740330241611</v>
      </c>
      <c r="AE124" s="30">
        <v>0.13274033134472199</v>
      </c>
      <c r="AF124" s="30">
        <v>0.132740331352457</v>
      </c>
      <c r="AG124" s="30">
        <v>0.13274033086054701</v>
      </c>
      <c r="AH124" s="30">
        <v>0.13274033165865001</v>
      </c>
      <c r="AI124" s="30">
        <v>0.13274033134472199</v>
      </c>
      <c r="AJ124" s="30">
        <v>0.132740333589635</v>
      </c>
      <c r="AK124" s="30">
        <v>0.13274033134472199</v>
      </c>
      <c r="AL124" s="30">
        <v>0.13274032959922399</v>
      </c>
      <c r="AM124" s="30">
        <v>0.13274033034493299</v>
      </c>
      <c r="AN124" s="30">
        <v>0.132740332798573</v>
      </c>
      <c r="AO124" s="30">
        <v>0.132740329079821</v>
      </c>
      <c r="AP124" s="30">
        <v>0.132740332798573</v>
      </c>
      <c r="AQ124" s="30">
        <v>0.13274033296643101</v>
      </c>
      <c r="AR124" s="30">
        <v>0.132740329079821</v>
      </c>
      <c r="AS124" s="30">
        <v>0.132740329079821</v>
      </c>
      <c r="AT124" s="30"/>
      <c r="AU124" s="80">
        <v>1</v>
      </c>
      <c r="AV124" s="30"/>
      <c r="AW124" s="30"/>
      <c r="AX124" s="30"/>
      <c r="AY124" s="30"/>
      <c r="AZ124" s="30"/>
      <c r="BA124" s="30"/>
      <c r="BB124" s="30"/>
      <c r="BC124" s="30"/>
    </row>
    <row r="125" spans="1:55" ht="14.45" customHeight="1">
      <c r="A125" s="32" t="s">
        <v>258</v>
      </c>
      <c r="B125" s="32" t="s">
        <v>282</v>
      </c>
      <c r="C125" s="34" t="s">
        <v>268</v>
      </c>
      <c r="D125" s="30"/>
      <c r="E125" s="31" t="s">
        <v>29</v>
      </c>
      <c r="F125" s="79">
        <v>2020</v>
      </c>
      <c r="G125" s="32" t="s">
        <v>281</v>
      </c>
      <c r="H125" s="30">
        <f t="shared" si="2"/>
        <v>0.135957743043393</v>
      </c>
      <c r="I125" s="30">
        <v>0.13595774286010648</v>
      </c>
      <c r="J125" s="30">
        <v>0.13595774286010648</v>
      </c>
      <c r="K125" s="30">
        <v>0.1359577429493842</v>
      </c>
      <c r="L125" s="30">
        <v>0.13595774212014852</v>
      </c>
      <c r="M125" s="30">
        <v>0.13595774435223232</v>
      </c>
      <c r="N125" s="30">
        <v>0.13595774286010648</v>
      </c>
      <c r="O125" s="30">
        <v>0.13595774390174872</v>
      </c>
      <c r="P125" s="30">
        <v>0.13595774422966375</v>
      </c>
      <c r="Q125" s="30">
        <v>0.1359577443491965</v>
      </c>
      <c r="R125" s="30">
        <v>0.13595774459829021</v>
      </c>
      <c r="S125" s="30">
        <v>0.13595774036391051</v>
      </c>
      <c r="T125" s="30">
        <v>0.1359577414985659</v>
      </c>
      <c r="U125" s="30">
        <v>0.13595774054030793</v>
      </c>
      <c r="V125" s="30">
        <v>0.13595774010646</v>
      </c>
      <c r="W125" s="30">
        <v>0.13595774643898284</v>
      </c>
      <c r="X125" s="30">
        <v>0.13595774347215345</v>
      </c>
      <c r="Y125" s="30">
        <v>0.13595774386224077</v>
      </c>
      <c r="Z125" s="30">
        <v>0.13595774297089322</v>
      </c>
      <c r="AA125" s="30">
        <v>0.135957743311347</v>
      </c>
      <c r="AB125" s="30">
        <v>0.13595774286010648</v>
      </c>
      <c r="AC125" s="30">
        <v>0.13595774368528005</v>
      </c>
      <c r="AD125" s="30">
        <v>0.13595774173025785</v>
      </c>
      <c r="AE125" s="30">
        <v>0.13595774286010648</v>
      </c>
      <c r="AF125" s="30">
        <v>0.13595774286802897</v>
      </c>
      <c r="AG125" s="30">
        <v>0.13595774236419586</v>
      </c>
      <c r="AH125" s="30">
        <v>0.13595774318164361</v>
      </c>
      <c r="AI125" s="30">
        <v>0.13595774286010648</v>
      </c>
      <c r="AJ125" s="30">
        <v>0.13595774515943254</v>
      </c>
      <c r="AK125" s="30">
        <v>0.13595774286010648</v>
      </c>
      <c r="AL125" s="30">
        <v>0.13595774107230041</v>
      </c>
      <c r="AM125" s="30">
        <v>0.13595774183608419</v>
      </c>
      <c r="AN125" s="30">
        <v>0.1359577443491965</v>
      </c>
      <c r="AO125" s="30">
        <v>0.13595774054030793</v>
      </c>
      <c r="AP125" s="30">
        <v>0.1359577443491965</v>
      </c>
      <c r="AQ125" s="30">
        <v>0.13595774452112311</v>
      </c>
      <c r="AR125" s="30">
        <v>0.13595774054030793</v>
      </c>
      <c r="AS125" s="30">
        <v>0.13595774054030793</v>
      </c>
      <c r="AT125" s="30"/>
      <c r="AU125" s="80">
        <v>1.024238386952862</v>
      </c>
      <c r="AV125" s="30"/>
      <c r="AW125" s="30"/>
      <c r="AX125" s="30"/>
      <c r="AY125" s="30"/>
      <c r="AZ125" s="30"/>
      <c r="BA125" s="30"/>
      <c r="BB125" s="30"/>
      <c r="BC125" s="30"/>
    </row>
    <row r="126" spans="1:55" ht="14.45" customHeight="1">
      <c r="A126" s="32" t="s">
        <v>258</v>
      </c>
      <c r="B126" s="32" t="s">
        <v>282</v>
      </c>
      <c r="C126" s="34" t="s">
        <v>268</v>
      </c>
      <c r="D126" s="30"/>
      <c r="E126" s="31" t="s">
        <v>29</v>
      </c>
      <c r="F126" s="79">
        <v>2025</v>
      </c>
      <c r="G126" s="32" t="s">
        <v>281</v>
      </c>
      <c r="H126" s="30">
        <f t="shared" si="2"/>
        <v>0.13774519388768294</v>
      </c>
      <c r="I126" s="30">
        <v>0.13774519370198673</v>
      </c>
      <c r="J126" s="30">
        <v>0.13774519370198673</v>
      </c>
      <c r="K126" s="30">
        <v>0.13774519379243821</v>
      </c>
      <c r="L126" s="30">
        <v>0.13774519295230048</v>
      </c>
      <c r="M126" s="30">
        <v>0.13774519521372972</v>
      </c>
      <c r="N126" s="30">
        <v>0.13774519370198673</v>
      </c>
      <c r="O126" s="30">
        <v>0.13774519475732358</v>
      </c>
      <c r="P126" s="30">
        <v>0.13774519508954974</v>
      </c>
      <c r="Q126" s="30">
        <v>0.13774519521065398</v>
      </c>
      <c r="R126" s="30">
        <v>0.13774519546302258</v>
      </c>
      <c r="S126" s="30">
        <v>0.13774519117297301</v>
      </c>
      <c r="T126" s="30">
        <v>0.13774519232254587</v>
      </c>
      <c r="U126" s="30">
        <v>0.13774519135168956</v>
      </c>
      <c r="V126" s="30">
        <v>0.1377451909121378</v>
      </c>
      <c r="W126" s="30">
        <v>0.13774519732791496</v>
      </c>
      <c r="X126" s="30">
        <v>0.13774519432208035</v>
      </c>
      <c r="Y126" s="30">
        <v>0.13774519471729621</v>
      </c>
      <c r="Z126" s="30">
        <v>0.13774519381423</v>
      </c>
      <c r="AA126" s="30">
        <v>0.13774519415915976</v>
      </c>
      <c r="AB126" s="30">
        <v>0.13774519370198673</v>
      </c>
      <c r="AC126" s="30">
        <v>0.13774519453800896</v>
      </c>
      <c r="AD126" s="30">
        <v>0.13774519255728387</v>
      </c>
      <c r="AE126" s="30">
        <v>0.13774519370198673</v>
      </c>
      <c r="AF126" s="30">
        <v>0.13774519371001337</v>
      </c>
      <c r="AG126" s="30">
        <v>0.13774519319955636</v>
      </c>
      <c r="AH126" s="30">
        <v>0.13774519402775115</v>
      </c>
      <c r="AI126" s="30">
        <v>0.13774519370198673</v>
      </c>
      <c r="AJ126" s="30">
        <v>0.13774519603154228</v>
      </c>
      <c r="AK126" s="30">
        <v>0.13774519370198673</v>
      </c>
      <c r="AL126" s="30">
        <v>0.13774519189067622</v>
      </c>
      <c r="AM126" s="30">
        <v>0.13774519266450153</v>
      </c>
      <c r="AN126" s="30">
        <v>0.13774519521065398</v>
      </c>
      <c r="AO126" s="30">
        <v>0.13774519135168956</v>
      </c>
      <c r="AP126" s="30">
        <v>0.13774519521065398</v>
      </c>
      <c r="AQ126" s="30">
        <v>0.13774519538484092</v>
      </c>
      <c r="AR126" s="30">
        <v>0.13774519135168956</v>
      </c>
      <c r="AS126" s="30">
        <v>0.13774519135168956</v>
      </c>
      <c r="AT126" s="30"/>
      <c r="AU126" s="80">
        <v>1.0377041574822297</v>
      </c>
      <c r="AV126" s="30"/>
      <c r="AW126" s="30"/>
      <c r="AX126" s="30"/>
      <c r="AY126" s="30"/>
      <c r="AZ126" s="30"/>
      <c r="BA126" s="30"/>
      <c r="BB126" s="30"/>
      <c r="BC126" s="30"/>
    </row>
    <row r="127" spans="1:55" ht="14.45" customHeight="1">
      <c r="A127" s="32" t="s">
        <v>258</v>
      </c>
      <c r="B127" s="32" t="s">
        <v>282</v>
      </c>
      <c r="C127" s="34" t="s">
        <v>268</v>
      </c>
      <c r="D127" s="30"/>
      <c r="E127" s="31" t="s">
        <v>29</v>
      </c>
      <c r="F127" s="79">
        <v>2030</v>
      </c>
      <c r="G127" s="32" t="s">
        <v>281</v>
      </c>
      <c r="H127" s="30">
        <f t="shared" si="2"/>
        <v>0.13953264473197288</v>
      </c>
      <c r="I127" s="30">
        <v>0.13953264454386702</v>
      </c>
      <c r="J127" s="30">
        <v>0.13953264454386702</v>
      </c>
      <c r="K127" s="30">
        <v>0.13953264463549225</v>
      </c>
      <c r="L127" s="30">
        <v>0.13953264378445249</v>
      </c>
      <c r="M127" s="30">
        <v>0.13953264607522714</v>
      </c>
      <c r="N127" s="30">
        <v>0.13953264454386702</v>
      </c>
      <c r="O127" s="30">
        <v>0.13953264561289846</v>
      </c>
      <c r="P127" s="30">
        <v>0.13953264594943574</v>
      </c>
      <c r="Q127" s="30">
        <v>0.13953264607211149</v>
      </c>
      <c r="R127" s="30">
        <v>0.13953264632775494</v>
      </c>
      <c r="S127" s="30">
        <v>0.13953264198203555</v>
      </c>
      <c r="T127" s="30">
        <v>0.13953264314652583</v>
      </c>
      <c r="U127" s="30">
        <v>0.13953264216307121</v>
      </c>
      <c r="V127" s="30">
        <v>0.1395326417178156</v>
      </c>
      <c r="W127" s="30">
        <v>0.1395326482168471</v>
      </c>
      <c r="X127" s="30">
        <v>0.13953264517200728</v>
      </c>
      <c r="Y127" s="30">
        <v>0.13953264557235168</v>
      </c>
      <c r="Z127" s="30">
        <v>0.13953264465756682</v>
      </c>
      <c r="AA127" s="30">
        <v>0.13953264500697254</v>
      </c>
      <c r="AB127" s="30">
        <v>0.13953264454386702</v>
      </c>
      <c r="AC127" s="30">
        <v>0.1395326453907379</v>
      </c>
      <c r="AD127" s="30">
        <v>0.13953264338430993</v>
      </c>
      <c r="AE127" s="30">
        <v>0.13953264454386702</v>
      </c>
      <c r="AF127" s="30">
        <v>0.13953264455199782</v>
      </c>
      <c r="AG127" s="30">
        <v>0.13953264403491686</v>
      </c>
      <c r="AH127" s="30">
        <v>0.13953264487385872</v>
      </c>
      <c r="AI127" s="30">
        <v>0.13953264454386702</v>
      </c>
      <c r="AJ127" s="30">
        <v>0.13953264690365208</v>
      </c>
      <c r="AK127" s="30">
        <v>0.13953264454386702</v>
      </c>
      <c r="AL127" s="30">
        <v>0.13953264270905202</v>
      </c>
      <c r="AM127" s="30">
        <v>0.13953264349291888</v>
      </c>
      <c r="AN127" s="30">
        <v>0.13953264607211149</v>
      </c>
      <c r="AO127" s="30">
        <v>0.13953264216307121</v>
      </c>
      <c r="AP127" s="30">
        <v>0.13953264607211149</v>
      </c>
      <c r="AQ127" s="30">
        <v>0.13953264624855877</v>
      </c>
      <c r="AR127" s="30">
        <v>0.13953264216307121</v>
      </c>
      <c r="AS127" s="30">
        <v>0.13953264216307121</v>
      </c>
      <c r="AT127" s="30"/>
      <c r="AU127" s="80">
        <v>1.0511699280115976</v>
      </c>
      <c r="AV127" s="30"/>
      <c r="AW127" s="30"/>
      <c r="AX127" s="30"/>
      <c r="AY127" s="30"/>
      <c r="AZ127" s="30"/>
      <c r="BA127" s="30"/>
      <c r="BB127" s="30"/>
      <c r="BC127" s="30"/>
    </row>
    <row r="128" spans="1:55" ht="14.45" customHeight="1">
      <c r="A128" s="32" t="s">
        <v>258</v>
      </c>
      <c r="B128" s="32" t="s">
        <v>282</v>
      </c>
      <c r="C128" s="34" t="s">
        <v>268</v>
      </c>
      <c r="D128" s="30"/>
      <c r="E128" s="31" t="s">
        <v>29</v>
      </c>
      <c r="F128" s="79">
        <v>2035</v>
      </c>
      <c r="G128" s="32" t="s">
        <v>281</v>
      </c>
      <c r="H128" s="30">
        <f t="shared" si="2"/>
        <v>0.14132009557626288</v>
      </c>
      <c r="I128" s="30">
        <v>0.14132009538574733</v>
      </c>
      <c r="J128" s="30">
        <v>0.14132009538574733</v>
      </c>
      <c r="K128" s="30">
        <v>0.14132009547854629</v>
      </c>
      <c r="L128" s="30">
        <v>0.14132009461660447</v>
      </c>
      <c r="M128" s="30">
        <v>0.14132009693672457</v>
      </c>
      <c r="N128" s="30">
        <v>0.14132009538574733</v>
      </c>
      <c r="O128" s="30">
        <v>0.14132009646847332</v>
      </c>
      <c r="P128" s="30">
        <v>0.14132009680932175</v>
      </c>
      <c r="Q128" s="30">
        <v>0.14132009693356901</v>
      </c>
      <c r="R128" s="30">
        <v>0.14132009719248734</v>
      </c>
      <c r="S128" s="30">
        <v>0.14132009279109811</v>
      </c>
      <c r="T128" s="30">
        <v>0.14132009397050579</v>
      </c>
      <c r="U128" s="30">
        <v>0.14132009297445286</v>
      </c>
      <c r="V128" s="30">
        <v>0.14132009252349342</v>
      </c>
      <c r="W128" s="30">
        <v>0.14132009910577928</v>
      </c>
      <c r="X128" s="30">
        <v>0.14132009602193421</v>
      </c>
      <c r="Y128" s="30">
        <v>0.14132009642740712</v>
      </c>
      <c r="Z128" s="30">
        <v>0.14132009550090363</v>
      </c>
      <c r="AA128" s="30">
        <v>0.14132009585478536</v>
      </c>
      <c r="AB128" s="30">
        <v>0.14132009538574733</v>
      </c>
      <c r="AC128" s="30">
        <v>0.14132009624346684</v>
      </c>
      <c r="AD128" s="30">
        <v>0.14132009421133598</v>
      </c>
      <c r="AE128" s="30">
        <v>0.14132009538574733</v>
      </c>
      <c r="AF128" s="30">
        <v>0.14132009539398227</v>
      </c>
      <c r="AG128" s="30">
        <v>0.14132009487027736</v>
      </c>
      <c r="AH128" s="30">
        <v>0.14132009571996629</v>
      </c>
      <c r="AI128" s="30">
        <v>0.14132009538574733</v>
      </c>
      <c r="AJ128" s="30">
        <v>0.14132009777576185</v>
      </c>
      <c r="AK128" s="30">
        <v>0.14132009538574733</v>
      </c>
      <c r="AL128" s="30">
        <v>0.14132009352742783</v>
      </c>
      <c r="AM128" s="30">
        <v>0.14132009432133624</v>
      </c>
      <c r="AN128" s="30">
        <v>0.14132009693356901</v>
      </c>
      <c r="AO128" s="30">
        <v>0.14132009297445286</v>
      </c>
      <c r="AP128" s="30">
        <v>0.14132009693356901</v>
      </c>
      <c r="AQ128" s="30">
        <v>0.14132009711227664</v>
      </c>
      <c r="AR128" s="30">
        <v>0.14132009297445286</v>
      </c>
      <c r="AS128" s="30">
        <v>0.14132009297445286</v>
      </c>
      <c r="AT128" s="30"/>
      <c r="AU128" s="80">
        <v>1.0646356985409655</v>
      </c>
      <c r="AV128" s="30"/>
      <c r="AW128" s="30"/>
      <c r="AX128" s="30"/>
      <c r="AY128" s="30"/>
      <c r="AZ128" s="30"/>
      <c r="BA128" s="30"/>
      <c r="BB128" s="30"/>
      <c r="BC128" s="30"/>
    </row>
    <row r="129" spans="1:55" ht="14.45" customHeight="1">
      <c r="A129" s="32" t="s">
        <v>258</v>
      </c>
      <c r="B129" s="32" t="s">
        <v>282</v>
      </c>
      <c r="C129" s="34" t="s">
        <v>268</v>
      </c>
      <c r="D129" s="30"/>
      <c r="E129" s="31" t="s">
        <v>29</v>
      </c>
      <c r="F129" s="39">
        <v>2040</v>
      </c>
      <c r="G129" s="32" t="s">
        <v>281</v>
      </c>
      <c r="H129" s="30">
        <f t="shared" si="2"/>
        <v>0.14310754642055287</v>
      </c>
      <c r="I129" s="30">
        <v>0.14310754622762761</v>
      </c>
      <c r="J129" s="30">
        <v>0.14310754622762761</v>
      </c>
      <c r="K129" s="30">
        <v>0.14310754632160033</v>
      </c>
      <c r="L129" s="30">
        <v>0.14310754544875645</v>
      </c>
      <c r="M129" s="30">
        <v>0.14310754779822199</v>
      </c>
      <c r="N129" s="30">
        <v>0.14310754622762761</v>
      </c>
      <c r="O129" s="30">
        <v>0.14310754732404821</v>
      </c>
      <c r="P129" s="30">
        <v>0.14310754766920775</v>
      </c>
      <c r="Q129" s="30">
        <v>0.14310754779502652</v>
      </c>
      <c r="R129" s="30">
        <v>0.1431075480572197</v>
      </c>
      <c r="S129" s="30">
        <v>0.14310754360016065</v>
      </c>
      <c r="T129" s="30">
        <v>0.14310754479448579</v>
      </c>
      <c r="U129" s="30">
        <v>0.14310754378583451</v>
      </c>
      <c r="V129" s="30">
        <v>0.14310754332917122</v>
      </c>
      <c r="W129" s="30">
        <v>0.14310754999471142</v>
      </c>
      <c r="X129" s="30">
        <v>0.14310754687186114</v>
      </c>
      <c r="Y129" s="30">
        <v>0.14310754728246258</v>
      </c>
      <c r="Z129" s="30">
        <v>0.14310754634424044</v>
      </c>
      <c r="AA129" s="30">
        <v>0.14310754670259815</v>
      </c>
      <c r="AB129" s="30">
        <v>0.14310754622762761</v>
      </c>
      <c r="AC129" s="30">
        <v>0.14310754709619578</v>
      </c>
      <c r="AD129" s="30">
        <v>0.14310754503836204</v>
      </c>
      <c r="AE129" s="30">
        <v>0.14310754622762761</v>
      </c>
      <c r="AF129" s="30">
        <v>0.14310754623596672</v>
      </c>
      <c r="AG129" s="30">
        <v>0.14310754570563786</v>
      </c>
      <c r="AH129" s="30">
        <v>0.14310754656607386</v>
      </c>
      <c r="AI129" s="30">
        <v>0.14310754622762761</v>
      </c>
      <c r="AJ129" s="30">
        <v>0.14310754864787162</v>
      </c>
      <c r="AK129" s="30">
        <v>0.14310754622762761</v>
      </c>
      <c r="AL129" s="30">
        <v>0.14310754434580367</v>
      </c>
      <c r="AM129" s="30">
        <v>0.14310754514975363</v>
      </c>
      <c r="AN129" s="30">
        <v>0.14310754779502652</v>
      </c>
      <c r="AO129" s="30">
        <v>0.14310754378583451</v>
      </c>
      <c r="AP129" s="30">
        <v>0.14310754779502652</v>
      </c>
      <c r="AQ129" s="30">
        <v>0.14310754797599448</v>
      </c>
      <c r="AR129" s="30">
        <v>0.14310754378583451</v>
      </c>
      <c r="AS129" s="30">
        <v>0.14310754378583451</v>
      </c>
      <c r="AT129" s="30"/>
      <c r="AU129" s="80">
        <v>1.0781014690703334</v>
      </c>
      <c r="AV129" s="30"/>
      <c r="AW129" s="30"/>
      <c r="AX129" s="30"/>
      <c r="AY129" s="30"/>
      <c r="AZ129" s="30"/>
      <c r="BA129" s="30"/>
      <c r="BB129" s="30"/>
      <c r="BC129" s="30"/>
    </row>
    <row r="130" spans="1:55" ht="14.45" customHeight="1">
      <c r="A130" s="51" t="s">
        <v>258</v>
      </c>
      <c r="B130" s="51" t="s">
        <v>282</v>
      </c>
      <c r="C130" s="56" t="s">
        <v>268</v>
      </c>
      <c r="D130" s="46"/>
      <c r="E130" s="47" t="s">
        <v>29</v>
      </c>
      <c r="F130" s="48">
        <v>2050</v>
      </c>
      <c r="G130" s="51" t="s">
        <v>281</v>
      </c>
      <c r="H130" s="46">
        <f t="shared" si="2"/>
        <v>0.14668244810913275</v>
      </c>
      <c r="I130" s="46">
        <v>0.14668244791138813</v>
      </c>
      <c r="J130" s="46">
        <v>0.14668244791138813</v>
      </c>
      <c r="K130" s="46">
        <v>0.14668244800770833</v>
      </c>
      <c r="L130" s="46">
        <v>0.14668244711306036</v>
      </c>
      <c r="M130" s="46">
        <v>0.14668244952121678</v>
      </c>
      <c r="N130" s="46">
        <v>0.14668244791138813</v>
      </c>
      <c r="O130" s="46">
        <v>0.14668244903519789</v>
      </c>
      <c r="P130" s="46">
        <v>0.1466824493889797</v>
      </c>
      <c r="Q130" s="46">
        <v>0.14668244951794149</v>
      </c>
      <c r="R130" s="46">
        <v>0.1466824497866844</v>
      </c>
      <c r="S130" s="46">
        <v>0.14668244521828566</v>
      </c>
      <c r="T130" s="46">
        <v>0.14668244644244566</v>
      </c>
      <c r="U130" s="46">
        <v>0.14668244540859776</v>
      </c>
      <c r="V130" s="46">
        <v>0.14668244494052679</v>
      </c>
      <c r="W130" s="46">
        <v>0.14668245177257569</v>
      </c>
      <c r="X130" s="46">
        <v>0.14668244857171497</v>
      </c>
      <c r="Y130" s="46">
        <v>0.14668244899257343</v>
      </c>
      <c r="Z130" s="46">
        <v>0.14668244803091404</v>
      </c>
      <c r="AA130" s="46">
        <v>0.1466824483982237</v>
      </c>
      <c r="AB130" s="46">
        <v>0.14668244791138813</v>
      </c>
      <c r="AC130" s="46">
        <v>0.14668244880165357</v>
      </c>
      <c r="AD130" s="46">
        <v>0.14668244669241406</v>
      </c>
      <c r="AE130" s="46">
        <v>0.14668244791138813</v>
      </c>
      <c r="AF130" s="46">
        <v>0.14668244791993557</v>
      </c>
      <c r="AG130" s="46">
        <v>0.1466824473763588</v>
      </c>
      <c r="AH130" s="46">
        <v>0.14668244825828897</v>
      </c>
      <c r="AI130" s="46">
        <v>0.14668244791138813</v>
      </c>
      <c r="AJ130" s="46">
        <v>0.1466824503920911</v>
      </c>
      <c r="AK130" s="46">
        <v>0.14668244791138813</v>
      </c>
      <c r="AL130" s="46">
        <v>0.14668244598255523</v>
      </c>
      <c r="AM130" s="46">
        <v>0.14668244680658829</v>
      </c>
      <c r="AN130" s="46">
        <v>0.14668244951794149</v>
      </c>
      <c r="AO130" s="46">
        <v>0.14668244540859776</v>
      </c>
      <c r="AP130" s="46">
        <v>0.14668244951794149</v>
      </c>
      <c r="AQ130" s="46">
        <v>0.14668244970343014</v>
      </c>
      <c r="AR130" s="46">
        <v>0.14668244540859776</v>
      </c>
      <c r="AS130" s="46">
        <v>0.14668244540859776</v>
      </c>
      <c r="AT130" s="46"/>
      <c r="AU130" s="81">
        <v>1.1050330101290688</v>
      </c>
      <c r="AV130" s="46"/>
      <c r="AW130" s="46"/>
      <c r="AX130" s="46"/>
      <c r="AY130" s="46"/>
      <c r="AZ130" s="46"/>
      <c r="BA130" s="46"/>
      <c r="BB130" s="46"/>
      <c r="BC130" s="46"/>
    </row>
    <row r="131" spans="1:55" ht="14.45" customHeight="1">
      <c r="A131" s="29" t="s">
        <v>258</v>
      </c>
      <c r="B131" s="29" t="s">
        <v>283</v>
      </c>
      <c r="C131" s="29" t="s">
        <v>269</v>
      </c>
      <c r="D131" s="27"/>
      <c r="E131" s="28" t="s">
        <v>29</v>
      </c>
      <c r="F131" s="40">
        <v>2010</v>
      </c>
      <c r="G131" s="29" t="s">
        <v>161</v>
      </c>
      <c r="H131" s="27">
        <f t="shared" si="2"/>
        <v>0.097548820704007874</v>
      </c>
      <c r="I131" s="27">
        <v>0.07903100738234782</v>
      </c>
      <c r="J131" s="27">
        <v>0.086004349745174444</v>
      </c>
      <c r="K131" s="27">
        <v>0.077011019954071586</v>
      </c>
      <c r="L131" s="27">
        <v>0.094657208878976926</v>
      </c>
      <c r="M131" s="27">
        <v>0.090101748003865917</v>
      </c>
      <c r="N131" s="27">
        <v>0.097110089428616431</v>
      </c>
      <c r="O131" s="27">
        <v>0.076390617160967178</v>
      </c>
      <c r="P131" s="27">
        <v>0.098303441179208972</v>
      </c>
      <c r="Q131" s="27">
        <v>0.096878650736958685</v>
      </c>
      <c r="R131" s="27">
        <v>0.098108731618072126</v>
      </c>
      <c r="S131" s="27">
        <v>0.086284674825641769</v>
      </c>
      <c r="T131" s="27">
        <v>0.079177289488193345</v>
      </c>
      <c r="U131" s="27">
        <v>0.12004820658041622</v>
      </c>
      <c r="V131" s="27">
        <v>0.094291663204399079</v>
      </c>
      <c r="W131" s="27">
        <v>0.14450435375828721</v>
      </c>
      <c r="X131" s="27">
        <v>0.094146268259276342</v>
      </c>
      <c r="Y131" s="27">
        <v>0.11121637667644937</v>
      </c>
      <c r="Z131" s="27">
        <v>0.098655273340787067</v>
      </c>
      <c r="AA131" s="27">
        <v>0.10581833045682894</v>
      </c>
      <c r="AB131" s="27">
        <v>0.10897336047641326</v>
      </c>
      <c r="AC131" s="27">
        <v>0.099207669730498119</v>
      </c>
      <c r="AD131" s="27">
        <v>0.10473781528637167</v>
      </c>
      <c r="AE131" s="27">
        <v>0.11641274037657261</v>
      </c>
      <c r="AF131" s="27">
        <v>0.095315903134309279</v>
      </c>
      <c r="AG131" s="27">
        <v>0.083837846026540749</v>
      </c>
      <c r="AH131" s="27">
        <v>0.092004623088877246</v>
      </c>
      <c r="AI131" s="27">
        <v>0.10823602117253769</v>
      </c>
      <c r="AJ131" s="27">
        <v>0.09490169974156086</v>
      </c>
      <c r="AK131" s="27">
        <v>0.098425055021158489</v>
      </c>
      <c r="AL131" s="27">
        <v>0.10966758347461129</v>
      </c>
      <c r="AM131" s="27">
        <v>0.10284724172107255</v>
      </c>
      <c r="AN131" s="27">
        <v>0.096878650736958685</v>
      </c>
      <c r="AO131" s="27">
        <v>0.12004820658041622</v>
      </c>
      <c r="AP131" s="27">
        <v>0.096878650736958685</v>
      </c>
      <c r="AQ131" s="27">
        <v>0.089960151420533152</v>
      </c>
      <c r="AR131" s="27">
        <v>0.12004820658041622</v>
      </c>
      <c r="AS131" s="27">
        <v>0.12004820658041622</v>
      </c>
      <c r="AT131" s="27"/>
      <c r="AU131" s="82">
        <v>0.83</v>
      </c>
      <c r="AV131" s="27"/>
      <c r="AW131" s="27"/>
      <c r="AX131" s="27"/>
      <c r="AY131" s="27"/>
      <c r="AZ131" s="27"/>
      <c r="BA131" s="27"/>
      <c r="BB131" s="27"/>
      <c r="BC131" s="27"/>
    </row>
    <row r="132" spans="1:55" ht="14.45" customHeight="1">
      <c r="A132" s="29" t="s">
        <v>258</v>
      </c>
      <c r="B132" s="29" t="s">
        <v>283</v>
      </c>
      <c r="C132" s="29" t="s">
        <v>269</v>
      </c>
      <c r="D132" s="27"/>
      <c r="E132" s="28" t="s">
        <v>29</v>
      </c>
      <c r="F132" s="42">
        <v>2020</v>
      </c>
      <c r="G132" s="29" t="s">
        <v>161</v>
      </c>
      <c r="H132" s="27">
        <f t="shared" si="2"/>
        <v>0.099913246767026995</v>
      </c>
      <c r="I132" s="27">
        <v>0.08094659152055568</v>
      </c>
      <c r="J132" s="27">
        <v>0.088088956453927281</v>
      </c>
      <c r="K132" s="27">
        <v>0.078877642855352953</v>
      </c>
      <c r="L132" s="27">
        <v>0.096951546935663463</v>
      </c>
      <c r="M132" s="27">
        <v>0.092285669037112883</v>
      </c>
      <c r="N132" s="27">
        <v>0.099463881353214281</v>
      </c>
      <c r="O132" s="27">
        <v>0.078242202499282654</v>
      </c>
      <c r="P132" s="27">
        <v>0.10068615802530856</v>
      </c>
      <c r="Q132" s="27">
        <v>0.099226832960992273</v>
      </c>
      <c r="R132" s="27">
        <v>0.10048672901848545</v>
      </c>
      <c r="S132" s="27">
        <v>0.088376076162167555</v>
      </c>
      <c r="T132" s="27">
        <v>0.081096419268686964</v>
      </c>
      <c r="U132" s="27">
        <v>0.12295798146450947</v>
      </c>
      <c r="V132" s="27">
        <v>0.096577141023576243</v>
      </c>
      <c r="W132" s="27">
        <v>0.14800690620105386</v>
      </c>
      <c r="X132" s="27">
        <v>0.096428221939512643</v>
      </c>
      <c r="Y132" s="27">
        <v>0.11391208224982842</v>
      </c>
      <c r="Z132" s="27">
        <v>0.10104651803096144</v>
      </c>
      <c r="AA132" s="27">
        <v>0.10838319609714739</v>
      </c>
      <c r="AB132" s="27">
        <v>0.1116146989551943</v>
      </c>
      <c r="AC132" s="27">
        <v>0.10161230361811768</v>
      </c>
      <c r="AD132" s="27">
        <v>0.10727649098188015</v>
      </c>
      <c r="AE132" s="27">
        <v>0.11923439742406304</v>
      </c>
      <c r="AF132" s="27">
        <v>0.09762620687724019</v>
      </c>
      <c r="AG132" s="27">
        <v>0.08586994017982652</v>
      </c>
      <c r="AH132" s="27">
        <v>0.094234666744757681</v>
      </c>
      <c r="AI132" s="27">
        <v>0.11085948773595583</v>
      </c>
      <c r="AJ132" s="27">
        <v>0.097201963862381141</v>
      </c>
      <c r="AK132" s="27">
        <v>0.10081071959061808</v>
      </c>
      <c r="AL132" s="27">
        <v>0.11232574879905423</v>
      </c>
      <c r="AM132" s="27">
        <v>0.10534009296294246</v>
      </c>
      <c r="AN132" s="27">
        <v>0.099226832960992273</v>
      </c>
      <c r="AO132" s="27">
        <v>0.12295798146450947</v>
      </c>
      <c r="AP132" s="27">
        <v>0.099226832960992273</v>
      </c>
      <c r="AQ132" s="27">
        <v>0.092140640381002101</v>
      </c>
      <c r="AR132" s="27">
        <v>0.12295798146450947</v>
      </c>
      <c r="AS132" s="27">
        <v>0.12295798146450947</v>
      </c>
      <c r="AT132" s="27"/>
      <c r="AU132" s="82">
        <v>0.85011786117087551</v>
      </c>
      <c r="AV132" s="27"/>
      <c r="AW132" s="27"/>
      <c r="AX132" s="27"/>
      <c r="AY132" s="27"/>
      <c r="AZ132" s="27"/>
      <c r="BA132" s="27"/>
      <c r="BB132" s="27"/>
      <c r="BC132" s="27"/>
    </row>
    <row r="133" spans="1:55" ht="14.45" customHeight="1">
      <c r="A133" s="29" t="s">
        <v>258</v>
      </c>
      <c r="B133" s="29" t="s">
        <v>283</v>
      </c>
      <c r="C133" s="29" t="s">
        <v>269</v>
      </c>
      <c r="D133" s="27"/>
      <c r="E133" s="28" t="s">
        <v>29</v>
      </c>
      <c r="F133" s="42">
        <v>2025</v>
      </c>
      <c r="G133" s="29" t="s">
        <v>161</v>
      </c>
      <c r="H133" s="27">
        <f t="shared" si="2"/>
        <v>0.10122681680203761</v>
      </c>
      <c r="I133" s="27">
        <v>0.082010804930671144</v>
      </c>
      <c r="J133" s="27">
        <v>0.089247071292123295</v>
      </c>
      <c r="K133" s="27">
        <v>0.079914655578287044</v>
      </c>
      <c r="L133" s="27">
        <v>0.098226179189378204</v>
      </c>
      <c r="M133" s="27">
        <v>0.093498958500027873</v>
      </c>
      <c r="N133" s="27">
        <v>0.10077154353354642</v>
      </c>
      <c r="O133" s="27">
        <v>0.079270861020569017</v>
      </c>
      <c r="P133" s="27">
        <v>0.102009889606475</v>
      </c>
      <c r="Q133" s="27">
        <v>0.10053137864101093</v>
      </c>
      <c r="R133" s="27">
        <v>0.10180783868538175</v>
      </c>
      <c r="S133" s="27">
        <v>0.089537965793570776</v>
      </c>
      <c r="T133" s="27">
        <v>0.082162602480072303</v>
      </c>
      <c r="U133" s="27">
        <v>0.1245745230667835</v>
      </c>
      <c r="V133" s="27">
        <v>0.097846850923119122</v>
      </c>
      <c r="W133" s="27">
        <v>0.14995276866925755</v>
      </c>
      <c r="X133" s="27">
        <v>0.097695973984088358</v>
      </c>
      <c r="Y133" s="27">
        <v>0.11540969645726122</v>
      </c>
      <c r="Z133" s="27">
        <v>0.10237498730328054</v>
      </c>
      <c r="AA133" s="27">
        <v>0.10980812145287987</v>
      </c>
      <c r="AB133" s="27">
        <v>0.11308210922118375</v>
      </c>
      <c r="AC133" s="27">
        <v>0.10294821133346188</v>
      </c>
      <c r="AD133" s="27">
        <v>0.10868686636827375</v>
      </c>
      <c r="AE133" s="27">
        <v>0.12080198467266884</v>
      </c>
      <c r="AF133" s="27">
        <v>0.098909708956646247</v>
      </c>
      <c r="AG133" s="27">
        <v>0.08699888137609639</v>
      </c>
      <c r="AH133" s="27">
        <v>0.095473579886913476</v>
      </c>
      <c r="AI133" s="27">
        <v>0.11231696916007702</v>
      </c>
      <c r="AJ133" s="27">
        <v>0.098479888373947971</v>
      </c>
      <c r="AK133" s="27">
        <v>0.10213608879587339</v>
      </c>
      <c r="AL133" s="27">
        <v>0.11380250731263362</v>
      </c>
      <c r="AM133" s="27">
        <v>0.10672501031953685</v>
      </c>
      <c r="AN133" s="27">
        <v>0.10053137864101093</v>
      </c>
      <c r="AO133" s="27">
        <v>0.1245745230667835</v>
      </c>
      <c r="AP133" s="27">
        <v>0.10053137864101093</v>
      </c>
      <c r="AQ133" s="27">
        <v>0.093352023136818188</v>
      </c>
      <c r="AR133" s="27">
        <v>0.1245745230667835</v>
      </c>
      <c r="AS133" s="27">
        <v>0.1245745230667835</v>
      </c>
      <c r="AT133" s="27"/>
      <c r="AU133" s="82">
        <v>0.86129445071025079</v>
      </c>
      <c r="AV133" s="27"/>
      <c r="AW133" s="27"/>
      <c r="AX133" s="27"/>
      <c r="AY133" s="27"/>
      <c r="AZ133" s="27"/>
      <c r="BA133" s="27"/>
      <c r="BB133" s="27"/>
      <c r="BC133" s="27"/>
    </row>
    <row r="134" spans="1:55" ht="14.45" customHeight="1">
      <c r="A134" s="29" t="s">
        <v>258</v>
      </c>
      <c r="B134" s="29" t="s">
        <v>283</v>
      </c>
      <c r="C134" s="29" t="s">
        <v>269</v>
      </c>
      <c r="D134" s="27"/>
      <c r="E134" s="28" t="s">
        <v>29</v>
      </c>
      <c r="F134" s="42">
        <v>2030</v>
      </c>
      <c r="G134" s="29" t="s">
        <v>161</v>
      </c>
      <c r="H134" s="27">
        <f t="shared" si="2"/>
        <v>0.10254038683704825</v>
      </c>
      <c r="I134" s="27">
        <v>0.083075018340786608</v>
      </c>
      <c r="J134" s="27">
        <v>0.090405186130319296</v>
      </c>
      <c r="K134" s="27">
        <v>0.08095166830122115</v>
      </c>
      <c r="L134" s="27">
        <v>0.099500811443092946</v>
      </c>
      <c r="M134" s="27">
        <v>0.09471224796294285</v>
      </c>
      <c r="N134" s="27">
        <v>0.10207920571387855</v>
      </c>
      <c r="O134" s="27">
        <v>0.080299519541855394</v>
      </c>
      <c r="P134" s="27">
        <v>0.10333362118764143</v>
      </c>
      <c r="Q134" s="27">
        <v>0.10183592432102959</v>
      </c>
      <c r="R134" s="27">
        <v>0.10312894835227804</v>
      </c>
      <c r="S134" s="27">
        <v>0.090699855424973982</v>
      </c>
      <c r="T134" s="27">
        <v>0.083228785691457641</v>
      </c>
      <c r="U134" s="27">
        <v>0.12619106466905752</v>
      </c>
      <c r="V134" s="27">
        <v>0.099116560822661987</v>
      </c>
      <c r="W134" s="27">
        <v>0.15189863113746122</v>
      </c>
      <c r="X134" s="27">
        <v>0.098963726028664073</v>
      </c>
      <c r="Y134" s="27">
        <v>0.11690731066469402</v>
      </c>
      <c r="Z134" s="27">
        <v>0.10370345657559964</v>
      </c>
      <c r="AA134" s="27">
        <v>0.11123304680861233</v>
      </c>
      <c r="AB134" s="27">
        <v>0.11454951948717322</v>
      </c>
      <c r="AC134" s="27">
        <v>0.10428411904880608</v>
      </c>
      <c r="AD134" s="27">
        <v>0.11009724175466734</v>
      </c>
      <c r="AE134" s="27">
        <v>0.12236957192127464</v>
      </c>
      <c r="AF134" s="27">
        <v>0.1001932110360523</v>
      </c>
      <c r="AG134" s="27">
        <v>0.08812782257236626</v>
      </c>
      <c r="AH134" s="27">
        <v>0.096712493029069271</v>
      </c>
      <c r="AI134" s="27">
        <v>0.11377445058419822</v>
      </c>
      <c r="AJ134" s="27">
        <v>0.099757812885514788</v>
      </c>
      <c r="AK134" s="27">
        <v>0.10346145800112873</v>
      </c>
      <c r="AL134" s="27">
        <v>0.11527926582621303</v>
      </c>
      <c r="AM134" s="27">
        <v>0.10810992767613123</v>
      </c>
      <c r="AN134" s="27">
        <v>0.10183592432102959</v>
      </c>
      <c r="AO134" s="27">
        <v>0.12619106466905752</v>
      </c>
      <c r="AP134" s="27">
        <v>0.10183592432102959</v>
      </c>
      <c r="AQ134" s="27">
        <v>0.094563405892634275</v>
      </c>
      <c r="AR134" s="27">
        <v>0.12619106466905752</v>
      </c>
      <c r="AS134" s="27">
        <v>0.12619106466905752</v>
      </c>
      <c r="AT134" s="27"/>
      <c r="AU134" s="82">
        <v>0.87247104024962607</v>
      </c>
      <c r="AV134" s="27"/>
      <c r="AW134" s="27"/>
      <c r="AX134" s="27"/>
      <c r="AY134" s="27"/>
      <c r="AZ134" s="27"/>
      <c r="BA134" s="27"/>
      <c r="BB134" s="27"/>
      <c r="BC134" s="27"/>
    </row>
    <row r="135" spans="1:55" ht="14.45" customHeight="1">
      <c r="A135" s="29" t="s">
        <v>258</v>
      </c>
      <c r="B135" s="29" t="s">
        <v>283</v>
      </c>
      <c r="C135" s="29" t="s">
        <v>269</v>
      </c>
      <c r="D135" s="27"/>
      <c r="E135" s="28" t="s">
        <v>29</v>
      </c>
      <c r="F135" s="42">
        <v>2035</v>
      </c>
      <c r="G135" s="29" t="s">
        <v>161</v>
      </c>
      <c r="H135" s="27">
        <f t="shared" si="2"/>
        <v>0.10385395687205885</v>
      </c>
      <c r="I135" s="27">
        <v>0.084139231750902085</v>
      </c>
      <c r="J135" s="27">
        <v>0.09156330096851531</v>
      </c>
      <c r="K135" s="27">
        <v>0.081988681024155241</v>
      </c>
      <c r="L135" s="27">
        <v>0.10077544369680769</v>
      </c>
      <c r="M135" s="27">
        <v>0.095925537425857826</v>
      </c>
      <c r="N135" s="27">
        <v>0.10338686789421069</v>
      </c>
      <c r="O135" s="27">
        <v>0.081328178063141757</v>
      </c>
      <c r="P135" s="27">
        <v>0.10465735276880786</v>
      </c>
      <c r="Q135" s="27">
        <v>0.10314047000104823</v>
      </c>
      <c r="R135" s="27">
        <v>0.10445005801917433</v>
      </c>
      <c r="S135" s="27">
        <v>0.091861745056377189</v>
      </c>
      <c r="T135" s="27">
        <v>0.084294968902842979</v>
      </c>
      <c r="U135" s="27">
        <v>0.12780760627133156</v>
      </c>
      <c r="V135" s="27">
        <v>0.10038627072220487</v>
      </c>
      <c r="W135" s="27">
        <v>0.15384449360566491</v>
      </c>
      <c r="X135" s="27">
        <v>0.1002314780732398</v>
      </c>
      <c r="Y135" s="27">
        <v>0.11840492487212682</v>
      </c>
      <c r="Z135" s="27">
        <v>0.10503192584791873</v>
      </c>
      <c r="AA135" s="27">
        <v>0.11265797216434481</v>
      </c>
      <c r="AB135" s="27">
        <v>0.11601692975316268</v>
      </c>
      <c r="AC135" s="27">
        <v>0.10562002676415026</v>
      </c>
      <c r="AD135" s="27">
        <v>0.11150761714106093</v>
      </c>
      <c r="AE135" s="27">
        <v>0.12393715916988043</v>
      </c>
      <c r="AF135" s="27">
        <v>0.10147671311545836</v>
      </c>
      <c r="AG135" s="27">
        <v>0.08925676376863613</v>
      </c>
      <c r="AH135" s="27">
        <v>0.097951406171225081</v>
      </c>
      <c r="AI135" s="27">
        <v>0.1152319320083194</v>
      </c>
      <c r="AJ135" s="27">
        <v>0.10103573739708162</v>
      </c>
      <c r="AK135" s="27">
        <v>0.10478682720638405</v>
      </c>
      <c r="AL135" s="27">
        <v>0.11675602433979243</v>
      </c>
      <c r="AM135" s="27">
        <v>0.10949484503272562</v>
      </c>
      <c r="AN135" s="27">
        <v>0.10314047000104823</v>
      </c>
      <c r="AO135" s="27">
        <v>0.12780760627133156</v>
      </c>
      <c r="AP135" s="27">
        <v>0.10314047000104823</v>
      </c>
      <c r="AQ135" s="27">
        <v>0.095774788648450349</v>
      </c>
      <c r="AR135" s="27">
        <v>0.12780760627133156</v>
      </c>
      <c r="AS135" s="27">
        <v>0.12780760627133156</v>
      </c>
      <c r="AT135" s="27"/>
      <c r="AU135" s="82">
        <v>0.88364762978900135</v>
      </c>
      <c r="AV135" s="27"/>
      <c r="AW135" s="27"/>
      <c r="AX135" s="27"/>
      <c r="AY135" s="27"/>
      <c r="AZ135" s="27"/>
      <c r="BA135" s="27"/>
      <c r="BB135" s="27"/>
      <c r="BC135" s="27"/>
    </row>
    <row r="136" spans="1:55" ht="14.45" customHeight="1">
      <c r="A136" s="29" t="s">
        <v>258</v>
      </c>
      <c r="B136" s="29" t="s">
        <v>283</v>
      </c>
      <c r="C136" s="29" t="s">
        <v>269</v>
      </c>
      <c r="D136" s="27"/>
      <c r="E136" s="28" t="s">
        <v>29</v>
      </c>
      <c r="F136" s="40">
        <v>2040</v>
      </c>
      <c r="G136" s="29" t="s">
        <v>161</v>
      </c>
      <c r="H136" s="27">
        <f t="shared" si="2"/>
        <v>0.10516752690706947</v>
      </c>
      <c r="I136" s="27">
        <v>0.085203445161017549</v>
      </c>
      <c r="J136" s="27">
        <v>0.092721415806711324</v>
      </c>
      <c r="K136" s="27">
        <v>0.083025693747089332</v>
      </c>
      <c r="L136" s="27">
        <v>0.10205007595052243</v>
      </c>
      <c r="M136" s="27">
        <v>0.097138826888772817</v>
      </c>
      <c r="N136" s="27">
        <v>0.10469453007454282</v>
      </c>
      <c r="O136" s="27">
        <v>0.082356836584428134</v>
      </c>
      <c r="P136" s="27">
        <v>0.1059810843499743</v>
      </c>
      <c r="Q136" s="27">
        <v>0.10444501568106689</v>
      </c>
      <c r="R136" s="27">
        <v>0.10577116768607062</v>
      </c>
      <c r="S136" s="27">
        <v>0.09302363468778041</v>
      </c>
      <c r="T136" s="27">
        <v>0.085361152114228317</v>
      </c>
      <c r="U136" s="27">
        <v>0.12942414787360557</v>
      </c>
      <c r="V136" s="27">
        <v>0.10165598062174773</v>
      </c>
      <c r="W136" s="27">
        <v>0.1557903560738686</v>
      </c>
      <c r="X136" s="27">
        <v>0.10149923011781552</v>
      </c>
      <c r="Y136" s="27">
        <v>0.11990253907955963</v>
      </c>
      <c r="Z136" s="27">
        <v>0.10636039512023783</v>
      </c>
      <c r="AA136" s="27">
        <v>0.11408289752007728</v>
      </c>
      <c r="AB136" s="27">
        <v>0.11748434001915214</v>
      </c>
      <c r="AC136" s="27">
        <v>0.10695593447949446</v>
      </c>
      <c r="AD136" s="27">
        <v>0.11291799252745452</v>
      </c>
      <c r="AE136" s="27">
        <v>0.12550474641848625</v>
      </c>
      <c r="AF136" s="27">
        <v>0.10276021519486442</v>
      </c>
      <c r="AG136" s="27">
        <v>0.090385704964905986</v>
      </c>
      <c r="AH136" s="27">
        <v>0.099190319313380876</v>
      </c>
      <c r="AI136" s="27">
        <v>0.11668941343244059</v>
      </c>
      <c r="AJ136" s="27">
        <v>0.10231366190864843</v>
      </c>
      <c r="AK136" s="27">
        <v>0.10611219641163937</v>
      </c>
      <c r="AL136" s="27">
        <v>0.11823278285337184</v>
      </c>
      <c r="AM136" s="27">
        <v>0.11087976238932001</v>
      </c>
      <c r="AN136" s="27">
        <v>0.10444501568106689</v>
      </c>
      <c r="AO136" s="27">
        <v>0.12942414787360557</v>
      </c>
      <c r="AP136" s="27">
        <v>0.10444501568106689</v>
      </c>
      <c r="AQ136" s="27">
        <v>0.096986171404266436</v>
      </c>
      <c r="AR136" s="27">
        <v>0.12942414787360557</v>
      </c>
      <c r="AS136" s="27">
        <v>0.12942414787360557</v>
      </c>
      <c r="AT136" s="27"/>
      <c r="AU136" s="82">
        <v>0.89482421932837664</v>
      </c>
      <c r="AV136" s="27"/>
      <c r="AW136" s="27"/>
      <c r="AX136" s="27"/>
      <c r="AY136" s="27"/>
      <c r="AZ136" s="27"/>
      <c r="BA136" s="27"/>
      <c r="BB136" s="27"/>
      <c r="BC136" s="27"/>
    </row>
    <row r="137" spans="1:55" ht="14.45" customHeight="1">
      <c r="A137" s="52" t="s">
        <v>258</v>
      </c>
      <c r="B137" s="52" t="s">
        <v>283</v>
      </c>
      <c r="C137" s="52" t="s">
        <v>269</v>
      </c>
      <c r="D137" s="53"/>
      <c r="E137" s="54" t="s">
        <v>29</v>
      </c>
      <c r="F137" s="55">
        <v>2050</v>
      </c>
      <c r="G137" s="52" t="s">
        <v>161</v>
      </c>
      <c r="H137" s="53">
        <f t="shared" si="2"/>
        <v>0.1077946669770907</v>
      </c>
      <c r="I137" s="53">
        <v>0.087331871981248477</v>
      </c>
      <c r="J137" s="53">
        <v>0.095037645483103339</v>
      </c>
      <c r="K137" s="53">
        <v>0.085099719192957501</v>
      </c>
      <c r="L137" s="53">
        <v>0.10459934045795188</v>
      </c>
      <c r="M137" s="53">
        <v>0.09956540581460277</v>
      </c>
      <c r="N137" s="53">
        <v>0.10730985443520707</v>
      </c>
      <c r="O137" s="53">
        <v>0.08441415362700086</v>
      </c>
      <c r="P137" s="53">
        <v>0.10862854751230716</v>
      </c>
      <c r="Q137" s="53">
        <v>0.10705410704110419</v>
      </c>
      <c r="R137" s="53">
        <v>0.10841338701986319</v>
      </c>
      <c r="S137" s="53">
        <v>0.09534741395058681</v>
      </c>
      <c r="T137" s="53">
        <v>0.087493518536998979</v>
      </c>
      <c r="U137" s="53">
        <v>0.13265723107815361</v>
      </c>
      <c r="V137" s="53">
        <v>0.10419540042083347</v>
      </c>
      <c r="W137" s="53">
        <v>0.15968208101027595</v>
      </c>
      <c r="X137" s="53">
        <v>0.10403473420696695</v>
      </c>
      <c r="Y137" s="53">
        <v>0.12289776749442521</v>
      </c>
      <c r="Z137" s="53">
        <v>0.109017333664876</v>
      </c>
      <c r="AA137" s="53">
        <v>0.11693274823154221</v>
      </c>
      <c r="AB137" s="53">
        <v>0.12041916055113104</v>
      </c>
      <c r="AC137" s="53">
        <v>0.10962774991018284</v>
      </c>
      <c r="AD137" s="53">
        <v>0.1157387433002417</v>
      </c>
      <c r="AE137" s="53">
        <v>0.12863992091569781</v>
      </c>
      <c r="AF137" s="53">
        <v>0.10532721935367653</v>
      </c>
      <c r="AG137" s="53">
        <v>0.092643587357445711</v>
      </c>
      <c r="AH137" s="53">
        <v>0.10166814559769245</v>
      </c>
      <c r="AI137" s="53">
        <v>0.11960437628068295</v>
      </c>
      <c r="AJ137" s="53">
        <v>0.10486951093178207</v>
      </c>
      <c r="AK137" s="53">
        <v>0.10876293482214999</v>
      </c>
      <c r="AL137" s="53">
        <v>0.12118629988053063</v>
      </c>
      <c r="AM137" s="53">
        <v>0.11364959710250877</v>
      </c>
      <c r="AN137" s="53">
        <v>0.10705410704110419</v>
      </c>
      <c r="AO137" s="53">
        <v>0.13265723107815361</v>
      </c>
      <c r="AP137" s="53">
        <v>0.10705410704110419</v>
      </c>
      <c r="AQ137" s="53">
        <v>0.099408936915898582</v>
      </c>
      <c r="AR137" s="53">
        <v>0.13265723107815361</v>
      </c>
      <c r="AS137" s="53">
        <v>0.13265723107815361</v>
      </c>
      <c r="AT137" s="53"/>
      <c r="AU137" s="83">
        <v>0.91717739840712709</v>
      </c>
      <c r="AV137" s="53"/>
      <c r="AW137" s="53"/>
      <c r="AX137" s="53"/>
      <c r="AY137" s="53"/>
      <c r="AZ137" s="53"/>
      <c r="BA137" s="53"/>
      <c r="BB137" s="53"/>
      <c r="BC137" s="53"/>
    </row>
    <row r="138" spans="1:55" ht="14.45" customHeight="1">
      <c r="A138" s="29" t="s">
        <v>258</v>
      </c>
      <c r="B138" s="29" t="s">
        <v>283</v>
      </c>
      <c r="C138" s="29" t="s">
        <v>271</v>
      </c>
      <c r="D138" s="27"/>
      <c r="E138" s="28" t="s">
        <v>29</v>
      </c>
      <c r="F138" s="40">
        <v>2010</v>
      </c>
      <c r="G138" s="29" t="s">
        <v>162</v>
      </c>
      <c r="H138" s="27">
        <f t="shared" si="2"/>
        <v>0.1962729284044496</v>
      </c>
      <c r="I138" s="27">
        <v>0.15901419557653115</v>
      </c>
      <c r="J138" s="27">
        <v>0.17304489647523053</v>
      </c>
      <c r="K138" s="27">
        <v>0.15494988352204764</v>
      </c>
      <c r="L138" s="27">
        <v>0.19045486605770057</v>
      </c>
      <c r="M138" s="27">
        <v>0.18128905923669406</v>
      </c>
      <c r="N138" s="27">
        <v>0.19539017993468608</v>
      </c>
      <c r="O138" s="27">
        <v>0.1537016032033918</v>
      </c>
      <c r="P138" s="27">
        <v>0.19779126116780602</v>
      </c>
      <c r="Q138" s="27">
        <v>0.19492451413339881</v>
      </c>
      <c r="R138" s="27">
        <v>0.19739949614720537</v>
      </c>
      <c r="S138" s="27">
        <v>0.17360892404677319</v>
      </c>
      <c r="T138" s="27">
        <v>0.15930852222323241</v>
      </c>
      <c r="U138" s="27">
        <v>0.24154277709553623</v>
      </c>
      <c r="V138" s="27">
        <v>0.1897193705437909</v>
      </c>
      <c r="W138" s="27">
        <v>0.29074972382691527</v>
      </c>
      <c r="X138" s="27">
        <v>0.18942682890721865</v>
      </c>
      <c r="Y138" s="27">
        <v>0.22377270969839813</v>
      </c>
      <c r="Z138" s="27">
        <v>0.19849916443266793</v>
      </c>
      <c r="AA138" s="27">
        <v>0.21291158055771606</v>
      </c>
      <c r="AB138" s="27">
        <v>0.2192596530067592</v>
      </c>
      <c r="AC138" s="27">
        <v>0.19961061259027935</v>
      </c>
      <c r="AD138" s="27">
        <v>0.21073753196173578</v>
      </c>
      <c r="AE138" s="27">
        <v>0.23422804389021235</v>
      </c>
      <c r="AF138" s="27">
        <v>0.19178019064373072</v>
      </c>
      <c r="AG138" s="27">
        <v>0.16868578658352176</v>
      </c>
      <c r="AH138" s="27">
        <v>0.18511773561256026</v>
      </c>
      <c r="AI138" s="27">
        <v>0.21777609079293728</v>
      </c>
      <c r="AJ138" s="27">
        <v>0.19094679345591162</v>
      </c>
      <c r="AK138" s="27">
        <v>0.19803595407871649</v>
      </c>
      <c r="AL138" s="27">
        <v>0.22065646313566367</v>
      </c>
      <c r="AM138" s="27">
        <v>0.20693360683637491</v>
      </c>
      <c r="AN138" s="27">
        <v>0.19492451413339881</v>
      </c>
      <c r="AO138" s="27">
        <v>0.24154277709553623</v>
      </c>
      <c r="AP138" s="27">
        <v>0.19492451413339881</v>
      </c>
      <c r="AQ138" s="27">
        <v>0.18100416008709683</v>
      </c>
      <c r="AR138" s="27">
        <v>0.24154277709553623</v>
      </c>
      <c r="AS138" s="27">
        <v>0.24154277709553623</v>
      </c>
      <c r="AT138" s="27"/>
      <c r="AU138" s="82">
        <v>1.67</v>
      </c>
      <c r="AV138" s="27"/>
      <c r="AW138" s="27"/>
      <c r="AX138" s="27"/>
      <c r="AY138" s="27"/>
      <c r="AZ138" s="27"/>
      <c r="BA138" s="27"/>
      <c r="BB138" s="27"/>
      <c r="BC138" s="27"/>
    </row>
    <row r="139" spans="1:55" ht="14.45" customHeight="1">
      <c r="A139" s="29" t="s">
        <v>258</v>
      </c>
      <c r="B139" s="29" t="s">
        <v>283</v>
      </c>
      <c r="C139" s="29" t="s">
        <v>271</v>
      </c>
      <c r="D139" s="27"/>
      <c r="E139" s="28" t="s">
        <v>29</v>
      </c>
      <c r="F139" s="42">
        <v>2020</v>
      </c>
      <c r="G139" s="29" t="s">
        <v>162</v>
      </c>
      <c r="H139" s="27">
        <f t="shared" si="2"/>
        <v>0.20103026759148807</v>
      </c>
      <c r="I139" s="27">
        <v>0.1628684431799132</v>
      </c>
      <c r="J139" s="27">
        <v>0.17723922563621511</v>
      </c>
      <c r="K139" s="27">
        <v>0.15870561875715594</v>
      </c>
      <c r="L139" s="27">
        <v>0.1950711847982626</v>
      </c>
      <c r="M139" s="27">
        <v>0.18568321360479337</v>
      </c>
      <c r="N139" s="27">
        <v>0.20012612272273234</v>
      </c>
      <c r="O139" s="27">
        <v>0.15742708213711087</v>
      </c>
      <c r="P139" s="27">
        <v>0.20258540229188587</v>
      </c>
      <c r="Q139" s="27">
        <v>0.19964916993356274</v>
      </c>
      <c r="R139" s="27">
        <v>0.20218414151912131</v>
      </c>
      <c r="S139" s="27">
        <v>0.17781692432628893</v>
      </c>
      <c r="T139" s="27">
        <v>0.16316990382976773</v>
      </c>
      <c r="U139" s="27">
        <v>0.24739738439244674</v>
      </c>
      <c r="V139" s="27">
        <v>0.19431786205948473</v>
      </c>
      <c r="W139" s="27">
        <v>0.29779702813946979</v>
      </c>
      <c r="X139" s="27">
        <v>0.1940182296855254</v>
      </c>
      <c r="Y139" s="27">
        <v>0.22919659922555838</v>
      </c>
      <c r="Z139" s="27">
        <v>0.20331046399000674</v>
      </c>
      <c r="AA139" s="27">
        <v>0.21807221383401942</v>
      </c>
      <c r="AB139" s="27">
        <v>0.2245741533194873</v>
      </c>
      <c r="AC139" s="27">
        <v>0.20444885185814038</v>
      </c>
      <c r="AD139" s="27">
        <v>0.21584546980691546</v>
      </c>
      <c r="AE139" s="27">
        <v>0.23990535385323525</v>
      </c>
      <c r="AF139" s="27">
        <v>0.19642863311444711</v>
      </c>
      <c r="AG139" s="27">
        <v>0.17277445795218105</v>
      </c>
      <c r="AH139" s="27">
        <v>0.1896046909201751</v>
      </c>
      <c r="AI139" s="27">
        <v>0.22305463195065811</v>
      </c>
      <c r="AJ139" s="27">
        <v>0.19557503572310422</v>
      </c>
      <c r="AK139" s="27">
        <v>0.20283602616425564</v>
      </c>
      <c r="AL139" s="27">
        <v>0.22600481987279583</v>
      </c>
      <c r="AM139" s="27">
        <v>0.21194934367242638</v>
      </c>
      <c r="AN139" s="27">
        <v>0.19964916993356274</v>
      </c>
      <c r="AO139" s="27">
        <v>0.24739738439244674</v>
      </c>
      <c r="AP139" s="27">
        <v>0.19964916993356274</v>
      </c>
      <c r="AQ139" s="27">
        <v>0.18539140895936568</v>
      </c>
      <c r="AR139" s="27">
        <v>0.24739738439244674</v>
      </c>
      <c r="AS139" s="27">
        <v>0.24739738439244674</v>
      </c>
      <c r="AT139" s="27"/>
      <c r="AU139" s="82">
        <v>1.7104781062112795</v>
      </c>
      <c r="AV139" s="27"/>
      <c r="AW139" s="27"/>
      <c r="AX139" s="27"/>
      <c r="AY139" s="27"/>
      <c r="AZ139" s="27"/>
      <c r="BA139" s="27"/>
      <c r="BB139" s="27"/>
      <c r="BC139" s="27"/>
    </row>
    <row r="140" spans="1:55" ht="14.45" customHeight="1">
      <c r="A140" s="29" t="s">
        <v>258</v>
      </c>
      <c r="B140" s="29" t="s">
        <v>283</v>
      </c>
      <c r="C140" s="29" t="s">
        <v>271</v>
      </c>
      <c r="D140" s="27"/>
      <c r="E140" s="28" t="s">
        <v>29</v>
      </c>
      <c r="F140" s="42">
        <v>2025</v>
      </c>
      <c r="G140" s="29" t="s">
        <v>162</v>
      </c>
      <c r="H140" s="27">
        <f t="shared" si="2"/>
        <v>0.20367323380650937</v>
      </c>
      <c r="I140" s="27">
        <v>0.16500969184845879</v>
      </c>
      <c r="J140" s="27">
        <v>0.17956940850342876</v>
      </c>
      <c r="K140" s="27">
        <v>0.16079213833221609</v>
      </c>
      <c r="L140" s="27">
        <v>0.19763580632079708</v>
      </c>
      <c r="M140" s="27">
        <v>0.18812441047595965</v>
      </c>
      <c r="N140" s="27">
        <v>0.20275720204942468</v>
      </c>
      <c r="O140" s="27">
        <v>0.15949679265584368</v>
      </c>
      <c r="P140" s="27">
        <v>0.20524881402748582</v>
      </c>
      <c r="Q140" s="27">
        <v>0.2022739787114316</v>
      </c>
      <c r="R140" s="27">
        <v>0.20484227783685241</v>
      </c>
      <c r="S140" s="27">
        <v>0.18015470225935321</v>
      </c>
      <c r="T140" s="27">
        <v>0.16531511583339847</v>
      </c>
      <c r="U140" s="27">
        <v>0.25064994400184148</v>
      </c>
      <c r="V140" s="27">
        <v>0.1968725795682035</v>
      </c>
      <c r="W140" s="27">
        <v>0.3017121972020001</v>
      </c>
      <c r="X140" s="27">
        <v>0.19656900789569584</v>
      </c>
      <c r="Y140" s="27">
        <v>0.23220987118509184</v>
      </c>
      <c r="Z140" s="27">
        <v>0.20598340818852828</v>
      </c>
      <c r="AA140" s="27">
        <v>0.22093923232085463</v>
      </c>
      <c r="AB140" s="27">
        <v>0.22752665349322512</v>
      </c>
      <c r="AC140" s="27">
        <v>0.2071367625625076</v>
      </c>
      <c r="AD140" s="27">
        <v>0.21868321305423752</v>
      </c>
      <c r="AE140" s="27">
        <v>0.24305941494380354</v>
      </c>
      <c r="AF140" s="27">
        <v>0.19901110115373399</v>
      </c>
      <c r="AG140" s="27">
        <v>0.17504594204588067</v>
      </c>
      <c r="AH140" s="27">
        <v>0.19209744386885</v>
      </c>
      <c r="AI140" s="27">
        <v>0.22598715481605855</v>
      </c>
      <c r="AJ140" s="27">
        <v>0.19814628142710011</v>
      </c>
      <c r="AK140" s="27">
        <v>0.20550273287844406</v>
      </c>
      <c r="AL140" s="27">
        <v>0.22897612917120258</v>
      </c>
      <c r="AM140" s="27">
        <v>0.21473586413689941</v>
      </c>
      <c r="AN140" s="27">
        <v>0.2022739787114316</v>
      </c>
      <c r="AO140" s="27">
        <v>0.25064994400184148</v>
      </c>
      <c r="AP140" s="27">
        <v>0.2022739787114316</v>
      </c>
      <c r="AQ140" s="27">
        <v>0.18782876944395946</v>
      </c>
      <c r="AR140" s="27">
        <v>0.25064994400184148</v>
      </c>
      <c r="AS140" s="27">
        <v>0.25064994400184148</v>
      </c>
      <c r="AT140" s="27"/>
      <c r="AU140" s="82">
        <v>1.7329659429953237</v>
      </c>
      <c r="AV140" s="27"/>
      <c r="AW140" s="27"/>
      <c r="AX140" s="27"/>
      <c r="AY140" s="27"/>
      <c r="AZ140" s="27"/>
      <c r="BA140" s="27"/>
      <c r="BB140" s="27"/>
      <c r="BC140" s="27"/>
    </row>
    <row r="141" spans="1:55" ht="14.45" customHeight="1">
      <c r="A141" s="29" t="s">
        <v>258</v>
      </c>
      <c r="B141" s="29" t="s">
        <v>283</v>
      </c>
      <c r="C141" s="29" t="s">
        <v>271</v>
      </c>
      <c r="D141" s="27"/>
      <c r="E141" s="28" t="s">
        <v>29</v>
      </c>
      <c r="F141" s="42">
        <v>2030</v>
      </c>
      <c r="G141" s="29" t="s">
        <v>162</v>
      </c>
      <c r="H141" s="27">
        <f t="shared" si="2"/>
        <v>0.20631620002153078</v>
      </c>
      <c r="I141" s="27">
        <v>0.16715094051700435</v>
      </c>
      <c r="J141" s="27">
        <v>0.18189959137064243</v>
      </c>
      <c r="K141" s="27">
        <v>0.16287865790727626</v>
      </c>
      <c r="L141" s="27">
        <v>0.20020042784333156</v>
      </c>
      <c r="M141" s="27">
        <v>0.19056560734712594</v>
      </c>
      <c r="N141" s="27">
        <v>0.20538828137611706</v>
      </c>
      <c r="O141" s="27">
        <v>0.16156650317457649</v>
      </c>
      <c r="P141" s="27">
        <v>0.20791222576308574</v>
      </c>
      <c r="Q141" s="27">
        <v>0.20489878748930046</v>
      </c>
      <c r="R141" s="27">
        <v>0.20750041415458348</v>
      </c>
      <c r="S141" s="27">
        <v>0.18249248019241751</v>
      </c>
      <c r="T141" s="27">
        <v>0.16746032783702919</v>
      </c>
      <c r="U141" s="27">
        <v>0.25390250361123617</v>
      </c>
      <c r="V141" s="27">
        <v>0.19942729707692231</v>
      </c>
      <c r="W141" s="27">
        <v>0.30562736626453041</v>
      </c>
      <c r="X141" s="27">
        <v>0.19911978610586625</v>
      </c>
      <c r="Y141" s="27">
        <v>0.23522314314462531</v>
      </c>
      <c r="Z141" s="27">
        <v>0.20865635238704983</v>
      </c>
      <c r="AA141" s="27">
        <v>0.22380625080768984</v>
      </c>
      <c r="AB141" s="27">
        <v>0.23047915366696295</v>
      </c>
      <c r="AC141" s="27">
        <v>0.20982467326687484</v>
      </c>
      <c r="AD141" s="27">
        <v>0.22152095630155955</v>
      </c>
      <c r="AE141" s="27">
        <v>0.24621347603437183</v>
      </c>
      <c r="AF141" s="27">
        <v>0.20159356919302088</v>
      </c>
      <c r="AG141" s="27">
        <v>0.17731742613958026</v>
      </c>
      <c r="AH141" s="27">
        <v>0.1945901968175249</v>
      </c>
      <c r="AI141" s="27">
        <v>0.22891967768145902</v>
      </c>
      <c r="AJ141" s="27">
        <v>0.200717527131096</v>
      </c>
      <c r="AK141" s="27">
        <v>0.20816943959263245</v>
      </c>
      <c r="AL141" s="27">
        <v>0.23194743846960933</v>
      </c>
      <c r="AM141" s="27">
        <v>0.21752238460137246</v>
      </c>
      <c r="AN141" s="27">
        <v>0.20489878748930046</v>
      </c>
      <c r="AO141" s="27">
        <v>0.25390250361123617</v>
      </c>
      <c r="AP141" s="27">
        <v>0.20489878748930046</v>
      </c>
      <c r="AQ141" s="27">
        <v>0.19026612992855327</v>
      </c>
      <c r="AR141" s="27">
        <v>0.25390250361123617</v>
      </c>
      <c r="AS141" s="27">
        <v>0.25390250361123617</v>
      </c>
      <c r="AT141" s="27"/>
      <c r="AU141" s="82">
        <v>1.7554537797793679</v>
      </c>
      <c r="AV141" s="27"/>
      <c r="AW141" s="27"/>
      <c r="AX141" s="27"/>
      <c r="AY141" s="27"/>
      <c r="AZ141" s="27"/>
      <c r="BA141" s="27"/>
      <c r="BB141" s="27"/>
      <c r="BC141" s="27"/>
    </row>
    <row r="142" spans="1:55" ht="14.45" customHeight="1">
      <c r="A142" s="29" t="s">
        <v>258</v>
      </c>
      <c r="B142" s="29" t="s">
        <v>283</v>
      </c>
      <c r="C142" s="29" t="s">
        <v>271</v>
      </c>
      <c r="D142" s="27"/>
      <c r="E142" s="28" t="s">
        <v>29</v>
      </c>
      <c r="F142" s="42">
        <v>2035</v>
      </c>
      <c r="G142" s="29" t="s">
        <v>162</v>
      </c>
      <c r="H142" s="27">
        <f t="shared" si="2"/>
        <v>0.20895916623655209</v>
      </c>
      <c r="I142" s="27">
        <v>0.16929218918554995</v>
      </c>
      <c r="J142" s="27">
        <v>0.18422977423785608</v>
      </c>
      <c r="K142" s="27">
        <v>0.16496517748233641</v>
      </c>
      <c r="L142" s="27">
        <v>0.20276504936586603</v>
      </c>
      <c r="M142" s="27">
        <v>0.19300680421829222</v>
      </c>
      <c r="N142" s="27">
        <v>0.20801936070280941</v>
      </c>
      <c r="O142" s="27">
        <v>0.1636362136933093</v>
      </c>
      <c r="P142" s="27">
        <v>0.21057563749868569</v>
      </c>
      <c r="Q142" s="27">
        <v>0.20752359626716932</v>
      </c>
      <c r="R142" s="27">
        <v>0.21015855047231458</v>
      </c>
      <c r="S142" s="27">
        <v>0.18483025812548179</v>
      </c>
      <c r="T142" s="27">
        <v>0.16960553984065993</v>
      </c>
      <c r="U142" s="27">
        <v>0.25715506322063092</v>
      </c>
      <c r="V142" s="27">
        <v>0.20198201458564108</v>
      </c>
      <c r="W142" s="27">
        <v>0.30954253532706066</v>
      </c>
      <c r="X142" s="27">
        <v>0.20167056431603667</v>
      </c>
      <c r="Y142" s="27">
        <v>0.23823641510415877</v>
      </c>
      <c r="Z142" s="27">
        <v>0.2113292965855714</v>
      </c>
      <c r="AA142" s="27">
        <v>0.22667326929452505</v>
      </c>
      <c r="AB142" s="27">
        <v>0.23343165384070078</v>
      </c>
      <c r="AC142" s="27">
        <v>0.21251258397124206</v>
      </c>
      <c r="AD142" s="27">
        <v>0.2243586995488816</v>
      </c>
      <c r="AE142" s="27">
        <v>0.24936753712494011</v>
      </c>
      <c r="AF142" s="27">
        <v>0.20417603723230776</v>
      </c>
      <c r="AG142" s="27">
        <v>0.17958891023327989</v>
      </c>
      <c r="AH142" s="27">
        <v>0.19708294976619981</v>
      </c>
      <c r="AI142" s="27">
        <v>0.23185220054685948</v>
      </c>
      <c r="AJ142" s="27">
        <v>0.20328877283509189</v>
      </c>
      <c r="AK142" s="27">
        <v>0.21083614630682088</v>
      </c>
      <c r="AL142" s="27">
        <v>0.23491874776801608</v>
      </c>
      <c r="AM142" s="27">
        <v>0.2203089050658455</v>
      </c>
      <c r="AN142" s="27">
        <v>0.20752359626716932</v>
      </c>
      <c r="AO142" s="27">
        <v>0.25715506322063092</v>
      </c>
      <c r="AP142" s="27">
        <v>0.20752359626716932</v>
      </c>
      <c r="AQ142" s="27">
        <v>0.19270349041314705</v>
      </c>
      <c r="AR142" s="27">
        <v>0.25715506322063092</v>
      </c>
      <c r="AS142" s="27">
        <v>0.25715506322063092</v>
      </c>
      <c r="AT142" s="27"/>
      <c r="AU142" s="82">
        <v>1.7779416165634121</v>
      </c>
      <c r="AV142" s="27"/>
      <c r="AW142" s="27"/>
      <c r="AX142" s="27"/>
      <c r="AY142" s="27"/>
      <c r="AZ142" s="27"/>
      <c r="BA142" s="27"/>
      <c r="BB142" s="27"/>
      <c r="BC142" s="27"/>
    </row>
    <row r="143" spans="1:55" ht="14.45" customHeight="1">
      <c r="A143" s="29" t="s">
        <v>258</v>
      </c>
      <c r="B143" s="29" t="s">
        <v>283</v>
      </c>
      <c r="C143" s="29" t="s">
        <v>271</v>
      </c>
      <c r="D143" s="27"/>
      <c r="E143" s="28" t="s">
        <v>29</v>
      </c>
      <c r="F143" s="40">
        <v>2040</v>
      </c>
      <c r="G143" s="29" t="s">
        <v>162</v>
      </c>
      <c r="H143" s="27">
        <f t="shared" si="2"/>
        <v>0.21160213245157347</v>
      </c>
      <c r="I143" s="27">
        <v>0.17143343785409551</v>
      </c>
      <c r="J143" s="27">
        <v>0.18655995710506973</v>
      </c>
      <c r="K143" s="27">
        <v>0.16705169705739659</v>
      </c>
      <c r="L143" s="27">
        <v>0.20532967088840051</v>
      </c>
      <c r="M143" s="27">
        <v>0.19544800108945853</v>
      </c>
      <c r="N143" s="27">
        <v>0.21065044002950178</v>
      </c>
      <c r="O143" s="27">
        <v>0.16570592421204211</v>
      </c>
      <c r="P143" s="27">
        <v>0.2132390492342856</v>
      </c>
      <c r="Q143" s="27">
        <v>0.21014840504503818</v>
      </c>
      <c r="R143" s="27">
        <v>0.21281668679004567</v>
      </c>
      <c r="S143" s="27">
        <v>0.18716803605854609</v>
      </c>
      <c r="T143" s="27">
        <v>0.17175075184429067</v>
      </c>
      <c r="U143" s="27">
        <v>0.26040762283002561</v>
      </c>
      <c r="V143" s="27">
        <v>0.20453673209435988</v>
      </c>
      <c r="W143" s="27">
        <v>0.31345770438959097</v>
      </c>
      <c r="X143" s="27">
        <v>0.20422134252620708</v>
      </c>
      <c r="Y143" s="27">
        <v>0.24124968706369224</v>
      </c>
      <c r="Z143" s="27">
        <v>0.21400224078409294</v>
      </c>
      <c r="AA143" s="27">
        <v>0.22954028778136026</v>
      </c>
      <c r="AB143" s="27">
        <v>0.2363841540144386</v>
      </c>
      <c r="AC143" s="27">
        <v>0.21520049467560931</v>
      </c>
      <c r="AD143" s="27">
        <v>0.22719644279620363</v>
      </c>
      <c r="AE143" s="27">
        <v>0.2525215982155084</v>
      </c>
      <c r="AF143" s="27">
        <v>0.20675850527159464</v>
      </c>
      <c r="AG143" s="27">
        <v>0.18186039432697951</v>
      </c>
      <c r="AH143" s="27">
        <v>0.19957570271487474</v>
      </c>
      <c r="AI143" s="27">
        <v>0.23478472341225995</v>
      </c>
      <c r="AJ143" s="27">
        <v>0.20586001853908778</v>
      </c>
      <c r="AK143" s="27">
        <v>0.2135028530210093</v>
      </c>
      <c r="AL143" s="27">
        <v>0.23789005706642283</v>
      </c>
      <c r="AM143" s="27">
        <v>0.22309542553031853</v>
      </c>
      <c r="AN143" s="27">
        <v>0.21014840504503818</v>
      </c>
      <c r="AO143" s="27">
        <v>0.26040762283002561</v>
      </c>
      <c r="AP143" s="27">
        <v>0.21014840504503818</v>
      </c>
      <c r="AQ143" s="27">
        <v>0.19514085089774086</v>
      </c>
      <c r="AR143" s="27">
        <v>0.26040762283002561</v>
      </c>
      <c r="AS143" s="27">
        <v>0.26040762283002561</v>
      </c>
      <c r="AT143" s="27"/>
      <c r="AU143" s="82">
        <v>1.8004294533474563</v>
      </c>
      <c r="AV143" s="27"/>
      <c r="AW143" s="27"/>
      <c r="AX143" s="27"/>
      <c r="AY143" s="27"/>
      <c r="AZ143" s="27"/>
      <c r="BA143" s="27"/>
      <c r="BB143" s="27"/>
      <c r="BC143" s="27"/>
    </row>
    <row r="144" spans="1:55" ht="14.45" customHeight="1">
      <c r="A144" s="52" t="s">
        <v>258</v>
      </c>
      <c r="B144" s="52" t="s">
        <v>283</v>
      </c>
      <c r="C144" s="52" t="s">
        <v>271</v>
      </c>
      <c r="D144" s="53"/>
      <c r="E144" s="54" t="s">
        <v>29</v>
      </c>
      <c r="F144" s="55">
        <v>2050</v>
      </c>
      <c r="G144" s="52" t="s">
        <v>162</v>
      </c>
      <c r="H144" s="53">
        <f t="shared" si="2"/>
        <v>0.21688806488161616</v>
      </c>
      <c r="I144" s="53">
        <v>0.1757159351911867</v>
      </c>
      <c r="J144" s="53">
        <v>0.19122032283949708</v>
      </c>
      <c r="K144" s="53">
        <v>0.17122473620751691</v>
      </c>
      <c r="L144" s="53">
        <v>0.21045891393346947</v>
      </c>
      <c r="M144" s="53">
        <v>0.2003303948317911</v>
      </c>
      <c r="N144" s="53">
        <v>0.21591259868288654</v>
      </c>
      <c r="O144" s="53">
        <v>0.16984534524950778</v>
      </c>
      <c r="P144" s="53">
        <v>0.2185658727054855</v>
      </c>
      <c r="Q144" s="53">
        <v>0.2153980226007759</v>
      </c>
      <c r="R144" s="53">
        <v>0.21813295942550787</v>
      </c>
      <c r="S144" s="53">
        <v>0.19184359192467468</v>
      </c>
      <c r="T144" s="53">
        <v>0.17604117585155216</v>
      </c>
      <c r="U144" s="53">
        <v>0.2669127420488151</v>
      </c>
      <c r="V144" s="53">
        <v>0.20964616711179745</v>
      </c>
      <c r="W144" s="53">
        <v>0.3212880425146516</v>
      </c>
      <c r="X144" s="53">
        <v>0.20932289894654796</v>
      </c>
      <c r="Y144" s="53">
        <v>0.24727623098275919</v>
      </c>
      <c r="Z144" s="53">
        <v>0.21934812918113605</v>
      </c>
      <c r="AA144" s="53">
        <v>0.23527432475503071</v>
      </c>
      <c r="AB144" s="53">
        <v>0.24228915436191428</v>
      </c>
      <c r="AC144" s="53">
        <v>0.2205763160843438</v>
      </c>
      <c r="AD144" s="53">
        <v>0.23287192929084777</v>
      </c>
      <c r="AE144" s="53">
        <v>0.25882972039664498</v>
      </c>
      <c r="AF144" s="53">
        <v>0.21192344135016844</v>
      </c>
      <c r="AG144" s="53">
        <v>0.18640336251437875</v>
      </c>
      <c r="AH144" s="53">
        <v>0.20456120861222457</v>
      </c>
      <c r="AI144" s="53">
        <v>0.24064976914306088</v>
      </c>
      <c r="AJ144" s="53">
        <v>0.21100250994707959</v>
      </c>
      <c r="AK144" s="53">
        <v>0.21883626644938614</v>
      </c>
      <c r="AL144" s="53">
        <v>0.24383267566323635</v>
      </c>
      <c r="AM144" s="53">
        <v>0.22866846645926464</v>
      </c>
      <c r="AN144" s="53">
        <v>0.2153980226007759</v>
      </c>
      <c r="AO144" s="53">
        <v>0.2669127420488151</v>
      </c>
      <c r="AP144" s="53">
        <v>0.2153980226007759</v>
      </c>
      <c r="AQ144" s="53">
        <v>0.20001557186692848</v>
      </c>
      <c r="AR144" s="53">
        <v>0.2669127420488151</v>
      </c>
      <c r="AS144" s="53">
        <v>0.2669127420488151</v>
      </c>
      <c r="AT144" s="53"/>
      <c r="AU144" s="83">
        <v>1.8454051269155449</v>
      </c>
      <c r="AV144" s="53"/>
      <c r="AW144" s="53"/>
      <c r="AX144" s="53"/>
      <c r="AY144" s="53"/>
      <c r="AZ144" s="53"/>
      <c r="BA144" s="53"/>
      <c r="BB144" s="53"/>
      <c r="BC144" s="53"/>
    </row>
    <row r="145" spans="1:55" ht="14.45" customHeight="1">
      <c r="A145" s="29" t="s">
        <v>258</v>
      </c>
      <c r="B145" s="29" t="s">
        <v>283</v>
      </c>
      <c r="C145" s="29" t="s">
        <v>272</v>
      </c>
      <c r="D145" s="27"/>
      <c r="E145" s="28" t="s">
        <v>29</v>
      </c>
      <c r="F145" s="40">
        <v>2010</v>
      </c>
      <c r="G145" s="29" t="s">
        <v>280</v>
      </c>
      <c r="H145" s="27">
        <v>0.19203819358833818</v>
      </c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</row>
    <row r="146" spans="1:55" ht="14.45" customHeight="1">
      <c r="A146" s="29" t="s">
        <v>258</v>
      </c>
      <c r="B146" s="29" t="s">
        <v>283</v>
      </c>
      <c r="C146" s="27" t="s">
        <v>272</v>
      </c>
      <c r="D146" s="27"/>
      <c r="E146" s="28" t="s">
        <v>29</v>
      </c>
      <c r="F146" s="42">
        <v>2020</v>
      </c>
      <c r="G146" s="29" t="s">
        <v>280</v>
      </c>
      <c r="H146" s="27">
        <v>0.19203819358833818</v>
      </c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</row>
    <row r="147" spans="1:55" ht="14.45" customHeight="1">
      <c r="A147" s="29" t="s">
        <v>258</v>
      </c>
      <c r="B147" s="29" t="s">
        <v>283</v>
      </c>
      <c r="C147" s="27" t="s">
        <v>272</v>
      </c>
      <c r="D147" s="27"/>
      <c r="E147" s="28" t="s">
        <v>29</v>
      </c>
      <c r="F147" s="42">
        <v>2025</v>
      </c>
      <c r="G147" s="29" t="s">
        <v>280</v>
      </c>
      <c r="H147" s="27">
        <v>0.19864307586070667</v>
      </c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</row>
    <row r="148" spans="1:55" ht="14.45" customHeight="1">
      <c r="A148" s="29" t="s">
        <v>258</v>
      </c>
      <c r="B148" s="29" t="s">
        <v>283</v>
      </c>
      <c r="C148" s="27" t="s">
        <v>272</v>
      </c>
      <c r="D148" s="27"/>
      <c r="E148" s="28" t="s">
        <v>29</v>
      </c>
      <c r="F148" s="42">
        <v>2030</v>
      </c>
      <c r="G148" s="29" t="s">
        <v>280</v>
      </c>
      <c r="H148" s="27">
        <v>0.2075667835853145</v>
      </c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</row>
    <row r="149" spans="1:55" ht="14.45" customHeight="1">
      <c r="A149" s="29" t="s">
        <v>258</v>
      </c>
      <c r="B149" s="29" t="s">
        <v>283</v>
      </c>
      <c r="C149" s="41" t="s">
        <v>272</v>
      </c>
      <c r="D149" s="27"/>
      <c r="E149" s="28" t="s">
        <v>29</v>
      </c>
      <c r="F149" s="42">
        <v>2035</v>
      </c>
      <c r="G149" s="29" t="s">
        <v>280</v>
      </c>
      <c r="H149" s="27">
        <v>0.21732996869524762</v>
      </c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</row>
    <row r="150" spans="1:55" ht="14.45" customHeight="1">
      <c r="A150" s="29" t="s">
        <v>258</v>
      </c>
      <c r="B150" s="29" t="s">
        <v>283</v>
      </c>
      <c r="C150" s="41" t="s">
        <v>272</v>
      </c>
      <c r="D150" s="27"/>
      <c r="E150" s="28" t="s">
        <v>29</v>
      </c>
      <c r="F150" s="40">
        <v>2040</v>
      </c>
      <c r="G150" s="29" t="s">
        <v>280</v>
      </c>
      <c r="H150" s="27">
        <v>0.22805693590242787</v>
      </c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</row>
    <row r="151" spans="1:55" ht="14.45" customHeight="1">
      <c r="A151" s="52" t="s">
        <v>258</v>
      </c>
      <c r="B151" s="52" t="s">
        <v>283</v>
      </c>
      <c r="C151" s="57" t="s">
        <v>272</v>
      </c>
      <c r="D151" s="53"/>
      <c r="E151" s="54" t="s">
        <v>29</v>
      </c>
      <c r="F151" s="55">
        <v>2050</v>
      </c>
      <c r="G151" s="52" t="s">
        <v>280</v>
      </c>
      <c r="H151" s="53">
        <v>0.25303558407423299</v>
      </c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</row>
    <row r="152" spans="1:55" ht="14.45" customHeight="1">
      <c r="A152" s="35" t="s">
        <v>248</v>
      </c>
      <c r="B152" s="35" t="s">
        <v>255</v>
      </c>
      <c r="C152" s="35"/>
      <c r="D152" s="36"/>
      <c r="E152" s="37" t="s">
        <v>29</v>
      </c>
      <c r="F152" s="69">
        <v>0</v>
      </c>
      <c r="G152" s="38" t="s">
        <v>88</v>
      </c>
      <c r="H152" s="36">
        <v>5</v>
      </c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</row>
    <row r="153" spans="1:55" ht="14.45" customHeight="1">
      <c r="A153" s="38" t="s">
        <v>257</v>
      </c>
      <c r="B153" s="35" t="s">
        <v>255</v>
      </c>
      <c r="C153" s="35"/>
      <c r="D153" s="36"/>
      <c r="E153" s="37" t="s">
        <v>29</v>
      </c>
      <c r="F153" s="69">
        <v>0</v>
      </c>
      <c r="G153" s="38" t="s">
        <v>89</v>
      </c>
      <c r="H153" s="36">
        <v>5</v>
      </c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</row>
    <row r="154" spans="1:55" ht="14.45" customHeight="1">
      <c r="A154" s="38" t="s">
        <v>258</v>
      </c>
      <c r="B154" s="35" t="s">
        <v>255</v>
      </c>
      <c r="C154" s="35"/>
      <c r="D154" s="36"/>
      <c r="E154" s="37" t="s">
        <v>29</v>
      </c>
      <c r="F154" s="69">
        <v>0</v>
      </c>
      <c r="G154" s="38" t="s">
        <v>90</v>
      </c>
      <c r="H154" s="36">
        <v>5</v>
      </c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6"/>
      <c r="BA154" s="36"/>
      <c r="BB154" s="36"/>
      <c r="BC154" s="36"/>
    </row>
    <row r="155" spans="1:55" ht="14.45" customHeight="1">
      <c r="A155" s="38" t="s">
        <v>259</v>
      </c>
      <c r="B155" s="35" t="s">
        <v>255</v>
      </c>
      <c r="C155" s="35"/>
      <c r="D155" s="36"/>
      <c r="E155" s="37" t="s">
        <v>29</v>
      </c>
      <c r="F155" s="69">
        <v>0</v>
      </c>
      <c r="G155" s="38" t="s">
        <v>91</v>
      </c>
      <c r="H155" s="36">
        <v>5</v>
      </c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</row>
    <row r="156" spans="1:55" ht="14.45" customHeight="1">
      <c r="A156" s="38" t="s">
        <v>260</v>
      </c>
      <c r="B156" s="35" t="s">
        <v>255</v>
      </c>
      <c r="C156" s="35"/>
      <c r="D156" s="36"/>
      <c r="E156" s="37" t="s">
        <v>29</v>
      </c>
      <c r="F156" s="69">
        <v>0</v>
      </c>
      <c r="G156" s="38" t="s">
        <v>92</v>
      </c>
      <c r="H156" s="36">
        <v>5</v>
      </c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</row>
    <row r="157" spans="1:55" ht="14.45" customHeight="1">
      <c r="A157" s="38" t="s">
        <v>261</v>
      </c>
      <c r="B157" s="35" t="s">
        <v>255</v>
      </c>
      <c r="C157" s="35"/>
      <c r="D157" s="36"/>
      <c r="E157" s="37" t="s">
        <v>29</v>
      </c>
      <c r="F157" s="69">
        <v>0</v>
      </c>
      <c r="G157" s="38" t="s">
        <v>93</v>
      </c>
      <c r="H157" s="36">
        <v>5</v>
      </c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6"/>
      <c r="BA157" s="36"/>
      <c r="BB157" s="36"/>
      <c r="BC157" s="36"/>
    </row>
    <row r="158" spans="1:55" ht="14.45" customHeight="1">
      <c r="A158" s="58" t="s">
        <v>262</v>
      </c>
      <c r="B158" s="59" t="s">
        <v>255</v>
      </c>
      <c r="C158" s="59"/>
      <c r="D158" s="60"/>
      <c r="E158" s="61" t="s">
        <v>29</v>
      </c>
      <c r="F158" s="70">
        <v>0</v>
      </c>
      <c r="G158" s="58" t="s">
        <v>256</v>
      </c>
      <c r="H158" s="60">
        <v>5</v>
      </c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  <c r="AR158" s="60"/>
      <c r="AS158" s="60"/>
      <c r="AT158" s="60"/>
      <c r="AU158" s="60"/>
      <c r="AV158" s="60"/>
      <c r="AW158" s="60"/>
      <c r="AX158" s="60"/>
      <c r="AY158" s="60"/>
      <c r="AZ158" s="60"/>
      <c r="BA158" s="60"/>
      <c r="BB158" s="60"/>
      <c r="BC158" s="60"/>
    </row>
    <row r="159" spans="1:55" ht="12.75">
      <c r="A159" s="29" t="s">
        <v>292</v>
      </c>
      <c r="B159" s="29" t="s">
        <v>297</v>
      </c>
      <c r="C159" s="29" t="s">
        <v>293</v>
      </c>
      <c r="D159" s="27"/>
      <c r="E159" s="27" t="s">
        <v>29</v>
      </c>
      <c r="F159" s="88">
        <v>2010</v>
      </c>
      <c r="G159" s="27" t="s">
        <v>287</v>
      </c>
      <c r="H159" s="27">
        <v>0.12</v>
      </c>
      <c r="I159" s="27">
        <v>0.15</v>
      </c>
      <c r="J159" s="27">
        <v>0.10</v>
      </c>
      <c r="K159" s="27">
        <v>0.10</v>
      </c>
      <c r="L159" s="27">
        <v>0.16</v>
      </c>
      <c r="M159" s="27">
        <v>0.16</v>
      </c>
      <c r="N159" s="27">
        <v>0.13</v>
      </c>
      <c r="O159" s="27">
        <v>0.11</v>
      </c>
      <c r="P159" s="27">
        <v>0.14000000000000001</v>
      </c>
      <c r="Q159" s="27">
        <v>0.16</v>
      </c>
      <c r="R159" s="27">
        <v>0.13</v>
      </c>
      <c r="S159" s="27">
        <v>0.12</v>
      </c>
      <c r="T159" s="27">
        <v>0.12</v>
      </c>
      <c r="U159" s="27">
        <v>0.05</v>
      </c>
      <c r="V159" s="27">
        <v>0.11</v>
      </c>
      <c r="W159" s="27">
        <v>0.09</v>
      </c>
      <c r="X159" s="27">
        <v>0.13</v>
      </c>
      <c r="Y159" s="27">
        <v>0.12</v>
      </c>
      <c r="Z159" s="27">
        <v>0.08</v>
      </c>
      <c r="AA159" s="27">
        <v>0.11</v>
      </c>
      <c r="AB159" s="27">
        <v>0.12</v>
      </c>
      <c r="AC159" s="27">
        <v>0.08</v>
      </c>
      <c r="AD159" s="27">
        <v>0.13</v>
      </c>
      <c r="AE159" s="27">
        <v>0.13</v>
      </c>
      <c r="AF159" s="27">
        <v>0.16</v>
      </c>
      <c r="AG159" s="27">
        <v>0.13</v>
      </c>
      <c r="AH159" s="27">
        <v>0.18</v>
      </c>
      <c r="AI159" s="27">
        <v>0.15</v>
      </c>
      <c r="AJ159" s="27">
        <v>0.11</v>
      </c>
      <c r="AK159" s="27">
        <v>0.13</v>
      </c>
      <c r="AL159" s="27">
        <v>0.12</v>
      </c>
      <c r="AM159" s="27">
        <v>0.12</v>
      </c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</row>
    <row r="160" spans="1:55" ht="12.75">
      <c r="A160" s="27" t="s">
        <v>292</v>
      </c>
      <c r="B160" s="29" t="s">
        <v>297</v>
      </c>
      <c r="C160" s="27" t="s">
        <v>293</v>
      </c>
      <c r="D160" s="27"/>
      <c r="E160" s="27" t="s">
        <v>29</v>
      </c>
      <c r="F160" s="88">
        <v>2015</v>
      </c>
      <c r="G160" s="27" t="s">
        <v>287</v>
      </c>
      <c r="H160" s="27">
        <v>0.12</v>
      </c>
      <c r="I160" s="27">
        <v>0.15</v>
      </c>
      <c r="J160" s="27">
        <v>0.10</v>
      </c>
      <c r="K160" s="27">
        <v>0.10</v>
      </c>
      <c r="L160" s="27">
        <v>0.16</v>
      </c>
      <c r="M160" s="27">
        <v>0.16</v>
      </c>
      <c r="N160" s="27">
        <v>0.13</v>
      </c>
      <c r="O160" s="27">
        <v>0.11</v>
      </c>
      <c r="P160" s="27">
        <v>0.14000000000000001</v>
      </c>
      <c r="Q160" s="27">
        <v>0.16</v>
      </c>
      <c r="R160" s="27">
        <v>0.13</v>
      </c>
      <c r="S160" s="27">
        <v>0.12</v>
      </c>
      <c r="T160" s="27">
        <v>0.12</v>
      </c>
      <c r="U160" s="27">
        <v>0.05</v>
      </c>
      <c r="V160" s="27">
        <v>0.11</v>
      </c>
      <c r="W160" s="27">
        <v>0.09</v>
      </c>
      <c r="X160" s="27">
        <v>0.13</v>
      </c>
      <c r="Y160" s="27">
        <v>0.12</v>
      </c>
      <c r="Z160" s="27">
        <v>0.08</v>
      </c>
      <c r="AA160" s="27">
        <v>0.11</v>
      </c>
      <c r="AB160" s="27">
        <v>0.12</v>
      </c>
      <c r="AC160" s="27">
        <v>0.08</v>
      </c>
      <c r="AD160" s="27">
        <v>0.13</v>
      </c>
      <c r="AE160" s="27">
        <v>0.13</v>
      </c>
      <c r="AF160" s="27">
        <v>0.16</v>
      </c>
      <c r="AG160" s="27">
        <v>0.13</v>
      </c>
      <c r="AH160" s="27">
        <v>0.18</v>
      </c>
      <c r="AI160" s="27">
        <v>0.15</v>
      </c>
      <c r="AJ160" s="27">
        <v>0.11</v>
      </c>
      <c r="AK160" s="27">
        <v>0.13</v>
      </c>
      <c r="AL160" s="27">
        <v>0.12</v>
      </c>
      <c r="AM160" s="27">
        <v>0.12</v>
      </c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</row>
    <row r="161" spans="1:55" ht="12.75">
      <c r="A161" s="27" t="s">
        <v>292</v>
      </c>
      <c r="B161" s="29" t="s">
        <v>297</v>
      </c>
      <c r="C161" s="27" t="s">
        <v>293</v>
      </c>
      <c r="D161" s="27"/>
      <c r="E161" s="27" t="s">
        <v>29</v>
      </c>
      <c r="F161" s="88">
        <v>2020</v>
      </c>
      <c r="G161" s="27" t="s">
        <v>287</v>
      </c>
      <c r="H161" s="27">
        <v>0.12</v>
      </c>
      <c r="I161" s="27">
        <v>0.15</v>
      </c>
      <c r="J161" s="27">
        <v>0.10</v>
      </c>
      <c r="K161" s="27">
        <v>0.10</v>
      </c>
      <c r="L161" s="27">
        <v>0.16</v>
      </c>
      <c r="M161" s="27">
        <v>0.16</v>
      </c>
      <c r="N161" s="27">
        <v>0.13</v>
      </c>
      <c r="O161" s="27">
        <v>0.11</v>
      </c>
      <c r="P161" s="27">
        <v>0.14000000000000001</v>
      </c>
      <c r="Q161" s="27">
        <v>0.16</v>
      </c>
      <c r="R161" s="27">
        <v>0.13</v>
      </c>
      <c r="S161" s="27">
        <v>0.12</v>
      </c>
      <c r="T161" s="27">
        <v>0.12</v>
      </c>
      <c r="U161" s="27">
        <v>0.05</v>
      </c>
      <c r="V161" s="27">
        <v>0.11</v>
      </c>
      <c r="W161" s="27">
        <v>0.09</v>
      </c>
      <c r="X161" s="27">
        <v>0.13</v>
      </c>
      <c r="Y161" s="27">
        <v>0.12</v>
      </c>
      <c r="Z161" s="27">
        <v>0.08</v>
      </c>
      <c r="AA161" s="27">
        <v>0.11</v>
      </c>
      <c r="AB161" s="27">
        <v>0.12</v>
      </c>
      <c r="AC161" s="27">
        <v>0.08</v>
      </c>
      <c r="AD161" s="27">
        <v>0.13</v>
      </c>
      <c r="AE161" s="27">
        <v>0.13</v>
      </c>
      <c r="AF161" s="27">
        <v>0.16</v>
      </c>
      <c r="AG161" s="27">
        <v>0.13</v>
      </c>
      <c r="AH161" s="27">
        <v>0.18</v>
      </c>
      <c r="AI161" s="27">
        <v>0.15</v>
      </c>
      <c r="AJ161" s="27">
        <v>0.11</v>
      </c>
      <c r="AK161" s="27">
        <v>0.13</v>
      </c>
      <c r="AL161" s="27">
        <v>0.12</v>
      </c>
      <c r="AM161" s="27">
        <v>0.12</v>
      </c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</row>
    <row r="162" spans="1:55" ht="12.75">
      <c r="A162" s="27" t="s">
        <v>292</v>
      </c>
      <c r="B162" s="29" t="s">
        <v>297</v>
      </c>
      <c r="C162" s="27" t="s">
        <v>293</v>
      </c>
      <c r="D162" s="27"/>
      <c r="E162" s="27" t="s">
        <v>29</v>
      </c>
      <c r="F162" s="88">
        <v>2025</v>
      </c>
      <c r="G162" s="27" t="s">
        <v>287</v>
      </c>
      <c r="H162" s="27">
        <v>0.12</v>
      </c>
      <c r="I162" s="27">
        <v>0.15</v>
      </c>
      <c r="J162" s="27">
        <v>0.10</v>
      </c>
      <c r="K162" s="27">
        <v>0.10</v>
      </c>
      <c r="L162" s="27">
        <v>0.16</v>
      </c>
      <c r="M162" s="27">
        <v>0.16</v>
      </c>
      <c r="N162" s="27">
        <v>0.13</v>
      </c>
      <c r="O162" s="27">
        <v>0.11</v>
      </c>
      <c r="P162" s="27">
        <v>0.14000000000000001</v>
      </c>
      <c r="Q162" s="27">
        <v>0.16</v>
      </c>
      <c r="R162" s="27">
        <v>0.13</v>
      </c>
      <c r="S162" s="27">
        <v>0.12</v>
      </c>
      <c r="T162" s="27">
        <v>0.12</v>
      </c>
      <c r="U162" s="27">
        <v>0.05</v>
      </c>
      <c r="V162" s="27">
        <v>0.11</v>
      </c>
      <c r="W162" s="27">
        <v>0.09</v>
      </c>
      <c r="X162" s="27">
        <v>0.13</v>
      </c>
      <c r="Y162" s="27">
        <v>0.12</v>
      </c>
      <c r="Z162" s="27">
        <v>0.08</v>
      </c>
      <c r="AA162" s="27">
        <v>0.11</v>
      </c>
      <c r="AB162" s="27">
        <v>0.12</v>
      </c>
      <c r="AC162" s="27">
        <v>0.08</v>
      </c>
      <c r="AD162" s="27">
        <v>0.13</v>
      </c>
      <c r="AE162" s="27">
        <v>0.13</v>
      </c>
      <c r="AF162" s="27">
        <v>0.16</v>
      </c>
      <c r="AG162" s="27">
        <v>0.13</v>
      </c>
      <c r="AH162" s="27">
        <v>0.18</v>
      </c>
      <c r="AI162" s="27">
        <v>0.15</v>
      </c>
      <c r="AJ162" s="27">
        <v>0.11</v>
      </c>
      <c r="AK162" s="27">
        <v>0.13</v>
      </c>
      <c r="AL162" s="27">
        <v>0.12</v>
      </c>
      <c r="AM162" s="27">
        <v>0.12</v>
      </c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</row>
    <row r="163" spans="1:55" ht="12.75">
      <c r="A163" s="53" t="s">
        <v>292</v>
      </c>
      <c r="B163" s="52" t="s">
        <v>297</v>
      </c>
      <c r="C163" s="53" t="s">
        <v>293</v>
      </c>
      <c r="D163" s="53"/>
      <c r="E163" s="53" t="s">
        <v>29</v>
      </c>
      <c r="F163" s="89">
        <v>0</v>
      </c>
      <c r="G163" s="53" t="s">
        <v>287</v>
      </c>
      <c r="H163" s="53">
        <v>5</v>
      </c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</row>
    <row r="164" spans="1:55" ht="12.75">
      <c r="A164" s="27" t="s">
        <v>292</v>
      </c>
      <c r="B164" s="29" t="s">
        <v>298</v>
      </c>
      <c r="C164" s="27" t="s">
        <v>293</v>
      </c>
      <c r="D164" s="27"/>
      <c r="E164" s="27" t="s">
        <v>29</v>
      </c>
      <c r="F164" s="88">
        <v>2010</v>
      </c>
      <c r="G164" s="27" t="s">
        <v>288</v>
      </c>
      <c r="H164" s="27">
        <v>0.21</v>
      </c>
      <c r="I164" s="27">
        <v>0.35</v>
      </c>
      <c r="J164" s="27">
        <v>0.19</v>
      </c>
      <c r="K164" s="27">
        <v>0.13</v>
      </c>
      <c r="L164" s="27">
        <v>0.24</v>
      </c>
      <c r="M164" s="27">
        <v>0.26</v>
      </c>
      <c r="N164" s="27">
        <v>0.30</v>
      </c>
      <c r="O164" s="27">
        <v>0.19</v>
      </c>
      <c r="P164" s="27">
        <v>0.14000000000000001</v>
      </c>
      <c r="Q164" s="27">
        <v>0.20</v>
      </c>
      <c r="R164" s="27">
        <v>0.18</v>
      </c>
      <c r="S164" s="27">
        <v>0.30</v>
      </c>
      <c r="T164" s="27">
        <v>0.27</v>
      </c>
      <c r="U164" s="27">
        <v>0</v>
      </c>
      <c r="V164" s="27">
        <v>0.12</v>
      </c>
      <c r="W164" s="27">
        <v>0.15</v>
      </c>
      <c r="X164" s="27">
        <v>0.27</v>
      </c>
      <c r="Y164" s="27">
        <v>0.13</v>
      </c>
      <c r="Z164" s="27">
        <v>0.13</v>
      </c>
      <c r="AA164" s="27">
        <v>0.14000000000000001</v>
      </c>
      <c r="AB164" s="27">
        <v>0.10</v>
      </c>
      <c r="AC164" s="27">
        <v>0.22</v>
      </c>
      <c r="AD164" s="27">
        <v>0.19</v>
      </c>
      <c r="AE164" s="27">
        <v>0.16</v>
      </c>
      <c r="AF164" s="27">
        <v>0.19</v>
      </c>
      <c r="AG164" s="27">
        <v>0.23</v>
      </c>
      <c r="AH164" s="27">
        <v>0.24</v>
      </c>
      <c r="AI164" s="27">
        <v>0.18</v>
      </c>
      <c r="AJ164" s="27">
        <v>0.25</v>
      </c>
      <c r="AK164" s="27">
        <v>0.30</v>
      </c>
      <c r="AL164" s="27">
        <v>0.30</v>
      </c>
      <c r="AM164" s="27">
        <v>0.30</v>
      </c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</row>
    <row r="165" spans="1:55" ht="12.75">
      <c r="A165" s="27" t="s">
        <v>292</v>
      </c>
      <c r="B165" s="29" t="s">
        <v>298</v>
      </c>
      <c r="C165" s="27" t="s">
        <v>293</v>
      </c>
      <c r="D165" s="27"/>
      <c r="E165" s="27" t="s">
        <v>29</v>
      </c>
      <c r="F165" s="88">
        <v>2015</v>
      </c>
      <c r="G165" s="27" t="s">
        <v>288</v>
      </c>
      <c r="H165" s="27">
        <v>0.21</v>
      </c>
      <c r="I165" s="27">
        <v>0.35</v>
      </c>
      <c r="J165" s="27">
        <v>0.19</v>
      </c>
      <c r="K165" s="27">
        <v>0.13</v>
      </c>
      <c r="L165" s="27">
        <v>0.24</v>
      </c>
      <c r="M165" s="27">
        <v>0.26</v>
      </c>
      <c r="N165" s="27">
        <v>0.30</v>
      </c>
      <c r="O165" s="27">
        <v>0.19</v>
      </c>
      <c r="P165" s="27">
        <v>0.14000000000000001</v>
      </c>
      <c r="Q165" s="27">
        <v>0.20</v>
      </c>
      <c r="R165" s="27">
        <v>0.18</v>
      </c>
      <c r="S165" s="27">
        <v>0.30</v>
      </c>
      <c r="T165" s="27">
        <v>0.27</v>
      </c>
      <c r="U165" s="27">
        <v>0</v>
      </c>
      <c r="V165" s="27">
        <v>0.12</v>
      </c>
      <c r="W165" s="27">
        <v>0.15</v>
      </c>
      <c r="X165" s="27">
        <v>0.27</v>
      </c>
      <c r="Y165" s="27">
        <v>0.13</v>
      </c>
      <c r="Z165" s="27">
        <v>0.13</v>
      </c>
      <c r="AA165" s="27">
        <v>0.14000000000000001</v>
      </c>
      <c r="AB165" s="27">
        <v>0.10</v>
      </c>
      <c r="AC165" s="27">
        <v>0.22</v>
      </c>
      <c r="AD165" s="27">
        <v>0.19</v>
      </c>
      <c r="AE165" s="27">
        <v>0.16</v>
      </c>
      <c r="AF165" s="27">
        <v>0.19</v>
      </c>
      <c r="AG165" s="27">
        <v>0.23</v>
      </c>
      <c r="AH165" s="27">
        <v>0.24</v>
      </c>
      <c r="AI165" s="27">
        <v>0.18</v>
      </c>
      <c r="AJ165" s="27">
        <v>0.25</v>
      </c>
      <c r="AK165" s="27">
        <v>0.30</v>
      </c>
      <c r="AL165" s="27">
        <v>0.30</v>
      </c>
      <c r="AM165" s="27">
        <v>0.30</v>
      </c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</row>
    <row r="166" spans="1:55" ht="12.75">
      <c r="A166" s="27" t="s">
        <v>292</v>
      </c>
      <c r="B166" s="29" t="s">
        <v>298</v>
      </c>
      <c r="C166" s="27" t="s">
        <v>293</v>
      </c>
      <c r="D166" s="27"/>
      <c r="E166" s="27" t="s">
        <v>29</v>
      </c>
      <c r="F166" s="88">
        <v>2020</v>
      </c>
      <c r="G166" s="27" t="s">
        <v>288</v>
      </c>
      <c r="H166" s="27">
        <v>0.21</v>
      </c>
      <c r="I166" s="27">
        <v>0.35</v>
      </c>
      <c r="J166" s="27">
        <v>0.19</v>
      </c>
      <c r="K166" s="27">
        <v>0.13</v>
      </c>
      <c r="L166" s="27">
        <v>0.24</v>
      </c>
      <c r="M166" s="27">
        <v>0.26</v>
      </c>
      <c r="N166" s="27">
        <v>0.30</v>
      </c>
      <c r="O166" s="27">
        <v>0.19</v>
      </c>
      <c r="P166" s="27">
        <v>0.14000000000000001</v>
      </c>
      <c r="Q166" s="27">
        <v>0.20</v>
      </c>
      <c r="R166" s="27">
        <v>0.18</v>
      </c>
      <c r="S166" s="27">
        <v>0.30</v>
      </c>
      <c r="T166" s="27">
        <v>0.27</v>
      </c>
      <c r="U166" s="27">
        <v>0</v>
      </c>
      <c r="V166" s="27">
        <v>0.12</v>
      </c>
      <c r="W166" s="27">
        <v>0.15</v>
      </c>
      <c r="X166" s="27">
        <v>0.27</v>
      </c>
      <c r="Y166" s="27">
        <v>0.13</v>
      </c>
      <c r="Z166" s="27">
        <v>0.13</v>
      </c>
      <c r="AA166" s="27">
        <v>0.14000000000000001</v>
      </c>
      <c r="AB166" s="27">
        <v>0.10</v>
      </c>
      <c r="AC166" s="27">
        <v>0.22</v>
      </c>
      <c r="AD166" s="27">
        <v>0.19</v>
      </c>
      <c r="AE166" s="27">
        <v>0.16</v>
      </c>
      <c r="AF166" s="27">
        <v>0.19</v>
      </c>
      <c r="AG166" s="27">
        <v>0.23</v>
      </c>
      <c r="AH166" s="27">
        <v>0.24</v>
      </c>
      <c r="AI166" s="27">
        <v>0.18</v>
      </c>
      <c r="AJ166" s="27">
        <v>0.25</v>
      </c>
      <c r="AK166" s="27">
        <v>0.30</v>
      </c>
      <c r="AL166" s="27">
        <v>0.30</v>
      </c>
      <c r="AM166" s="27">
        <v>0.30</v>
      </c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</row>
    <row r="167" spans="1:55" ht="12.75">
      <c r="A167" s="27" t="s">
        <v>292</v>
      </c>
      <c r="B167" s="29" t="s">
        <v>298</v>
      </c>
      <c r="C167" s="27" t="s">
        <v>293</v>
      </c>
      <c r="D167" s="27"/>
      <c r="E167" s="27" t="s">
        <v>29</v>
      </c>
      <c r="F167" s="88">
        <v>2025</v>
      </c>
      <c r="G167" s="27" t="s">
        <v>288</v>
      </c>
      <c r="H167" s="27">
        <v>0.21</v>
      </c>
      <c r="I167" s="27">
        <v>0.35</v>
      </c>
      <c r="J167" s="27">
        <v>0.19</v>
      </c>
      <c r="K167" s="27">
        <v>0.13</v>
      </c>
      <c r="L167" s="27">
        <v>0.24</v>
      </c>
      <c r="M167" s="27">
        <v>0.26</v>
      </c>
      <c r="N167" s="27">
        <v>0.30</v>
      </c>
      <c r="O167" s="27">
        <v>0.19</v>
      </c>
      <c r="P167" s="27">
        <v>0.14000000000000001</v>
      </c>
      <c r="Q167" s="27">
        <v>0.20</v>
      </c>
      <c r="R167" s="27">
        <v>0.18</v>
      </c>
      <c r="S167" s="27">
        <v>0.30</v>
      </c>
      <c r="T167" s="27">
        <v>0.27</v>
      </c>
      <c r="U167" s="27">
        <v>0</v>
      </c>
      <c r="V167" s="27">
        <v>0.12</v>
      </c>
      <c r="W167" s="27">
        <v>0.15</v>
      </c>
      <c r="X167" s="27">
        <v>0.27</v>
      </c>
      <c r="Y167" s="27">
        <v>0.13</v>
      </c>
      <c r="Z167" s="27">
        <v>0.13</v>
      </c>
      <c r="AA167" s="27">
        <v>0.14000000000000001</v>
      </c>
      <c r="AB167" s="27">
        <v>0.10</v>
      </c>
      <c r="AC167" s="27">
        <v>0.22</v>
      </c>
      <c r="AD167" s="27">
        <v>0.19</v>
      </c>
      <c r="AE167" s="27">
        <v>0.16</v>
      </c>
      <c r="AF167" s="27">
        <v>0.19</v>
      </c>
      <c r="AG167" s="27">
        <v>0.23</v>
      </c>
      <c r="AH167" s="27">
        <v>0.24</v>
      </c>
      <c r="AI167" s="27">
        <v>0.18</v>
      </c>
      <c r="AJ167" s="27">
        <v>0.25</v>
      </c>
      <c r="AK167" s="27">
        <v>0.30</v>
      </c>
      <c r="AL167" s="27">
        <v>0.30</v>
      </c>
      <c r="AM167" s="27">
        <v>0.30</v>
      </c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</row>
    <row r="168" spans="1:55" ht="12.75">
      <c r="A168" s="53" t="s">
        <v>292</v>
      </c>
      <c r="B168" s="52" t="s">
        <v>298</v>
      </c>
      <c r="C168" s="53" t="s">
        <v>293</v>
      </c>
      <c r="D168" s="53"/>
      <c r="E168" s="53" t="s">
        <v>29</v>
      </c>
      <c r="F168" s="89">
        <v>0</v>
      </c>
      <c r="G168" s="53" t="s">
        <v>288</v>
      </c>
      <c r="H168" s="53">
        <v>5</v>
      </c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</row>
    <row r="169" spans="1:55" ht="12.75">
      <c r="A169" s="27" t="s">
        <v>292</v>
      </c>
      <c r="B169" s="27" t="s">
        <v>294</v>
      </c>
      <c r="C169" s="27" t="s">
        <v>293</v>
      </c>
      <c r="D169" s="27"/>
      <c r="E169" s="27" t="s">
        <v>29</v>
      </c>
      <c r="F169" s="88">
        <v>2010</v>
      </c>
      <c r="G169" s="27" t="s">
        <v>289</v>
      </c>
      <c r="H169" s="27">
        <v>0.31</v>
      </c>
      <c r="I169" s="27">
        <v>0.24</v>
      </c>
      <c r="J169" s="27"/>
      <c r="K169" s="27">
        <v>0.27</v>
      </c>
      <c r="L169" s="27"/>
      <c r="M169" s="27">
        <v>0.19</v>
      </c>
      <c r="N169" s="27">
        <v>0.33</v>
      </c>
      <c r="O169" s="27">
        <v>0.23</v>
      </c>
      <c r="P169" s="27"/>
      <c r="Q169" s="27">
        <v>0.34</v>
      </c>
      <c r="R169" s="27">
        <v>0.36</v>
      </c>
      <c r="S169" s="20">
        <v>0.23884114363051939</v>
      </c>
      <c r="T169" s="27">
        <v>0.34</v>
      </c>
      <c r="U169" s="27">
        <v>0.28000000000000003</v>
      </c>
      <c r="V169" s="27">
        <v>0</v>
      </c>
      <c r="W169" s="27">
        <v>0.35</v>
      </c>
      <c r="X169" s="27">
        <v>0.42</v>
      </c>
      <c r="Y169" s="27"/>
      <c r="Z169" s="27"/>
      <c r="AA169" s="27"/>
      <c r="AB169" s="27"/>
      <c r="AC169" s="27"/>
      <c r="AD169" s="27">
        <v>0.25</v>
      </c>
      <c r="AE169" s="27">
        <v>0.37</v>
      </c>
      <c r="AF169" s="27">
        <v>0.31</v>
      </c>
      <c r="AG169" s="27">
        <v>0.37</v>
      </c>
      <c r="AH169" s="27"/>
      <c r="AI169" s="27"/>
      <c r="AJ169" s="27">
        <v>0.34</v>
      </c>
      <c r="AK169" s="27">
        <v>0.33</v>
      </c>
      <c r="AL169" s="27">
        <v>0.35</v>
      </c>
      <c r="AM169" s="27">
        <v>0.35</v>
      </c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</row>
    <row r="170" spans="1:55" ht="12.75">
      <c r="A170" s="27" t="s">
        <v>292</v>
      </c>
      <c r="B170" s="27" t="s">
        <v>294</v>
      </c>
      <c r="C170" s="27" t="s">
        <v>293</v>
      </c>
      <c r="D170" s="27"/>
      <c r="E170" s="27" t="s">
        <v>29</v>
      </c>
      <c r="F170" s="88">
        <v>2015</v>
      </c>
      <c r="G170" s="27" t="s">
        <v>289</v>
      </c>
      <c r="H170" s="27">
        <v>0.31</v>
      </c>
      <c r="I170" s="27">
        <v>0.24</v>
      </c>
      <c r="J170" s="27"/>
      <c r="K170" s="27">
        <v>0.27</v>
      </c>
      <c r="L170" s="27"/>
      <c r="M170" s="27">
        <v>0.19</v>
      </c>
      <c r="N170" s="27">
        <v>0.33</v>
      </c>
      <c r="O170" s="27">
        <v>0.23</v>
      </c>
      <c r="P170" s="27"/>
      <c r="Q170" s="27">
        <v>0.34</v>
      </c>
      <c r="R170" s="27">
        <v>0.36</v>
      </c>
      <c r="S170" s="20">
        <v>0.261404641044235</v>
      </c>
      <c r="T170" s="27">
        <v>0.34</v>
      </c>
      <c r="U170" s="27">
        <v>0.28000000000000003</v>
      </c>
      <c r="V170" s="27">
        <v>0</v>
      </c>
      <c r="W170" s="27">
        <v>0.35</v>
      </c>
      <c r="X170" s="27">
        <v>0.42</v>
      </c>
      <c r="Y170" s="27"/>
      <c r="Z170" s="27"/>
      <c r="AA170" s="27"/>
      <c r="AB170" s="27"/>
      <c r="AC170" s="27"/>
      <c r="AD170" s="27">
        <v>0.25</v>
      </c>
      <c r="AE170" s="27">
        <v>0.37</v>
      </c>
      <c r="AF170" s="27">
        <v>0.31</v>
      </c>
      <c r="AG170" s="27">
        <v>0.37</v>
      </c>
      <c r="AH170" s="27"/>
      <c r="AI170" s="27"/>
      <c r="AJ170" s="27">
        <v>0.34</v>
      </c>
      <c r="AK170" s="27">
        <v>0.33</v>
      </c>
      <c r="AL170" s="27">
        <v>0.35</v>
      </c>
      <c r="AM170" s="27">
        <v>0.35</v>
      </c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</row>
    <row r="171" spans="1:55" ht="12.75">
      <c r="A171" s="27" t="s">
        <v>292</v>
      </c>
      <c r="B171" s="27" t="s">
        <v>294</v>
      </c>
      <c r="C171" s="27" t="s">
        <v>293</v>
      </c>
      <c r="D171" s="27"/>
      <c r="E171" s="27" t="s">
        <v>29</v>
      </c>
      <c r="F171" s="88">
        <v>2020</v>
      </c>
      <c r="G171" s="27" t="s">
        <v>289</v>
      </c>
      <c r="H171" s="27">
        <v>0.31</v>
      </c>
      <c r="I171" s="27">
        <v>0.24</v>
      </c>
      <c r="J171" s="27"/>
      <c r="K171" s="27">
        <v>0.27</v>
      </c>
      <c r="L171" s="27"/>
      <c r="M171" s="27">
        <v>0.19</v>
      </c>
      <c r="N171" s="27">
        <v>0.33</v>
      </c>
      <c r="O171" s="27">
        <v>0.23</v>
      </c>
      <c r="P171" s="27"/>
      <c r="Q171" s="27">
        <v>0.34</v>
      </c>
      <c r="R171" s="27">
        <v>0.36</v>
      </c>
      <c r="S171" s="20">
        <v>0.20274408767544705</v>
      </c>
      <c r="T171" s="27">
        <v>0.34</v>
      </c>
      <c r="U171" s="27">
        <v>0.28000000000000003</v>
      </c>
      <c r="V171" s="27">
        <v>0</v>
      </c>
      <c r="W171" s="27">
        <v>0.35</v>
      </c>
      <c r="X171" s="27">
        <v>0.42</v>
      </c>
      <c r="Y171" s="27"/>
      <c r="Z171" s="27"/>
      <c r="AA171" s="27"/>
      <c r="AB171" s="27"/>
      <c r="AC171" s="27"/>
      <c r="AD171" s="27">
        <v>0.25</v>
      </c>
      <c r="AE171" s="27">
        <v>0.37</v>
      </c>
      <c r="AF171" s="27">
        <v>0.31</v>
      </c>
      <c r="AG171" s="27">
        <v>0.37</v>
      </c>
      <c r="AH171" s="27"/>
      <c r="AI171" s="27"/>
      <c r="AJ171" s="27">
        <v>0.34</v>
      </c>
      <c r="AK171" s="27">
        <v>0.33</v>
      </c>
      <c r="AL171" s="27">
        <v>0.35</v>
      </c>
      <c r="AM171" s="27">
        <v>0.35</v>
      </c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</row>
    <row r="172" spans="1:55" ht="12.75">
      <c r="A172" s="27" t="s">
        <v>292</v>
      </c>
      <c r="B172" s="27" t="s">
        <v>294</v>
      </c>
      <c r="C172" s="27" t="s">
        <v>293</v>
      </c>
      <c r="D172" s="27"/>
      <c r="E172" s="27" t="s">
        <v>29</v>
      </c>
      <c r="F172" s="88">
        <v>2025</v>
      </c>
      <c r="G172" s="27" t="s">
        <v>289</v>
      </c>
      <c r="H172" s="27">
        <v>0.31</v>
      </c>
      <c r="I172" s="27">
        <v>0.24</v>
      </c>
      <c r="J172" s="27"/>
      <c r="K172" s="27">
        <v>0.27</v>
      </c>
      <c r="L172" s="27"/>
      <c r="M172" s="27">
        <v>0.19</v>
      </c>
      <c r="N172" s="27">
        <v>0.33</v>
      </c>
      <c r="O172" s="27">
        <v>0.23</v>
      </c>
      <c r="P172" s="27"/>
      <c r="Q172" s="27">
        <v>0.34</v>
      </c>
      <c r="R172" s="27">
        <v>0.36</v>
      </c>
      <c r="S172" s="20">
        <f>AVERAGE(S169:S171)</f>
        <v>0.23432995745006713</v>
      </c>
      <c r="T172" s="27">
        <v>0.34</v>
      </c>
      <c r="U172" s="27">
        <v>0.28000000000000003</v>
      </c>
      <c r="V172" s="27">
        <v>0</v>
      </c>
      <c r="W172" s="27">
        <v>0.35</v>
      </c>
      <c r="X172" s="27">
        <v>0.42</v>
      </c>
      <c r="Y172" s="27"/>
      <c r="Z172" s="27"/>
      <c r="AA172" s="27"/>
      <c r="AB172" s="27"/>
      <c r="AC172" s="27"/>
      <c r="AD172" s="27">
        <v>0.25</v>
      </c>
      <c r="AE172" s="27">
        <v>0.37</v>
      </c>
      <c r="AF172" s="27">
        <v>0.31</v>
      </c>
      <c r="AG172" s="27">
        <v>0.37</v>
      </c>
      <c r="AH172" s="27"/>
      <c r="AI172" s="27"/>
      <c r="AJ172" s="27">
        <v>0.34</v>
      </c>
      <c r="AK172" s="27">
        <v>0.33</v>
      </c>
      <c r="AL172" s="27">
        <v>0.35</v>
      </c>
      <c r="AM172" s="27">
        <v>0.35</v>
      </c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</row>
    <row r="173" spans="1:55" ht="12.75">
      <c r="A173" s="53" t="s">
        <v>292</v>
      </c>
      <c r="B173" s="53" t="s">
        <v>294</v>
      </c>
      <c r="C173" s="53" t="s">
        <v>293</v>
      </c>
      <c r="D173" s="53"/>
      <c r="E173" s="53" t="s">
        <v>29</v>
      </c>
      <c r="F173" s="89">
        <v>0</v>
      </c>
      <c r="G173" s="53" t="s">
        <v>289</v>
      </c>
      <c r="H173" s="53">
        <v>5</v>
      </c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</row>
    <row r="174" spans="1:55" ht="12.75">
      <c r="A174" s="27" t="s">
        <v>292</v>
      </c>
      <c r="B174" s="29" t="s">
        <v>295</v>
      </c>
      <c r="C174" s="27" t="s">
        <v>293</v>
      </c>
      <c r="D174" s="27"/>
      <c r="E174" s="27" t="s">
        <v>29</v>
      </c>
      <c r="F174" s="88">
        <v>2010</v>
      </c>
      <c r="G174" s="27" t="s">
        <v>290</v>
      </c>
      <c r="H174" s="27">
        <v>0.67</v>
      </c>
      <c r="I174" s="27">
        <v>0.96</v>
      </c>
      <c r="J174" s="27">
        <v>0.66</v>
      </c>
      <c r="K174" s="27">
        <v>0.73</v>
      </c>
      <c r="L174" s="27">
        <v>0.68</v>
      </c>
      <c r="M174" s="27">
        <v>1.03</v>
      </c>
      <c r="N174" s="27">
        <v>0.81</v>
      </c>
      <c r="O174" s="27">
        <v>0.66</v>
      </c>
      <c r="P174" s="27">
        <v>0.40</v>
      </c>
      <c r="Q174" s="27">
        <v>0.79</v>
      </c>
      <c r="R174" s="27">
        <v>0.85</v>
      </c>
      <c r="S174" s="27">
        <v>0.78</v>
      </c>
      <c r="T174" s="27">
        <v>0.80</v>
      </c>
      <c r="U174" s="27">
        <v>0.32</v>
      </c>
      <c r="V174" s="27">
        <v>0.56999999999999995</v>
      </c>
      <c r="W174" s="27">
        <v>0.56000000000000005</v>
      </c>
      <c r="X174" s="27">
        <v>0.80</v>
      </c>
      <c r="Y174" s="27">
        <v>0.82</v>
      </c>
      <c r="Z174" s="27">
        <v>0.14000000000000001</v>
      </c>
      <c r="AA174" s="27">
        <v>0.62</v>
      </c>
      <c r="AB174" s="27">
        <v>0.51</v>
      </c>
      <c r="AC174" s="27">
        <v>0.71</v>
      </c>
      <c r="AD174" s="27">
        <v>0.70</v>
      </c>
      <c r="AE174" s="27">
        <v>0.84</v>
      </c>
      <c r="AF174" s="27">
        <v>0.56000000000000005</v>
      </c>
      <c r="AG174" s="27">
        <v>0.98</v>
      </c>
      <c r="AH174" s="27">
        <v>0.63</v>
      </c>
      <c r="AI174" s="27">
        <v>0.84</v>
      </c>
      <c r="AJ174" s="27">
        <v>0.71</v>
      </c>
      <c r="AK174" s="27">
        <v>0.81</v>
      </c>
      <c r="AL174" s="27">
        <v>0.78</v>
      </c>
      <c r="AM174" s="27">
        <v>0.78</v>
      </c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</row>
    <row r="175" spans="1:55" ht="12.75">
      <c r="A175" s="27" t="s">
        <v>292</v>
      </c>
      <c r="B175" s="29" t="s">
        <v>295</v>
      </c>
      <c r="C175" s="27" t="s">
        <v>293</v>
      </c>
      <c r="D175" s="27"/>
      <c r="E175" s="27" t="s">
        <v>29</v>
      </c>
      <c r="F175" s="88">
        <v>2015</v>
      </c>
      <c r="G175" s="27" t="s">
        <v>290</v>
      </c>
      <c r="H175" s="27">
        <v>0.67</v>
      </c>
      <c r="I175" s="27">
        <v>0.96</v>
      </c>
      <c r="J175" s="27">
        <v>0.66</v>
      </c>
      <c r="K175" s="27">
        <v>0.73</v>
      </c>
      <c r="L175" s="27">
        <v>0.68</v>
      </c>
      <c r="M175" s="27">
        <v>1.03</v>
      </c>
      <c r="N175" s="27">
        <v>0.81</v>
      </c>
      <c r="O175" s="27">
        <v>0.66</v>
      </c>
      <c r="P175" s="27">
        <v>0.40</v>
      </c>
      <c r="Q175" s="27">
        <v>0.79</v>
      </c>
      <c r="R175" s="27">
        <v>0.85</v>
      </c>
      <c r="S175" s="27">
        <v>0.78</v>
      </c>
      <c r="T175" s="27">
        <v>0.80</v>
      </c>
      <c r="U175" s="27">
        <v>0.32</v>
      </c>
      <c r="V175" s="27">
        <v>0.56999999999999995</v>
      </c>
      <c r="W175" s="27">
        <v>0.56000000000000005</v>
      </c>
      <c r="X175" s="27">
        <v>0.80</v>
      </c>
      <c r="Y175" s="27">
        <v>0.82</v>
      </c>
      <c r="Z175" s="27">
        <v>0.14000000000000001</v>
      </c>
      <c r="AA175" s="27">
        <v>0.62</v>
      </c>
      <c r="AB175" s="27">
        <v>0.51</v>
      </c>
      <c r="AC175" s="27">
        <v>0.71</v>
      </c>
      <c r="AD175" s="27">
        <v>0.70</v>
      </c>
      <c r="AE175" s="27">
        <v>0.84</v>
      </c>
      <c r="AF175" s="27">
        <v>0.56000000000000005</v>
      </c>
      <c r="AG175" s="27">
        <v>0.98</v>
      </c>
      <c r="AH175" s="27">
        <v>0.63</v>
      </c>
      <c r="AI175" s="27">
        <v>0.84</v>
      </c>
      <c r="AJ175" s="27">
        <v>0.71</v>
      </c>
      <c r="AK175" s="27">
        <v>0.81</v>
      </c>
      <c r="AL175" s="27">
        <v>0.78</v>
      </c>
      <c r="AM175" s="27">
        <v>0.78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</row>
    <row r="176" spans="1:55" ht="12.75">
      <c r="A176" s="27" t="s">
        <v>292</v>
      </c>
      <c r="B176" s="29" t="s">
        <v>295</v>
      </c>
      <c r="C176" s="27" t="s">
        <v>293</v>
      </c>
      <c r="D176" s="27"/>
      <c r="E176" s="27" t="s">
        <v>29</v>
      </c>
      <c r="F176" s="88">
        <v>2020</v>
      </c>
      <c r="G176" s="27" t="s">
        <v>290</v>
      </c>
      <c r="H176" s="27">
        <v>0.67</v>
      </c>
      <c r="I176" s="27">
        <v>0.96</v>
      </c>
      <c r="J176" s="27">
        <v>0.66</v>
      </c>
      <c r="K176" s="27">
        <v>0.73</v>
      </c>
      <c r="L176" s="27">
        <v>0.68</v>
      </c>
      <c r="M176" s="27">
        <v>1.03</v>
      </c>
      <c r="N176" s="27">
        <v>0.81</v>
      </c>
      <c r="O176" s="27">
        <v>0.66</v>
      </c>
      <c r="P176" s="27">
        <v>0.40</v>
      </c>
      <c r="Q176" s="27">
        <v>0.79</v>
      </c>
      <c r="R176" s="27">
        <v>0.85</v>
      </c>
      <c r="S176" s="27">
        <v>0.78</v>
      </c>
      <c r="T176" s="27">
        <v>0.80</v>
      </c>
      <c r="U176" s="27">
        <v>0.32</v>
      </c>
      <c r="V176" s="27">
        <v>0.56999999999999995</v>
      </c>
      <c r="W176" s="27">
        <v>0.56000000000000005</v>
      </c>
      <c r="X176" s="27">
        <v>0.80</v>
      </c>
      <c r="Y176" s="27">
        <v>0.82</v>
      </c>
      <c r="Z176" s="27">
        <v>0.14000000000000001</v>
      </c>
      <c r="AA176" s="27">
        <v>0.62</v>
      </c>
      <c r="AB176" s="27">
        <v>0.51</v>
      </c>
      <c r="AC176" s="27">
        <v>0.71</v>
      </c>
      <c r="AD176" s="27">
        <v>0.70</v>
      </c>
      <c r="AE176" s="27">
        <v>0.84</v>
      </c>
      <c r="AF176" s="27">
        <v>0.56000000000000005</v>
      </c>
      <c r="AG176" s="27">
        <v>0.98</v>
      </c>
      <c r="AH176" s="27">
        <v>0.63</v>
      </c>
      <c r="AI176" s="27">
        <v>0.84</v>
      </c>
      <c r="AJ176" s="27">
        <v>0.71</v>
      </c>
      <c r="AK176" s="27">
        <v>0.81</v>
      </c>
      <c r="AL176" s="27">
        <v>0.78</v>
      </c>
      <c r="AM176" s="27">
        <v>0.78</v>
      </c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</row>
    <row r="177" spans="1:55" ht="12.75">
      <c r="A177" s="27" t="s">
        <v>292</v>
      </c>
      <c r="B177" s="29" t="s">
        <v>295</v>
      </c>
      <c r="C177" s="27" t="s">
        <v>293</v>
      </c>
      <c r="D177" s="27"/>
      <c r="E177" s="27" t="s">
        <v>29</v>
      </c>
      <c r="F177" s="88">
        <v>2025</v>
      </c>
      <c r="G177" s="27" t="s">
        <v>290</v>
      </c>
      <c r="H177" s="27">
        <v>0.67</v>
      </c>
      <c r="I177" s="27">
        <v>0.96</v>
      </c>
      <c r="J177" s="27">
        <v>0.66</v>
      </c>
      <c r="K177" s="27">
        <v>0.73</v>
      </c>
      <c r="L177" s="27">
        <v>0.68</v>
      </c>
      <c r="M177" s="27">
        <v>1.03</v>
      </c>
      <c r="N177" s="27">
        <v>0.81</v>
      </c>
      <c r="O177" s="27">
        <v>0.66</v>
      </c>
      <c r="P177" s="27">
        <v>0.40</v>
      </c>
      <c r="Q177" s="27">
        <v>0.79</v>
      </c>
      <c r="R177" s="27">
        <v>0.85</v>
      </c>
      <c r="S177" s="27">
        <v>0.78</v>
      </c>
      <c r="T177" s="27">
        <v>0.80</v>
      </c>
      <c r="U177" s="27">
        <v>0.32</v>
      </c>
      <c r="V177" s="27">
        <v>0.56999999999999995</v>
      </c>
      <c r="W177" s="27">
        <v>0.56000000000000005</v>
      </c>
      <c r="X177" s="27">
        <v>0.80</v>
      </c>
      <c r="Y177" s="27">
        <v>0.82</v>
      </c>
      <c r="Z177" s="27">
        <v>0.14000000000000001</v>
      </c>
      <c r="AA177" s="27">
        <v>0.62</v>
      </c>
      <c r="AB177" s="27">
        <v>0.51</v>
      </c>
      <c r="AC177" s="27">
        <v>0.71</v>
      </c>
      <c r="AD177" s="27">
        <v>0.70</v>
      </c>
      <c r="AE177" s="27">
        <v>0.84</v>
      </c>
      <c r="AF177" s="27">
        <v>0.56000000000000005</v>
      </c>
      <c r="AG177" s="27">
        <v>0.98</v>
      </c>
      <c r="AH177" s="27">
        <v>0.63</v>
      </c>
      <c r="AI177" s="27">
        <v>0.84</v>
      </c>
      <c r="AJ177" s="27">
        <v>0.71</v>
      </c>
      <c r="AK177" s="27">
        <v>0.81</v>
      </c>
      <c r="AL177" s="27">
        <v>0.78</v>
      </c>
      <c r="AM177" s="27">
        <v>0.78</v>
      </c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</row>
    <row r="178" spans="1:55" ht="12.75">
      <c r="A178" s="53" t="s">
        <v>292</v>
      </c>
      <c r="B178" s="52" t="s">
        <v>295</v>
      </c>
      <c r="C178" s="53" t="s">
        <v>293</v>
      </c>
      <c r="D178" s="53"/>
      <c r="E178" s="53" t="s">
        <v>29</v>
      </c>
      <c r="F178" s="89">
        <v>0</v>
      </c>
      <c r="G178" s="53" t="s">
        <v>290</v>
      </c>
      <c r="H178" s="53">
        <v>5</v>
      </c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</row>
    <row r="179" spans="1:55" ht="12.75">
      <c r="A179" s="27" t="s">
        <v>292</v>
      </c>
      <c r="B179" s="29" t="s">
        <v>296</v>
      </c>
      <c r="C179" s="27" t="s">
        <v>293</v>
      </c>
      <c r="D179" s="27"/>
      <c r="E179" s="27" t="s">
        <v>29</v>
      </c>
      <c r="F179" s="88">
        <v>2010</v>
      </c>
      <c r="G179" s="27" t="s">
        <v>291</v>
      </c>
      <c r="H179" s="27">
        <v>0.62</v>
      </c>
      <c r="I179" s="27">
        <v>0.59</v>
      </c>
      <c r="J179" s="27">
        <v>0.44</v>
      </c>
      <c r="K179" s="27">
        <v>0.65</v>
      </c>
      <c r="L179" s="27">
        <v>0.82</v>
      </c>
      <c r="M179" s="27">
        <v>0.82</v>
      </c>
      <c r="N179" s="27">
        <v>0.56999999999999995</v>
      </c>
      <c r="O179" s="27">
        <v>0.56999999999999995</v>
      </c>
      <c r="P179" s="27">
        <v>0.46</v>
      </c>
      <c r="Q179" s="27">
        <v>0.92</v>
      </c>
      <c r="R179" s="27">
        <v>0.93</v>
      </c>
      <c r="S179" s="27">
        <v>0.61</v>
      </c>
      <c r="T179" s="27">
        <v>0.89</v>
      </c>
      <c r="U179" s="27">
        <v>0.35</v>
      </c>
      <c r="V179" s="27">
        <v>0.56999999999999995</v>
      </c>
      <c r="W179" s="27">
        <v>0.57999999999999996</v>
      </c>
      <c r="X179" s="27">
        <v>0.73</v>
      </c>
      <c r="Y179" s="27">
        <v>0.73</v>
      </c>
      <c r="Z179" s="27">
        <v>0.11</v>
      </c>
      <c r="AA179" s="27">
        <v>0.62</v>
      </c>
      <c r="AB179" s="27">
        <v>0.75</v>
      </c>
      <c r="AC179" s="27">
        <v>0.42</v>
      </c>
      <c r="AD179" s="27">
        <v>0.69</v>
      </c>
      <c r="AE179" s="27">
        <v>0.71</v>
      </c>
      <c r="AF179" s="27">
        <v>0.72</v>
      </c>
      <c r="AG179" s="27">
        <v>0.73</v>
      </c>
      <c r="AH179" s="27">
        <v>0.66</v>
      </c>
      <c r="AI179" s="27">
        <v>0.67</v>
      </c>
      <c r="AJ179" s="27">
        <v>0.60</v>
      </c>
      <c r="AK179" s="27">
        <v>0.56999999999999995</v>
      </c>
      <c r="AL179" s="27">
        <v>0.61</v>
      </c>
      <c r="AM179" s="27">
        <v>0.61</v>
      </c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</row>
    <row r="180" spans="1:55" ht="12.75">
      <c r="A180" s="27" t="s">
        <v>292</v>
      </c>
      <c r="B180" s="29" t="s">
        <v>296</v>
      </c>
      <c r="C180" s="27" t="s">
        <v>293</v>
      </c>
      <c r="D180" s="27"/>
      <c r="E180" s="27" t="s">
        <v>29</v>
      </c>
      <c r="F180" s="88">
        <v>2015</v>
      </c>
      <c r="G180" s="27" t="s">
        <v>291</v>
      </c>
      <c r="H180" s="27">
        <v>0.62</v>
      </c>
      <c r="I180" s="27">
        <v>0.59</v>
      </c>
      <c r="J180" s="27">
        <v>0.44</v>
      </c>
      <c r="K180" s="27">
        <v>0.65</v>
      </c>
      <c r="L180" s="27">
        <v>0.82</v>
      </c>
      <c r="M180" s="27">
        <v>0.82</v>
      </c>
      <c r="N180" s="27">
        <v>0.56999999999999995</v>
      </c>
      <c r="O180" s="27">
        <v>0.56999999999999995</v>
      </c>
      <c r="P180" s="27">
        <v>0.46</v>
      </c>
      <c r="Q180" s="27">
        <v>0.92</v>
      </c>
      <c r="R180" s="27">
        <v>0.93</v>
      </c>
      <c r="S180" s="27">
        <v>0.61</v>
      </c>
      <c r="T180" s="27">
        <v>0.89</v>
      </c>
      <c r="U180" s="27">
        <v>0.35</v>
      </c>
      <c r="V180" s="27">
        <v>0.56999999999999995</v>
      </c>
      <c r="W180" s="27">
        <v>0.57999999999999996</v>
      </c>
      <c r="X180" s="27">
        <v>0.73</v>
      </c>
      <c r="Y180" s="27">
        <v>0.73</v>
      </c>
      <c r="Z180" s="27">
        <v>0.11</v>
      </c>
      <c r="AA180" s="27">
        <v>0.62</v>
      </c>
      <c r="AB180" s="27">
        <v>0.75</v>
      </c>
      <c r="AC180" s="27">
        <v>0.42</v>
      </c>
      <c r="AD180" s="27">
        <v>0.69</v>
      </c>
      <c r="AE180" s="27">
        <v>0.71</v>
      </c>
      <c r="AF180" s="27">
        <v>0.72</v>
      </c>
      <c r="AG180" s="27">
        <v>0.73</v>
      </c>
      <c r="AH180" s="27">
        <v>0.66</v>
      </c>
      <c r="AI180" s="27">
        <v>0.67</v>
      </c>
      <c r="AJ180" s="27">
        <v>0.60</v>
      </c>
      <c r="AK180" s="27">
        <v>0.56999999999999995</v>
      </c>
      <c r="AL180" s="27">
        <v>0.61</v>
      </c>
      <c r="AM180" s="27">
        <v>0.61</v>
      </c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</row>
    <row r="181" spans="1:55" ht="12.75">
      <c r="A181" s="27" t="s">
        <v>292</v>
      </c>
      <c r="B181" s="29" t="s">
        <v>296</v>
      </c>
      <c r="C181" s="27" t="s">
        <v>293</v>
      </c>
      <c r="D181" s="27"/>
      <c r="E181" s="27" t="s">
        <v>29</v>
      </c>
      <c r="F181" s="88">
        <v>2020</v>
      </c>
      <c r="G181" s="27" t="s">
        <v>291</v>
      </c>
      <c r="H181" s="27">
        <v>0.62</v>
      </c>
      <c r="I181" s="27">
        <v>0.59</v>
      </c>
      <c r="J181" s="27">
        <v>0.44</v>
      </c>
      <c r="K181" s="27">
        <v>0.65</v>
      </c>
      <c r="L181" s="27">
        <v>0.82</v>
      </c>
      <c r="M181" s="27">
        <v>0.82</v>
      </c>
      <c r="N181" s="27">
        <v>0.56999999999999995</v>
      </c>
      <c r="O181" s="27">
        <v>0.56999999999999995</v>
      </c>
      <c r="P181" s="27">
        <v>0.46</v>
      </c>
      <c r="Q181" s="27">
        <v>0.92</v>
      </c>
      <c r="R181" s="27">
        <v>0.93</v>
      </c>
      <c r="S181" s="27">
        <v>0.61</v>
      </c>
      <c r="T181" s="27">
        <v>0.89</v>
      </c>
      <c r="U181" s="27">
        <v>0.35</v>
      </c>
      <c r="V181" s="27">
        <v>0.56999999999999995</v>
      </c>
      <c r="W181" s="27">
        <v>0.57999999999999996</v>
      </c>
      <c r="X181" s="27">
        <v>0.73</v>
      </c>
      <c r="Y181" s="27">
        <v>0.73</v>
      </c>
      <c r="Z181" s="27">
        <v>0.11</v>
      </c>
      <c r="AA181" s="27">
        <v>0.62</v>
      </c>
      <c r="AB181" s="27">
        <v>0.75</v>
      </c>
      <c r="AC181" s="27">
        <v>0.42</v>
      </c>
      <c r="AD181" s="27">
        <v>0.69</v>
      </c>
      <c r="AE181" s="27">
        <v>0.71</v>
      </c>
      <c r="AF181" s="27">
        <v>0.72</v>
      </c>
      <c r="AG181" s="27">
        <v>0.73</v>
      </c>
      <c r="AH181" s="27">
        <v>0.66</v>
      </c>
      <c r="AI181" s="27">
        <v>0.67</v>
      </c>
      <c r="AJ181" s="27">
        <v>0.60</v>
      </c>
      <c r="AK181" s="27">
        <v>0.56999999999999995</v>
      </c>
      <c r="AL181" s="27">
        <v>0.61</v>
      </c>
      <c r="AM181" s="27">
        <v>0.61</v>
      </c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</row>
    <row r="182" spans="1:55" ht="12.75">
      <c r="A182" s="27" t="s">
        <v>292</v>
      </c>
      <c r="B182" s="29" t="s">
        <v>296</v>
      </c>
      <c r="C182" s="27" t="s">
        <v>293</v>
      </c>
      <c r="D182" s="27"/>
      <c r="E182" s="27" t="s">
        <v>29</v>
      </c>
      <c r="F182" s="88">
        <v>2025</v>
      </c>
      <c r="G182" s="27" t="s">
        <v>291</v>
      </c>
      <c r="H182" s="27">
        <v>0.62</v>
      </c>
      <c r="I182" s="27">
        <v>0.59</v>
      </c>
      <c r="J182" s="27">
        <v>0.44</v>
      </c>
      <c r="K182" s="27">
        <v>0.65</v>
      </c>
      <c r="L182" s="27">
        <v>0.82</v>
      </c>
      <c r="M182" s="27">
        <v>0.82</v>
      </c>
      <c r="N182" s="27">
        <v>0.56999999999999995</v>
      </c>
      <c r="O182" s="27">
        <v>0.56999999999999995</v>
      </c>
      <c r="P182" s="27">
        <v>0.46</v>
      </c>
      <c r="Q182" s="27">
        <v>0.92</v>
      </c>
      <c r="R182" s="27">
        <v>0.93</v>
      </c>
      <c r="S182" s="27">
        <v>0.61</v>
      </c>
      <c r="T182" s="27">
        <v>0.89</v>
      </c>
      <c r="U182" s="27">
        <v>0.35</v>
      </c>
      <c r="V182" s="27">
        <v>0.56999999999999995</v>
      </c>
      <c r="W182" s="27">
        <v>0.57999999999999996</v>
      </c>
      <c r="X182" s="27">
        <v>0.73</v>
      </c>
      <c r="Y182" s="27">
        <v>0.73</v>
      </c>
      <c r="Z182" s="27">
        <v>0.11</v>
      </c>
      <c r="AA182" s="27">
        <v>0.62</v>
      </c>
      <c r="AB182" s="27">
        <v>0.75</v>
      </c>
      <c r="AC182" s="27">
        <v>0.42</v>
      </c>
      <c r="AD182" s="27">
        <v>0.69</v>
      </c>
      <c r="AE182" s="27">
        <v>0.71</v>
      </c>
      <c r="AF182" s="27">
        <v>0.72</v>
      </c>
      <c r="AG182" s="27">
        <v>0.73</v>
      </c>
      <c r="AH182" s="27">
        <v>0.66</v>
      </c>
      <c r="AI182" s="27">
        <v>0.67</v>
      </c>
      <c r="AJ182" s="27">
        <v>0.60</v>
      </c>
      <c r="AK182" s="27">
        <v>0.56999999999999995</v>
      </c>
      <c r="AL182" s="27">
        <v>0.61</v>
      </c>
      <c r="AM182" s="27">
        <v>0.61</v>
      </c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</row>
    <row r="183" spans="1:55" ht="12.75">
      <c r="A183" s="27" t="s">
        <v>292</v>
      </c>
      <c r="B183" s="29" t="s">
        <v>296</v>
      </c>
      <c r="C183" s="27" t="s">
        <v>293</v>
      </c>
      <c r="D183" s="27"/>
      <c r="E183" s="27" t="s">
        <v>29</v>
      </c>
      <c r="F183" s="88">
        <v>0</v>
      </c>
      <c r="G183" s="27" t="s">
        <v>291</v>
      </c>
      <c r="H183" s="27">
        <v>5</v>
      </c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</row>
    <row r="184" spans="1:55" ht="14.45" customHeight="1">
      <c r="A184" s="90"/>
      <c r="B184" s="91"/>
      <c r="C184" s="91"/>
      <c r="D184" s="92"/>
      <c r="E184" s="93"/>
      <c r="F184" s="94"/>
      <c r="G184" s="90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  <c r="AB184" s="92"/>
      <c r="AC184" s="92"/>
      <c r="AD184" s="92"/>
      <c r="AE184" s="92"/>
      <c r="AF184" s="92"/>
      <c r="AG184" s="92"/>
      <c r="AH184" s="92"/>
      <c r="AI184" s="92"/>
      <c r="AJ184" s="92"/>
      <c r="AK184" s="92"/>
      <c r="AL184" s="92"/>
      <c r="AM184" s="92"/>
      <c r="AN184" s="92"/>
      <c r="AO184" s="92"/>
      <c r="AP184" s="92"/>
      <c r="AQ184" s="92"/>
      <c r="AR184" s="92"/>
      <c r="AS184" s="92"/>
      <c r="AT184" s="92"/>
      <c r="AU184" s="92"/>
      <c r="AV184" s="92"/>
      <c r="AW184" s="92"/>
      <c r="AX184" s="92"/>
      <c r="AY184" s="92"/>
      <c r="AZ184" s="92"/>
      <c r="BA184" s="92"/>
      <c r="BB184" s="92"/>
      <c r="BC184" s="92"/>
    </row>
    <row r="185" ht="14.45" customHeight="1"/>
    <row r="186" spans="1:55" ht="14.45" customHeight="1">
      <c r="A186" s="24"/>
      <c r="B186" s="24"/>
      <c r="C186" s="24"/>
      <c r="D186" s="24"/>
      <c r="E186" s="3" t="s">
        <v>299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</row>
    <row r="187" spans="1:55" ht="14.45" customHeight="1">
      <c r="A187" s="38"/>
      <c r="B187" s="91"/>
      <c r="C187" s="91"/>
      <c r="D187" s="36"/>
      <c r="E187" s="23" t="s">
        <v>36</v>
      </c>
      <c r="F187" s="23" t="s">
        <v>37</v>
      </c>
      <c r="G187" s="23" t="s">
        <v>94</v>
      </c>
      <c r="H187" s="23" t="s">
        <v>95</v>
      </c>
      <c r="I187" s="23" t="s">
        <v>47</v>
      </c>
      <c r="J187" s="23" t="s">
        <v>41</v>
      </c>
      <c r="K187" s="23" t="s">
        <v>0</v>
      </c>
      <c r="L187" s="23" t="s">
        <v>45</v>
      </c>
      <c r="M187" s="23" t="s">
        <v>1</v>
      </c>
      <c r="N187" s="23" t="s">
        <v>31</v>
      </c>
      <c r="O187" s="23" t="s">
        <v>2</v>
      </c>
      <c r="P187" s="23" t="s">
        <v>3</v>
      </c>
      <c r="Q187" s="23" t="s">
        <v>4</v>
      </c>
      <c r="R187" s="23" t="s">
        <v>5</v>
      </c>
      <c r="S187" s="23" t="s">
        <v>6</v>
      </c>
      <c r="T187" s="23" t="s">
        <v>7</v>
      </c>
      <c r="U187" s="23" t="s">
        <v>48</v>
      </c>
      <c r="V187" s="23" t="s">
        <v>8</v>
      </c>
      <c r="W187" s="23" t="s">
        <v>9</v>
      </c>
      <c r="X187" s="23" t="s">
        <v>10</v>
      </c>
      <c r="Y187" s="23" t="s">
        <v>32</v>
      </c>
      <c r="Z187" s="23" t="s">
        <v>11</v>
      </c>
      <c r="AA187" s="23" t="s">
        <v>12</v>
      </c>
      <c r="AB187" s="23" t="s">
        <v>13</v>
      </c>
      <c r="AC187" s="23" t="s">
        <v>27</v>
      </c>
      <c r="AD187" s="23" t="s">
        <v>46</v>
      </c>
      <c r="AE187" s="23" t="s">
        <v>14</v>
      </c>
      <c r="AF187" s="23" t="s">
        <v>15</v>
      </c>
      <c r="AG187" s="23" t="s">
        <v>16</v>
      </c>
      <c r="AH187" s="23" t="s">
        <v>42</v>
      </c>
      <c r="AI187" s="23" t="s">
        <v>33</v>
      </c>
      <c r="AJ187" s="23" t="s">
        <v>17</v>
      </c>
      <c r="AK187" s="23" t="s">
        <v>18</v>
      </c>
      <c r="AL187" s="23" t="s">
        <v>19</v>
      </c>
      <c r="AM187" s="23" t="s">
        <v>20</v>
      </c>
      <c r="AN187" s="23" t="s">
        <v>21</v>
      </c>
      <c r="AO187" s="23" t="s">
        <v>22</v>
      </c>
      <c r="AP187" s="23" t="s">
        <v>43</v>
      </c>
      <c r="AQ187" s="23" t="s">
        <v>23</v>
      </c>
      <c r="AR187" s="23" t="s">
        <v>24</v>
      </c>
      <c r="AS187" s="23" t="s">
        <v>25</v>
      </c>
      <c r="AT187" s="23" t="s">
        <v>26</v>
      </c>
      <c r="AU187" s="36"/>
      <c r="AV187" s="36"/>
      <c r="AW187" s="36"/>
      <c r="AX187" s="36"/>
      <c r="AY187" s="36"/>
      <c r="AZ187" s="36"/>
      <c r="BA187" s="36"/>
      <c r="BB187" s="36"/>
      <c r="BC187" s="36"/>
    </row>
    <row r="188" spans="1:85" ht="15">
      <c r="A188" s="72" t="s">
        <v>277</v>
      </c>
      <c r="B188" s="24" t="s">
        <v>106</v>
      </c>
      <c r="C188" s="24"/>
      <c r="E188" s="18" t="s">
        <v>29</v>
      </c>
      <c r="F188" s="71"/>
      <c r="G188" t="s">
        <v>106</v>
      </c>
      <c r="I188" t="str">
        <f>IF(AV188&lt;&gt;"","*"&amp;AV188,"")</f>
        <v>*0.35</v>
      </c>
      <c r="J188" t="str">
        <f t="shared" si="3" ref="J188:Y203">IF(AW188&lt;&gt;"","*"&amp;AW188,"")</f>
        <v>*0.35</v>
      </c>
      <c r="K188" t="str">
        <f t="shared" si="3"/>
        <v>*0.35</v>
      </c>
      <c r="L188" t="str">
        <f t="shared" si="3"/>
        <v>*0.35</v>
      </c>
      <c r="M188" t="str">
        <f t="shared" si="3"/>
        <v>*0.35</v>
      </c>
      <c r="N188" t="str">
        <f t="shared" si="3"/>
        <v>*0.35</v>
      </c>
      <c r="O188" t="str">
        <f t="shared" si="3"/>
        <v>*0.35</v>
      </c>
      <c r="P188" t="str">
        <f t="shared" si="3"/>
        <v>*0.35</v>
      </c>
      <c r="Q188" t="str">
        <f t="shared" si="3"/>
        <v>*0.35</v>
      </c>
      <c r="R188" t="str">
        <f t="shared" si="3"/>
        <v>*0.35</v>
      </c>
      <c r="S188" t="str">
        <f t="shared" si="3"/>
        <v>*0.35</v>
      </c>
      <c r="T188" t="str">
        <f t="shared" si="3"/>
        <v>*0.35</v>
      </c>
      <c r="U188" t="str">
        <f t="shared" si="3"/>
        <v>*0.35</v>
      </c>
      <c r="V188" t="str">
        <f t="shared" si="3"/>
        <v>*0.35</v>
      </c>
      <c r="W188" s="20" t="str">
        <f t="shared" si="3"/>
        <v>*0.35</v>
      </c>
      <c r="X188" t="str">
        <f t="shared" si="3"/>
        <v>*0.35</v>
      </c>
      <c r="Y188" t="str">
        <f t="shared" si="3"/>
        <v>*0.35</v>
      </c>
      <c r="Z188" t="str">
        <f t="shared" si="4" ref="Z188:AO203">IF(BM188&lt;&gt;"","*"&amp;BM188,"")</f>
        <v>*0.35</v>
      </c>
      <c r="AA188" t="str">
        <f t="shared" si="4"/>
        <v>*0.35</v>
      </c>
      <c r="AB188" t="str">
        <f t="shared" si="4"/>
        <v>*0.35</v>
      </c>
      <c r="AC188" t="str">
        <f t="shared" si="4"/>
        <v>*0.35</v>
      </c>
      <c r="AD188" t="str">
        <f t="shared" si="4"/>
        <v>*0.35</v>
      </c>
      <c r="AE188" t="str">
        <f t="shared" si="4"/>
        <v>*0.35</v>
      </c>
      <c r="AF188" t="str">
        <f t="shared" si="4"/>
        <v>*0.35</v>
      </c>
      <c r="AG188" t="str">
        <f t="shared" si="4"/>
        <v>*0.35</v>
      </c>
      <c r="AH188" t="str">
        <f t="shared" si="4"/>
        <v>*0.35</v>
      </c>
      <c r="AI188" t="str">
        <f t="shared" si="4"/>
        <v>*0.35</v>
      </c>
      <c r="AJ188" t="str">
        <f t="shared" si="4"/>
        <v>*0.35</v>
      </c>
      <c r="AK188" t="str">
        <f t="shared" si="4"/>
        <v>*0.35</v>
      </c>
      <c r="AL188" t="str">
        <f t="shared" si="4"/>
        <v>*0.35</v>
      </c>
      <c r="AM188" t="str">
        <f t="shared" si="4"/>
        <v>*0.35</v>
      </c>
      <c r="AN188" t="str">
        <f t="shared" si="4"/>
        <v>*0.35</v>
      </c>
      <c r="AO188" t="str">
        <f t="shared" si="4"/>
        <v>*0.35</v>
      </c>
      <c r="AP188" t="str">
        <f t="shared" si="5" ref="AP188:AT203">IF(CC188&lt;&gt;"","*"&amp;CC188,"")</f>
        <v>*0.35</v>
      </c>
      <c r="AQ188" t="str">
        <f t="shared" si="5"/>
        <v>*0.35</v>
      </c>
      <c r="AR188" t="str">
        <f t="shared" si="5"/>
        <v>*0.35</v>
      </c>
      <c r="AS188" t="str">
        <f t="shared" si="5"/>
        <v>*0.35</v>
      </c>
      <c r="AT188" t="str">
        <f t="shared" si="5"/>
        <v>*0.35</v>
      </c>
      <c r="AV188" s="95">
        <f>AVERAGE(AW188:CG188)</f>
        <v>0.34999999999999998</v>
      </c>
      <c r="AW188" s="95">
        <f>IFERROR(AVERAGEIFS(RdTRABYVals!L$2:L$999,RdTRABYVals!$B$2:$B$999,"="&amp;$E188,RdTRABYVals!$C$2:$C$999,"="&amp;INS_EFF!$B188),"")</f>
        <v>0.34999999999999998</v>
      </c>
      <c r="AX188" s="95">
        <f>IFERROR(AVERAGEIFS(RdTRABYVals!M$2:M$999,RdTRABYVals!$B$2:$B$999,"="&amp;$E188,RdTRABYVals!$C$2:$C$999,"="&amp;INS_EFF!$B188),"")</f>
        <v>0.34999999999999998</v>
      </c>
      <c r="AY188" s="95">
        <f>IFERROR(AVERAGEIFS(RdTRABYVals!N$2:N$999,RdTRABYVals!$B$2:$B$999,"="&amp;$E188,RdTRABYVals!$C$2:$C$999,"="&amp;INS_EFF!$B188),"")</f>
        <v>0.34999999999999998</v>
      </c>
      <c r="AZ188" s="95">
        <f>IFERROR(AVERAGEIFS(RdTRABYVals!O$2:O$999,RdTRABYVals!$B$2:$B$999,"="&amp;$E188,RdTRABYVals!$C$2:$C$999,"="&amp;INS_EFF!$B188),"")</f>
        <v>0.34999999999999998</v>
      </c>
      <c r="BA188" s="95">
        <f>IFERROR(AVERAGEIFS(RdTRABYVals!P$2:P$999,RdTRABYVals!$B$2:$B$999,"="&amp;$E188,RdTRABYVals!$C$2:$C$999,"="&amp;INS_EFF!$B188),"")</f>
        <v>0.34999999999999998</v>
      </c>
      <c r="BB188" s="95">
        <f>IFERROR(AVERAGEIFS(RdTRABYVals!Q$2:Q$999,RdTRABYVals!$B$2:$B$999,"="&amp;$E188,RdTRABYVals!$C$2:$C$999,"="&amp;INS_EFF!$B188),"")</f>
        <v>0.34999999999999998</v>
      </c>
      <c r="BC188" s="95">
        <f>IFERROR(AVERAGEIFS(RdTRABYVals!R$2:R$999,RdTRABYVals!$B$2:$B$999,"="&amp;$E188,RdTRABYVals!$C$2:$C$999,"="&amp;INS_EFF!$B188),"")</f>
        <v>0.34999999999999998</v>
      </c>
      <c r="BD188" s="95">
        <f>IFERROR(AVERAGEIFS(RdTRABYVals!S$2:S$999,RdTRABYVals!$B$2:$B$999,"="&amp;$E188,RdTRABYVals!$C$2:$C$999,"="&amp;INS_EFF!$B188),"")</f>
        <v>0.34999999999999998</v>
      </c>
      <c r="BE188" s="95">
        <f>IFERROR(AVERAGEIFS(RdTRABYVals!T$2:T$999,RdTRABYVals!$B$2:$B$999,"="&amp;$E188,RdTRABYVals!$C$2:$C$999,"="&amp;INS_EFF!$B188),"")</f>
        <v>0.34999999999999998</v>
      </c>
      <c r="BF188" s="95">
        <f>IFERROR(AVERAGEIFS(RdTRABYVals!U$2:U$999,RdTRABYVals!$B$2:$B$999,"="&amp;$E188,RdTRABYVals!$C$2:$C$999,"="&amp;INS_EFF!$B188),"")</f>
        <v>0.34999999999999998</v>
      </c>
      <c r="BG188" s="95">
        <f>IFERROR(AVERAGEIFS(RdTRABYVals!V$2:V$999,RdTRABYVals!$B$2:$B$999,"="&amp;$E188,RdTRABYVals!$C$2:$C$999,"="&amp;INS_EFF!$B188),"")</f>
        <v>0.34999999999999998</v>
      </c>
      <c r="BH188" s="95">
        <f>IFERROR(AVERAGEIFS(RdTRABYVals!W$2:W$999,RdTRABYVals!$B$2:$B$999,"="&amp;$E188,RdTRABYVals!$C$2:$C$999,"="&amp;INS_EFF!$B188),"")</f>
        <v>0.34999999999999998</v>
      </c>
      <c r="BI188" s="95">
        <f>IFERROR(AVERAGEIFS(RdTRABYVals!X$2:X$999,RdTRABYVals!$B$2:$B$999,"="&amp;$E188,RdTRABYVals!$C$2:$C$999,"="&amp;INS_EFF!$B188),"")</f>
        <v>0.34999999999999998</v>
      </c>
      <c r="BJ188" s="95">
        <f>IFERROR(AVERAGEIFS(RdTRABYVals!Y$2:Y$999,RdTRABYVals!$B$2:$B$999,"="&amp;$E188,RdTRABYVals!$C$2:$C$999,"="&amp;INS_EFF!$B188),"")</f>
        <v>0.34999999999999998</v>
      </c>
      <c r="BK188" s="95">
        <f>IFERROR(AVERAGEIFS(RdTRABYVals!Z$2:Z$999,RdTRABYVals!$B$2:$B$999,"="&amp;$E188,RdTRABYVals!$C$2:$C$999,"="&amp;INS_EFF!$B188),"")</f>
        <v>0.34999999999999998</v>
      </c>
      <c r="BL188" s="95">
        <f>IFERROR(AVERAGEIFS(RdTRABYVals!AA$2:AA$999,RdTRABYVals!$B$2:$B$999,"="&amp;$E188,RdTRABYVals!$C$2:$C$999,"="&amp;INS_EFF!$B188),"")</f>
        <v>0.34999999999999998</v>
      </c>
      <c r="BM188" s="95">
        <f>IFERROR(AVERAGEIFS(RdTRABYVals!AB$2:AB$999,RdTRABYVals!$B$2:$B$999,"="&amp;$E188,RdTRABYVals!$C$2:$C$999,"="&amp;INS_EFF!$B188),"")</f>
        <v>0.34999999999999998</v>
      </c>
      <c r="BN188" s="95">
        <f>IFERROR(AVERAGEIFS(RdTRABYVals!AC$2:AC$999,RdTRABYVals!$B$2:$B$999,"="&amp;$E188,RdTRABYVals!$C$2:$C$999,"="&amp;INS_EFF!$B188),"")</f>
        <v>0.34999999999999998</v>
      </c>
      <c r="BO188" s="95">
        <f>IFERROR(AVERAGEIFS(RdTRABYVals!AD$2:AD$999,RdTRABYVals!$B$2:$B$999,"="&amp;$E188,RdTRABYVals!$C$2:$C$999,"="&amp;INS_EFF!$B188),"")</f>
        <v>0.34999999999999998</v>
      </c>
      <c r="BP188" s="95">
        <f>IFERROR(AVERAGEIFS(RdTRABYVals!AE$2:AE$999,RdTRABYVals!$B$2:$B$999,"="&amp;$E188,RdTRABYVals!$C$2:$C$999,"="&amp;INS_EFF!$B188),"")</f>
        <v>0.34999999999999998</v>
      </c>
      <c r="BQ188" s="95">
        <f>IFERROR(AVERAGEIFS(RdTRABYVals!AF$2:AF$999,RdTRABYVals!$B$2:$B$999,"="&amp;$E188,RdTRABYVals!$C$2:$C$999,"="&amp;INS_EFF!$B188),"")</f>
        <v>0.34999999999999998</v>
      </c>
      <c r="BR188" s="95">
        <f>IFERROR(AVERAGEIFS(RdTRABYVals!AG$2:AG$999,RdTRABYVals!$B$2:$B$999,"="&amp;$E188,RdTRABYVals!$C$2:$C$999,"="&amp;INS_EFF!$B188),"")</f>
        <v>0.34999999999999998</v>
      </c>
      <c r="BS188" s="95">
        <f>IFERROR(AVERAGEIFS(RdTRABYVals!AH$2:AH$999,RdTRABYVals!$B$2:$B$999,"="&amp;$E188,RdTRABYVals!$C$2:$C$999,"="&amp;INS_EFF!$B188),"")</f>
        <v>0.34999999999999998</v>
      </c>
      <c r="BT188" s="95">
        <f>IFERROR(AVERAGEIFS(RdTRABYVals!AI$2:AI$999,RdTRABYVals!$B$2:$B$999,"="&amp;$E188,RdTRABYVals!$C$2:$C$999,"="&amp;INS_EFF!$B188),"")</f>
        <v>0.34999999999999998</v>
      </c>
      <c r="BU188" s="95">
        <f>IFERROR(AVERAGEIFS(RdTRABYVals!AJ$2:AJ$999,RdTRABYVals!$B$2:$B$999,"="&amp;$E188,RdTRABYVals!$C$2:$C$999,"="&amp;INS_EFF!$B188),"")</f>
        <v>0.34999999999999998</v>
      </c>
      <c r="BV188" s="95">
        <f>IFERROR(AVERAGEIFS(RdTRABYVals!AK$2:AK$999,RdTRABYVals!$B$2:$B$999,"="&amp;$E188,RdTRABYVals!$C$2:$C$999,"="&amp;INS_EFF!$B188),"")</f>
        <v>0.34999999999999998</v>
      </c>
      <c r="BW188" s="95">
        <f>IFERROR(AVERAGEIFS(RdTRABYVals!AL$2:AL$999,RdTRABYVals!$B$2:$B$999,"="&amp;$E188,RdTRABYVals!$C$2:$C$999,"="&amp;INS_EFF!$B188),"")</f>
        <v>0.34999999999999998</v>
      </c>
      <c r="BX188" s="95">
        <f>IFERROR(AVERAGEIFS(RdTRABYVals!AM$2:AM$999,RdTRABYVals!$B$2:$B$999,"="&amp;$E188,RdTRABYVals!$C$2:$C$999,"="&amp;INS_EFF!$B188),"")</f>
        <v>0.34999999999999998</v>
      </c>
      <c r="BY188" s="95">
        <f>IFERROR(AVERAGEIFS(RdTRABYVals!AN$2:AN$999,RdTRABYVals!$B$2:$B$999,"="&amp;$E188,RdTRABYVals!$C$2:$C$999,"="&amp;INS_EFF!$B188),"")</f>
        <v>0.34999999999999998</v>
      </c>
      <c r="BZ188" s="95">
        <f>IFERROR(AVERAGEIFS(RdTRABYVals!AO$2:AO$999,RdTRABYVals!$B$2:$B$999,"="&amp;$E188,RdTRABYVals!$C$2:$C$999,"="&amp;INS_EFF!$B188),"")</f>
        <v>0.34999999999999998</v>
      </c>
      <c r="CA188" s="95">
        <f>IFERROR(AVERAGEIFS(RdTRABYVals!AP$2:AP$999,RdTRABYVals!$B$2:$B$999,"="&amp;$E188,RdTRABYVals!$C$2:$C$999,"="&amp;INS_EFF!$B188),"")</f>
        <v>0.34999999999999998</v>
      </c>
      <c r="CB188" s="95">
        <f>IFERROR(AVERAGEIFS(RdTRABYVals!AQ$2:AQ$999,RdTRABYVals!$B$2:$B$999,"="&amp;$E188,RdTRABYVals!$C$2:$C$999,"="&amp;INS_EFF!$B188),"")</f>
        <v>0.34999999999999998</v>
      </c>
      <c r="CC188" s="95">
        <f>IFERROR(AVERAGEIFS(RdTRABYVals!AR$2:AR$999,RdTRABYVals!$B$2:$B$999,"="&amp;$E188,RdTRABYVals!$C$2:$C$999,"="&amp;INS_EFF!$B188),"")</f>
        <v>0.34999999999999998</v>
      </c>
      <c r="CD188" s="95">
        <f>IFERROR(AVERAGEIFS(RdTRABYVals!AS$2:AS$999,RdTRABYVals!$B$2:$B$999,"="&amp;$E188,RdTRABYVals!$C$2:$C$999,"="&amp;INS_EFF!$B188),"")</f>
        <v>0.34999999999999998</v>
      </c>
      <c r="CE188" s="95">
        <f>IFERROR(AVERAGEIFS(RdTRABYVals!AT$2:AT$999,RdTRABYVals!$B$2:$B$999,"="&amp;$E188,RdTRABYVals!$C$2:$C$999,"="&amp;INS_EFF!$B188),"")</f>
        <v>0.34999999999999998</v>
      </c>
      <c r="CF188" s="95">
        <f>IFERROR(AVERAGEIFS(RdTRABYVals!AU$2:AU$999,RdTRABYVals!$B$2:$B$999,"="&amp;$E188,RdTRABYVals!$C$2:$C$999,"="&amp;INS_EFF!$B188),"")</f>
        <v>0.34999999999999998</v>
      </c>
      <c r="CG188" s="95">
        <f>IFERROR(AVERAGEIFS(RdTRABYVals!AV$2:AV$999,RdTRABYVals!$B$2:$B$999,"="&amp;$E188,RdTRABYVals!$C$2:$C$999,"="&amp;INS_EFF!$B188),"")</f>
        <v>0.34999999999999998</v>
      </c>
    </row>
    <row r="189" spans="2:85" ht="15">
      <c r="B189" s="24" t="s">
        <v>107</v>
      </c>
      <c r="C189" s="24"/>
      <c r="E189" s="18" t="s">
        <v>29</v>
      </c>
      <c r="F189" s="71"/>
      <c r="G189" t="s">
        <v>107</v>
      </c>
      <c r="I189" t="str">
        <f t="shared" si="6" ref="I189:X219">IF(AV189&lt;&gt;"","*"&amp;AV189,"")</f>
        <v>*0.35</v>
      </c>
      <c r="J189" t="str">
        <f t="shared" si="3"/>
        <v>*0.35</v>
      </c>
      <c r="K189" t="str">
        <f t="shared" si="3"/>
        <v>*0.35</v>
      </c>
      <c r="L189" t="str">
        <f t="shared" si="3"/>
        <v>*0.35</v>
      </c>
      <c r="M189" t="str">
        <f t="shared" si="3"/>
        <v>*0.35</v>
      </c>
      <c r="N189" t="str">
        <f t="shared" si="3"/>
        <v>*0.35</v>
      </c>
      <c r="O189" t="str">
        <f t="shared" si="3"/>
        <v>*0.35</v>
      </c>
      <c r="P189" t="str">
        <f t="shared" si="3"/>
        <v>*0.35</v>
      </c>
      <c r="Q189" t="str">
        <f t="shared" si="3"/>
        <v>*0.35</v>
      </c>
      <c r="R189" t="str">
        <f t="shared" si="3"/>
        <v>*0.35</v>
      </c>
      <c r="S189" t="str">
        <f t="shared" si="3"/>
        <v>*0.35</v>
      </c>
      <c r="T189" t="str">
        <f t="shared" si="3"/>
        <v>*0.35</v>
      </c>
      <c r="U189" t="str">
        <f t="shared" si="3"/>
        <v>*0.35</v>
      </c>
      <c r="V189" t="str">
        <f t="shared" si="3"/>
        <v>*0.35</v>
      </c>
      <c r="W189" s="20" t="str">
        <f t="shared" si="3"/>
        <v>*0.35</v>
      </c>
      <c r="X189" t="str">
        <f t="shared" si="3"/>
        <v>*0.35</v>
      </c>
      <c r="Y189" t="str">
        <f t="shared" si="3"/>
        <v>*0.35</v>
      </c>
      <c r="Z189" t="str">
        <f t="shared" si="4"/>
        <v>*0.35</v>
      </c>
      <c r="AA189" t="str">
        <f t="shared" si="4"/>
        <v>*0.35</v>
      </c>
      <c r="AB189" t="str">
        <f t="shared" si="4"/>
        <v>*0.35</v>
      </c>
      <c r="AC189" t="str">
        <f t="shared" si="4"/>
        <v>*0.35</v>
      </c>
      <c r="AD189" t="str">
        <f t="shared" si="4"/>
        <v>*0.35</v>
      </c>
      <c r="AE189" t="str">
        <f t="shared" si="4"/>
        <v>*0.35</v>
      </c>
      <c r="AF189" t="str">
        <f t="shared" si="4"/>
        <v>*0.35</v>
      </c>
      <c r="AG189" t="str">
        <f t="shared" si="4"/>
        <v>*0.35</v>
      </c>
      <c r="AH189" t="str">
        <f t="shared" si="4"/>
        <v>*0.35</v>
      </c>
      <c r="AI189" t="str">
        <f t="shared" si="4"/>
        <v>*0.35</v>
      </c>
      <c r="AJ189" t="str">
        <f t="shared" si="4"/>
        <v>*0.35</v>
      </c>
      <c r="AK189" t="str">
        <f t="shared" si="4"/>
        <v>*0.35</v>
      </c>
      <c r="AL189" t="str">
        <f t="shared" si="4"/>
        <v>*0.35</v>
      </c>
      <c r="AM189" t="str">
        <f t="shared" si="4"/>
        <v>*0.35</v>
      </c>
      <c r="AN189" t="str">
        <f t="shared" si="4"/>
        <v>*0.35</v>
      </c>
      <c r="AO189" t="str">
        <f t="shared" si="4"/>
        <v>*0.35</v>
      </c>
      <c r="AP189" t="str">
        <f t="shared" si="5"/>
        <v>*0.35</v>
      </c>
      <c r="AQ189" t="str">
        <f t="shared" si="5"/>
        <v>*0.35</v>
      </c>
      <c r="AR189" t="str">
        <f t="shared" si="5"/>
        <v>*0.35</v>
      </c>
      <c r="AS189" t="str">
        <f t="shared" si="5"/>
        <v>*0.35</v>
      </c>
      <c r="AT189" t="str">
        <f t="shared" si="5"/>
        <v>*0.35</v>
      </c>
      <c r="AV189" s="95">
        <f t="shared" si="7" ref="AV189:AV232">AVERAGE(AW189:CG189)</f>
        <v>0.34999999999999998</v>
      </c>
      <c r="AW189" s="95">
        <f>IFERROR(AVERAGEIFS(RdTRABYVals!L$2:L$999,RdTRABYVals!$B$2:$B$999,"="&amp;$E189,RdTRABYVals!$C$2:$C$999,"="&amp;INS_EFF!$B189),"")</f>
        <v>0.34999999999999998</v>
      </c>
      <c r="AX189" s="95">
        <f>IFERROR(AVERAGEIFS(RdTRABYVals!M$2:M$999,RdTRABYVals!$B$2:$B$999,"="&amp;$E189,RdTRABYVals!$C$2:$C$999,"="&amp;INS_EFF!$B189),"")</f>
        <v>0.34999999999999998</v>
      </c>
      <c r="AY189" s="95">
        <f>IFERROR(AVERAGEIFS(RdTRABYVals!N$2:N$999,RdTRABYVals!$B$2:$B$999,"="&amp;$E189,RdTRABYVals!$C$2:$C$999,"="&amp;INS_EFF!$B189),"")</f>
        <v>0.34999999999999998</v>
      </c>
      <c r="AZ189" s="95">
        <f>IFERROR(AVERAGEIFS(RdTRABYVals!O$2:O$999,RdTRABYVals!$B$2:$B$999,"="&amp;$E189,RdTRABYVals!$C$2:$C$999,"="&amp;INS_EFF!$B189),"")</f>
        <v>0.34999999999999998</v>
      </c>
      <c r="BA189" s="95">
        <f>IFERROR(AVERAGEIFS(RdTRABYVals!P$2:P$999,RdTRABYVals!$B$2:$B$999,"="&amp;$E189,RdTRABYVals!$C$2:$C$999,"="&amp;INS_EFF!$B189),"")</f>
        <v>0.34999999999999998</v>
      </c>
      <c r="BB189" s="95">
        <f>IFERROR(AVERAGEIFS(RdTRABYVals!Q$2:Q$999,RdTRABYVals!$B$2:$B$999,"="&amp;$E189,RdTRABYVals!$C$2:$C$999,"="&amp;INS_EFF!$B189),"")</f>
        <v>0.34999999999999998</v>
      </c>
      <c r="BC189" s="95">
        <f>IFERROR(AVERAGEIFS(RdTRABYVals!R$2:R$999,RdTRABYVals!$B$2:$B$999,"="&amp;$E189,RdTRABYVals!$C$2:$C$999,"="&amp;INS_EFF!$B189),"")</f>
        <v>0.34999999999999998</v>
      </c>
      <c r="BD189" s="95">
        <f>IFERROR(AVERAGEIFS(RdTRABYVals!S$2:S$999,RdTRABYVals!$B$2:$B$999,"="&amp;$E189,RdTRABYVals!$C$2:$C$999,"="&amp;INS_EFF!$B189),"")</f>
        <v>0.34999999999999998</v>
      </c>
      <c r="BE189" s="95">
        <f>IFERROR(AVERAGEIFS(RdTRABYVals!T$2:T$999,RdTRABYVals!$B$2:$B$999,"="&amp;$E189,RdTRABYVals!$C$2:$C$999,"="&amp;INS_EFF!$B189),"")</f>
        <v>0.34999999999999998</v>
      </c>
      <c r="BF189" s="95">
        <f>IFERROR(AVERAGEIFS(RdTRABYVals!U$2:U$999,RdTRABYVals!$B$2:$B$999,"="&amp;$E189,RdTRABYVals!$C$2:$C$999,"="&amp;INS_EFF!$B189),"")</f>
        <v>0.34999999999999998</v>
      </c>
      <c r="BG189" s="95">
        <f>IFERROR(AVERAGEIFS(RdTRABYVals!V$2:V$999,RdTRABYVals!$B$2:$B$999,"="&amp;$E189,RdTRABYVals!$C$2:$C$999,"="&amp;INS_EFF!$B189),"")</f>
        <v>0.34999999999999998</v>
      </c>
      <c r="BH189" s="95">
        <f>IFERROR(AVERAGEIFS(RdTRABYVals!W$2:W$999,RdTRABYVals!$B$2:$B$999,"="&amp;$E189,RdTRABYVals!$C$2:$C$999,"="&amp;INS_EFF!$B189),"")</f>
        <v>0.34999999999999998</v>
      </c>
      <c r="BI189" s="95">
        <f>IFERROR(AVERAGEIFS(RdTRABYVals!X$2:X$999,RdTRABYVals!$B$2:$B$999,"="&amp;$E189,RdTRABYVals!$C$2:$C$999,"="&amp;INS_EFF!$B189),"")</f>
        <v>0.34999999999999998</v>
      </c>
      <c r="BJ189" s="95">
        <f>IFERROR(AVERAGEIFS(RdTRABYVals!Y$2:Y$999,RdTRABYVals!$B$2:$B$999,"="&amp;$E189,RdTRABYVals!$C$2:$C$999,"="&amp;INS_EFF!$B189),"")</f>
        <v>0.34999999999999998</v>
      </c>
      <c r="BK189" s="95">
        <f>IFERROR(AVERAGEIFS(RdTRABYVals!Z$2:Z$999,RdTRABYVals!$B$2:$B$999,"="&amp;$E189,RdTRABYVals!$C$2:$C$999,"="&amp;INS_EFF!$B189),"")</f>
        <v>0.34999999999999998</v>
      </c>
      <c r="BL189" s="95">
        <f>IFERROR(AVERAGEIFS(RdTRABYVals!AA$2:AA$999,RdTRABYVals!$B$2:$B$999,"="&amp;$E189,RdTRABYVals!$C$2:$C$999,"="&amp;INS_EFF!$B189),"")</f>
        <v>0.34999999999999998</v>
      </c>
      <c r="BM189" s="95">
        <f>IFERROR(AVERAGEIFS(RdTRABYVals!AB$2:AB$999,RdTRABYVals!$B$2:$B$999,"="&amp;$E189,RdTRABYVals!$C$2:$C$999,"="&amp;INS_EFF!$B189),"")</f>
        <v>0.34999999999999998</v>
      </c>
      <c r="BN189" s="95">
        <f>IFERROR(AVERAGEIFS(RdTRABYVals!AC$2:AC$999,RdTRABYVals!$B$2:$B$999,"="&amp;$E189,RdTRABYVals!$C$2:$C$999,"="&amp;INS_EFF!$B189),"")</f>
        <v>0.34999999999999998</v>
      </c>
      <c r="BO189" s="95">
        <f>IFERROR(AVERAGEIFS(RdTRABYVals!AD$2:AD$999,RdTRABYVals!$B$2:$B$999,"="&amp;$E189,RdTRABYVals!$C$2:$C$999,"="&amp;INS_EFF!$B189),"")</f>
        <v>0.34999999999999998</v>
      </c>
      <c r="BP189" s="95">
        <f>IFERROR(AVERAGEIFS(RdTRABYVals!AE$2:AE$999,RdTRABYVals!$B$2:$B$999,"="&amp;$E189,RdTRABYVals!$C$2:$C$999,"="&amp;INS_EFF!$B189),"")</f>
        <v>0.34999999999999998</v>
      </c>
      <c r="BQ189" s="95">
        <f>IFERROR(AVERAGEIFS(RdTRABYVals!AF$2:AF$999,RdTRABYVals!$B$2:$B$999,"="&amp;$E189,RdTRABYVals!$C$2:$C$999,"="&amp;INS_EFF!$B189),"")</f>
        <v>0.34999999999999998</v>
      </c>
      <c r="BR189" s="95">
        <f>IFERROR(AVERAGEIFS(RdTRABYVals!AG$2:AG$999,RdTRABYVals!$B$2:$B$999,"="&amp;$E189,RdTRABYVals!$C$2:$C$999,"="&amp;INS_EFF!$B189),"")</f>
        <v>0.34999999999999998</v>
      </c>
      <c r="BS189" s="95">
        <f>IFERROR(AVERAGEIFS(RdTRABYVals!AH$2:AH$999,RdTRABYVals!$B$2:$B$999,"="&amp;$E189,RdTRABYVals!$C$2:$C$999,"="&amp;INS_EFF!$B189),"")</f>
        <v>0.34999999999999998</v>
      </c>
      <c r="BT189" s="95">
        <f>IFERROR(AVERAGEIFS(RdTRABYVals!AI$2:AI$999,RdTRABYVals!$B$2:$B$999,"="&amp;$E189,RdTRABYVals!$C$2:$C$999,"="&amp;INS_EFF!$B189),"")</f>
        <v>0.34999999999999998</v>
      </c>
      <c r="BU189" s="95">
        <f>IFERROR(AVERAGEIFS(RdTRABYVals!AJ$2:AJ$999,RdTRABYVals!$B$2:$B$999,"="&amp;$E189,RdTRABYVals!$C$2:$C$999,"="&amp;INS_EFF!$B189),"")</f>
        <v>0.34999999999999998</v>
      </c>
      <c r="BV189" s="95">
        <f>IFERROR(AVERAGEIFS(RdTRABYVals!AK$2:AK$999,RdTRABYVals!$B$2:$B$999,"="&amp;$E189,RdTRABYVals!$C$2:$C$999,"="&amp;INS_EFF!$B189),"")</f>
        <v>0.34999999999999998</v>
      </c>
      <c r="BW189" s="95">
        <f>IFERROR(AVERAGEIFS(RdTRABYVals!AL$2:AL$999,RdTRABYVals!$B$2:$B$999,"="&amp;$E189,RdTRABYVals!$C$2:$C$999,"="&amp;INS_EFF!$B189),"")</f>
        <v>0.34999999999999998</v>
      </c>
      <c r="BX189" s="95">
        <f>IFERROR(AVERAGEIFS(RdTRABYVals!AM$2:AM$999,RdTRABYVals!$B$2:$B$999,"="&amp;$E189,RdTRABYVals!$C$2:$C$999,"="&amp;INS_EFF!$B189),"")</f>
        <v>0.34999999999999998</v>
      </c>
      <c r="BY189" s="95">
        <f>IFERROR(AVERAGEIFS(RdTRABYVals!AN$2:AN$999,RdTRABYVals!$B$2:$B$999,"="&amp;$E189,RdTRABYVals!$C$2:$C$999,"="&amp;INS_EFF!$B189),"")</f>
        <v>0.34999999999999998</v>
      </c>
      <c r="BZ189" s="95">
        <f>IFERROR(AVERAGEIFS(RdTRABYVals!AO$2:AO$999,RdTRABYVals!$B$2:$B$999,"="&amp;$E189,RdTRABYVals!$C$2:$C$999,"="&amp;INS_EFF!$B189),"")</f>
        <v>0.34999999999999998</v>
      </c>
      <c r="CA189" s="95">
        <f>IFERROR(AVERAGEIFS(RdTRABYVals!AP$2:AP$999,RdTRABYVals!$B$2:$B$999,"="&amp;$E189,RdTRABYVals!$C$2:$C$999,"="&amp;INS_EFF!$B189),"")</f>
        <v>0.34999999999999998</v>
      </c>
      <c r="CB189" s="95">
        <f>IFERROR(AVERAGEIFS(RdTRABYVals!AQ$2:AQ$999,RdTRABYVals!$B$2:$B$999,"="&amp;$E189,RdTRABYVals!$C$2:$C$999,"="&amp;INS_EFF!$B189),"")</f>
        <v>0.34999999999999998</v>
      </c>
      <c r="CC189" s="95">
        <f>IFERROR(AVERAGEIFS(RdTRABYVals!AR$2:AR$999,RdTRABYVals!$B$2:$B$999,"="&amp;$E189,RdTRABYVals!$C$2:$C$999,"="&amp;INS_EFF!$B189),"")</f>
        <v>0.34999999999999998</v>
      </c>
      <c r="CD189" s="95">
        <f>IFERROR(AVERAGEIFS(RdTRABYVals!AS$2:AS$999,RdTRABYVals!$B$2:$B$999,"="&amp;$E189,RdTRABYVals!$C$2:$C$999,"="&amp;INS_EFF!$B189),"")</f>
        <v>0.34999999999999998</v>
      </c>
      <c r="CE189" s="95">
        <f>IFERROR(AVERAGEIFS(RdTRABYVals!AT$2:AT$999,RdTRABYVals!$B$2:$B$999,"="&amp;$E189,RdTRABYVals!$C$2:$C$999,"="&amp;INS_EFF!$B189),"")</f>
        <v>0.34999999999999998</v>
      </c>
      <c r="CF189" s="95">
        <f>IFERROR(AVERAGEIFS(RdTRABYVals!AU$2:AU$999,RdTRABYVals!$B$2:$B$999,"="&amp;$E189,RdTRABYVals!$C$2:$C$999,"="&amp;INS_EFF!$B189),"")</f>
        <v>0.34999999999999998</v>
      </c>
      <c r="CG189" s="95">
        <f>IFERROR(AVERAGEIFS(RdTRABYVals!AV$2:AV$999,RdTRABYVals!$B$2:$B$999,"="&amp;$E189,RdTRABYVals!$C$2:$C$999,"="&amp;INS_EFF!$B189),"")</f>
        <v>0.34999999999999998</v>
      </c>
    </row>
    <row r="190" spans="2:85" ht="15">
      <c r="B190" s="24" t="s">
        <v>108</v>
      </c>
      <c r="C190" s="24"/>
      <c r="E190" s="18" t="s">
        <v>29</v>
      </c>
      <c r="F190" s="71"/>
      <c r="G190" t="s">
        <v>108</v>
      </c>
      <c r="I190" t="str">
        <f t="shared" si="6"/>
        <v>*0.35</v>
      </c>
      <c r="J190" t="str">
        <f t="shared" si="3"/>
        <v>*0.35</v>
      </c>
      <c r="K190" t="str">
        <f t="shared" si="3"/>
        <v>*0.35</v>
      </c>
      <c r="L190" t="str">
        <f t="shared" si="3"/>
        <v>*0.35</v>
      </c>
      <c r="M190" t="str">
        <f t="shared" si="3"/>
        <v>*0.35</v>
      </c>
      <c r="N190" t="str">
        <f t="shared" si="3"/>
        <v>*0.35</v>
      </c>
      <c r="O190" t="str">
        <f t="shared" si="3"/>
        <v>*0.35</v>
      </c>
      <c r="P190" t="str">
        <f t="shared" si="3"/>
        <v>*0.35</v>
      </c>
      <c r="Q190" t="str">
        <f t="shared" si="3"/>
        <v>*0.35</v>
      </c>
      <c r="R190" t="str">
        <f t="shared" si="3"/>
        <v>*0.35</v>
      </c>
      <c r="S190" t="str">
        <f t="shared" si="3"/>
        <v>*0.35</v>
      </c>
      <c r="T190" t="str">
        <f t="shared" si="3"/>
        <v>*0.35</v>
      </c>
      <c r="U190" t="str">
        <f t="shared" si="3"/>
        <v>*0.35</v>
      </c>
      <c r="V190" t="str">
        <f t="shared" si="3"/>
        <v>*0.35</v>
      </c>
      <c r="W190" s="20" t="str">
        <f t="shared" si="3"/>
        <v>*0.35</v>
      </c>
      <c r="X190" t="str">
        <f t="shared" si="3"/>
        <v>*0.35</v>
      </c>
      <c r="Y190" t="str">
        <f t="shared" si="3"/>
        <v>*0.35</v>
      </c>
      <c r="Z190" t="str">
        <f t="shared" si="4"/>
        <v>*0.35</v>
      </c>
      <c r="AA190" t="str">
        <f t="shared" si="4"/>
        <v>*0.35</v>
      </c>
      <c r="AB190" t="str">
        <f t="shared" si="4"/>
        <v>*0.35</v>
      </c>
      <c r="AC190" t="str">
        <f t="shared" si="4"/>
        <v>*0.35</v>
      </c>
      <c r="AD190" t="str">
        <f t="shared" si="4"/>
        <v>*0.35</v>
      </c>
      <c r="AE190" t="str">
        <f t="shared" si="4"/>
        <v>*0.35</v>
      </c>
      <c r="AF190" t="str">
        <f t="shared" si="4"/>
        <v>*0.35</v>
      </c>
      <c r="AG190" t="str">
        <f t="shared" si="4"/>
        <v>*0.35</v>
      </c>
      <c r="AH190" t="str">
        <f t="shared" si="4"/>
        <v>*0.35</v>
      </c>
      <c r="AI190" t="str">
        <f t="shared" si="4"/>
        <v>*0.35</v>
      </c>
      <c r="AJ190" t="str">
        <f t="shared" si="4"/>
        <v>*0.35</v>
      </c>
      <c r="AK190" t="str">
        <f t="shared" si="4"/>
        <v>*0.35</v>
      </c>
      <c r="AL190" t="str">
        <f t="shared" si="4"/>
        <v>*0.35</v>
      </c>
      <c r="AM190" t="str">
        <f t="shared" si="4"/>
        <v>*0.35</v>
      </c>
      <c r="AN190" t="str">
        <f t="shared" si="4"/>
        <v>*0.35</v>
      </c>
      <c r="AO190" t="str">
        <f t="shared" si="4"/>
        <v>*0.35</v>
      </c>
      <c r="AP190" t="str">
        <f t="shared" si="5"/>
        <v>*0.35</v>
      </c>
      <c r="AQ190" t="str">
        <f t="shared" si="5"/>
        <v>*0.35</v>
      </c>
      <c r="AR190" t="str">
        <f t="shared" si="5"/>
        <v>*0.35</v>
      </c>
      <c r="AS190" t="str">
        <f t="shared" si="5"/>
        <v>*0.35</v>
      </c>
      <c r="AT190" t="str">
        <f t="shared" si="5"/>
        <v>*0.35</v>
      </c>
      <c r="AV190" s="95">
        <f t="shared" si="7"/>
        <v>0.34999999999999998</v>
      </c>
      <c r="AW190" s="95">
        <f>IFERROR(AVERAGEIFS(RdTRABYVals!L$2:L$999,RdTRABYVals!$B$2:$B$999,"="&amp;$E190,RdTRABYVals!$C$2:$C$999,"="&amp;INS_EFF!$B190),"")</f>
        <v>0.34999999999999998</v>
      </c>
      <c r="AX190" s="95">
        <f>IFERROR(AVERAGEIFS(RdTRABYVals!M$2:M$999,RdTRABYVals!$B$2:$B$999,"="&amp;$E190,RdTRABYVals!$C$2:$C$999,"="&amp;INS_EFF!$B190),"")</f>
        <v>0.34999999999999998</v>
      </c>
      <c r="AY190" s="95">
        <f>IFERROR(AVERAGEIFS(RdTRABYVals!N$2:N$999,RdTRABYVals!$B$2:$B$999,"="&amp;$E190,RdTRABYVals!$C$2:$C$999,"="&amp;INS_EFF!$B190),"")</f>
        <v>0.34999999999999998</v>
      </c>
      <c r="AZ190" s="95">
        <f>IFERROR(AVERAGEIFS(RdTRABYVals!O$2:O$999,RdTRABYVals!$B$2:$B$999,"="&amp;$E190,RdTRABYVals!$C$2:$C$999,"="&amp;INS_EFF!$B190),"")</f>
        <v>0.34999999999999998</v>
      </c>
      <c r="BA190" s="95">
        <f>IFERROR(AVERAGEIFS(RdTRABYVals!P$2:P$999,RdTRABYVals!$B$2:$B$999,"="&amp;$E190,RdTRABYVals!$C$2:$C$999,"="&amp;INS_EFF!$B190),"")</f>
        <v>0.34999999999999998</v>
      </c>
      <c r="BB190" s="95">
        <f>IFERROR(AVERAGEIFS(RdTRABYVals!Q$2:Q$999,RdTRABYVals!$B$2:$B$999,"="&amp;$E190,RdTRABYVals!$C$2:$C$999,"="&amp;INS_EFF!$B190),"")</f>
        <v>0.34999999999999998</v>
      </c>
      <c r="BC190" s="95">
        <f>IFERROR(AVERAGEIFS(RdTRABYVals!R$2:R$999,RdTRABYVals!$B$2:$B$999,"="&amp;$E190,RdTRABYVals!$C$2:$C$999,"="&amp;INS_EFF!$B190),"")</f>
        <v>0.34999999999999998</v>
      </c>
      <c r="BD190" s="95">
        <f>IFERROR(AVERAGEIFS(RdTRABYVals!S$2:S$999,RdTRABYVals!$B$2:$B$999,"="&amp;$E190,RdTRABYVals!$C$2:$C$999,"="&amp;INS_EFF!$B190),"")</f>
        <v>0.34999999999999998</v>
      </c>
      <c r="BE190" s="95">
        <f>IFERROR(AVERAGEIFS(RdTRABYVals!T$2:T$999,RdTRABYVals!$B$2:$B$999,"="&amp;$E190,RdTRABYVals!$C$2:$C$999,"="&amp;INS_EFF!$B190),"")</f>
        <v>0.34999999999999998</v>
      </c>
      <c r="BF190" s="95">
        <f>IFERROR(AVERAGEIFS(RdTRABYVals!U$2:U$999,RdTRABYVals!$B$2:$B$999,"="&amp;$E190,RdTRABYVals!$C$2:$C$999,"="&amp;INS_EFF!$B190),"")</f>
        <v>0.34999999999999998</v>
      </c>
      <c r="BG190" s="95">
        <f>IFERROR(AVERAGEIFS(RdTRABYVals!V$2:V$999,RdTRABYVals!$B$2:$B$999,"="&amp;$E190,RdTRABYVals!$C$2:$C$999,"="&amp;INS_EFF!$B190),"")</f>
        <v>0.34999999999999998</v>
      </c>
      <c r="BH190" s="95">
        <f>IFERROR(AVERAGEIFS(RdTRABYVals!W$2:W$999,RdTRABYVals!$B$2:$B$999,"="&amp;$E190,RdTRABYVals!$C$2:$C$999,"="&amp;INS_EFF!$B190),"")</f>
        <v>0.34999999999999998</v>
      </c>
      <c r="BI190" s="95">
        <f>IFERROR(AVERAGEIFS(RdTRABYVals!X$2:X$999,RdTRABYVals!$B$2:$B$999,"="&amp;$E190,RdTRABYVals!$C$2:$C$999,"="&amp;INS_EFF!$B190),"")</f>
        <v>0.34999999999999998</v>
      </c>
      <c r="BJ190" s="95">
        <f>IFERROR(AVERAGEIFS(RdTRABYVals!Y$2:Y$999,RdTRABYVals!$B$2:$B$999,"="&amp;$E190,RdTRABYVals!$C$2:$C$999,"="&amp;INS_EFF!$B190),"")</f>
        <v>0.34999999999999998</v>
      </c>
      <c r="BK190" s="95">
        <f>IFERROR(AVERAGEIFS(RdTRABYVals!Z$2:Z$999,RdTRABYVals!$B$2:$B$999,"="&amp;$E190,RdTRABYVals!$C$2:$C$999,"="&amp;INS_EFF!$B190),"")</f>
        <v>0.34999999999999998</v>
      </c>
      <c r="BL190" s="95">
        <f>IFERROR(AVERAGEIFS(RdTRABYVals!AA$2:AA$999,RdTRABYVals!$B$2:$B$999,"="&amp;$E190,RdTRABYVals!$C$2:$C$999,"="&amp;INS_EFF!$B190),"")</f>
        <v>0.34999999999999998</v>
      </c>
      <c r="BM190" s="95">
        <f>IFERROR(AVERAGEIFS(RdTRABYVals!AB$2:AB$999,RdTRABYVals!$B$2:$B$999,"="&amp;$E190,RdTRABYVals!$C$2:$C$999,"="&amp;INS_EFF!$B190),"")</f>
        <v>0.34999999999999998</v>
      </c>
      <c r="BN190" s="95">
        <f>IFERROR(AVERAGEIFS(RdTRABYVals!AC$2:AC$999,RdTRABYVals!$B$2:$B$999,"="&amp;$E190,RdTRABYVals!$C$2:$C$999,"="&amp;INS_EFF!$B190),"")</f>
        <v>0.34999999999999998</v>
      </c>
      <c r="BO190" s="95">
        <f>IFERROR(AVERAGEIFS(RdTRABYVals!AD$2:AD$999,RdTRABYVals!$B$2:$B$999,"="&amp;$E190,RdTRABYVals!$C$2:$C$999,"="&amp;INS_EFF!$B190),"")</f>
        <v>0.34999999999999998</v>
      </c>
      <c r="BP190" s="95">
        <f>IFERROR(AVERAGEIFS(RdTRABYVals!AE$2:AE$999,RdTRABYVals!$B$2:$B$999,"="&amp;$E190,RdTRABYVals!$C$2:$C$999,"="&amp;INS_EFF!$B190),"")</f>
        <v>0.34999999999999998</v>
      </c>
      <c r="BQ190" s="95">
        <f>IFERROR(AVERAGEIFS(RdTRABYVals!AF$2:AF$999,RdTRABYVals!$B$2:$B$999,"="&amp;$E190,RdTRABYVals!$C$2:$C$999,"="&amp;INS_EFF!$B190),"")</f>
        <v>0.34999999999999998</v>
      </c>
      <c r="BR190" s="95">
        <f>IFERROR(AVERAGEIFS(RdTRABYVals!AG$2:AG$999,RdTRABYVals!$B$2:$B$999,"="&amp;$E190,RdTRABYVals!$C$2:$C$999,"="&amp;INS_EFF!$B190),"")</f>
        <v>0.34999999999999998</v>
      </c>
      <c r="BS190" s="95">
        <f>IFERROR(AVERAGEIFS(RdTRABYVals!AH$2:AH$999,RdTRABYVals!$B$2:$B$999,"="&amp;$E190,RdTRABYVals!$C$2:$C$999,"="&amp;INS_EFF!$B190),"")</f>
        <v>0.34999999999999998</v>
      </c>
      <c r="BT190" s="95">
        <f>IFERROR(AVERAGEIFS(RdTRABYVals!AI$2:AI$999,RdTRABYVals!$B$2:$B$999,"="&amp;$E190,RdTRABYVals!$C$2:$C$999,"="&amp;INS_EFF!$B190),"")</f>
        <v>0.34999999999999998</v>
      </c>
      <c r="BU190" s="95">
        <f>IFERROR(AVERAGEIFS(RdTRABYVals!AJ$2:AJ$999,RdTRABYVals!$B$2:$B$999,"="&amp;$E190,RdTRABYVals!$C$2:$C$999,"="&amp;INS_EFF!$B190),"")</f>
        <v>0.34999999999999998</v>
      </c>
      <c r="BV190" s="95">
        <f>IFERROR(AVERAGEIFS(RdTRABYVals!AK$2:AK$999,RdTRABYVals!$B$2:$B$999,"="&amp;$E190,RdTRABYVals!$C$2:$C$999,"="&amp;INS_EFF!$B190),"")</f>
        <v>0.34999999999999998</v>
      </c>
      <c r="BW190" s="95">
        <f>IFERROR(AVERAGEIFS(RdTRABYVals!AL$2:AL$999,RdTRABYVals!$B$2:$B$999,"="&amp;$E190,RdTRABYVals!$C$2:$C$999,"="&amp;INS_EFF!$B190),"")</f>
        <v>0.34999999999999998</v>
      </c>
      <c r="BX190" s="95">
        <f>IFERROR(AVERAGEIFS(RdTRABYVals!AM$2:AM$999,RdTRABYVals!$B$2:$B$999,"="&amp;$E190,RdTRABYVals!$C$2:$C$999,"="&amp;INS_EFF!$B190),"")</f>
        <v>0.34999999999999998</v>
      </c>
      <c r="BY190" s="95">
        <f>IFERROR(AVERAGEIFS(RdTRABYVals!AN$2:AN$999,RdTRABYVals!$B$2:$B$999,"="&amp;$E190,RdTRABYVals!$C$2:$C$999,"="&amp;INS_EFF!$B190),"")</f>
        <v>0.34999999999999998</v>
      </c>
      <c r="BZ190" s="95">
        <f>IFERROR(AVERAGEIFS(RdTRABYVals!AO$2:AO$999,RdTRABYVals!$B$2:$B$999,"="&amp;$E190,RdTRABYVals!$C$2:$C$999,"="&amp;INS_EFF!$B190),"")</f>
        <v>0.34999999999999998</v>
      </c>
      <c r="CA190" s="95">
        <f>IFERROR(AVERAGEIFS(RdTRABYVals!AP$2:AP$999,RdTRABYVals!$B$2:$B$999,"="&amp;$E190,RdTRABYVals!$C$2:$C$999,"="&amp;INS_EFF!$B190),"")</f>
        <v>0.34999999999999998</v>
      </c>
      <c r="CB190" s="95">
        <f>IFERROR(AVERAGEIFS(RdTRABYVals!AQ$2:AQ$999,RdTRABYVals!$B$2:$B$999,"="&amp;$E190,RdTRABYVals!$C$2:$C$999,"="&amp;INS_EFF!$B190),"")</f>
        <v>0.34999999999999998</v>
      </c>
      <c r="CC190" s="95">
        <f>IFERROR(AVERAGEIFS(RdTRABYVals!AR$2:AR$999,RdTRABYVals!$B$2:$B$999,"="&amp;$E190,RdTRABYVals!$C$2:$C$999,"="&amp;INS_EFF!$B190),"")</f>
        <v>0.34999999999999998</v>
      </c>
      <c r="CD190" s="95">
        <f>IFERROR(AVERAGEIFS(RdTRABYVals!AS$2:AS$999,RdTRABYVals!$B$2:$B$999,"="&amp;$E190,RdTRABYVals!$C$2:$C$999,"="&amp;INS_EFF!$B190),"")</f>
        <v>0.34999999999999998</v>
      </c>
      <c r="CE190" s="95">
        <f>IFERROR(AVERAGEIFS(RdTRABYVals!AT$2:AT$999,RdTRABYVals!$B$2:$B$999,"="&amp;$E190,RdTRABYVals!$C$2:$C$999,"="&amp;INS_EFF!$B190),"")</f>
        <v>0.34999999999999998</v>
      </c>
      <c r="CF190" s="95">
        <f>IFERROR(AVERAGEIFS(RdTRABYVals!AU$2:AU$999,RdTRABYVals!$B$2:$B$999,"="&amp;$E190,RdTRABYVals!$C$2:$C$999,"="&amp;INS_EFF!$B190),"")</f>
        <v>0.34999999999999998</v>
      </c>
      <c r="CG190" s="95">
        <f>IFERROR(AVERAGEIFS(RdTRABYVals!AV$2:AV$999,RdTRABYVals!$B$2:$B$999,"="&amp;$E190,RdTRABYVals!$C$2:$C$999,"="&amp;INS_EFF!$B190),"")</f>
        <v>0.34999999999999998</v>
      </c>
    </row>
    <row r="191" spans="2:85" ht="15">
      <c r="B191" s="24" t="s">
        <v>109</v>
      </c>
      <c r="C191" s="24"/>
      <c r="E191" s="18" t="s">
        <v>29</v>
      </c>
      <c r="F191" s="71"/>
      <c r="G191" t="s">
        <v>109</v>
      </c>
      <c r="I191" t="str">
        <f t="shared" si="6"/>
        <v>*0.35</v>
      </c>
      <c r="J191" t="str">
        <f t="shared" si="3"/>
        <v>*0.35</v>
      </c>
      <c r="K191" t="str">
        <f t="shared" si="3"/>
        <v>*0.35</v>
      </c>
      <c r="L191" t="str">
        <f t="shared" si="3"/>
        <v>*0.35</v>
      </c>
      <c r="M191" t="str">
        <f t="shared" si="3"/>
        <v>*0.35</v>
      </c>
      <c r="N191" t="str">
        <f t="shared" si="3"/>
        <v>*0.35</v>
      </c>
      <c r="O191" t="str">
        <f t="shared" si="3"/>
        <v>*0.35</v>
      </c>
      <c r="P191" t="str">
        <f t="shared" si="3"/>
        <v>*0.35</v>
      </c>
      <c r="Q191" t="str">
        <f t="shared" si="3"/>
        <v>*0.35</v>
      </c>
      <c r="R191" t="str">
        <f t="shared" si="3"/>
        <v>*0.35</v>
      </c>
      <c r="S191" t="str">
        <f t="shared" si="3"/>
        <v>*0.35</v>
      </c>
      <c r="T191" t="str">
        <f t="shared" si="3"/>
        <v>*0.35</v>
      </c>
      <c r="U191" t="str">
        <f t="shared" si="3"/>
        <v>*0.35</v>
      </c>
      <c r="V191" t="str">
        <f t="shared" si="3"/>
        <v>*0.35</v>
      </c>
      <c r="W191" s="20" t="str">
        <f t="shared" si="3"/>
        <v>*0.35</v>
      </c>
      <c r="X191" t="str">
        <f t="shared" si="3"/>
        <v>*0.35</v>
      </c>
      <c r="Y191" t="str">
        <f t="shared" si="3"/>
        <v>*0.35</v>
      </c>
      <c r="Z191" t="str">
        <f t="shared" si="4"/>
        <v>*0.35</v>
      </c>
      <c r="AA191" t="str">
        <f t="shared" si="4"/>
        <v>*0.35</v>
      </c>
      <c r="AB191" t="str">
        <f t="shared" si="4"/>
        <v>*0.35</v>
      </c>
      <c r="AC191" t="str">
        <f t="shared" si="4"/>
        <v>*0.35</v>
      </c>
      <c r="AD191" t="str">
        <f t="shared" si="4"/>
        <v>*0.35</v>
      </c>
      <c r="AE191" t="str">
        <f t="shared" si="4"/>
        <v>*0.35</v>
      </c>
      <c r="AF191" t="str">
        <f t="shared" si="4"/>
        <v>*0.35</v>
      </c>
      <c r="AG191" t="str">
        <f t="shared" si="4"/>
        <v>*0.35</v>
      </c>
      <c r="AH191" t="str">
        <f t="shared" si="4"/>
        <v>*0.35</v>
      </c>
      <c r="AI191" t="str">
        <f t="shared" si="4"/>
        <v>*0.35</v>
      </c>
      <c r="AJ191" t="str">
        <f t="shared" si="4"/>
        <v>*0.35</v>
      </c>
      <c r="AK191" t="str">
        <f t="shared" si="4"/>
        <v>*0.35</v>
      </c>
      <c r="AL191" t="str">
        <f t="shared" si="4"/>
        <v>*0.35</v>
      </c>
      <c r="AM191" t="str">
        <f t="shared" si="4"/>
        <v>*0.35</v>
      </c>
      <c r="AN191" t="str">
        <f t="shared" si="4"/>
        <v>*0.35</v>
      </c>
      <c r="AO191" t="str">
        <f t="shared" si="4"/>
        <v>*0.35</v>
      </c>
      <c r="AP191" t="str">
        <f t="shared" si="5"/>
        <v>*0.35</v>
      </c>
      <c r="AQ191" t="str">
        <f t="shared" si="5"/>
        <v>*0.35</v>
      </c>
      <c r="AR191" t="str">
        <f t="shared" si="5"/>
        <v>*0.35</v>
      </c>
      <c r="AS191" t="str">
        <f t="shared" si="5"/>
        <v>*0.35</v>
      </c>
      <c r="AT191" t="str">
        <f t="shared" si="5"/>
        <v>*0.35</v>
      </c>
      <c r="AV191" s="95">
        <f t="shared" si="7"/>
        <v>0.34999999999999998</v>
      </c>
      <c r="AW191" s="95">
        <f>IFERROR(AVERAGEIFS(RdTRABYVals!L$2:L$999,RdTRABYVals!$B$2:$B$999,"="&amp;$E191,RdTRABYVals!$C$2:$C$999,"="&amp;INS_EFF!$B191),"")</f>
        <v>0.34999999999999998</v>
      </c>
      <c r="AX191" s="95">
        <f>IFERROR(AVERAGEIFS(RdTRABYVals!M$2:M$999,RdTRABYVals!$B$2:$B$999,"="&amp;$E191,RdTRABYVals!$C$2:$C$999,"="&amp;INS_EFF!$B191),"")</f>
        <v>0.34999999999999998</v>
      </c>
      <c r="AY191" s="95">
        <f>IFERROR(AVERAGEIFS(RdTRABYVals!N$2:N$999,RdTRABYVals!$B$2:$B$999,"="&amp;$E191,RdTRABYVals!$C$2:$C$999,"="&amp;INS_EFF!$B191),"")</f>
        <v>0.34999999999999998</v>
      </c>
      <c r="AZ191" s="95">
        <f>IFERROR(AVERAGEIFS(RdTRABYVals!O$2:O$999,RdTRABYVals!$B$2:$B$999,"="&amp;$E191,RdTRABYVals!$C$2:$C$999,"="&amp;INS_EFF!$B191),"")</f>
        <v>0.34999999999999998</v>
      </c>
      <c r="BA191" s="95">
        <f>IFERROR(AVERAGEIFS(RdTRABYVals!P$2:P$999,RdTRABYVals!$B$2:$B$999,"="&amp;$E191,RdTRABYVals!$C$2:$C$999,"="&amp;INS_EFF!$B191),"")</f>
        <v>0.34999999999999998</v>
      </c>
      <c r="BB191" s="95">
        <f>IFERROR(AVERAGEIFS(RdTRABYVals!Q$2:Q$999,RdTRABYVals!$B$2:$B$999,"="&amp;$E191,RdTRABYVals!$C$2:$C$999,"="&amp;INS_EFF!$B191),"")</f>
        <v>0.34999999999999998</v>
      </c>
      <c r="BC191" s="95">
        <f>IFERROR(AVERAGEIFS(RdTRABYVals!R$2:R$999,RdTRABYVals!$B$2:$B$999,"="&amp;$E191,RdTRABYVals!$C$2:$C$999,"="&amp;INS_EFF!$B191),"")</f>
        <v>0.34999999999999998</v>
      </c>
      <c r="BD191" s="95">
        <f>IFERROR(AVERAGEIFS(RdTRABYVals!S$2:S$999,RdTRABYVals!$B$2:$B$999,"="&amp;$E191,RdTRABYVals!$C$2:$C$999,"="&amp;INS_EFF!$B191),"")</f>
        <v>0.34999999999999998</v>
      </c>
      <c r="BE191" s="95">
        <f>IFERROR(AVERAGEIFS(RdTRABYVals!T$2:T$999,RdTRABYVals!$B$2:$B$999,"="&amp;$E191,RdTRABYVals!$C$2:$C$999,"="&amp;INS_EFF!$B191),"")</f>
        <v>0.34999999999999998</v>
      </c>
      <c r="BF191" s="95">
        <f>IFERROR(AVERAGEIFS(RdTRABYVals!U$2:U$999,RdTRABYVals!$B$2:$B$999,"="&amp;$E191,RdTRABYVals!$C$2:$C$999,"="&amp;INS_EFF!$B191),"")</f>
        <v>0.34999999999999998</v>
      </c>
      <c r="BG191" s="95">
        <f>IFERROR(AVERAGEIFS(RdTRABYVals!V$2:V$999,RdTRABYVals!$B$2:$B$999,"="&amp;$E191,RdTRABYVals!$C$2:$C$999,"="&amp;INS_EFF!$B191),"")</f>
        <v>0.34999999999999998</v>
      </c>
      <c r="BH191" s="95">
        <f>IFERROR(AVERAGEIFS(RdTRABYVals!W$2:W$999,RdTRABYVals!$B$2:$B$999,"="&amp;$E191,RdTRABYVals!$C$2:$C$999,"="&amp;INS_EFF!$B191),"")</f>
        <v>0.34999999999999998</v>
      </c>
      <c r="BI191" s="95">
        <f>IFERROR(AVERAGEIFS(RdTRABYVals!X$2:X$999,RdTRABYVals!$B$2:$B$999,"="&amp;$E191,RdTRABYVals!$C$2:$C$999,"="&amp;INS_EFF!$B191),"")</f>
        <v>0.34999999999999998</v>
      </c>
      <c r="BJ191" s="95">
        <f>IFERROR(AVERAGEIFS(RdTRABYVals!Y$2:Y$999,RdTRABYVals!$B$2:$B$999,"="&amp;$E191,RdTRABYVals!$C$2:$C$999,"="&amp;INS_EFF!$B191),"")</f>
        <v>0.34999999999999998</v>
      </c>
      <c r="BK191" s="95">
        <f>IFERROR(AVERAGEIFS(RdTRABYVals!Z$2:Z$999,RdTRABYVals!$B$2:$B$999,"="&amp;$E191,RdTRABYVals!$C$2:$C$999,"="&amp;INS_EFF!$B191),"")</f>
        <v>0.34999999999999998</v>
      </c>
      <c r="BL191" s="95">
        <f>IFERROR(AVERAGEIFS(RdTRABYVals!AA$2:AA$999,RdTRABYVals!$B$2:$B$999,"="&amp;$E191,RdTRABYVals!$C$2:$C$999,"="&amp;INS_EFF!$B191),"")</f>
        <v>0.34999999999999998</v>
      </c>
      <c r="BM191" s="95">
        <f>IFERROR(AVERAGEIFS(RdTRABYVals!AB$2:AB$999,RdTRABYVals!$B$2:$B$999,"="&amp;$E191,RdTRABYVals!$C$2:$C$999,"="&amp;INS_EFF!$B191),"")</f>
        <v>0.34999999999999998</v>
      </c>
      <c r="BN191" s="95">
        <f>IFERROR(AVERAGEIFS(RdTRABYVals!AC$2:AC$999,RdTRABYVals!$B$2:$B$999,"="&amp;$E191,RdTRABYVals!$C$2:$C$999,"="&amp;INS_EFF!$B191),"")</f>
        <v>0.34999999999999998</v>
      </c>
      <c r="BO191" s="95">
        <f>IFERROR(AVERAGEIFS(RdTRABYVals!AD$2:AD$999,RdTRABYVals!$B$2:$B$999,"="&amp;$E191,RdTRABYVals!$C$2:$C$999,"="&amp;INS_EFF!$B191),"")</f>
        <v>0.34999999999999998</v>
      </c>
      <c r="BP191" s="95">
        <f>IFERROR(AVERAGEIFS(RdTRABYVals!AE$2:AE$999,RdTRABYVals!$B$2:$B$999,"="&amp;$E191,RdTRABYVals!$C$2:$C$999,"="&amp;INS_EFF!$B191),"")</f>
        <v>0.34999999999999998</v>
      </c>
      <c r="BQ191" s="95">
        <f>IFERROR(AVERAGEIFS(RdTRABYVals!AF$2:AF$999,RdTRABYVals!$B$2:$B$999,"="&amp;$E191,RdTRABYVals!$C$2:$C$999,"="&amp;INS_EFF!$B191),"")</f>
        <v>0.34999999999999998</v>
      </c>
      <c r="BR191" s="95">
        <f>IFERROR(AVERAGEIFS(RdTRABYVals!AG$2:AG$999,RdTRABYVals!$B$2:$B$999,"="&amp;$E191,RdTRABYVals!$C$2:$C$999,"="&amp;INS_EFF!$B191),"")</f>
        <v>0.34999999999999998</v>
      </c>
      <c r="BS191" s="95">
        <f>IFERROR(AVERAGEIFS(RdTRABYVals!AH$2:AH$999,RdTRABYVals!$B$2:$B$999,"="&amp;$E191,RdTRABYVals!$C$2:$C$999,"="&amp;INS_EFF!$B191),"")</f>
        <v>0.34999999999999998</v>
      </c>
      <c r="BT191" s="95">
        <f>IFERROR(AVERAGEIFS(RdTRABYVals!AI$2:AI$999,RdTRABYVals!$B$2:$B$999,"="&amp;$E191,RdTRABYVals!$C$2:$C$999,"="&amp;INS_EFF!$B191),"")</f>
        <v>0.34999999999999998</v>
      </c>
      <c r="BU191" s="95">
        <f>IFERROR(AVERAGEIFS(RdTRABYVals!AJ$2:AJ$999,RdTRABYVals!$B$2:$B$999,"="&amp;$E191,RdTRABYVals!$C$2:$C$999,"="&amp;INS_EFF!$B191),"")</f>
        <v>0.34999999999999998</v>
      </c>
      <c r="BV191" s="95">
        <f>IFERROR(AVERAGEIFS(RdTRABYVals!AK$2:AK$999,RdTRABYVals!$B$2:$B$999,"="&amp;$E191,RdTRABYVals!$C$2:$C$999,"="&amp;INS_EFF!$B191),"")</f>
        <v>0.34999999999999998</v>
      </c>
      <c r="BW191" s="95">
        <f>IFERROR(AVERAGEIFS(RdTRABYVals!AL$2:AL$999,RdTRABYVals!$B$2:$B$999,"="&amp;$E191,RdTRABYVals!$C$2:$C$999,"="&amp;INS_EFF!$B191),"")</f>
        <v>0.34999999999999998</v>
      </c>
      <c r="BX191" s="95">
        <f>IFERROR(AVERAGEIFS(RdTRABYVals!AM$2:AM$999,RdTRABYVals!$B$2:$B$999,"="&amp;$E191,RdTRABYVals!$C$2:$C$999,"="&amp;INS_EFF!$B191),"")</f>
        <v>0.34999999999999998</v>
      </c>
      <c r="BY191" s="95">
        <f>IFERROR(AVERAGEIFS(RdTRABYVals!AN$2:AN$999,RdTRABYVals!$B$2:$B$999,"="&amp;$E191,RdTRABYVals!$C$2:$C$999,"="&amp;INS_EFF!$B191),"")</f>
        <v>0.34999999999999998</v>
      </c>
      <c r="BZ191" s="95">
        <f>IFERROR(AVERAGEIFS(RdTRABYVals!AO$2:AO$999,RdTRABYVals!$B$2:$B$999,"="&amp;$E191,RdTRABYVals!$C$2:$C$999,"="&amp;INS_EFF!$B191),"")</f>
        <v>0.34999999999999998</v>
      </c>
      <c r="CA191" s="95">
        <f>IFERROR(AVERAGEIFS(RdTRABYVals!AP$2:AP$999,RdTRABYVals!$B$2:$B$999,"="&amp;$E191,RdTRABYVals!$C$2:$C$999,"="&amp;INS_EFF!$B191),"")</f>
        <v>0.34999999999999998</v>
      </c>
      <c r="CB191" s="95">
        <f>IFERROR(AVERAGEIFS(RdTRABYVals!AQ$2:AQ$999,RdTRABYVals!$B$2:$B$999,"="&amp;$E191,RdTRABYVals!$C$2:$C$999,"="&amp;INS_EFF!$B191),"")</f>
        <v>0.34999999999999998</v>
      </c>
      <c r="CC191" s="95">
        <f>IFERROR(AVERAGEIFS(RdTRABYVals!AR$2:AR$999,RdTRABYVals!$B$2:$B$999,"="&amp;$E191,RdTRABYVals!$C$2:$C$999,"="&amp;INS_EFF!$B191),"")</f>
        <v>0.34999999999999998</v>
      </c>
      <c r="CD191" s="95">
        <f>IFERROR(AVERAGEIFS(RdTRABYVals!AS$2:AS$999,RdTRABYVals!$B$2:$B$999,"="&amp;$E191,RdTRABYVals!$C$2:$C$999,"="&amp;INS_EFF!$B191),"")</f>
        <v>0.34999999999999998</v>
      </c>
      <c r="CE191" s="95">
        <f>IFERROR(AVERAGEIFS(RdTRABYVals!AT$2:AT$999,RdTRABYVals!$B$2:$B$999,"="&amp;$E191,RdTRABYVals!$C$2:$C$999,"="&amp;INS_EFF!$B191),"")</f>
        <v>0.34999999999999998</v>
      </c>
      <c r="CF191" s="95">
        <f>IFERROR(AVERAGEIFS(RdTRABYVals!AU$2:AU$999,RdTRABYVals!$B$2:$B$999,"="&amp;$E191,RdTRABYVals!$C$2:$C$999,"="&amp;INS_EFF!$B191),"")</f>
        <v>0.34999999999999998</v>
      </c>
      <c r="CG191" s="95">
        <f>IFERROR(AVERAGEIFS(RdTRABYVals!AV$2:AV$999,RdTRABYVals!$B$2:$B$999,"="&amp;$E191,RdTRABYVals!$C$2:$C$999,"="&amp;INS_EFF!$B191),"")</f>
        <v>0.34999999999999998</v>
      </c>
    </row>
    <row r="192" spans="2:85" ht="15">
      <c r="B192" s="24" t="s">
        <v>110</v>
      </c>
      <c r="C192" s="24"/>
      <c r="E192" s="18" t="s">
        <v>29</v>
      </c>
      <c r="F192" s="71"/>
      <c r="G192" t="s">
        <v>110</v>
      </c>
      <c r="I192" t="str">
        <f t="shared" si="6"/>
        <v>*0.322162162162162</v>
      </c>
      <c r="J192" t="str">
        <f t="shared" si="3"/>
        <v>*0.3</v>
      </c>
      <c r="K192" t="str">
        <f t="shared" si="3"/>
        <v>*0.32</v>
      </c>
      <c r="L192" t="str">
        <f t="shared" si="3"/>
        <v>*0.32</v>
      </c>
      <c r="M192" t="str">
        <f t="shared" si="3"/>
        <v>*0.3</v>
      </c>
      <c r="N192" t="str">
        <f t="shared" si="3"/>
        <v>*0.29</v>
      </c>
      <c r="O192" t="str">
        <f t="shared" si="3"/>
        <v>*0.3</v>
      </c>
      <c r="P192" t="str">
        <f t="shared" si="3"/>
        <v>*0.31</v>
      </c>
      <c r="Q192" t="str">
        <f t="shared" si="3"/>
        <v>*0.32</v>
      </c>
      <c r="R192" t="str">
        <f t="shared" si="3"/>
        <v>*0.32</v>
      </c>
      <c r="S192" t="str">
        <f t="shared" si="3"/>
        <v>*0.34</v>
      </c>
      <c r="T192" t="str">
        <f t="shared" si="3"/>
        <v>*0.33</v>
      </c>
      <c r="U192" t="str">
        <f t="shared" si="3"/>
        <v>*0.3</v>
      </c>
      <c r="V192" t="str">
        <f t="shared" si="3"/>
        <v>*0.38</v>
      </c>
      <c r="W192" s="20" t="str">
        <f t="shared" si="3"/>
        <v>*0.32</v>
      </c>
      <c r="X192" t="str">
        <f t="shared" si="3"/>
        <v>*0.32</v>
      </c>
      <c r="Y192" t="str">
        <f t="shared" si="3"/>
        <v>*0.32</v>
      </c>
      <c r="Z192" t="str">
        <f t="shared" si="4"/>
        <v>*0.35</v>
      </c>
      <c r="AA192" t="str">
        <f t="shared" si="4"/>
        <v>*0.32</v>
      </c>
      <c r="AB192" t="str">
        <f t="shared" si="4"/>
        <v>*0.34</v>
      </c>
      <c r="AC192" t="str">
        <f t="shared" si="4"/>
        <v>*0.32</v>
      </c>
      <c r="AD192" t="str">
        <f t="shared" si="4"/>
        <v>*0.32</v>
      </c>
      <c r="AE192" t="str">
        <f t="shared" si="4"/>
        <v>*0.33</v>
      </c>
      <c r="AF192" t="str">
        <f t="shared" si="4"/>
        <v>*0.3</v>
      </c>
      <c r="AG192" t="str">
        <f t="shared" si="4"/>
        <v>*0.32</v>
      </c>
      <c r="AH192" t="str">
        <f t="shared" si="4"/>
        <v>*0.3</v>
      </c>
      <c r="AI192" t="str">
        <f t="shared" si="4"/>
        <v>*0.31</v>
      </c>
      <c r="AJ192" t="str">
        <f t="shared" si="4"/>
        <v>*0.34</v>
      </c>
      <c r="AK192" t="str">
        <f t="shared" si="4"/>
        <v>*0.28</v>
      </c>
      <c r="AL192" t="str">
        <f t="shared" si="4"/>
        <v>*0.33</v>
      </c>
      <c r="AM192" t="str">
        <f t="shared" si="4"/>
        <v>*0.35</v>
      </c>
      <c r="AN192" t="str">
        <f t="shared" si="4"/>
        <v>*0.38</v>
      </c>
      <c r="AO192" t="str">
        <f t="shared" si="4"/>
        <v>*0.29</v>
      </c>
      <c r="AP192" t="str">
        <f t="shared" si="5"/>
        <v>*0.32</v>
      </c>
      <c r="AQ192" t="str">
        <f t="shared" si="5"/>
        <v>*0.34</v>
      </c>
      <c r="AR192" t="str">
        <f t="shared" si="5"/>
        <v>*0.32</v>
      </c>
      <c r="AS192" t="str">
        <f t="shared" si="5"/>
        <v>*0.34</v>
      </c>
      <c r="AT192" t="str">
        <f t="shared" si="5"/>
        <v>*0.33</v>
      </c>
      <c r="AV192" s="95">
        <f t="shared" si="7"/>
        <v>0.32216216216216215</v>
      </c>
      <c r="AW192" s="95">
        <f>IFERROR(AVERAGEIFS(RdTRABYVals!L$2:L$999,RdTRABYVals!$B$2:$B$999,"="&amp;$E192,RdTRABYVals!$C$2:$C$999,"="&amp;INS_EFF!$B192),"")</f>
        <v>0.29999999999999999</v>
      </c>
      <c r="AX192" s="95">
        <f>IFERROR(AVERAGEIFS(RdTRABYVals!M$2:M$999,RdTRABYVals!$B$2:$B$999,"="&amp;$E192,RdTRABYVals!$C$2:$C$999,"="&amp;INS_EFF!$B192),"")</f>
        <v>0.32000000000000001</v>
      </c>
      <c r="AY192" s="95">
        <f>IFERROR(AVERAGEIFS(RdTRABYVals!N$2:N$999,RdTRABYVals!$B$2:$B$999,"="&amp;$E192,RdTRABYVals!$C$2:$C$999,"="&amp;INS_EFF!$B192),"")</f>
        <v>0.32000000000000001</v>
      </c>
      <c r="AZ192" s="95">
        <f>IFERROR(AVERAGEIFS(RdTRABYVals!O$2:O$999,RdTRABYVals!$B$2:$B$999,"="&amp;$E192,RdTRABYVals!$C$2:$C$999,"="&amp;INS_EFF!$B192),"")</f>
        <v>0.29999999999999999</v>
      </c>
      <c r="BA192" s="95">
        <f>IFERROR(AVERAGEIFS(RdTRABYVals!P$2:P$999,RdTRABYVals!$B$2:$B$999,"="&amp;$E192,RdTRABYVals!$C$2:$C$999,"="&amp;INS_EFF!$B192),"")</f>
        <v>0.28999999999999998</v>
      </c>
      <c r="BB192" s="95">
        <f>IFERROR(AVERAGEIFS(RdTRABYVals!Q$2:Q$999,RdTRABYVals!$B$2:$B$999,"="&amp;$E192,RdTRABYVals!$C$2:$C$999,"="&amp;INS_EFF!$B192),"")</f>
        <v>0.29999999999999999</v>
      </c>
      <c r="BC192" s="95">
        <f>IFERROR(AVERAGEIFS(RdTRABYVals!R$2:R$999,RdTRABYVals!$B$2:$B$999,"="&amp;$E192,RdTRABYVals!$C$2:$C$999,"="&amp;INS_EFF!$B192),"")</f>
        <v>0.31</v>
      </c>
      <c r="BD192" s="95">
        <f>IFERROR(AVERAGEIFS(RdTRABYVals!S$2:S$999,RdTRABYVals!$B$2:$B$999,"="&amp;$E192,RdTRABYVals!$C$2:$C$999,"="&amp;INS_EFF!$B192),"")</f>
        <v>0.32000000000000001</v>
      </c>
      <c r="BE192" s="95">
        <f>IFERROR(AVERAGEIFS(RdTRABYVals!T$2:T$999,RdTRABYVals!$B$2:$B$999,"="&amp;$E192,RdTRABYVals!$C$2:$C$999,"="&amp;INS_EFF!$B192),"")</f>
        <v>0.32000000000000001</v>
      </c>
      <c r="BF192" s="95">
        <f>IFERROR(AVERAGEIFS(RdTRABYVals!U$2:U$999,RdTRABYVals!$B$2:$B$999,"="&amp;$E192,RdTRABYVals!$C$2:$C$999,"="&amp;INS_EFF!$B192),"")</f>
        <v>0.34000000000000002</v>
      </c>
      <c r="BG192" s="95">
        <f>IFERROR(AVERAGEIFS(RdTRABYVals!V$2:V$999,RdTRABYVals!$B$2:$B$999,"="&amp;$E192,RdTRABYVals!$C$2:$C$999,"="&amp;INS_EFF!$B192),"")</f>
        <v>0.33000000000000002</v>
      </c>
      <c r="BH192" s="95">
        <f>IFERROR(AVERAGEIFS(RdTRABYVals!W$2:W$999,RdTRABYVals!$B$2:$B$999,"="&amp;$E192,RdTRABYVals!$C$2:$C$999,"="&amp;INS_EFF!$B192),"")</f>
        <v>0.29999999999999999</v>
      </c>
      <c r="BI192" s="95">
        <f>IFERROR(AVERAGEIFS(RdTRABYVals!X$2:X$999,RdTRABYVals!$B$2:$B$999,"="&amp;$E192,RdTRABYVals!$C$2:$C$999,"="&amp;INS_EFF!$B192),"")</f>
        <v>0.38</v>
      </c>
      <c r="BJ192" s="95">
        <f>IFERROR(AVERAGEIFS(RdTRABYVals!Y$2:Y$999,RdTRABYVals!$B$2:$B$999,"="&amp;$E192,RdTRABYVals!$C$2:$C$999,"="&amp;INS_EFF!$B192),"")</f>
        <v>0.32000000000000001</v>
      </c>
      <c r="BK192" s="95">
        <f>IFERROR(AVERAGEIFS(RdTRABYVals!Z$2:Z$999,RdTRABYVals!$B$2:$B$999,"="&amp;$E192,RdTRABYVals!$C$2:$C$999,"="&amp;INS_EFF!$B192),"")</f>
        <v>0.32000000000000001</v>
      </c>
      <c r="BL192" s="95">
        <f>IFERROR(AVERAGEIFS(RdTRABYVals!AA$2:AA$999,RdTRABYVals!$B$2:$B$999,"="&amp;$E192,RdTRABYVals!$C$2:$C$999,"="&amp;INS_EFF!$B192),"")</f>
        <v>0.32000000000000001</v>
      </c>
      <c r="BM192" s="95">
        <f>IFERROR(AVERAGEIFS(RdTRABYVals!AB$2:AB$999,RdTRABYVals!$B$2:$B$999,"="&amp;$E192,RdTRABYVals!$C$2:$C$999,"="&amp;INS_EFF!$B192),"")</f>
        <v>0.34999999999999998</v>
      </c>
      <c r="BN192" s="95">
        <f>IFERROR(AVERAGEIFS(RdTRABYVals!AC$2:AC$999,RdTRABYVals!$B$2:$B$999,"="&amp;$E192,RdTRABYVals!$C$2:$C$999,"="&amp;INS_EFF!$B192),"")</f>
        <v>0.32000000000000001</v>
      </c>
      <c r="BO192" s="95">
        <f>IFERROR(AVERAGEIFS(RdTRABYVals!AD$2:AD$999,RdTRABYVals!$B$2:$B$999,"="&amp;$E192,RdTRABYVals!$C$2:$C$999,"="&amp;INS_EFF!$B192),"")</f>
        <v>0.34000000000000002</v>
      </c>
      <c r="BP192" s="95">
        <f>IFERROR(AVERAGEIFS(RdTRABYVals!AE$2:AE$999,RdTRABYVals!$B$2:$B$999,"="&amp;$E192,RdTRABYVals!$C$2:$C$999,"="&amp;INS_EFF!$B192),"")</f>
        <v>0.32000000000000001</v>
      </c>
      <c r="BQ192" s="95">
        <f>IFERROR(AVERAGEIFS(RdTRABYVals!AF$2:AF$999,RdTRABYVals!$B$2:$B$999,"="&amp;$E192,RdTRABYVals!$C$2:$C$999,"="&amp;INS_EFF!$B192),"")</f>
        <v>0.32000000000000001</v>
      </c>
      <c r="BR192" s="95">
        <f>IFERROR(AVERAGEIFS(RdTRABYVals!AG$2:AG$999,RdTRABYVals!$B$2:$B$999,"="&amp;$E192,RdTRABYVals!$C$2:$C$999,"="&amp;INS_EFF!$B192),"")</f>
        <v>0.33000000000000002</v>
      </c>
      <c r="BS192" s="95">
        <f>IFERROR(AVERAGEIFS(RdTRABYVals!AH$2:AH$999,RdTRABYVals!$B$2:$B$999,"="&amp;$E192,RdTRABYVals!$C$2:$C$999,"="&amp;INS_EFF!$B192),"")</f>
        <v>0.29999999999999999</v>
      </c>
      <c r="BT192" s="95">
        <f>IFERROR(AVERAGEIFS(RdTRABYVals!AI$2:AI$999,RdTRABYVals!$B$2:$B$999,"="&amp;$E192,RdTRABYVals!$C$2:$C$999,"="&amp;INS_EFF!$B192),"")</f>
        <v>0.32000000000000001</v>
      </c>
      <c r="BU192" s="95">
        <f>IFERROR(AVERAGEIFS(RdTRABYVals!AJ$2:AJ$999,RdTRABYVals!$B$2:$B$999,"="&amp;$E192,RdTRABYVals!$C$2:$C$999,"="&amp;INS_EFF!$B192),"")</f>
        <v>0.29999999999999999</v>
      </c>
      <c r="BV192" s="95">
        <f>IFERROR(AVERAGEIFS(RdTRABYVals!AK$2:AK$999,RdTRABYVals!$B$2:$B$999,"="&amp;$E192,RdTRABYVals!$C$2:$C$999,"="&amp;INS_EFF!$B192),"")</f>
        <v>0.31</v>
      </c>
      <c r="BW192" s="95">
        <f>IFERROR(AVERAGEIFS(RdTRABYVals!AL$2:AL$999,RdTRABYVals!$B$2:$B$999,"="&amp;$E192,RdTRABYVals!$C$2:$C$999,"="&amp;INS_EFF!$B192),"")</f>
        <v>0.34000000000000002</v>
      </c>
      <c r="BX192" s="95">
        <f>IFERROR(AVERAGEIFS(RdTRABYVals!AM$2:AM$999,RdTRABYVals!$B$2:$B$999,"="&amp;$E192,RdTRABYVals!$C$2:$C$999,"="&amp;INS_EFF!$B192),"")</f>
        <v>0.28000000000000003</v>
      </c>
      <c r="BY192" s="95">
        <f>IFERROR(AVERAGEIFS(RdTRABYVals!AN$2:AN$999,RdTRABYVals!$B$2:$B$999,"="&amp;$E192,RdTRABYVals!$C$2:$C$999,"="&amp;INS_EFF!$B192),"")</f>
        <v>0.33000000000000002</v>
      </c>
      <c r="BZ192" s="95">
        <f>IFERROR(AVERAGEIFS(RdTRABYVals!AO$2:AO$999,RdTRABYVals!$B$2:$B$999,"="&amp;$E192,RdTRABYVals!$C$2:$C$999,"="&amp;INS_EFF!$B192),"")</f>
        <v>0.34999999999999998</v>
      </c>
      <c r="CA192" s="95">
        <f>IFERROR(AVERAGEIFS(RdTRABYVals!AP$2:AP$999,RdTRABYVals!$B$2:$B$999,"="&amp;$E192,RdTRABYVals!$C$2:$C$999,"="&amp;INS_EFF!$B192),"")</f>
        <v>0.38</v>
      </c>
      <c r="CB192" s="95">
        <f>IFERROR(AVERAGEIFS(RdTRABYVals!AQ$2:AQ$999,RdTRABYVals!$B$2:$B$999,"="&amp;$E192,RdTRABYVals!$C$2:$C$999,"="&amp;INS_EFF!$B192),"")</f>
        <v>0.28999999999999998</v>
      </c>
      <c r="CC192" s="95">
        <f>IFERROR(AVERAGEIFS(RdTRABYVals!AR$2:AR$999,RdTRABYVals!$B$2:$B$999,"="&amp;$E192,RdTRABYVals!$C$2:$C$999,"="&amp;INS_EFF!$B192),"")</f>
        <v>0.32000000000000001</v>
      </c>
      <c r="CD192" s="95">
        <f>IFERROR(AVERAGEIFS(RdTRABYVals!AS$2:AS$999,RdTRABYVals!$B$2:$B$999,"="&amp;$E192,RdTRABYVals!$C$2:$C$999,"="&amp;INS_EFF!$B192),"")</f>
        <v>0.34000000000000002</v>
      </c>
      <c r="CE192" s="95">
        <f>IFERROR(AVERAGEIFS(RdTRABYVals!AT$2:AT$999,RdTRABYVals!$B$2:$B$999,"="&amp;$E192,RdTRABYVals!$C$2:$C$999,"="&amp;INS_EFF!$B192),"")</f>
        <v>0.32000000000000001</v>
      </c>
      <c r="CF192" s="95">
        <f>IFERROR(AVERAGEIFS(RdTRABYVals!AU$2:AU$999,RdTRABYVals!$B$2:$B$999,"="&amp;$E192,RdTRABYVals!$C$2:$C$999,"="&amp;INS_EFF!$B192),"")</f>
        <v>0.34000000000000002</v>
      </c>
      <c r="CG192" s="95">
        <f>IFERROR(AVERAGEIFS(RdTRABYVals!AV$2:AV$999,RdTRABYVals!$B$2:$B$999,"="&amp;$E192,RdTRABYVals!$C$2:$C$999,"="&amp;INS_EFF!$B192),"")</f>
        <v>0.33000000000000002</v>
      </c>
    </row>
    <row r="193" spans="2:85" ht="15">
      <c r="B193" s="24" t="s">
        <v>111</v>
      </c>
      <c r="C193" s="24"/>
      <c r="E193" s="18" t="s">
        <v>29</v>
      </c>
      <c r="F193" s="71"/>
      <c r="G193" t="s">
        <v>111</v>
      </c>
      <c r="I193" t="str">
        <f t="shared" si="6"/>
        <v>*0.527027027027027</v>
      </c>
      <c r="J193" t="str">
        <f t="shared" si="3"/>
        <v>*0.48</v>
      </c>
      <c r="K193" t="str">
        <f t="shared" si="3"/>
        <v>*0.52</v>
      </c>
      <c r="L193" t="str">
        <f t="shared" si="3"/>
        <v>*0.53</v>
      </c>
      <c r="M193" t="str">
        <f t="shared" si="3"/>
        <v>*0.52</v>
      </c>
      <c r="N193" t="str">
        <f t="shared" si="3"/>
        <v>*0.51</v>
      </c>
      <c r="O193" t="str">
        <f t="shared" si="3"/>
        <v>*0.51</v>
      </c>
      <c r="P193" t="str">
        <f t="shared" si="3"/>
        <v>*0.49</v>
      </c>
      <c r="Q193" t="str">
        <f t="shared" si="3"/>
        <v>*0.53</v>
      </c>
      <c r="R193" t="str">
        <f t="shared" si="3"/>
        <v>*0.52</v>
      </c>
      <c r="S193" t="str">
        <f t="shared" si="3"/>
        <v>*0.58</v>
      </c>
      <c r="T193" t="str">
        <f t="shared" si="3"/>
        <v>*0.54</v>
      </c>
      <c r="U193" t="str">
        <f t="shared" si="3"/>
        <v>*0.48</v>
      </c>
      <c r="V193" t="str">
        <f t="shared" si="3"/>
        <v>*0.52</v>
      </c>
      <c r="W193" s="20" t="str">
        <f t="shared" si="3"/>
        <v>*0.52</v>
      </c>
      <c r="X193" t="str">
        <f t="shared" si="3"/>
        <v>*0.53</v>
      </c>
      <c r="Y193" t="str">
        <f t="shared" si="3"/>
        <v>*0.53</v>
      </c>
      <c r="Z193" t="str">
        <f t="shared" si="4"/>
        <v>*0.56</v>
      </c>
      <c r="AA193" t="str">
        <f t="shared" si="4"/>
        <v>*0.56</v>
      </c>
      <c r="AB193" t="str">
        <f t="shared" si="4"/>
        <v>*0.55</v>
      </c>
      <c r="AC193" t="str">
        <f t="shared" si="4"/>
        <v>*0.55</v>
      </c>
      <c r="AD193" t="str">
        <f t="shared" si="4"/>
        <v>*0.53</v>
      </c>
      <c r="AE193" t="str">
        <f t="shared" si="4"/>
        <v>*0.51</v>
      </c>
      <c r="AF193" t="str">
        <f t="shared" si="4"/>
        <v>*0.52</v>
      </c>
      <c r="AG193" t="str">
        <f t="shared" si="4"/>
        <v>*0.54</v>
      </c>
      <c r="AH193" t="str">
        <f t="shared" si="4"/>
        <v>*0.48</v>
      </c>
      <c r="AI193" t="str">
        <f t="shared" si="4"/>
        <v>*0.52</v>
      </c>
      <c r="AJ193" t="str">
        <f t="shared" si="4"/>
        <v>*0.54</v>
      </c>
      <c r="AK193" t="str">
        <f t="shared" si="4"/>
        <v>*0.51</v>
      </c>
      <c r="AL193" t="str">
        <f t="shared" si="4"/>
        <v>*0.52</v>
      </c>
      <c r="AM193" t="str">
        <f t="shared" si="4"/>
        <v>*0.53</v>
      </c>
      <c r="AN193" t="str">
        <f t="shared" si="4"/>
        <v>*0.52</v>
      </c>
      <c r="AO193" t="str">
        <f t="shared" si="4"/>
        <v>*0.49</v>
      </c>
      <c r="AP193" t="str">
        <f t="shared" si="5"/>
        <v>*0.53</v>
      </c>
      <c r="AQ193" t="str">
        <f t="shared" si="5"/>
        <v>*0.54</v>
      </c>
      <c r="AR193" t="str">
        <f t="shared" si="5"/>
        <v>*0.53</v>
      </c>
      <c r="AS193" t="str">
        <f t="shared" si="5"/>
        <v>*0.57</v>
      </c>
      <c r="AT193" t="str">
        <f t="shared" si="5"/>
        <v>*0.59</v>
      </c>
      <c r="AV193" s="95">
        <f t="shared" si="7"/>
        <v>0.52702702702702708</v>
      </c>
      <c r="AW193" s="95">
        <f>IFERROR(AVERAGEIFS(RdTRABYVals!L$2:L$999,RdTRABYVals!$B$2:$B$999,"="&amp;$E193,RdTRABYVals!$C$2:$C$999,"="&amp;INS_EFF!$B193),"")</f>
        <v>0.47999999999999998</v>
      </c>
      <c r="AX193" s="95">
        <f>IFERROR(AVERAGEIFS(RdTRABYVals!M$2:M$999,RdTRABYVals!$B$2:$B$999,"="&amp;$E193,RdTRABYVals!$C$2:$C$999,"="&amp;INS_EFF!$B193),"")</f>
        <v>0.52000000000000002</v>
      </c>
      <c r="AY193" s="95">
        <f>IFERROR(AVERAGEIFS(RdTRABYVals!N$2:N$999,RdTRABYVals!$B$2:$B$999,"="&amp;$E193,RdTRABYVals!$C$2:$C$999,"="&amp;INS_EFF!$B193),"")</f>
        <v>0.53000000000000003</v>
      </c>
      <c r="AZ193" s="95">
        <f>IFERROR(AVERAGEIFS(RdTRABYVals!O$2:O$999,RdTRABYVals!$B$2:$B$999,"="&amp;$E193,RdTRABYVals!$C$2:$C$999,"="&amp;INS_EFF!$B193),"")</f>
        <v>0.52000000000000002</v>
      </c>
      <c r="BA193" s="95">
        <f>IFERROR(AVERAGEIFS(RdTRABYVals!P$2:P$999,RdTRABYVals!$B$2:$B$999,"="&amp;$E193,RdTRABYVals!$C$2:$C$999,"="&amp;INS_EFF!$B193),"")</f>
        <v>0.51000000000000001</v>
      </c>
      <c r="BB193" s="95">
        <f>IFERROR(AVERAGEIFS(RdTRABYVals!Q$2:Q$999,RdTRABYVals!$B$2:$B$999,"="&amp;$E193,RdTRABYVals!$C$2:$C$999,"="&amp;INS_EFF!$B193),"")</f>
        <v>0.51000000000000001</v>
      </c>
      <c r="BC193" s="95">
        <f>IFERROR(AVERAGEIFS(RdTRABYVals!R$2:R$999,RdTRABYVals!$B$2:$B$999,"="&amp;$E193,RdTRABYVals!$C$2:$C$999,"="&amp;INS_EFF!$B193),"")</f>
        <v>0.48999999999999999</v>
      </c>
      <c r="BD193" s="95">
        <f>IFERROR(AVERAGEIFS(RdTRABYVals!S$2:S$999,RdTRABYVals!$B$2:$B$999,"="&amp;$E193,RdTRABYVals!$C$2:$C$999,"="&amp;INS_EFF!$B193),"")</f>
        <v>0.53000000000000003</v>
      </c>
      <c r="BE193" s="95">
        <f>IFERROR(AVERAGEIFS(RdTRABYVals!T$2:T$999,RdTRABYVals!$B$2:$B$999,"="&amp;$E193,RdTRABYVals!$C$2:$C$999,"="&amp;INS_EFF!$B193),"")</f>
        <v>0.52000000000000002</v>
      </c>
      <c r="BF193" s="95">
        <f>IFERROR(AVERAGEIFS(RdTRABYVals!U$2:U$999,RdTRABYVals!$B$2:$B$999,"="&amp;$E193,RdTRABYVals!$C$2:$C$999,"="&amp;INS_EFF!$B193),"")</f>
        <v>0.57999999999999996</v>
      </c>
      <c r="BG193" s="95">
        <f>IFERROR(AVERAGEIFS(RdTRABYVals!V$2:V$999,RdTRABYVals!$B$2:$B$999,"="&amp;$E193,RdTRABYVals!$C$2:$C$999,"="&amp;INS_EFF!$B193),"")</f>
        <v>0.54000000000000004</v>
      </c>
      <c r="BH193" s="95">
        <f>IFERROR(AVERAGEIFS(RdTRABYVals!W$2:W$999,RdTRABYVals!$B$2:$B$999,"="&amp;$E193,RdTRABYVals!$C$2:$C$999,"="&amp;INS_EFF!$B193),"")</f>
        <v>0.47999999999999998</v>
      </c>
      <c r="BI193" s="95">
        <f>IFERROR(AVERAGEIFS(RdTRABYVals!X$2:X$999,RdTRABYVals!$B$2:$B$999,"="&amp;$E193,RdTRABYVals!$C$2:$C$999,"="&amp;INS_EFF!$B193),"")</f>
        <v>0.52000000000000002</v>
      </c>
      <c r="BJ193" s="95">
        <f>IFERROR(AVERAGEIFS(RdTRABYVals!Y$2:Y$999,RdTRABYVals!$B$2:$B$999,"="&amp;$E193,RdTRABYVals!$C$2:$C$999,"="&amp;INS_EFF!$B193),"")</f>
        <v>0.52000000000000002</v>
      </c>
      <c r="BK193" s="95">
        <f>IFERROR(AVERAGEIFS(RdTRABYVals!Z$2:Z$999,RdTRABYVals!$B$2:$B$999,"="&amp;$E193,RdTRABYVals!$C$2:$C$999,"="&amp;INS_EFF!$B193),"")</f>
        <v>0.53000000000000003</v>
      </c>
      <c r="BL193" s="95">
        <f>IFERROR(AVERAGEIFS(RdTRABYVals!AA$2:AA$999,RdTRABYVals!$B$2:$B$999,"="&amp;$E193,RdTRABYVals!$C$2:$C$999,"="&amp;INS_EFF!$B193),"")</f>
        <v>0.53000000000000003</v>
      </c>
      <c r="BM193" s="95">
        <f>IFERROR(AVERAGEIFS(RdTRABYVals!AB$2:AB$999,RdTRABYVals!$B$2:$B$999,"="&amp;$E193,RdTRABYVals!$C$2:$C$999,"="&amp;INS_EFF!$B193),"")</f>
        <v>0.56000000000000005</v>
      </c>
      <c r="BN193" s="95">
        <f>IFERROR(AVERAGEIFS(RdTRABYVals!AC$2:AC$999,RdTRABYVals!$B$2:$B$999,"="&amp;$E193,RdTRABYVals!$C$2:$C$999,"="&amp;INS_EFF!$B193),"")</f>
        <v>0.56000000000000005</v>
      </c>
      <c r="BO193" s="95">
        <f>IFERROR(AVERAGEIFS(RdTRABYVals!AD$2:AD$999,RdTRABYVals!$B$2:$B$999,"="&amp;$E193,RdTRABYVals!$C$2:$C$999,"="&amp;INS_EFF!$B193),"")</f>
        <v>0.55000000000000004</v>
      </c>
      <c r="BP193" s="95">
        <f>IFERROR(AVERAGEIFS(RdTRABYVals!AE$2:AE$999,RdTRABYVals!$B$2:$B$999,"="&amp;$E193,RdTRABYVals!$C$2:$C$999,"="&amp;INS_EFF!$B193),"")</f>
        <v>0.55000000000000004</v>
      </c>
      <c r="BQ193" s="95">
        <f>IFERROR(AVERAGEIFS(RdTRABYVals!AF$2:AF$999,RdTRABYVals!$B$2:$B$999,"="&amp;$E193,RdTRABYVals!$C$2:$C$999,"="&amp;INS_EFF!$B193),"")</f>
        <v>0.53000000000000003</v>
      </c>
      <c r="BR193" s="95">
        <f>IFERROR(AVERAGEIFS(RdTRABYVals!AG$2:AG$999,RdTRABYVals!$B$2:$B$999,"="&amp;$E193,RdTRABYVals!$C$2:$C$999,"="&amp;INS_EFF!$B193),"")</f>
        <v>0.51000000000000001</v>
      </c>
      <c r="BS193" s="95">
        <f>IFERROR(AVERAGEIFS(RdTRABYVals!AH$2:AH$999,RdTRABYVals!$B$2:$B$999,"="&amp;$E193,RdTRABYVals!$C$2:$C$999,"="&amp;INS_EFF!$B193),"")</f>
        <v>0.52000000000000002</v>
      </c>
      <c r="BT193" s="95">
        <f>IFERROR(AVERAGEIFS(RdTRABYVals!AI$2:AI$999,RdTRABYVals!$B$2:$B$999,"="&amp;$E193,RdTRABYVals!$C$2:$C$999,"="&amp;INS_EFF!$B193),"")</f>
        <v>0.54000000000000004</v>
      </c>
      <c r="BU193" s="95">
        <f>IFERROR(AVERAGEIFS(RdTRABYVals!AJ$2:AJ$999,RdTRABYVals!$B$2:$B$999,"="&amp;$E193,RdTRABYVals!$C$2:$C$999,"="&amp;INS_EFF!$B193),"")</f>
        <v>0.47999999999999998</v>
      </c>
      <c r="BV193" s="95">
        <f>IFERROR(AVERAGEIFS(RdTRABYVals!AK$2:AK$999,RdTRABYVals!$B$2:$B$999,"="&amp;$E193,RdTRABYVals!$C$2:$C$999,"="&amp;INS_EFF!$B193),"")</f>
        <v>0.52000000000000002</v>
      </c>
      <c r="BW193" s="95">
        <f>IFERROR(AVERAGEIFS(RdTRABYVals!AL$2:AL$999,RdTRABYVals!$B$2:$B$999,"="&amp;$E193,RdTRABYVals!$C$2:$C$999,"="&amp;INS_EFF!$B193),"")</f>
        <v>0.54000000000000004</v>
      </c>
      <c r="BX193" s="95">
        <f>IFERROR(AVERAGEIFS(RdTRABYVals!AM$2:AM$999,RdTRABYVals!$B$2:$B$999,"="&amp;$E193,RdTRABYVals!$C$2:$C$999,"="&amp;INS_EFF!$B193),"")</f>
        <v>0.51000000000000001</v>
      </c>
      <c r="BY193" s="95">
        <f>IFERROR(AVERAGEIFS(RdTRABYVals!AN$2:AN$999,RdTRABYVals!$B$2:$B$999,"="&amp;$E193,RdTRABYVals!$C$2:$C$999,"="&amp;INS_EFF!$B193),"")</f>
        <v>0.52000000000000002</v>
      </c>
      <c r="BZ193" s="95">
        <f>IFERROR(AVERAGEIFS(RdTRABYVals!AO$2:AO$999,RdTRABYVals!$B$2:$B$999,"="&amp;$E193,RdTRABYVals!$C$2:$C$999,"="&amp;INS_EFF!$B193),"")</f>
        <v>0.53000000000000003</v>
      </c>
      <c r="CA193" s="95">
        <f>IFERROR(AVERAGEIFS(RdTRABYVals!AP$2:AP$999,RdTRABYVals!$B$2:$B$999,"="&amp;$E193,RdTRABYVals!$C$2:$C$999,"="&amp;INS_EFF!$B193),"")</f>
        <v>0.52000000000000002</v>
      </c>
      <c r="CB193" s="95">
        <f>IFERROR(AVERAGEIFS(RdTRABYVals!AQ$2:AQ$999,RdTRABYVals!$B$2:$B$999,"="&amp;$E193,RdTRABYVals!$C$2:$C$999,"="&amp;INS_EFF!$B193),"")</f>
        <v>0.48999999999999999</v>
      </c>
      <c r="CC193" s="95">
        <f>IFERROR(AVERAGEIFS(RdTRABYVals!AR$2:AR$999,RdTRABYVals!$B$2:$B$999,"="&amp;$E193,RdTRABYVals!$C$2:$C$999,"="&amp;INS_EFF!$B193),"")</f>
        <v>0.53000000000000003</v>
      </c>
      <c r="CD193" s="95">
        <f>IFERROR(AVERAGEIFS(RdTRABYVals!AS$2:AS$999,RdTRABYVals!$B$2:$B$999,"="&amp;$E193,RdTRABYVals!$C$2:$C$999,"="&amp;INS_EFF!$B193),"")</f>
        <v>0.54000000000000004</v>
      </c>
      <c r="CE193" s="95">
        <f>IFERROR(AVERAGEIFS(RdTRABYVals!AT$2:AT$999,RdTRABYVals!$B$2:$B$999,"="&amp;$E193,RdTRABYVals!$C$2:$C$999,"="&amp;INS_EFF!$B193),"")</f>
        <v>0.53000000000000003</v>
      </c>
      <c r="CF193" s="95">
        <f>IFERROR(AVERAGEIFS(RdTRABYVals!AU$2:AU$999,RdTRABYVals!$B$2:$B$999,"="&amp;$E193,RdTRABYVals!$C$2:$C$999,"="&amp;INS_EFF!$B193),"")</f>
        <v>0.56999999999999995</v>
      </c>
      <c r="CG193" s="95">
        <f>IFERROR(AVERAGEIFS(RdTRABYVals!AV$2:AV$999,RdTRABYVals!$B$2:$B$999,"="&amp;$E193,RdTRABYVals!$C$2:$C$999,"="&amp;INS_EFF!$B193),"")</f>
        <v>0.58999999999999997</v>
      </c>
    </row>
    <row r="194" spans="2:85" ht="15">
      <c r="B194" s="24" t="s">
        <v>112</v>
      </c>
      <c r="C194" s="24"/>
      <c r="E194" s="18" t="s">
        <v>29</v>
      </c>
      <c r="F194" s="71"/>
      <c r="G194" t="s">
        <v>112</v>
      </c>
      <c r="I194" t="str">
        <f t="shared" si="6"/>
        <v>*0.646486486486487</v>
      </c>
      <c r="J194" t="str">
        <f t="shared" si="3"/>
        <v>*0.57</v>
      </c>
      <c r="K194" t="str">
        <f t="shared" si="3"/>
        <v>*0.64</v>
      </c>
      <c r="L194" t="str">
        <f t="shared" si="3"/>
        <v>*0.66</v>
      </c>
      <c r="M194" t="str">
        <f t="shared" si="3"/>
        <v>*0.63</v>
      </c>
      <c r="N194" t="str">
        <f t="shared" si="3"/>
        <v>*0.58</v>
      </c>
      <c r="O194" t="str">
        <f t="shared" si="3"/>
        <v>*0.64</v>
      </c>
      <c r="P194" t="str">
        <f t="shared" si="3"/>
        <v>*0.56</v>
      </c>
      <c r="Q194" t="str">
        <f t="shared" si="3"/>
        <v>*0.65</v>
      </c>
      <c r="R194" t="str">
        <f t="shared" si="3"/>
        <v>*0.64</v>
      </c>
      <c r="S194" t="str">
        <f t="shared" si="3"/>
        <v>*0.72</v>
      </c>
      <c r="T194" t="str">
        <f t="shared" si="3"/>
        <v>*0.68</v>
      </c>
      <c r="U194" t="str">
        <f t="shared" si="3"/>
        <v>*0.57</v>
      </c>
      <c r="V194" t="str">
        <f t="shared" si="3"/>
        <v>*0.65</v>
      </c>
      <c r="W194" s="20" t="str">
        <f t="shared" si="3"/>
        <v>*0.62</v>
      </c>
      <c r="X194" t="str">
        <f t="shared" si="3"/>
        <v>*0.64</v>
      </c>
      <c r="Y194" t="str">
        <f t="shared" si="3"/>
        <v>*0.66</v>
      </c>
      <c r="Z194" t="str">
        <f t="shared" si="4"/>
        <v>*0.7</v>
      </c>
      <c r="AA194" t="str">
        <f t="shared" si="4"/>
        <v>*0.68</v>
      </c>
      <c r="AB194" t="str">
        <f t="shared" si="4"/>
        <v>*0.71</v>
      </c>
      <c r="AC194" t="str">
        <f t="shared" si="4"/>
        <v>*0.67</v>
      </c>
      <c r="AD194" t="str">
        <f t="shared" si="4"/>
        <v>*0.66</v>
      </c>
      <c r="AE194" t="str">
        <f t="shared" si="4"/>
        <v>*0.64</v>
      </c>
      <c r="AF194" t="str">
        <f t="shared" si="4"/>
        <v>*0.63</v>
      </c>
      <c r="AG194" t="str">
        <f t="shared" si="4"/>
        <v>*0.67</v>
      </c>
      <c r="AH194" t="str">
        <f t="shared" si="4"/>
        <v>*0.57</v>
      </c>
      <c r="AI194" t="str">
        <f t="shared" si="4"/>
        <v>*0.67</v>
      </c>
      <c r="AJ194" t="str">
        <f t="shared" si="4"/>
        <v>*0.67</v>
      </c>
      <c r="AK194" t="str">
        <f t="shared" si="4"/>
        <v>*0.62</v>
      </c>
      <c r="AL194" t="str">
        <f t="shared" si="4"/>
        <v>*0.63</v>
      </c>
      <c r="AM194" t="str">
        <f t="shared" si="4"/>
        <v>*0.66</v>
      </c>
      <c r="AN194" t="str">
        <f t="shared" si="4"/>
        <v>*0.64</v>
      </c>
      <c r="AO194" t="str">
        <f t="shared" si="4"/>
        <v>*0.57</v>
      </c>
      <c r="AP194" t="str">
        <f t="shared" si="5"/>
        <v>*0.66</v>
      </c>
      <c r="AQ194" t="str">
        <f t="shared" si="5"/>
        <v>*0.66</v>
      </c>
      <c r="AR194" t="str">
        <f t="shared" si="5"/>
        <v>*0.66</v>
      </c>
      <c r="AS194" t="str">
        <f t="shared" si="5"/>
        <v>*0.7</v>
      </c>
      <c r="AT194" t="str">
        <f t="shared" si="5"/>
        <v>*0.74</v>
      </c>
      <c r="AV194" s="95">
        <f t="shared" si="7"/>
        <v>0.64648648648648654</v>
      </c>
      <c r="AW194" s="95">
        <f>IFERROR(AVERAGEIFS(RdTRABYVals!L$2:L$999,RdTRABYVals!$B$2:$B$999,"="&amp;$E194,RdTRABYVals!$C$2:$C$999,"="&amp;INS_EFF!$B194),"")</f>
        <v>0.56999999999999995</v>
      </c>
      <c r="AX194" s="95">
        <f>IFERROR(AVERAGEIFS(RdTRABYVals!M$2:M$999,RdTRABYVals!$B$2:$B$999,"="&amp;$E194,RdTRABYVals!$C$2:$C$999,"="&amp;INS_EFF!$B194),"")</f>
        <v>0.64000000000000001</v>
      </c>
      <c r="AY194" s="95">
        <f>IFERROR(AVERAGEIFS(RdTRABYVals!N$2:N$999,RdTRABYVals!$B$2:$B$999,"="&amp;$E194,RdTRABYVals!$C$2:$C$999,"="&amp;INS_EFF!$B194),"")</f>
        <v>0.66000000000000003</v>
      </c>
      <c r="AZ194" s="95">
        <f>IFERROR(AVERAGEIFS(RdTRABYVals!O$2:O$999,RdTRABYVals!$B$2:$B$999,"="&amp;$E194,RdTRABYVals!$C$2:$C$999,"="&amp;INS_EFF!$B194),"")</f>
        <v>0.63</v>
      </c>
      <c r="BA194" s="95">
        <f>IFERROR(AVERAGEIFS(RdTRABYVals!P$2:P$999,RdTRABYVals!$B$2:$B$999,"="&amp;$E194,RdTRABYVals!$C$2:$C$999,"="&amp;INS_EFF!$B194),"")</f>
        <v>0.57999999999999996</v>
      </c>
      <c r="BB194" s="95">
        <f>IFERROR(AVERAGEIFS(RdTRABYVals!Q$2:Q$999,RdTRABYVals!$B$2:$B$999,"="&amp;$E194,RdTRABYVals!$C$2:$C$999,"="&amp;INS_EFF!$B194),"")</f>
        <v>0.64000000000000001</v>
      </c>
      <c r="BC194" s="95">
        <f>IFERROR(AVERAGEIFS(RdTRABYVals!R$2:R$999,RdTRABYVals!$B$2:$B$999,"="&amp;$E194,RdTRABYVals!$C$2:$C$999,"="&amp;INS_EFF!$B194),"")</f>
        <v>0.56000000000000005</v>
      </c>
      <c r="BD194" s="95">
        <f>IFERROR(AVERAGEIFS(RdTRABYVals!S$2:S$999,RdTRABYVals!$B$2:$B$999,"="&amp;$E194,RdTRABYVals!$C$2:$C$999,"="&amp;INS_EFF!$B194),"")</f>
        <v>0.65000000000000002</v>
      </c>
      <c r="BE194" s="95">
        <f>IFERROR(AVERAGEIFS(RdTRABYVals!T$2:T$999,RdTRABYVals!$B$2:$B$999,"="&amp;$E194,RdTRABYVals!$C$2:$C$999,"="&amp;INS_EFF!$B194),"")</f>
        <v>0.64000000000000001</v>
      </c>
      <c r="BF194" s="95">
        <f>IFERROR(AVERAGEIFS(RdTRABYVals!U$2:U$999,RdTRABYVals!$B$2:$B$999,"="&amp;$E194,RdTRABYVals!$C$2:$C$999,"="&amp;INS_EFF!$B194),"")</f>
        <v>0.71999999999999997</v>
      </c>
      <c r="BG194" s="95">
        <f>IFERROR(AVERAGEIFS(RdTRABYVals!V$2:V$999,RdTRABYVals!$B$2:$B$999,"="&amp;$E194,RdTRABYVals!$C$2:$C$999,"="&amp;INS_EFF!$B194),"")</f>
        <v>0.68000000000000005</v>
      </c>
      <c r="BH194" s="95">
        <f>IFERROR(AVERAGEIFS(RdTRABYVals!W$2:W$999,RdTRABYVals!$B$2:$B$999,"="&amp;$E194,RdTRABYVals!$C$2:$C$999,"="&amp;INS_EFF!$B194),"")</f>
        <v>0.56999999999999995</v>
      </c>
      <c r="BI194" s="95">
        <f>IFERROR(AVERAGEIFS(RdTRABYVals!X$2:X$999,RdTRABYVals!$B$2:$B$999,"="&amp;$E194,RdTRABYVals!$C$2:$C$999,"="&amp;INS_EFF!$B194),"")</f>
        <v>0.65000000000000002</v>
      </c>
      <c r="BJ194" s="95">
        <f>IFERROR(AVERAGEIFS(RdTRABYVals!Y$2:Y$999,RdTRABYVals!$B$2:$B$999,"="&amp;$E194,RdTRABYVals!$C$2:$C$999,"="&amp;INS_EFF!$B194),"")</f>
        <v>0.62</v>
      </c>
      <c r="BK194" s="95">
        <f>IFERROR(AVERAGEIFS(RdTRABYVals!Z$2:Z$999,RdTRABYVals!$B$2:$B$999,"="&amp;$E194,RdTRABYVals!$C$2:$C$999,"="&amp;INS_EFF!$B194),"")</f>
        <v>0.64000000000000001</v>
      </c>
      <c r="BL194" s="95">
        <f>IFERROR(AVERAGEIFS(RdTRABYVals!AA$2:AA$999,RdTRABYVals!$B$2:$B$999,"="&amp;$E194,RdTRABYVals!$C$2:$C$999,"="&amp;INS_EFF!$B194),"")</f>
        <v>0.66000000000000003</v>
      </c>
      <c r="BM194" s="95">
        <f>IFERROR(AVERAGEIFS(RdTRABYVals!AB$2:AB$999,RdTRABYVals!$B$2:$B$999,"="&amp;$E194,RdTRABYVals!$C$2:$C$999,"="&amp;INS_EFF!$B194),"")</f>
        <v>0.69999999999999996</v>
      </c>
      <c r="BN194" s="95">
        <f>IFERROR(AVERAGEIFS(RdTRABYVals!AC$2:AC$999,RdTRABYVals!$B$2:$B$999,"="&amp;$E194,RdTRABYVals!$C$2:$C$999,"="&amp;INS_EFF!$B194),"")</f>
        <v>0.68000000000000005</v>
      </c>
      <c r="BO194" s="95">
        <f>IFERROR(AVERAGEIFS(RdTRABYVals!AD$2:AD$999,RdTRABYVals!$B$2:$B$999,"="&amp;$E194,RdTRABYVals!$C$2:$C$999,"="&amp;INS_EFF!$B194),"")</f>
        <v>0.70999999999999996</v>
      </c>
      <c r="BP194" s="95">
        <f>IFERROR(AVERAGEIFS(RdTRABYVals!AE$2:AE$999,RdTRABYVals!$B$2:$B$999,"="&amp;$E194,RdTRABYVals!$C$2:$C$999,"="&amp;INS_EFF!$B194),"")</f>
        <v>0.67000000000000004</v>
      </c>
      <c r="BQ194" s="95">
        <f>IFERROR(AVERAGEIFS(RdTRABYVals!AF$2:AF$999,RdTRABYVals!$B$2:$B$999,"="&amp;$E194,RdTRABYVals!$C$2:$C$999,"="&amp;INS_EFF!$B194),"")</f>
        <v>0.66000000000000003</v>
      </c>
      <c r="BR194" s="95">
        <f>IFERROR(AVERAGEIFS(RdTRABYVals!AG$2:AG$999,RdTRABYVals!$B$2:$B$999,"="&amp;$E194,RdTRABYVals!$C$2:$C$999,"="&amp;INS_EFF!$B194),"")</f>
        <v>0.64000000000000001</v>
      </c>
      <c r="BS194" s="95">
        <f>IFERROR(AVERAGEIFS(RdTRABYVals!AH$2:AH$999,RdTRABYVals!$B$2:$B$999,"="&amp;$E194,RdTRABYVals!$C$2:$C$999,"="&amp;INS_EFF!$B194),"")</f>
        <v>0.63</v>
      </c>
      <c r="BT194" s="95">
        <f>IFERROR(AVERAGEIFS(RdTRABYVals!AI$2:AI$999,RdTRABYVals!$B$2:$B$999,"="&amp;$E194,RdTRABYVals!$C$2:$C$999,"="&amp;INS_EFF!$B194),"")</f>
        <v>0.67000000000000004</v>
      </c>
      <c r="BU194" s="95">
        <f>IFERROR(AVERAGEIFS(RdTRABYVals!AJ$2:AJ$999,RdTRABYVals!$B$2:$B$999,"="&amp;$E194,RdTRABYVals!$C$2:$C$999,"="&amp;INS_EFF!$B194),"")</f>
        <v>0.56999999999999995</v>
      </c>
      <c r="BV194" s="95">
        <f>IFERROR(AVERAGEIFS(RdTRABYVals!AK$2:AK$999,RdTRABYVals!$B$2:$B$999,"="&amp;$E194,RdTRABYVals!$C$2:$C$999,"="&amp;INS_EFF!$B194),"")</f>
        <v>0.67000000000000004</v>
      </c>
      <c r="BW194" s="95">
        <f>IFERROR(AVERAGEIFS(RdTRABYVals!AL$2:AL$999,RdTRABYVals!$B$2:$B$999,"="&amp;$E194,RdTRABYVals!$C$2:$C$999,"="&amp;INS_EFF!$B194),"")</f>
        <v>0.67000000000000004</v>
      </c>
      <c r="BX194" s="95">
        <f>IFERROR(AVERAGEIFS(RdTRABYVals!AM$2:AM$999,RdTRABYVals!$B$2:$B$999,"="&amp;$E194,RdTRABYVals!$C$2:$C$999,"="&amp;INS_EFF!$B194),"")</f>
        <v>0.62</v>
      </c>
      <c r="BY194" s="95">
        <f>IFERROR(AVERAGEIFS(RdTRABYVals!AN$2:AN$999,RdTRABYVals!$B$2:$B$999,"="&amp;$E194,RdTRABYVals!$C$2:$C$999,"="&amp;INS_EFF!$B194),"")</f>
        <v>0.63</v>
      </c>
      <c r="BZ194" s="95">
        <f>IFERROR(AVERAGEIFS(RdTRABYVals!AO$2:AO$999,RdTRABYVals!$B$2:$B$999,"="&amp;$E194,RdTRABYVals!$C$2:$C$999,"="&amp;INS_EFF!$B194),"")</f>
        <v>0.66000000000000003</v>
      </c>
      <c r="CA194" s="95">
        <f>IFERROR(AVERAGEIFS(RdTRABYVals!AP$2:AP$999,RdTRABYVals!$B$2:$B$999,"="&amp;$E194,RdTRABYVals!$C$2:$C$999,"="&amp;INS_EFF!$B194),"")</f>
        <v>0.64000000000000001</v>
      </c>
      <c r="CB194" s="95">
        <f>IFERROR(AVERAGEIFS(RdTRABYVals!AQ$2:AQ$999,RdTRABYVals!$B$2:$B$999,"="&amp;$E194,RdTRABYVals!$C$2:$C$999,"="&amp;INS_EFF!$B194),"")</f>
        <v>0.56999999999999995</v>
      </c>
      <c r="CC194" s="95">
        <f>IFERROR(AVERAGEIFS(RdTRABYVals!AR$2:AR$999,RdTRABYVals!$B$2:$B$999,"="&amp;$E194,RdTRABYVals!$C$2:$C$999,"="&amp;INS_EFF!$B194),"")</f>
        <v>0.66000000000000003</v>
      </c>
      <c r="CD194" s="95">
        <f>IFERROR(AVERAGEIFS(RdTRABYVals!AS$2:AS$999,RdTRABYVals!$B$2:$B$999,"="&amp;$E194,RdTRABYVals!$C$2:$C$999,"="&amp;INS_EFF!$B194),"")</f>
        <v>0.66000000000000003</v>
      </c>
      <c r="CE194" s="95">
        <f>IFERROR(AVERAGEIFS(RdTRABYVals!AT$2:AT$999,RdTRABYVals!$B$2:$B$999,"="&amp;$E194,RdTRABYVals!$C$2:$C$999,"="&amp;INS_EFF!$B194),"")</f>
        <v>0.66000000000000003</v>
      </c>
      <c r="CF194" s="95">
        <f>IFERROR(AVERAGEIFS(RdTRABYVals!AU$2:AU$999,RdTRABYVals!$B$2:$B$999,"="&amp;$E194,RdTRABYVals!$C$2:$C$999,"="&amp;INS_EFF!$B194),"")</f>
        <v>0.69999999999999996</v>
      </c>
      <c r="CG194" s="95">
        <f>IFERROR(AVERAGEIFS(RdTRABYVals!AV$2:AV$999,RdTRABYVals!$B$2:$B$999,"="&amp;$E194,RdTRABYVals!$C$2:$C$999,"="&amp;INS_EFF!$B194),"")</f>
        <v>0.73999999999999999</v>
      </c>
    </row>
    <row r="195" spans="2:85" ht="15">
      <c r="B195" s="24" t="s">
        <v>113</v>
      </c>
      <c r="C195" s="24"/>
      <c r="E195" s="18" t="s">
        <v>29</v>
      </c>
      <c r="F195" s="71"/>
      <c r="G195" t="s">
        <v>113</v>
      </c>
      <c r="I195" t="str">
        <f t="shared" si="6"/>
        <v>*0.412162162162162</v>
      </c>
      <c r="J195" t="str">
        <f t="shared" si="3"/>
        <v>*0.38</v>
      </c>
      <c r="K195" t="str">
        <f t="shared" si="3"/>
        <v>*0.4</v>
      </c>
      <c r="L195" t="str">
        <f t="shared" si="3"/>
        <v>*0.41</v>
      </c>
      <c r="M195" t="str">
        <f t="shared" si="3"/>
        <v>*0.4</v>
      </c>
      <c r="N195" t="str">
        <f t="shared" si="3"/>
        <v>*0.39</v>
      </c>
      <c r="O195" t="str">
        <f t="shared" si="3"/>
        <v>*0.39</v>
      </c>
      <c r="P195" t="str">
        <f t="shared" si="3"/>
        <v>*0.4</v>
      </c>
      <c r="Q195" t="str">
        <f t="shared" si="3"/>
        <v>*0.41</v>
      </c>
      <c r="R195" t="str">
        <f t="shared" si="3"/>
        <v>*0.4</v>
      </c>
      <c r="S195" t="str">
        <f t="shared" si="3"/>
        <v>*0.45</v>
      </c>
      <c r="T195" t="str">
        <f t="shared" si="3"/>
        <v>*0.42</v>
      </c>
      <c r="U195" t="str">
        <f t="shared" si="3"/>
        <v>*0.38</v>
      </c>
      <c r="V195" t="str">
        <f t="shared" si="3"/>
        <v>*0.46</v>
      </c>
      <c r="W195" s="20" t="str">
        <f t="shared" si="3"/>
        <v>*0.4</v>
      </c>
      <c r="X195" t="str">
        <f t="shared" si="3"/>
        <v>*0.41</v>
      </c>
      <c r="Y195" t="str">
        <f t="shared" si="3"/>
        <v>*0.41</v>
      </c>
      <c r="Z195" t="str">
        <f t="shared" si="4"/>
        <v>*0.44</v>
      </c>
      <c r="AA195" t="str">
        <f t="shared" si="4"/>
        <v>*0.43</v>
      </c>
      <c r="AB195" t="str">
        <f t="shared" si="4"/>
        <v>*0.43</v>
      </c>
      <c r="AC195" t="str">
        <f t="shared" si="4"/>
        <v>*0.43</v>
      </c>
      <c r="AD195" t="str">
        <f t="shared" si="4"/>
        <v>*0.41</v>
      </c>
      <c r="AE195" t="str">
        <f t="shared" si="4"/>
        <v>*0.4</v>
      </c>
      <c r="AF195" t="str">
        <f t="shared" si="4"/>
        <v>*0.4</v>
      </c>
      <c r="AG195" t="str">
        <f t="shared" si="4"/>
        <v>*0.41</v>
      </c>
      <c r="AH195" t="str">
        <f t="shared" si="4"/>
        <v>*0.38</v>
      </c>
      <c r="AI195" t="str">
        <f t="shared" si="4"/>
        <v>*0.4</v>
      </c>
      <c r="AJ195" t="str">
        <f t="shared" si="4"/>
        <v>*0.43</v>
      </c>
      <c r="AK195" t="str">
        <f t="shared" si="4"/>
        <v>*0.4</v>
      </c>
      <c r="AL195" t="str">
        <f t="shared" si="4"/>
        <v>*0.4</v>
      </c>
      <c r="AM195" t="str">
        <f t="shared" si="4"/>
        <v>*0.42</v>
      </c>
      <c r="AN195" t="str">
        <f t="shared" si="4"/>
        <v>*0.44</v>
      </c>
      <c r="AO195" t="str">
        <f t="shared" si="4"/>
        <v>*0.39</v>
      </c>
      <c r="AP195" t="str">
        <f t="shared" si="5"/>
        <v>*0.41</v>
      </c>
      <c r="AQ195" t="str">
        <f t="shared" si="5"/>
        <v>*0.42</v>
      </c>
      <c r="AR195" t="str">
        <f t="shared" si="5"/>
        <v>*0.41</v>
      </c>
      <c r="AS195" t="str">
        <f t="shared" si="5"/>
        <v>*0.44</v>
      </c>
      <c r="AT195" t="str">
        <f t="shared" si="5"/>
        <v>*0.45</v>
      </c>
      <c r="AV195" s="95">
        <f t="shared" si="7"/>
        <v>0.41216216216216212</v>
      </c>
      <c r="AW195" s="95">
        <f>IFERROR(AVERAGEIFS(RdTRABYVals!L$2:L$999,RdTRABYVals!$B$2:$B$999,"="&amp;$E195,RdTRABYVals!$C$2:$C$999,"="&amp;INS_EFF!$B195),"")</f>
        <v>0.38</v>
      </c>
      <c r="AX195" s="95">
        <f>IFERROR(AVERAGEIFS(RdTRABYVals!M$2:M$999,RdTRABYVals!$B$2:$B$999,"="&amp;$E195,RdTRABYVals!$C$2:$C$999,"="&amp;INS_EFF!$B195),"")</f>
        <v>0.40000000000000002</v>
      </c>
      <c r="AY195" s="95">
        <f>IFERROR(AVERAGEIFS(RdTRABYVals!N$2:N$999,RdTRABYVals!$B$2:$B$999,"="&amp;$E195,RdTRABYVals!$C$2:$C$999,"="&amp;INS_EFF!$B195),"")</f>
        <v>0.40999999999999998</v>
      </c>
      <c r="AZ195" s="95">
        <f>IFERROR(AVERAGEIFS(RdTRABYVals!O$2:O$999,RdTRABYVals!$B$2:$B$999,"="&amp;$E195,RdTRABYVals!$C$2:$C$999,"="&amp;INS_EFF!$B195),"")</f>
        <v>0.40000000000000002</v>
      </c>
      <c r="BA195" s="95">
        <f>IFERROR(AVERAGEIFS(RdTRABYVals!P$2:P$999,RdTRABYVals!$B$2:$B$999,"="&amp;$E195,RdTRABYVals!$C$2:$C$999,"="&amp;INS_EFF!$B195),"")</f>
        <v>0.39000000000000001</v>
      </c>
      <c r="BB195" s="95">
        <f>IFERROR(AVERAGEIFS(RdTRABYVals!Q$2:Q$999,RdTRABYVals!$B$2:$B$999,"="&amp;$E195,RdTRABYVals!$C$2:$C$999,"="&amp;INS_EFF!$B195),"")</f>
        <v>0.39000000000000001</v>
      </c>
      <c r="BC195" s="95">
        <f>IFERROR(AVERAGEIFS(RdTRABYVals!R$2:R$999,RdTRABYVals!$B$2:$B$999,"="&amp;$E195,RdTRABYVals!$C$2:$C$999,"="&amp;INS_EFF!$B195),"")</f>
        <v>0.40000000000000002</v>
      </c>
      <c r="BD195" s="95">
        <f>IFERROR(AVERAGEIFS(RdTRABYVals!S$2:S$999,RdTRABYVals!$B$2:$B$999,"="&amp;$E195,RdTRABYVals!$C$2:$C$999,"="&amp;INS_EFF!$B195),"")</f>
        <v>0.40999999999999998</v>
      </c>
      <c r="BE195" s="95">
        <f>IFERROR(AVERAGEIFS(RdTRABYVals!T$2:T$999,RdTRABYVals!$B$2:$B$999,"="&amp;$E195,RdTRABYVals!$C$2:$C$999,"="&amp;INS_EFF!$B195),"")</f>
        <v>0.40000000000000002</v>
      </c>
      <c r="BF195" s="95">
        <f>IFERROR(AVERAGEIFS(RdTRABYVals!U$2:U$999,RdTRABYVals!$B$2:$B$999,"="&amp;$E195,RdTRABYVals!$C$2:$C$999,"="&amp;INS_EFF!$B195),"")</f>
        <v>0.45000000000000001</v>
      </c>
      <c r="BG195" s="95">
        <f>IFERROR(AVERAGEIFS(RdTRABYVals!V$2:V$999,RdTRABYVals!$B$2:$B$999,"="&amp;$E195,RdTRABYVals!$C$2:$C$999,"="&amp;INS_EFF!$B195),"")</f>
        <v>0.41999999999999998</v>
      </c>
      <c r="BH195" s="95">
        <f>IFERROR(AVERAGEIFS(RdTRABYVals!W$2:W$999,RdTRABYVals!$B$2:$B$999,"="&amp;$E195,RdTRABYVals!$C$2:$C$999,"="&amp;INS_EFF!$B195),"")</f>
        <v>0.38</v>
      </c>
      <c r="BI195" s="95">
        <f>IFERROR(AVERAGEIFS(RdTRABYVals!X$2:X$999,RdTRABYVals!$B$2:$B$999,"="&amp;$E195,RdTRABYVals!$C$2:$C$999,"="&amp;INS_EFF!$B195),"")</f>
        <v>0.46000000000000002</v>
      </c>
      <c r="BJ195" s="95">
        <f>IFERROR(AVERAGEIFS(RdTRABYVals!Y$2:Y$999,RdTRABYVals!$B$2:$B$999,"="&amp;$E195,RdTRABYVals!$C$2:$C$999,"="&amp;INS_EFF!$B195),"")</f>
        <v>0.40000000000000002</v>
      </c>
      <c r="BK195" s="95">
        <f>IFERROR(AVERAGEIFS(RdTRABYVals!Z$2:Z$999,RdTRABYVals!$B$2:$B$999,"="&amp;$E195,RdTRABYVals!$C$2:$C$999,"="&amp;INS_EFF!$B195),"")</f>
        <v>0.40999999999999998</v>
      </c>
      <c r="BL195" s="95">
        <f>IFERROR(AVERAGEIFS(RdTRABYVals!AA$2:AA$999,RdTRABYVals!$B$2:$B$999,"="&amp;$E195,RdTRABYVals!$C$2:$C$999,"="&amp;INS_EFF!$B195),"")</f>
        <v>0.40999999999999998</v>
      </c>
      <c r="BM195" s="95">
        <f>IFERROR(AVERAGEIFS(RdTRABYVals!AB$2:AB$999,RdTRABYVals!$B$2:$B$999,"="&amp;$E195,RdTRABYVals!$C$2:$C$999,"="&amp;INS_EFF!$B195),"")</f>
        <v>0.44</v>
      </c>
      <c r="BN195" s="95">
        <f>IFERROR(AVERAGEIFS(RdTRABYVals!AC$2:AC$999,RdTRABYVals!$B$2:$B$999,"="&amp;$E195,RdTRABYVals!$C$2:$C$999,"="&amp;INS_EFF!$B195),"")</f>
        <v>0.42999999999999999</v>
      </c>
      <c r="BO195" s="95">
        <f>IFERROR(AVERAGEIFS(RdTRABYVals!AD$2:AD$999,RdTRABYVals!$B$2:$B$999,"="&amp;$E195,RdTRABYVals!$C$2:$C$999,"="&amp;INS_EFF!$B195),"")</f>
        <v>0.42999999999999999</v>
      </c>
      <c r="BP195" s="95">
        <f>IFERROR(AVERAGEIFS(RdTRABYVals!AE$2:AE$999,RdTRABYVals!$B$2:$B$999,"="&amp;$E195,RdTRABYVals!$C$2:$C$999,"="&amp;INS_EFF!$B195),"")</f>
        <v>0.42999999999999999</v>
      </c>
      <c r="BQ195" s="95">
        <f>IFERROR(AVERAGEIFS(RdTRABYVals!AF$2:AF$999,RdTRABYVals!$B$2:$B$999,"="&amp;$E195,RdTRABYVals!$C$2:$C$999,"="&amp;INS_EFF!$B195),"")</f>
        <v>0.40999999999999998</v>
      </c>
      <c r="BR195" s="95">
        <f>IFERROR(AVERAGEIFS(RdTRABYVals!AG$2:AG$999,RdTRABYVals!$B$2:$B$999,"="&amp;$E195,RdTRABYVals!$C$2:$C$999,"="&amp;INS_EFF!$B195),"")</f>
        <v>0.40000000000000002</v>
      </c>
      <c r="BS195" s="95">
        <f>IFERROR(AVERAGEIFS(RdTRABYVals!AH$2:AH$999,RdTRABYVals!$B$2:$B$999,"="&amp;$E195,RdTRABYVals!$C$2:$C$999,"="&amp;INS_EFF!$B195),"")</f>
        <v>0.40000000000000002</v>
      </c>
      <c r="BT195" s="95">
        <f>IFERROR(AVERAGEIFS(RdTRABYVals!AI$2:AI$999,RdTRABYVals!$B$2:$B$999,"="&amp;$E195,RdTRABYVals!$C$2:$C$999,"="&amp;INS_EFF!$B195),"")</f>
        <v>0.40999999999999998</v>
      </c>
      <c r="BU195" s="95">
        <f>IFERROR(AVERAGEIFS(RdTRABYVals!AJ$2:AJ$999,RdTRABYVals!$B$2:$B$999,"="&amp;$E195,RdTRABYVals!$C$2:$C$999,"="&amp;INS_EFF!$B195),"")</f>
        <v>0.38</v>
      </c>
      <c r="BV195" s="95">
        <f>IFERROR(AVERAGEIFS(RdTRABYVals!AK$2:AK$999,RdTRABYVals!$B$2:$B$999,"="&amp;$E195,RdTRABYVals!$C$2:$C$999,"="&amp;INS_EFF!$B195),"")</f>
        <v>0.40000000000000002</v>
      </c>
      <c r="BW195" s="95">
        <f>IFERROR(AVERAGEIFS(RdTRABYVals!AL$2:AL$999,RdTRABYVals!$B$2:$B$999,"="&amp;$E195,RdTRABYVals!$C$2:$C$999,"="&amp;INS_EFF!$B195),"")</f>
        <v>0.42999999999999999</v>
      </c>
      <c r="BX195" s="95">
        <f>IFERROR(AVERAGEIFS(RdTRABYVals!AM$2:AM$999,RdTRABYVals!$B$2:$B$999,"="&amp;$E195,RdTRABYVals!$C$2:$C$999,"="&amp;INS_EFF!$B195),"")</f>
        <v>0.40000000000000002</v>
      </c>
      <c r="BY195" s="95">
        <f>IFERROR(AVERAGEIFS(RdTRABYVals!AN$2:AN$999,RdTRABYVals!$B$2:$B$999,"="&amp;$E195,RdTRABYVals!$C$2:$C$999,"="&amp;INS_EFF!$B195),"")</f>
        <v>0.40000000000000002</v>
      </c>
      <c r="BZ195" s="95">
        <f>IFERROR(AVERAGEIFS(RdTRABYVals!AO$2:AO$999,RdTRABYVals!$B$2:$B$999,"="&amp;$E195,RdTRABYVals!$C$2:$C$999,"="&amp;INS_EFF!$B195),"")</f>
        <v>0.41999999999999998</v>
      </c>
      <c r="CA195" s="95">
        <f>IFERROR(AVERAGEIFS(RdTRABYVals!AP$2:AP$999,RdTRABYVals!$B$2:$B$999,"="&amp;$E195,RdTRABYVals!$C$2:$C$999,"="&amp;INS_EFF!$B195),"")</f>
        <v>0.44</v>
      </c>
      <c r="CB195" s="95">
        <f>IFERROR(AVERAGEIFS(RdTRABYVals!AQ$2:AQ$999,RdTRABYVals!$B$2:$B$999,"="&amp;$E195,RdTRABYVals!$C$2:$C$999,"="&amp;INS_EFF!$B195),"")</f>
        <v>0.39000000000000001</v>
      </c>
      <c r="CC195" s="95">
        <f>IFERROR(AVERAGEIFS(RdTRABYVals!AR$2:AR$999,RdTRABYVals!$B$2:$B$999,"="&amp;$E195,RdTRABYVals!$C$2:$C$999,"="&amp;INS_EFF!$B195),"")</f>
        <v>0.40999999999999998</v>
      </c>
      <c r="CD195" s="95">
        <f>IFERROR(AVERAGEIFS(RdTRABYVals!AS$2:AS$999,RdTRABYVals!$B$2:$B$999,"="&amp;$E195,RdTRABYVals!$C$2:$C$999,"="&amp;INS_EFF!$B195),"")</f>
        <v>0.41999999999999998</v>
      </c>
      <c r="CE195" s="95">
        <f>IFERROR(AVERAGEIFS(RdTRABYVals!AT$2:AT$999,RdTRABYVals!$B$2:$B$999,"="&amp;$E195,RdTRABYVals!$C$2:$C$999,"="&amp;INS_EFF!$B195),"")</f>
        <v>0.40999999999999998</v>
      </c>
      <c r="CF195" s="95">
        <f>IFERROR(AVERAGEIFS(RdTRABYVals!AU$2:AU$999,RdTRABYVals!$B$2:$B$999,"="&amp;$E195,RdTRABYVals!$C$2:$C$999,"="&amp;INS_EFF!$B195),"")</f>
        <v>0.44</v>
      </c>
      <c r="CG195" s="95">
        <f>IFERROR(AVERAGEIFS(RdTRABYVals!AV$2:AV$999,RdTRABYVals!$B$2:$B$999,"="&amp;$E195,RdTRABYVals!$C$2:$C$999,"="&amp;INS_EFF!$B195),"")</f>
        <v>0.45000000000000001</v>
      </c>
    </row>
    <row r="196" spans="2:85" ht="15">
      <c r="B196" s="24" t="s">
        <v>114</v>
      </c>
      <c r="C196" s="24"/>
      <c r="E196" s="18" t="s">
        <v>29</v>
      </c>
      <c r="F196" s="71"/>
      <c r="G196" t="s">
        <v>114</v>
      </c>
      <c r="I196" t="str">
        <f t="shared" si="6"/>
        <v>*0.185</v>
      </c>
      <c r="J196" t="str">
        <f t="shared" si="3"/>
        <v>*0.185</v>
      </c>
      <c r="K196" t="str">
        <f t="shared" si="3"/>
        <v>*0.185</v>
      </c>
      <c r="L196" t="str">
        <f t="shared" si="3"/>
        <v>*0.185</v>
      </c>
      <c r="M196" t="str">
        <f t="shared" si="3"/>
        <v>*0.185</v>
      </c>
      <c r="N196" t="str">
        <f t="shared" si="3"/>
        <v>*0.185</v>
      </c>
      <c r="O196" t="str">
        <f t="shared" si="3"/>
        <v>*0.19</v>
      </c>
      <c r="P196" t="str">
        <f t="shared" si="3"/>
        <v>*0.185</v>
      </c>
      <c r="Q196" t="str">
        <f t="shared" si="3"/>
        <v>*0.185</v>
      </c>
      <c r="R196" t="str">
        <f t="shared" si="3"/>
        <v>*0.185</v>
      </c>
      <c r="S196" t="str">
        <f t="shared" si="3"/>
        <v>*0.185</v>
      </c>
      <c r="T196" t="str">
        <f t="shared" si="3"/>
        <v>*0.185</v>
      </c>
      <c r="U196" t="str">
        <f t="shared" si="3"/>
        <v>*0.185</v>
      </c>
      <c r="V196" t="str">
        <f t="shared" si="3"/>
        <v>*0.185</v>
      </c>
      <c r="W196" s="20" t="str">
        <f t="shared" si="3"/>
        <v>*0.185</v>
      </c>
      <c r="X196" t="str">
        <f t="shared" si="3"/>
        <v>*0.185</v>
      </c>
      <c r="Y196" t="str">
        <f t="shared" si="3"/>
        <v>*0.185</v>
      </c>
      <c r="Z196" t="str">
        <f t="shared" si="4"/>
        <v>*0.185</v>
      </c>
      <c r="AA196" t="str">
        <f t="shared" si="4"/>
        <v>*0.185</v>
      </c>
      <c r="AB196" t="str">
        <f t="shared" si="4"/>
        <v>*0.185</v>
      </c>
      <c r="AC196" t="str">
        <f t="shared" si="4"/>
        <v>*0.185</v>
      </c>
      <c r="AD196" t="str">
        <f t="shared" si="4"/>
        <v>*0.185</v>
      </c>
      <c r="AE196" t="str">
        <f t="shared" si="4"/>
        <v>*0.185</v>
      </c>
      <c r="AF196" t="str">
        <f t="shared" si="4"/>
        <v>*0.185</v>
      </c>
      <c r="AG196" t="str">
        <f t="shared" si="4"/>
        <v>*0.185</v>
      </c>
      <c r="AH196" t="str">
        <f t="shared" si="4"/>
        <v>*0.185</v>
      </c>
      <c r="AI196" t="str">
        <f t="shared" si="4"/>
        <v>*0.185</v>
      </c>
      <c r="AJ196" t="str">
        <f t="shared" si="4"/>
        <v>*0.185</v>
      </c>
      <c r="AK196" t="str">
        <f t="shared" si="4"/>
        <v>*0.185</v>
      </c>
      <c r="AL196" t="str">
        <f t="shared" si="4"/>
        <v>*0.185</v>
      </c>
      <c r="AM196" t="str">
        <f t="shared" si="4"/>
        <v>*0.185</v>
      </c>
      <c r="AN196" t="str">
        <f t="shared" si="4"/>
        <v>*0.185</v>
      </c>
      <c r="AO196" t="str">
        <f t="shared" si="4"/>
        <v>*0.185</v>
      </c>
      <c r="AP196" t="str">
        <f t="shared" si="5"/>
        <v>*0.185</v>
      </c>
      <c r="AQ196" t="str">
        <f t="shared" si="5"/>
        <v>*0.18</v>
      </c>
      <c r="AR196" t="str">
        <f t="shared" si="5"/>
        <v>*0.185</v>
      </c>
      <c r="AS196" t="str">
        <f t="shared" si="5"/>
        <v>*0.185</v>
      </c>
      <c r="AT196" t="str">
        <f t="shared" si="5"/>
        <v>*0.185</v>
      </c>
      <c r="AV196" s="95">
        <f>AVERAGE(AW196:CG196)</f>
        <v>0.18499999999999997</v>
      </c>
      <c r="AW196" s="95">
        <f>IFERROR(AVERAGEIFS(RdTRABYVals!L$2:L$999,RdTRABYVals!$B$2:$B$999,"="&amp;$E196,RdTRABYVals!$C$2:$C$999,"="&amp;INS_EFF!$B196),"")</f>
        <v>0.185</v>
      </c>
      <c r="AX196" s="95">
        <f>IFERROR(AVERAGEIFS(RdTRABYVals!M$2:M$999,RdTRABYVals!$B$2:$B$999,"="&amp;$E196,RdTRABYVals!$C$2:$C$999,"="&amp;INS_EFF!$B196),"")</f>
        <v>0.185</v>
      </c>
      <c r="AY196" s="95">
        <f>IFERROR(AVERAGEIFS(RdTRABYVals!N$2:N$999,RdTRABYVals!$B$2:$B$999,"="&amp;$E196,RdTRABYVals!$C$2:$C$999,"="&amp;INS_EFF!$B196),"")</f>
        <v>0.185</v>
      </c>
      <c r="AZ196" s="95">
        <f>IFERROR(AVERAGEIFS(RdTRABYVals!O$2:O$999,RdTRABYVals!$B$2:$B$999,"="&amp;$E196,RdTRABYVals!$C$2:$C$999,"="&amp;INS_EFF!$B196),"")</f>
        <v>0.185</v>
      </c>
      <c r="BA196" s="95">
        <f>IFERROR(AVERAGEIFS(RdTRABYVals!P$2:P$999,RdTRABYVals!$B$2:$B$999,"="&amp;$E196,RdTRABYVals!$C$2:$C$999,"="&amp;INS_EFF!$B196),"")</f>
        <v>0.185</v>
      </c>
      <c r="BB196" s="95">
        <f>IFERROR(AVERAGEIFS(RdTRABYVals!Q$2:Q$999,RdTRABYVals!$B$2:$B$999,"="&amp;$E196,RdTRABYVals!$C$2:$C$999,"="&amp;INS_EFF!$B196),"")</f>
        <v>0.19</v>
      </c>
      <c r="BC196" s="95">
        <f>IFERROR(AVERAGEIFS(RdTRABYVals!R$2:R$999,RdTRABYVals!$B$2:$B$999,"="&amp;$E196,RdTRABYVals!$C$2:$C$999,"="&amp;INS_EFF!$B196),"")</f>
        <v>0.185</v>
      </c>
      <c r="BD196" s="95">
        <f>IFERROR(AVERAGEIFS(RdTRABYVals!S$2:S$999,RdTRABYVals!$B$2:$B$999,"="&amp;$E196,RdTRABYVals!$C$2:$C$999,"="&amp;INS_EFF!$B196),"")</f>
        <v>0.185</v>
      </c>
      <c r="BE196" s="95">
        <f>IFERROR(AVERAGEIFS(RdTRABYVals!T$2:T$999,RdTRABYVals!$B$2:$B$999,"="&amp;$E196,RdTRABYVals!$C$2:$C$999,"="&amp;INS_EFF!$B196),"")</f>
        <v>0.185</v>
      </c>
      <c r="BF196" s="95">
        <f>IFERROR(AVERAGEIFS(RdTRABYVals!U$2:U$999,RdTRABYVals!$B$2:$B$999,"="&amp;$E196,RdTRABYVals!$C$2:$C$999,"="&amp;INS_EFF!$B196),"")</f>
        <v>0.185</v>
      </c>
      <c r="BG196" s="95">
        <f>IFERROR(AVERAGEIFS(RdTRABYVals!V$2:V$999,RdTRABYVals!$B$2:$B$999,"="&amp;$E196,RdTRABYVals!$C$2:$C$999,"="&amp;INS_EFF!$B196),"")</f>
        <v>0.185</v>
      </c>
      <c r="BH196" s="95">
        <f>IFERROR(AVERAGEIFS(RdTRABYVals!W$2:W$999,RdTRABYVals!$B$2:$B$999,"="&amp;$E196,RdTRABYVals!$C$2:$C$999,"="&amp;INS_EFF!$B196),"")</f>
        <v>0.185</v>
      </c>
      <c r="BI196" s="95">
        <f>IFERROR(AVERAGEIFS(RdTRABYVals!X$2:X$999,RdTRABYVals!$B$2:$B$999,"="&amp;$E196,RdTRABYVals!$C$2:$C$999,"="&amp;INS_EFF!$B196),"")</f>
        <v>0.185</v>
      </c>
      <c r="BJ196" s="95">
        <f>IFERROR(AVERAGEIFS(RdTRABYVals!Y$2:Y$999,RdTRABYVals!$B$2:$B$999,"="&amp;$E196,RdTRABYVals!$C$2:$C$999,"="&amp;INS_EFF!$B196),"")</f>
        <v>0.185</v>
      </c>
      <c r="BK196" s="95">
        <f>IFERROR(AVERAGEIFS(RdTRABYVals!Z$2:Z$999,RdTRABYVals!$B$2:$B$999,"="&amp;$E196,RdTRABYVals!$C$2:$C$999,"="&amp;INS_EFF!$B196),"")</f>
        <v>0.185</v>
      </c>
      <c r="BL196" s="95">
        <f>IFERROR(AVERAGEIFS(RdTRABYVals!AA$2:AA$999,RdTRABYVals!$B$2:$B$999,"="&amp;$E196,RdTRABYVals!$C$2:$C$999,"="&amp;INS_EFF!$B196),"")</f>
        <v>0.185</v>
      </c>
      <c r="BM196" s="95">
        <f>IFERROR(AVERAGEIFS(RdTRABYVals!AB$2:AB$999,RdTRABYVals!$B$2:$B$999,"="&amp;$E196,RdTRABYVals!$C$2:$C$999,"="&amp;INS_EFF!$B196),"")</f>
        <v>0.185</v>
      </c>
      <c r="BN196" s="95">
        <f>IFERROR(AVERAGEIFS(RdTRABYVals!AC$2:AC$999,RdTRABYVals!$B$2:$B$999,"="&amp;$E196,RdTRABYVals!$C$2:$C$999,"="&amp;INS_EFF!$B196),"")</f>
        <v>0.185</v>
      </c>
      <c r="BO196" s="95">
        <f>IFERROR(AVERAGEIFS(RdTRABYVals!AD$2:AD$999,RdTRABYVals!$B$2:$B$999,"="&amp;$E196,RdTRABYVals!$C$2:$C$999,"="&amp;INS_EFF!$B196),"")</f>
        <v>0.185</v>
      </c>
      <c r="BP196" s="95">
        <f>IFERROR(AVERAGEIFS(RdTRABYVals!AE$2:AE$999,RdTRABYVals!$B$2:$B$999,"="&amp;$E196,RdTRABYVals!$C$2:$C$999,"="&amp;INS_EFF!$B196),"")</f>
        <v>0.185</v>
      </c>
      <c r="BQ196" s="95">
        <f>IFERROR(AVERAGEIFS(RdTRABYVals!AF$2:AF$999,RdTRABYVals!$B$2:$B$999,"="&amp;$E196,RdTRABYVals!$C$2:$C$999,"="&amp;INS_EFF!$B196),"")</f>
        <v>0.185</v>
      </c>
      <c r="BR196" s="95">
        <f>IFERROR(AVERAGEIFS(RdTRABYVals!AG$2:AG$999,RdTRABYVals!$B$2:$B$999,"="&amp;$E196,RdTRABYVals!$C$2:$C$999,"="&amp;INS_EFF!$B196),"")</f>
        <v>0.185</v>
      </c>
      <c r="BS196" s="95">
        <f>IFERROR(AVERAGEIFS(RdTRABYVals!AH$2:AH$999,RdTRABYVals!$B$2:$B$999,"="&amp;$E196,RdTRABYVals!$C$2:$C$999,"="&amp;INS_EFF!$B196),"")</f>
        <v>0.185</v>
      </c>
      <c r="BT196" s="95">
        <f>IFERROR(AVERAGEIFS(RdTRABYVals!AI$2:AI$999,RdTRABYVals!$B$2:$B$999,"="&amp;$E196,RdTRABYVals!$C$2:$C$999,"="&amp;INS_EFF!$B196),"")</f>
        <v>0.185</v>
      </c>
      <c r="BU196" s="95">
        <f>IFERROR(AVERAGEIFS(RdTRABYVals!AJ$2:AJ$999,RdTRABYVals!$B$2:$B$999,"="&amp;$E196,RdTRABYVals!$C$2:$C$999,"="&amp;INS_EFF!$B196),"")</f>
        <v>0.185</v>
      </c>
      <c r="BV196" s="95">
        <f>IFERROR(AVERAGEIFS(RdTRABYVals!AK$2:AK$999,RdTRABYVals!$B$2:$B$999,"="&amp;$E196,RdTRABYVals!$C$2:$C$999,"="&amp;INS_EFF!$B196),"")</f>
        <v>0.185</v>
      </c>
      <c r="BW196" s="95">
        <f>IFERROR(AVERAGEIFS(RdTRABYVals!AL$2:AL$999,RdTRABYVals!$B$2:$B$999,"="&amp;$E196,RdTRABYVals!$C$2:$C$999,"="&amp;INS_EFF!$B196),"")</f>
        <v>0.185</v>
      </c>
      <c r="BX196" s="95">
        <f>IFERROR(AVERAGEIFS(RdTRABYVals!AM$2:AM$999,RdTRABYVals!$B$2:$B$999,"="&amp;$E196,RdTRABYVals!$C$2:$C$999,"="&amp;INS_EFF!$B196),"")</f>
        <v>0.185</v>
      </c>
      <c r="BY196" s="95">
        <f>IFERROR(AVERAGEIFS(RdTRABYVals!AN$2:AN$999,RdTRABYVals!$B$2:$B$999,"="&amp;$E196,RdTRABYVals!$C$2:$C$999,"="&amp;INS_EFF!$B196),"")</f>
        <v>0.185</v>
      </c>
      <c r="BZ196" s="95">
        <f>IFERROR(AVERAGEIFS(RdTRABYVals!AO$2:AO$999,RdTRABYVals!$B$2:$B$999,"="&amp;$E196,RdTRABYVals!$C$2:$C$999,"="&amp;INS_EFF!$B196),"")</f>
        <v>0.185</v>
      </c>
      <c r="CA196" s="95">
        <f>IFERROR(AVERAGEIFS(RdTRABYVals!AP$2:AP$999,RdTRABYVals!$B$2:$B$999,"="&amp;$E196,RdTRABYVals!$C$2:$C$999,"="&amp;INS_EFF!$B196),"")</f>
        <v>0.185</v>
      </c>
      <c r="CB196" s="95">
        <f>IFERROR(AVERAGEIFS(RdTRABYVals!AQ$2:AQ$999,RdTRABYVals!$B$2:$B$999,"="&amp;$E196,RdTRABYVals!$C$2:$C$999,"="&amp;INS_EFF!$B196),"")</f>
        <v>0.185</v>
      </c>
      <c r="CC196" s="95">
        <f>IFERROR(AVERAGEIFS(RdTRABYVals!AR$2:AR$999,RdTRABYVals!$B$2:$B$999,"="&amp;$E196,RdTRABYVals!$C$2:$C$999,"="&amp;INS_EFF!$B196),"")</f>
        <v>0.185</v>
      </c>
      <c r="CD196" s="95">
        <f>IFERROR(AVERAGEIFS(RdTRABYVals!AS$2:AS$999,RdTRABYVals!$B$2:$B$999,"="&amp;$E196,RdTRABYVals!$C$2:$C$999,"="&amp;INS_EFF!$B196),"")</f>
        <v>0.17999999999999999</v>
      </c>
      <c r="CE196" s="95">
        <f>IFERROR(AVERAGEIFS(RdTRABYVals!AT$2:AT$999,RdTRABYVals!$B$2:$B$999,"="&amp;$E196,RdTRABYVals!$C$2:$C$999,"="&amp;INS_EFF!$B196),"")</f>
        <v>0.185</v>
      </c>
      <c r="CF196" s="95">
        <f>IFERROR(AVERAGEIFS(RdTRABYVals!AU$2:AU$999,RdTRABYVals!$B$2:$B$999,"="&amp;$E196,RdTRABYVals!$C$2:$C$999,"="&amp;INS_EFF!$B196),"")</f>
        <v>0.185</v>
      </c>
      <c r="CG196" s="95">
        <f>IFERROR(AVERAGEIFS(RdTRABYVals!AV$2:AV$999,RdTRABYVals!$B$2:$B$999,"="&amp;$E196,RdTRABYVals!$C$2:$C$999,"="&amp;INS_EFF!$B196),"")</f>
        <v>0.185</v>
      </c>
    </row>
    <row r="197" spans="2:85" ht="15">
      <c r="B197" s="24" t="s">
        <v>115</v>
      </c>
      <c r="C197" s="24"/>
      <c r="E197" s="18" t="s">
        <v>29</v>
      </c>
      <c r="F197" s="71"/>
      <c r="G197" t="s">
        <v>115</v>
      </c>
      <c r="I197" t="str">
        <f t="shared" si="6"/>
        <v>*0.35</v>
      </c>
      <c r="J197" t="str">
        <f t="shared" si="3"/>
        <v>*0.35</v>
      </c>
      <c r="K197" t="str">
        <f t="shared" si="3"/>
        <v>*0.35</v>
      </c>
      <c r="L197" t="str">
        <f t="shared" si="3"/>
        <v>*0.35</v>
      </c>
      <c r="M197" t="str">
        <f t="shared" si="3"/>
        <v>*0.35</v>
      </c>
      <c r="N197" t="str">
        <f t="shared" si="3"/>
        <v>*0.35</v>
      </c>
      <c r="O197" t="str">
        <f t="shared" si="3"/>
        <v>*0.37</v>
      </c>
      <c r="P197" t="str">
        <f t="shared" si="3"/>
        <v>*0.35</v>
      </c>
      <c r="Q197" t="str">
        <f t="shared" si="3"/>
        <v>*0.35</v>
      </c>
      <c r="R197" t="str">
        <f t="shared" si="3"/>
        <v>*0.35</v>
      </c>
      <c r="S197" t="str">
        <f t="shared" si="3"/>
        <v>*0.35</v>
      </c>
      <c r="T197" t="str">
        <f t="shared" si="3"/>
        <v>*0.35</v>
      </c>
      <c r="U197" t="str">
        <f t="shared" si="3"/>
        <v>*0.35</v>
      </c>
      <c r="V197" t="str">
        <f t="shared" si="3"/>
        <v>*0.35</v>
      </c>
      <c r="W197" s="20" t="str">
        <f t="shared" si="3"/>
        <v>*0.35</v>
      </c>
      <c r="X197" t="str">
        <f t="shared" si="3"/>
        <v>*0.35</v>
      </c>
      <c r="Y197" t="str">
        <f t="shared" si="3"/>
        <v>*0.35</v>
      </c>
      <c r="Z197" t="str">
        <f t="shared" si="4"/>
        <v>*0.35</v>
      </c>
      <c r="AA197" t="str">
        <f t="shared" si="4"/>
        <v>*0.35</v>
      </c>
      <c r="AB197" t="str">
        <f t="shared" si="4"/>
        <v>*0.35</v>
      </c>
      <c r="AC197" t="str">
        <f t="shared" si="4"/>
        <v>*0.35</v>
      </c>
      <c r="AD197" t="str">
        <f t="shared" si="4"/>
        <v>*0.35</v>
      </c>
      <c r="AE197" t="str">
        <f t="shared" si="4"/>
        <v>*0.35</v>
      </c>
      <c r="AF197" t="str">
        <f t="shared" si="4"/>
        <v>*0.35</v>
      </c>
      <c r="AG197" t="str">
        <f t="shared" si="4"/>
        <v>*0.35</v>
      </c>
      <c r="AH197" t="str">
        <f t="shared" si="4"/>
        <v>*0.35</v>
      </c>
      <c r="AI197" t="str">
        <f t="shared" si="4"/>
        <v>*0.35</v>
      </c>
      <c r="AJ197" t="str">
        <f t="shared" si="4"/>
        <v>*0.35</v>
      </c>
      <c r="AK197" t="str">
        <f t="shared" si="4"/>
        <v>*0.35</v>
      </c>
      <c r="AL197" t="str">
        <f t="shared" si="4"/>
        <v>*0.35</v>
      </c>
      <c r="AM197" t="str">
        <f t="shared" si="4"/>
        <v>*0.35</v>
      </c>
      <c r="AN197" t="str">
        <f t="shared" si="4"/>
        <v>*0.35</v>
      </c>
      <c r="AO197" t="str">
        <f t="shared" si="4"/>
        <v>*0.35</v>
      </c>
      <c r="AP197" t="str">
        <f t="shared" si="5"/>
        <v>*0.35</v>
      </c>
      <c r="AQ197" t="str">
        <f t="shared" si="5"/>
        <v>*0.33</v>
      </c>
      <c r="AR197" t="str">
        <f t="shared" si="5"/>
        <v>*0.35</v>
      </c>
      <c r="AS197" t="str">
        <f t="shared" si="5"/>
        <v>*0.35</v>
      </c>
      <c r="AT197" t="str">
        <f t="shared" si="5"/>
        <v>*0.35</v>
      </c>
      <c r="AV197" s="95">
        <f>AVERAGE(AW197:CG197)</f>
        <v>0.34999999999999998</v>
      </c>
      <c r="AW197" s="95">
        <f>IFERROR(AVERAGEIFS(RdTRABYVals!L$2:L$999,RdTRABYVals!$B$2:$B$999,"="&amp;$E197,RdTRABYVals!$C$2:$C$999,"="&amp;INS_EFF!$B197),"")</f>
        <v>0.34999999999999998</v>
      </c>
      <c r="AX197" s="95">
        <f>IFERROR(AVERAGEIFS(RdTRABYVals!M$2:M$999,RdTRABYVals!$B$2:$B$999,"="&amp;$E197,RdTRABYVals!$C$2:$C$999,"="&amp;INS_EFF!$B197),"")</f>
        <v>0.34999999999999998</v>
      </c>
      <c r="AY197" s="95">
        <f>IFERROR(AVERAGEIFS(RdTRABYVals!N$2:N$999,RdTRABYVals!$B$2:$B$999,"="&amp;$E197,RdTRABYVals!$C$2:$C$999,"="&amp;INS_EFF!$B197),"")</f>
        <v>0.34999999999999998</v>
      </c>
      <c r="AZ197" s="95">
        <f>IFERROR(AVERAGEIFS(RdTRABYVals!O$2:O$999,RdTRABYVals!$B$2:$B$999,"="&amp;$E197,RdTRABYVals!$C$2:$C$999,"="&amp;INS_EFF!$B197),"")</f>
        <v>0.34999999999999998</v>
      </c>
      <c r="BA197" s="95">
        <f>IFERROR(AVERAGEIFS(RdTRABYVals!P$2:P$999,RdTRABYVals!$B$2:$B$999,"="&amp;$E197,RdTRABYVals!$C$2:$C$999,"="&amp;INS_EFF!$B197),"")</f>
        <v>0.34999999999999998</v>
      </c>
      <c r="BB197" s="95">
        <f>IFERROR(AVERAGEIFS(RdTRABYVals!Q$2:Q$999,RdTRABYVals!$B$2:$B$999,"="&amp;$E197,RdTRABYVals!$C$2:$C$999,"="&amp;INS_EFF!$B197),"")</f>
        <v>0.37</v>
      </c>
      <c r="BC197" s="95">
        <f>IFERROR(AVERAGEIFS(RdTRABYVals!R$2:R$999,RdTRABYVals!$B$2:$B$999,"="&amp;$E197,RdTRABYVals!$C$2:$C$999,"="&amp;INS_EFF!$B197),"")</f>
        <v>0.34999999999999998</v>
      </c>
      <c r="BD197" s="95">
        <f>IFERROR(AVERAGEIFS(RdTRABYVals!S$2:S$999,RdTRABYVals!$B$2:$B$999,"="&amp;$E197,RdTRABYVals!$C$2:$C$999,"="&amp;INS_EFF!$B197),"")</f>
        <v>0.34999999999999998</v>
      </c>
      <c r="BE197" s="95">
        <f>IFERROR(AVERAGEIFS(RdTRABYVals!T$2:T$999,RdTRABYVals!$B$2:$B$999,"="&amp;$E197,RdTRABYVals!$C$2:$C$999,"="&amp;INS_EFF!$B197),"")</f>
        <v>0.34999999999999998</v>
      </c>
      <c r="BF197" s="95">
        <f>IFERROR(AVERAGEIFS(RdTRABYVals!U$2:U$999,RdTRABYVals!$B$2:$B$999,"="&amp;$E197,RdTRABYVals!$C$2:$C$999,"="&amp;INS_EFF!$B197),"")</f>
        <v>0.34999999999999998</v>
      </c>
      <c r="BG197" s="95">
        <f>IFERROR(AVERAGEIFS(RdTRABYVals!V$2:V$999,RdTRABYVals!$B$2:$B$999,"="&amp;$E197,RdTRABYVals!$C$2:$C$999,"="&amp;INS_EFF!$B197),"")</f>
        <v>0.34999999999999998</v>
      </c>
      <c r="BH197" s="95">
        <f>IFERROR(AVERAGEIFS(RdTRABYVals!W$2:W$999,RdTRABYVals!$B$2:$B$999,"="&amp;$E197,RdTRABYVals!$C$2:$C$999,"="&amp;INS_EFF!$B197),"")</f>
        <v>0.34999999999999998</v>
      </c>
      <c r="BI197" s="95">
        <f>IFERROR(AVERAGEIFS(RdTRABYVals!X$2:X$999,RdTRABYVals!$B$2:$B$999,"="&amp;$E197,RdTRABYVals!$C$2:$C$999,"="&amp;INS_EFF!$B197),"")</f>
        <v>0.34999999999999998</v>
      </c>
      <c r="BJ197" s="95">
        <f>IFERROR(AVERAGEIFS(RdTRABYVals!Y$2:Y$999,RdTRABYVals!$B$2:$B$999,"="&amp;$E197,RdTRABYVals!$C$2:$C$999,"="&amp;INS_EFF!$B197),"")</f>
        <v>0.34999999999999998</v>
      </c>
      <c r="BK197" s="95">
        <f>IFERROR(AVERAGEIFS(RdTRABYVals!Z$2:Z$999,RdTRABYVals!$B$2:$B$999,"="&amp;$E197,RdTRABYVals!$C$2:$C$999,"="&amp;INS_EFF!$B197),"")</f>
        <v>0.34999999999999998</v>
      </c>
      <c r="BL197" s="95">
        <f>IFERROR(AVERAGEIFS(RdTRABYVals!AA$2:AA$999,RdTRABYVals!$B$2:$B$999,"="&amp;$E197,RdTRABYVals!$C$2:$C$999,"="&amp;INS_EFF!$B197),"")</f>
        <v>0.34999999999999998</v>
      </c>
      <c r="BM197" s="95">
        <f>IFERROR(AVERAGEIFS(RdTRABYVals!AB$2:AB$999,RdTRABYVals!$B$2:$B$999,"="&amp;$E197,RdTRABYVals!$C$2:$C$999,"="&amp;INS_EFF!$B197),"")</f>
        <v>0.34999999999999998</v>
      </c>
      <c r="BN197" s="95">
        <f>IFERROR(AVERAGEIFS(RdTRABYVals!AC$2:AC$999,RdTRABYVals!$B$2:$B$999,"="&amp;$E197,RdTRABYVals!$C$2:$C$999,"="&amp;INS_EFF!$B197),"")</f>
        <v>0.34999999999999998</v>
      </c>
      <c r="BO197" s="95">
        <f>IFERROR(AVERAGEIFS(RdTRABYVals!AD$2:AD$999,RdTRABYVals!$B$2:$B$999,"="&amp;$E197,RdTRABYVals!$C$2:$C$999,"="&amp;INS_EFF!$B197),"")</f>
        <v>0.34999999999999998</v>
      </c>
      <c r="BP197" s="95">
        <f>IFERROR(AVERAGEIFS(RdTRABYVals!AE$2:AE$999,RdTRABYVals!$B$2:$B$999,"="&amp;$E197,RdTRABYVals!$C$2:$C$999,"="&amp;INS_EFF!$B197),"")</f>
        <v>0.34999999999999998</v>
      </c>
      <c r="BQ197" s="95">
        <f>IFERROR(AVERAGEIFS(RdTRABYVals!AF$2:AF$999,RdTRABYVals!$B$2:$B$999,"="&amp;$E197,RdTRABYVals!$C$2:$C$999,"="&amp;INS_EFF!$B197),"")</f>
        <v>0.34999999999999998</v>
      </c>
      <c r="BR197" s="95">
        <f>IFERROR(AVERAGEIFS(RdTRABYVals!AG$2:AG$999,RdTRABYVals!$B$2:$B$999,"="&amp;$E197,RdTRABYVals!$C$2:$C$999,"="&amp;INS_EFF!$B197),"")</f>
        <v>0.34999999999999998</v>
      </c>
      <c r="BS197" s="95">
        <f>IFERROR(AVERAGEIFS(RdTRABYVals!AH$2:AH$999,RdTRABYVals!$B$2:$B$999,"="&amp;$E197,RdTRABYVals!$C$2:$C$999,"="&amp;INS_EFF!$B197),"")</f>
        <v>0.34999999999999998</v>
      </c>
      <c r="BT197" s="95">
        <f>IFERROR(AVERAGEIFS(RdTRABYVals!AI$2:AI$999,RdTRABYVals!$B$2:$B$999,"="&amp;$E197,RdTRABYVals!$C$2:$C$999,"="&amp;INS_EFF!$B197),"")</f>
        <v>0.34999999999999998</v>
      </c>
      <c r="BU197" s="95">
        <f>IFERROR(AVERAGEIFS(RdTRABYVals!AJ$2:AJ$999,RdTRABYVals!$B$2:$B$999,"="&amp;$E197,RdTRABYVals!$C$2:$C$999,"="&amp;INS_EFF!$B197),"")</f>
        <v>0.34999999999999998</v>
      </c>
      <c r="BV197" s="95">
        <f>IFERROR(AVERAGEIFS(RdTRABYVals!AK$2:AK$999,RdTRABYVals!$B$2:$B$999,"="&amp;$E197,RdTRABYVals!$C$2:$C$999,"="&amp;INS_EFF!$B197),"")</f>
        <v>0.34999999999999998</v>
      </c>
      <c r="BW197" s="95">
        <f>IFERROR(AVERAGEIFS(RdTRABYVals!AL$2:AL$999,RdTRABYVals!$B$2:$B$999,"="&amp;$E197,RdTRABYVals!$C$2:$C$999,"="&amp;INS_EFF!$B197),"")</f>
        <v>0.34999999999999998</v>
      </c>
      <c r="BX197" s="95">
        <f>IFERROR(AVERAGEIFS(RdTRABYVals!AM$2:AM$999,RdTRABYVals!$B$2:$B$999,"="&amp;$E197,RdTRABYVals!$C$2:$C$999,"="&amp;INS_EFF!$B197),"")</f>
        <v>0.34999999999999998</v>
      </c>
      <c r="BY197" s="95">
        <f>IFERROR(AVERAGEIFS(RdTRABYVals!AN$2:AN$999,RdTRABYVals!$B$2:$B$999,"="&amp;$E197,RdTRABYVals!$C$2:$C$999,"="&amp;INS_EFF!$B197),"")</f>
        <v>0.34999999999999998</v>
      </c>
      <c r="BZ197" s="95">
        <f>IFERROR(AVERAGEIFS(RdTRABYVals!AO$2:AO$999,RdTRABYVals!$B$2:$B$999,"="&amp;$E197,RdTRABYVals!$C$2:$C$999,"="&amp;INS_EFF!$B197),"")</f>
        <v>0.34999999999999998</v>
      </c>
      <c r="CA197" s="95">
        <f>IFERROR(AVERAGEIFS(RdTRABYVals!AP$2:AP$999,RdTRABYVals!$B$2:$B$999,"="&amp;$E197,RdTRABYVals!$C$2:$C$999,"="&amp;INS_EFF!$B197),"")</f>
        <v>0.34999999999999998</v>
      </c>
      <c r="CB197" s="95">
        <f>IFERROR(AVERAGEIFS(RdTRABYVals!AQ$2:AQ$999,RdTRABYVals!$B$2:$B$999,"="&amp;$E197,RdTRABYVals!$C$2:$C$999,"="&amp;INS_EFF!$B197),"")</f>
        <v>0.34999999999999998</v>
      </c>
      <c r="CC197" s="95">
        <f>IFERROR(AVERAGEIFS(RdTRABYVals!AR$2:AR$999,RdTRABYVals!$B$2:$B$999,"="&amp;$E197,RdTRABYVals!$C$2:$C$999,"="&amp;INS_EFF!$B197),"")</f>
        <v>0.34999999999999998</v>
      </c>
      <c r="CD197" s="95">
        <f>IFERROR(AVERAGEIFS(RdTRABYVals!AS$2:AS$999,RdTRABYVals!$B$2:$B$999,"="&amp;$E197,RdTRABYVals!$C$2:$C$999,"="&amp;INS_EFF!$B197),"")</f>
        <v>0.33000000000000002</v>
      </c>
      <c r="CE197" s="95">
        <f>IFERROR(AVERAGEIFS(RdTRABYVals!AT$2:AT$999,RdTRABYVals!$B$2:$B$999,"="&amp;$E197,RdTRABYVals!$C$2:$C$999,"="&amp;INS_EFF!$B197),"")</f>
        <v>0.34999999999999998</v>
      </c>
      <c r="CF197" s="95">
        <f>IFERROR(AVERAGEIFS(RdTRABYVals!AU$2:AU$999,RdTRABYVals!$B$2:$B$999,"="&amp;$E197,RdTRABYVals!$C$2:$C$999,"="&amp;INS_EFF!$B197),"")</f>
        <v>0.34999999999999998</v>
      </c>
      <c r="CG197" s="95">
        <f>IFERROR(AVERAGEIFS(RdTRABYVals!AV$2:AV$999,RdTRABYVals!$B$2:$B$999,"="&amp;$E197,RdTRABYVals!$C$2:$C$999,"="&amp;INS_EFF!$B197),"")</f>
        <v>0.34999999999999998</v>
      </c>
    </row>
    <row r="198" spans="2:85" ht="15">
      <c r="B198" s="24" t="s">
        <v>116</v>
      </c>
      <c r="C198" s="24"/>
      <c r="E198" s="18" t="s">
        <v>29</v>
      </c>
      <c r="F198" s="71"/>
      <c r="G198" t="s">
        <v>116</v>
      </c>
      <c r="I198" t="str">
        <f t="shared" si="6"/>
        <v>*0.38</v>
      </c>
      <c r="J198" t="str">
        <f t="shared" si="3"/>
        <v>*0.38</v>
      </c>
      <c r="K198" t="str">
        <f t="shared" si="3"/>
        <v>*0.38</v>
      </c>
      <c r="L198" t="str">
        <f t="shared" si="3"/>
        <v>*0.38</v>
      </c>
      <c r="M198" t="str">
        <f t="shared" si="3"/>
        <v>*0.38</v>
      </c>
      <c r="N198" t="str">
        <f t="shared" si="3"/>
        <v>*0.38</v>
      </c>
      <c r="O198" t="str">
        <f t="shared" si="3"/>
        <v>*0.39</v>
      </c>
      <c r="P198" t="str">
        <f t="shared" si="3"/>
        <v>*0.38</v>
      </c>
      <c r="Q198" t="str">
        <f t="shared" si="3"/>
        <v>*0.38</v>
      </c>
      <c r="R198" t="str">
        <f t="shared" si="3"/>
        <v>*0.38</v>
      </c>
      <c r="S198" t="str">
        <f t="shared" si="3"/>
        <v>*0.38</v>
      </c>
      <c r="T198" t="str">
        <f t="shared" si="3"/>
        <v>*0.38</v>
      </c>
      <c r="U198" t="str">
        <f t="shared" si="3"/>
        <v>*0.38</v>
      </c>
      <c r="V198" t="str">
        <f t="shared" si="3"/>
        <v>*0.38</v>
      </c>
      <c r="W198" s="20" t="str">
        <f t="shared" si="3"/>
        <v>*0.38</v>
      </c>
      <c r="X198" t="str">
        <f t="shared" si="3"/>
        <v>*0.38</v>
      </c>
      <c r="Y198" t="str">
        <f t="shared" si="3"/>
        <v>*0.38</v>
      </c>
      <c r="Z198" t="str">
        <f t="shared" si="4"/>
        <v>*0.38</v>
      </c>
      <c r="AA198" t="str">
        <f t="shared" si="4"/>
        <v>*0.38</v>
      </c>
      <c r="AB198" t="str">
        <f t="shared" si="4"/>
        <v>*0.38</v>
      </c>
      <c r="AC198" t="str">
        <f t="shared" si="4"/>
        <v>*0.38</v>
      </c>
      <c r="AD198" t="str">
        <f t="shared" si="4"/>
        <v>*0.38</v>
      </c>
      <c r="AE198" t="str">
        <f t="shared" si="4"/>
        <v>*0.38</v>
      </c>
      <c r="AF198" t="str">
        <f t="shared" si="4"/>
        <v>*0.38</v>
      </c>
      <c r="AG198" t="str">
        <f t="shared" si="4"/>
        <v>*0.38</v>
      </c>
      <c r="AH198" t="str">
        <f t="shared" si="4"/>
        <v>*0.38</v>
      </c>
      <c r="AI198" t="str">
        <f t="shared" si="4"/>
        <v>*0.38</v>
      </c>
      <c r="AJ198" t="str">
        <f t="shared" si="4"/>
        <v>*0.38</v>
      </c>
      <c r="AK198" t="str">
        <f t="shared" si="4"/>
        <v>*0.38</v>
      </c>
      <c r="AL198" t="str">
        <f t="shared" si="4"/>
        <v>*0.38</v>
      </c>
      <c r="AM198" t="str">
        <f t="shared" si="4"/>
        <v>*0.38</v>
      </c>
      <c r="AN198" t="str">
        <f t="shared" si="4"/>
        <v>*0.38</v>
      </c>
      <c r="AO198" t="str">
        <f t="shared" si="4"/>
        <v>*0.38</v>
      </c>
      <c r="AP198" t="str">
        <f t="shared" si="5"/>
        <v>*0.38</v>
      </c>
      <c r="AQ198" t="str">
        <f t="shared" si="5"/>
        <v>*0.37</v>
      </c>
      <c r="AR198" t="str">
        <f t="shared" si="5"/>
        <v>*0.38</v>
      </c>
      <c r="AS198" t="str">
        <f t="shared" si="5"/>
        <v>*0.38</v>
      </c>
      <c r="AT198" t="str">
        <f t="shared" si="5"/>
        <v>*0.38</v>
      </c>
      <c r="AV198" s="95">
        <f>AVERAGE(AW198:CG198)</f>
        <v>0.37999999999999995</v>
      </c>
      <c r="AW198" s="95">
        <f>IFERROR(AVERAGEIFS(RdTRABYVals!L$2:L$999,RdTRABYVals!$B$2:$B$999,"="&amp;$E198,RdTRABYVals!$C$2:$C$999,"="&amp;INS_EFF!$B198),"")</f>
        <v>0.38</v>
      </c>
      <c r="AX198" s="95">
        <f>IFERROR(AVERAGEIFS(RdTRABYVals!M$2:M$999,RdTRABYVals!$B$2:$B$999,"="&amp;$E198,RdTRABYVals!$C$2:$C$999,"="&amp;INS_EFF!$B198),"")</f>
        <v>0.38</v>
      </c>
      <c r="AY198" s="95">
        <f>IFERROR(AVERAGEIFS(RdTRABYVals!N$2:N$999,RdTRABYVals!$B$2:$B$999,"="&amp;$E198,RdTRABYVals!$C$2:$C$999,"="&amp;INS_EFF!$B198),"")</f>
        <v>0.38</v>
      </c>
      <c r="AZ198" s="95">
        <f>IFERROR(AVERAGEIFS(RdTRABYVals!O$2:O$999,RdTRABYVals!$B$2:$B$999,"="&amp;$E198,RdTRABYVals!$C$2:$C$999,"="&amp;INS_EFF!$B198),"")</f>
        <v>0.38</v>
      </c>
      <c r="BA198" s="95">
        <f>IFERROR(AVERAGEIFS(RdTRABYVals!P$2:P$999,RdTRABYVals!$B$2:$B$999,"="&amp;$E198,RdTRABYVals!$C$2:$C$999,"="&amp;INS_EFF!$B198),"")</f>
        <v>0.38</v>
      </c>
      <c r="BB198" s="95">
        <f>IFERROR(AVERAGEIFS(RdTRABYVals!Q$2:Q$999,RdTRABYVals!$B$2:$B$999,"="&amp;$E198,RdTRABYVals!$C$2:$C$999,"="&amp;INS_EFF!$B198),"")</f>
        <v>0.39000000000000001</v>
      </c>
      <c r="BC198" s="95">
        <f>IFERROR(AVERAGEIFS(RdTRABYVals!R$2:R$999,RdTRABYVals!$B$2:$B$999,"="&amp;$E198,RdTRABYVals!$C$2:$C$999,"="&amp;INS_EFF!$B198),"")</f>
        <v>0.38</v>
      </c>
      <c r="BD198" s="95">
        <f>IFERROR(AVERAGEIFS(RdTRABYVals!S$2:S$999,RdTRABYVals!$B$2:$B$999,"="&amp;$E198,RdTRABYVals!$C$2:$C$999,"="&amp;INS_EFF!$B198),"")</f>
        <v>0.38</v>
      </c>
      <c r="BE198" s="95">
        <f>IFERROR(AVERAGEIFS(RdTRABYVals!T$2:T$999,RdTRABYVals!$B$2:$B$999,"="&amp;$E198,RdTRABYVals!$C$2:$C$999,"="&amp;INS_EFF!$B198),"")</f>
        <v>0.38</v>
      </c>
      <c r="BF198" s="95">
        <f>IFERROR(AVERAGEIFS(RdTRABYVals!U$2:U$999,RdTRABYVals!$B$2:$B$999,"="&amp;$E198,RdTRABYVals!$C$2:$C$999,"="&amp;INS_EFF!$B198),"")</f>
        <v>0.38</v>
      </c>
      <c r="BG198" s="95">
        <f>IFERROR(AVERAGEIFS(RdTRABYVals!V$2:V$999,RdTRABYVals!$B$2:$B$999,"="&amp;$E198,RdTRABYVals!$C$2:$C$999,"="&amp;INS_EFF!$B198),"")</f>
        <v>0.38</v>
      </c>
      <c r="BH198" s="95">
        <f>IFERROR(AVERAGEIFS(RdTRABYVals!W$2:W$999,RdTRABYVals!$B$2:$B$999,"="&amp;$E198,RdTRABYVals!$C$2:$C$999,"="&amp;INS_EFF!$B198),"")</f>
        <v>0.38</v>
      </c>
      <c r="BI198" s="95">
        <f>IFERROR(AVERAGEIFS(RdTRABYVals!X$2:X$999,RdTRABYVals!$B$2:$B$999,"="&amp;$E198,RdTRABYVals!$C$2:$C$999,"="&amp;INS_EFF!$B198),"")</f>
        <v>0.38</v>
      </c>
      <c r="BJ198" s="95">
        <f>IFERROR(AVERAGEIFS(RdTRABYVals!Y$2:Y$999,RdTRABYVals!$B$2:$B$999,"="&amp;$E198,RdTRABYVals!$C$2:$C$999,"="&amp;INS_EFF!$B198),"")</f>
        <v>0.38</v>
      </c>
      <c r="BK198" s="95">
        <f>IFERROR(AVERAGEIFS(RdTRABYVals!Z$2:Z$999,RdTRABYVals!$B$2:$B$999,"="&amp;$E198,RdTRABYVals!$C$2:$C$999,"="&amp;INS_EFF!$B198),"")</f>
        <v>0.38</v>
      </c>
      <c r="BL198" s="95">
        <f>IFERROR(AVERAGEIFS(RdTRABYVals!AA$2:AA$999,RdTRABYVals!$B$2:$B$999,"="&amp;$E198,RdTRABYVals!$C$2:$C$999,"="&amp;INS_EFF!$B198),"")</f>
        <v>0.38</v>
      </c>
      <c r="BM198" s="95">
        <f>IFERROR(AVERAGEIFS(RdTRABYVals!AB$2:AB$999,RdTRABYVals!$B$2:$B$999,"="&amp;$E198,RdTRABYVals!$C$2:$C$999,"="&amp;INS_EFF!$B198),"")</f>
        <v>0.38</v>
      </c>
      <c r="BN198" s="95">
        <f>IFERROR(AVERAGEIFS(RdTRABYVals!AC$2:AC$999,RdTRABYVals!$B$2:$B$999,"="&amp;$E198,RdTRABYVals!$C$2:$C$999,"="&amp;INS_EFF!$B198),"")</f>
        <v>0.38</v>
      </c>
      <c r="BO198" s="95">
        <f>IFERROR(AVERAGEIFS(RdTRABYVals!AD$2:AD$999,RdTRABYVals!$B$2:$B$999,"="&amp;$E198,RdTRABYVals!$C$2:$C$999,"="&amp;INS_EFF!$B198),"")</f>
        <v>0.38</v>
      </c>
      <c r="BP198" s="95">
        <f>IFERROR(AVERAGEIFS(RdTRABYVals!AE$2:AE$999,RdTRABYVals!$B$2:$B$999,"="&amp;$E198,RdTRABYVals!$C$2:$C$999,"="&amp;INS_EFF!$B198),"")</f>
        <v>0.38</v>
      </c>
      <c r="BQ198" s="95">
        <f>IFERROR(AVERAGEIFS(RdTRABYVals!AF$2:AF$999,RdTRABYVals!$B$2:$B$999,"="&amp;$E198,RdTRABYVals!$C$2:$C$999,"="&amp;INS_EFF!$B198),"")</f>
        <v>0.38</v>
      </c>
      <c r="BR198" s="95">
        <f>IFERROR(AVERAGEIFS(RdTRABYVals!AG$2:AG$999,RdTRABYVals!$B$2:$B$999,"="&amp;$E198,RdTRABYVals!$C$2:$C$999,"="&amp;INS_EFF!$B198),"")</f>
        <v>0.38</v>
      </c>
      <c r="BS198" s="95">
        <f>IFERROR(AVERAGEIFS(RdTRABYVals!AH$2:AH$999,RdTRABYVals!$B$2:$B$999,"="&amp;$E198,RdTRABYVals!$C$2:$C$999,"="&amp;INS_EFF!$B198),"")</f>
        <v>0.38</v>
      </c>
      <c r="BT198" s="95">
        <f>IFERROR(AVERAGEIFS(RdTRABYVals!AI$2:AI$999,RdTRABYVals!$B$2:$B$999,"="&amp;$E198,RdTRABYVals!$C$2:$C$999,"="&amp;INS_EFF!$B198),"")</f>
        <v>0.38</v>
      </c>
      <c r="BU198" s="95">
        <f>IFERROR(AVERAGEIFS(RdTRABYVals!AJ$2:AJ$999,RdTRABYVals!$B$2:$B$999,"="&amp;$E198,RdTRABYVals!$C$2:$C$999,"="&amp;INS_EFF!$B198),"")</f>
        <v>0.38</v>
      </c>
      <c r="BV198" s="95">
        <f>IFERROR(AVERAGEIFS(RdTRABYVals!AK$2:AK$999,RdTRABYVals!$B$2:$B$999,"="&amp;$E198,RdTRABYVals!$C$2:$C$999,"="&amp;INS_EFF!$B198),"")</f>
        <v>0.38</v>
      </c>
      <c r="BW198" s="95">
        <f>IFERROR(AVERAGEIFS(RdTRABYVals!AL$2:AL$999,RdTRABYVals!$B$2:$B$999,"="&amp;$E198,RdTRABYVals!$C$2:$C$999,"="&amp;INS_EFF!$B198),"")</f>
        <v>0.38</v>
      </c>
      <c r="BX198" s="95">
        <f>IFERROR(AVERAGEIFS(RdTRABYVals!AM$2:AM$999,RdTRABYVals!$B$2:$B$999,"="&amp;$E198,RdTRABYVals!$C$2:$C$999,"="&amp;INS_EFF!$B198),"")</f>
        <v>0.38</v>
      </c>
      <c r="BY198" s="95">
        <f>IFERROR(AVERAGEIFS(RdTRABYVals!AN$2:AN$999,RdTRABYVals!$B$2:$B$999,"="&amp;$E198,RdTRABYVals!$C$2:$C$999,"="&amp;INS_EFF!$B198),"")</f>
        <v>0.38</v>
      </c>
      <c r="BZ198" s="95">
        <f>IFERROR(AVERAGEIFS(RdTRABYVals!AO$2:AO$999,RdTRABYVals!$B$2:$B$999,"="&amp;$E198,RdTRABYVals!$C$2:$C$999,"="&amp;INS_EFF!$B198),"")</f>
        <v>0.38</v>
      </c>
      <c r="CA198" s="95">
        <f>IFERROR(AVERAGEIFS(RdTRABYVals!AP$2:AP$999,RdTRABYVals!$B$2:$B$999,"="&amp;$E198,RdTRABYVals!$C$2:$C$999,"="&amp;INS_EFF!$B198),"")</f>
        <v>0.38</v>
      </c>
      <c r="CB198" s="95">
        <f>IFERROR(AVERAGEIFS(RdTRABYVals!AQ$2:AQ$999,RdTRABYVals!$B$2:$B$999,"="&amp;$E198,RdTRABYVals!$C$2:$C$999,"="&amp;INS_EFF!$B198),"")</f>
        <v>0.38</v>
      </c>
      <c r="CC198" s="95">
        <f>IFERROR(AVERAGEIFS(RdTRABYVals!AR$2:AR$999,RdTRABYVals!$B$2:$B$999,"="&amp;$E198,RdTRABYVals!$C$2:$C$999,"="&amp;INS_EFF!$B198),"")</f>
        <v>0.38</v>
      </c>
      <c r="CD198" s="95">
        <f>IFERROR(AVERAGEIFS(RdTRABYVals!AS$2:AS$999,RdTRABYVals!$B$2:$B$999,"="&amp;$E198,RdTRABYVals!$C$2:$C$999,"="&amp;INS_EFF!$B198),"")</f>
        <v>0.37</v>
      </c>
      <c r="CE198" s="95">
        <f>IFERROR(AVERAGEIFS(RdTRABYVals!AT$2:AT$999,RdTRABYVals!$B$2:$B$999,"="&amp;$E198,RdTRABYVals!$C$2:$C$999,"="&amp;INS_EFF!$B198),"")</f>
        <v>0.38</v>
      </c>
      <c r="CF198" s="95">
        <f>IFERROR(AVERAGEIFS(RdTRABYVals!AU$2:AU$999,RdTRABYVals!$B$2:$B$999,"="&amp;$E198,RdTRABYVals!$C$2:$C$999,"="&amp;INS_EFF!$B198),"")</f>
        <v>0.38</v>
      </c>
      <c r="CG198" s="95">
        <f>IFERROR(AVERAGEIFS(RdTRABYVals!AV$2:AV$999,RdTRABYVals!$B$2:$B$999,"="&amp;$E198,RdTRABYVals!$C$2:$C$999,"="&amp;INS_EFF!$B198),"")</f>
        <v>0.38</v>
      </c>
    </row>
    <row r="199" spans="2:85" ht="15">
      <c r="B199" s="24" t="s">
        <v>117</v>
      </c>
      <c r="C199" s="24"/>
      <c r="E199" s="18" t="s">
        <v>29</v>
      </c>
      <c r="F199" s="71"/>
      <c r="G199" t="s">
        <v>117</v>
      </c>
      <c r="I199" t="str">
        <f t="shared" si="6"/>
        <v>*0.29</v>
      </c>
      <c r="J199" t="str">
        <f t="shared" si="3"/>
        <v>*0.29</v>
      </c>
      <c r="K199" t="str">
        <f t="shared" si="3"/>
        <v>*0.29</v>
      </c>
      <c r="L199" t="str">
        <f t="shared" si="3"/>
        <v>*0.29</v>
      </c>
      <c r="M199" t="str">
        <f t="shared" si="3"/>
        <v>*0.29</v>
      </c>
      <c r="N199" t="str">
        <f t="shared" si="3"/>
        <v>*0.29</v>
      </c>
      <c r="O199" t="str">
        <f t="shared" si="3"/>
        <v>*0.31</v>
      </c>
      <c r="P199" t="str">
        <f t="shared" si="3"/>
        <v>*0.29</v>
      </c>
      <c r="Q199" t="str">
        <f t="shared" si="3"/>
        <v>*0.29</v>
      </c>
      <c r="R199" t="str">
        <f t="shared" si="3"/>
        <v>*0.29</v>
      </c>
      <c r="S199" t="str">
        <f t="shared" si="3"/>
        <v>*0.29</v>
      </c>
      <c r="T199" t="str">
        <f t="shared" si="3"/>
        <v>*0.29</v>
      </c>
      <c r="U199" t="str">
        <f t="shared" si="3"/>
        <v>*0.29</v>
      </c>
      <c r="V199" t="str">
        <f t="shared" si="3"/>
        <v>*0.29</v>
      </c>
      <c r="W199" s="20" t="str">
        <f t="shared" si="3"/>
        <v>*0.29</v>
      </c>
      <c r="X199" t="str">
        <f t="shared" si="3"/>
        <v>*0.29</v>
      </c>
      <c r="Y199" t="str">
        <f t="shared" si="3"/>
        <v>*0.29</v>
      </c>
      <c r="Z199" t="str">
        <f t="shared" si="4"/>
        <v>*0.29</v>
      </c>
      <c r="AA199" t="str">
        <f t="shared" si="4"/>
        <v>*0.29</v>
      </c>
      <c r="AB199" t="str">
        <f t="shared" si="4"/>
        <v>*0.29</v>
      </c>
      <c r="AC199" t="str">
        <f t="shared" si="4"/>
        <v>*0.29</v>
      </c>
      <c r="AD199" t="str">
        <f t="shared" si="4"/>
        <v>*0.29</v>
      </c>
      <c r="AE199" t="str">
        <f t="shared" si="4"/>
        <v>*0.29</v>
      </c>
      <c r="AF199" t="str">
        <f t="shared" si="4"/>
        <v>*0.29</v>
      </c>
      <c r="AG199" t="str">
        <f t="shared" si="4"/>
        <v>*0.29</v>
      </c>
      <c r="AH199" t="str">
        <f t="shared" si="4"/>
        <v>*0.29</v>
      </c>
      <c r="AI199" t="str">
        <f t="shared" si="4"/>
        <v>*0.29</v>
      </c>
      <c r="AJ199" t="str">
        <f t="shared" si="4"/>
        <v>*0.29</v>
      </c>
      <c r="AK199" t="str">
        <f t="shared" si="4"/>
        <v>*0.29</v>
      </c>
      <c r="AL199" t="str">
        <f t="shared" si="4"/>
        <v>*0.29</v>
      </c>
      <c r="AM199" t="str">
        <f t="shared" si="4"/>
        <v>*0.29</v>
      </c>
      <c r="AN199" t="str">
        <f t="shared" si="4"/>
        <v>*0.29</v>
      </c>
      <c r="AO199" t="str">
        <f t="shared" si="4"/>
        <v>*0.29</v>
      </c>
      <c r="AP199" t="str">
        <f t="shared" si="5"/>
        <v>*0.29</v>
      </c>
      <c r="AQ199" t="str">
        <f t="shared" si="5"/>
        <v>*0.27</v>
      </c>
      <c r="AR199" t="str">
        <f t="shared" si="5"/>
        <v>*0.29</v>
      </c>
      <c r="AS199" t="str">
        <f t="shared" si="5"/>
        <v>*0.29</v>
      </c>
      <c r="AT199" t="str">
        <f t="shared" si="5"/>
        <v>*0.29</v>
      </c>
      <c r="AV199" s="95">
        <f>AVERAGE(AW199:CG199)</f>
        <v>0.28999999999999998</v>
      </c>
      <c r="AW199" s="95">
        <f>IFERROR(AVERAGEIFS(RdTRABYVals!L$2:L$999,RdTRABYVals!$B$2:$B$999,"="&amp;$E199,RdTRABYVals!$C$2:$C$999,"="&amp;INS_EFF!$B199),"")</f>
        <v>0.28999999999999998</v>
      </c>
      <c r="AX199" s="95">
        <f>IFERROR(AVERAGEIFS(RdTRABYVals!M$2:M$999,RdTRABYVals!$B$2:$B$999,"="&amp;$E199,RdTRABYVals!$C$2:$C$999,"="&amp;INS_EFF!$B199),"")</f>
        <v>0.28999999999999998</v>
      </c>
      <c r="AY199" s="95">
        <f>IFERROR(AVERAGEIFS(RdTRABYVals!N$2:N$999,RdTRABYVals!$B$2:$B$999,"="&amp;$E199,RdTRABYVals!$C$2:$C$999,"="&amp;INS_EFF!$B199),"")</f>
        <v>0.28999999999999998</v>
      </c>
      <c r="AZ199" s="95">
        <f>IFERROR(AVERAGEIFS(RdTRABYVals!O$2:O$999,RdTRABYVals!$B$2:$B$999,"="&amp;$E199,RdTRABYVals!$C$2:$C$999,"="&amp;INS_EFF!$B199),"")</f>
        <v>0.28999999999999998</v>
      </c>
      <c r="BA199" s="95">
        <f>IFERROR(AVERAGEIFS(RdTRABYVals!P$2:P$999,RdTRABYVals!$B$2:$B$999,"="&amp;$E199,RdTRABYVals!$C$2:$C$999,"="&amp;INS_EFF!$B199),"")</f>
        <v>0.28999999999999998</v>
      </c>
      <c r="BB199" s="95">
        <f>IFERROR(AVERAGEIFS(RdTRABYVals!Q$2:Q$999,RdTRABYVals!$B$2:$B$999,"="&amp;$E199,RdTRABYVals!$C$2:$C$999,"="&amp;INS_EFF!$B199),"")</f>
        <v>0.31</v>
      </c>
      <c r="BC199" s="95">
        <f>IFERROR(AVERAGEIFS(RdTRABYVals!R$2:R$999,RdTRABYVals!$B$2:$B$999,"="&amp;$E199,RdTRABYVals!$C$2:$C$999,"="&amp;INS_EFF!$B199),"")</f>
        <v>0.28999999999999998</v>
      </c>
      <c r="BD199" s="95">
        <f>IFERROR(AVERAGEIFS(RdTRABYVals!S$2:S$999,RdTRABYVals!$B$2:$B$999,"="&amp;$E199,RdTRABYVals!$C$2:$C$999,"="&amp;INS_EFF!$B199),"")</f>
        <v>0.28999999999999998</v>
      </c>
      <c r="BE199" s="95">
        <f>IFERROR(AVERAGEIFS(RdTRABYVals!T$2:T$999,RdTRABYVals!$B$2:$B$999,"="&amp;$E199,RdTRABYVals!$C$2:$C$999,"="&amp;INS_EFF!$B199),"")</f>
        <v>0.28999999999999998</v>
      </c>
      <c r="BF199" s="95">
        <f>IFERROR(AVERAGEIFS(RdTRABYVals!U$2:U$999,RdTRABYVals!$B$2:$B$999,"="&amp;$E199,RdTRABYVals!$C$2:$C$999,"="&amp;INS_EFF!$B199),"")</f>
        <v>0.28999999999999998</v>
      </c>
      <c r="BG199" s="95">
        <f>IFERROR(AVERAGEIFS(RdTRABYVals!V$2:V$999,RdTRABYVals!$B$2:$B$999,"="&amp;$E199,RdTRABYVals!$C$2:$C$999,"="&amp;INS_EFF!$B199),"")</f>
        <v>0.28999999999999998</v>
      </c>
      <c r="BH199" s="95">
        <f>IFERROR(AVERAGEIFS(RdTRABYVals!W$2:W$999,RdTRABYVals!$B$2:$B$999,"="&amp;$E199,RdTRABYVals!$C$2:$C$999,"="&amp;INS_EFF!$B199),"")</f>
        <v>0.28999999999999998</v>
      </c>
      <c r="BI199" s="95">
        <f>IFERROR(AVERAGEIFS(RdTRABYVals!X$2:X$999,RdTRABYVals!$B$2:$B$999,"="&amp;$E199,RdTRABYVals!$C$2:$C$999,"="&amp;INS_EFF!$B199),"")</f>
        <v>0.28999999999999998</v>
      </c>
      <c r="BJ199" s="95">
        <f>IFERROR(AVERAGEIFS(RdTRABYVals!Y$2:Y$999,RdTRABYVals!$B$2:$B$999,"="&amp;$E199,RdTRABYVals!$C$2:$C$999,"="&amp;INS_EFF!$B199),"")</f>
        <v>0.28999999999999998</v>
      </c>
      <c r="BK199" s="95">
        <f>IFERROR(AVERAGEIFS(RdTRABYVals!Z$2:Z$999,RdTRABYVals!$B$2:$B$999,"="&amp;$E199,RdTRABYVals!$C$2:$C$999,"="&amp;INS_EFF!$B199),"")</f>
        <v>0.28999999999999998</v>
      </c>
      <c r="BL199" s="95">
        <f>IFERROR(AVERAGEIFS(RdTRABYVals!AA$2:AA$999,RdTRABYVals!$B$2:$B$999,"="&amp;$E199,RdTRABYVals!$C$2:$C$999,"="&amp;INS_EFF!$B199),"")</f>
        <v>0.28999999999999998</v>
      </c>
      <c r="BM199" s="95">
        <f>IFERROR(AVERAGEIFS(RdTRABYVals!AB$2:AB$999,RdTRABYVals!$B$2:$B$999,"="&amp;$E199,RdTRABYVals!$C$2:$C$999,"="&amp;INS_EFF!$B199),"")</f>
        <v>0.28999999999999998</v>
      </c>
      <c r="BN199" s="95">
        <f>IFERROR(AVERAGEIFS(RdTRABYVals!AC$2:AC$999,RdTRABYVals!$B$2:$B$999,"="&amp;$E199,RdTRABYVals!$C$2:$C$999,"="&amp;INS_EFF!$B199),"")</f>
        <v>0.28999999999999998</v>
      </c>
      <c r="BO199" s="95">
        <f>IFERROR(AVERAGEIFS(RdTRABYVals!AD$2:AD$999,RdTRABYVals!$B$2:$B$999,"="&amp;$E199,RdTRABYVals!$C$2:$C$999,"="&amp;INS_EFF!$B199),"")</f>
        <v>0.28999999999999998</v>
      </c>
      <c r="BP199" s="95">
        <f>IFERROR(AVERAGEIFS(RdTRABYVals!AE$2:AE$999,RdTRABYVals!$B$2:$B$999,"="&amp;$E199,RdTRABYVals!$C$2:$C$999,"="&amp;INS_EFF!$B199),"")</f>
        <v>0.28999999999999998</v>
      </c>
      <c r="BQ199" s="95">
        <f>IFERROR(AVERAGEIFS(RdTRABYVals!AF$2:AF$999,RdTRABYVals!$B$2:$B$999,"="&amp;$E199,RdTRABYVals!$C$2:$C$999,"="&amp;INS_EFF!$B199),"")</f>
        <v>0.28999999999999998</v>
      </c>
      <c r="BR199" s="95">
        <f>IFERROR(AVERAGEIFS(RdTRABYVals!AG$2:AG$999,RdTRABYVals!$B$2:$B$999,"="&amp;$E199,RdTRABYVals!$C$2:$C$999,"="&amp;INS_EFF!$B199),"")</f>
        <v>0.28999999999999998</v>
      </c>
      <c r="BS199" s="95">
        <f>IFERROR(AVERAGEIFS(RdTRABYVals!AH$2:AH$999,RdTRABYVals!$B$2:$B$999,"="&amp;$E199,RdTRABYVals!$C$2:$C$999,"="&amp;INS_EFF!$B199),"")</f>
        <v>0.28999999999999998</v>
      </c>
      <c r="BT199" s="95">
        <f>IFERROR(AVERAGEIFS(RdTRABYVals!AI$2:AI$999,RdTRABYVals!$B$2:$B$999,"="&amp;$E199,RdTRABYVals!$C$2:$C$999,"="&amp;INS_EFF!$B199),"")</f>
        <v>0.28999999999999998</v>
      </c>
      <c r="BU199" s="95">
        <f>IFERROR(AVERAGEIFS(RdTRABYVals!AJ$2:AJ$999,RdTRABYVals!$B$2:$B$999,"="&amp;$E199,RdTRABYVals!$C$2:$C$999,"="&amp;INS_EFF!$B199),"")</f>
        <v>0.28999999999999998</v>
      </c>
      <c r="BV199" s="95">
        <f>IFERROR(AVERAGEIFS(RdTRABYVals!AK$2:AK$999,RdTRABYVals!$B$2:$B$999,"="&amp;$E199,RdTRABYVals!$C$2:$C$999,"="&amp;INS_EFF!$B199),"")</f>
        <v>0.28999999999999998</v>
      </c>
      <c r="BW199" s="95">
        <f>IFERROR(AVERAGEIFS(RdTRABYVals!AL$2:AL$999,RdTRABYVals!$B$2:$B$999,"="&amp;$E199,RdTRABYVals!$C$2:$C$999,"="&amp;INS_EFF!$B199),"")</f>
        <v>0.28999999999999998</v>
      </c>
      <c r="BX199" s="95">
        <f>IFERROR(AVERAGEIFS(RdTRABYVals!AM$2:AM$999,RdTRABYVals!$B$2:$B$999,"="&amp;$E199,RdTRABYVals!$C$2:$C$999,"="&amp;INS_EFF!$B199),"")</f>
        <v>0.28999999999999998</v>
      </c>
      <c r="BY199" s="95">
        <f>IFERROR(AVERAGEIFS(RdTRABYVals!AN$2:AN$999,RdTRABYVals!$B$2:$B$999,"="&amp;$E199,RdTRABYVals!$C$2:$C$999,"="&amp;INS_EFF!$B199),"")</f>
        <v>0.28999999999999998</v>
      </c>
      <c r="BZ199" s="95">
        <f>IFERROR(AVERAGEIFS(RdTRABYVals!AO$2:AO$999,RdTRABYVals!$B$2:$B$999,"="&amp;$E199,RdTRABYVals!$C$2:$C$999,"="&amp;INS_EFF!$B199),"")</f>
        <v>0.28999999999999998</v>
      </c>
      <c r="CA199" s="95">
        <f>IFERROR(AVERAGEIFS(RdTRABYVals!AP$2:AP$999,RdTRABYVals!$B$2:$B$999,"="&amp;$E199,RdTRABYVals!$C$2:$C$999,"="&amp;INS_EFF!$B199),"")</f>
        <v>0.28999999999999998</v>
      </c>
      <c r="CB199" s="95">
        <f>IFERROR(AVERAGEIFS(RdTRABYVals!AQ$2:AQ$999,RdTRABYVals!$B$2:$B$999,"="&amp;$E199,RdTRABYVals!$C$2:$C$999,"="&amp;INS_EFF!$B199),"")</f>
        <v>0.28999999999999998</v>
      </c>
      <c r="CC199" s="95">
        <f>IFERROR(AVERAGEIFS(RdTRABYVals!AR$2:AR$999,RdTRABYVals!$B$2:$B$999,"="&amp;$E199,RdTRABYVals!$C$2:$C$999,"="&amp;INS_EFF!$B199),"")</f>
        <v>0.28999999999999998</v>
      </c>
      <c r="CD199" s="95">
        <f>IFERROR(AVERAGEIFS(RdTRABYVals!AS$2:AS$999,RdTRABYVals!$B$2:$B$999,"="&amp;$E199,RdTRABYVals!$C$2:$C$999,"="&amp;INS_EFF!$B199),"")</f>
        <v>0.27000000000000002</v>
      </c>
      <c r="CE199" s="95">
        <f>IFERROR(AVERAGEIFS(RdTRABYVals!AT$2:AT$999,RdTRABYVals!$B$2:$B$999,"="&amp;$E199,RdTRABYVals!$C$2:$C$999,"="&amp;INS_EFF!$B199),"")</f>
        <v>0.28999999999999998</v>
      </c>
      <c r="CF199" s="95">
        <f>IFERROR(AVERAGEIFS(RdTRABYVals!AU$2:AU$999,RdTRABYVals!$B$2:$B$999,"="&amp;$E199,RdTRABYVals!$C$2:$C$999,"="&amp;INS_EFF!$B199),"")</f>
        <v>0.28999999999999998</v>
      </c>
      <c r="CG199" s="95">
        <f>IFERROR(AVERAGEIFS(RdTRABYVals!AV$2:AV$999,RdTRABYVals!$B$2:$B$999,"="&amp;$E199,RdTRABYVals!$C$2:$C$999,"="&amp;INS_EFF!$B199),"")</f>
        <v>0.28999999999999998</v>
      </c>
    </row>
    <row r="200" spans="2:85" ht="15">
      <c r="B200" s="24" t="s">
        <v>118</v>
      </c>
      <c r="C200" s="24"/>
      <c r="E200" s="18" t="s">
        <v>29</v>
      </c>
      <c r="F200" s="71"/>
      <c r="G200" t="s">
        <v>118</v>
      </c>
      <c r="I200" t="str">
        <f t="shared" si="6"/>
        <v>*0.261891891891892</v>
      </c>
      <c r="J200" t="str">
        <f t="shared" si="3"/>
        <v>*0.23</v>
      </c>
      <c r="K200" t="str">
        <f t="shared" si="3"/>
        <v>*0.24</v>
      </c>
      <c r="L200" t="str">
        <f t="shared" si="3"/>
        <v>*0.28</v>
      </c>
      <c r="M200" t="str">
        <f t="shared" si="3"/>
        <v>*0.25</v>
      </c>
      <c r="N200" t="str">
        <f t="shared" si="3"/>
        <v>*0.22</v>
      </c>
      <c r="O200" t="str">
        <f t="shared" si="3"/>
        <v>*0.25</v>
      </c>
      <c r="P200" t="str">
        <f t="shared" si="3"/>
        <v>*0.24</v>
      </c>
      <c r="Q200" t="str">
        <f t="shared" si="3"/>
        <v>*0.27</v>
      </c>
      <c r="R200" t="str">
        <f t="shared" si="3"/>
        <v>*0.25</v>
      </c>
      <c r="S200" t="str">
        <f t="shared" si="3"/>
        <v>*0.29</v>
      </c>
      <c r="T200" t="str">
        <f t="shared" si="3"/>
        <v>*0.31</v>
      </c>
      <c r="U200" t="str">
        <f t="shared" si="3"/>
        <v>*0.23</v>
      </c>
      <c r="V200" t="str">
        <f t="shared" si="3"/>
        <v>*0.29</v>
      </c>
      <c r="W200" s="20" t="str">
        <f t="shared" si="3"/>
        <v>*0.26</v>
      </c>
      <c r="X200" t="str">
        <f t="shared" si="3"/>
        <v>*0.26</v>
      </c>
      <c r="Y200" t="str">
        <f t="shared" si="3"/>
        <v>*0.28</v>
      </c>
      <c r="Z200" t="str">
        <f t="shared" si="4"/>
        <v>*0.29</v>
      </c>
      <c r="AA200" t="str">
        <f t="shared" si="4"/>
        <v>*0.24</v>
      </c>
      <c r="AB200" t="str">
        <f t="shared" si="4"/>
        <v>*0.25</v>
      </c>
      <c r="AC200" t="str">
        <f t="shared" si="4"/>
        <v>*0.23</v>
      </c>
      <c r="AD200" t="str">
        <f t="shared" si="4"/>
        <v>*0.28</v>
      </c>
      <c r="AE200" t="str">
        <f t="shared" si="4"/>
        <v>*0.28</v>
      </c>
      <c r="AF200" t="str">
        <f t="shared" si="4"/>
        <v>*0.26</v>
      </c>
      <c r="AG200" t="str">
        <f t="shared" si="4"/>
        <v>*0.28</v>
      </c>
      <c r="AH200" t="str">
        <f t="shared" si="4"/>
        <v>*0.23</v>
      </c>
      <c r="AI200" t="str">
        <f t="shared" si="4"/>
        <v>*0.26</v>
      </c>
      <c r="AJ200" t="str">
        <f t="shared" si="4"/>
        <v>*0.28</v>
      </c>
      <c r="AK200" t="str">
        <f t="shared" si="4"/>
        <v>*0.25</v>
      </c>
      <c r="AL200" t="str">
        <f t="shared" si="4"/>
        <v>*0.27</v>
      </c>
      <c r="AM200" t="str">
        <f t="shared" si="4"/>
        <v>*0.28</v>
      </c>
      <c r="AN200" t="str">
        <f t="shared" si="4"/>
        <v>*0.27</v>
      </c>
      <c r="AO200" t="str">
        <f t="shared" si="4"/>
        <v>*0.21</v>
      </c>
      <c r="AP200" t="str">
        <f t="shared" si="5"/>
        <v>*0.28</v>
      </c>
      <c r="AQ200" t="str">
        <f t="shared" si="5"/>
        <v>*0.28</v>
      </c>
      <c r="AR200" t="str">
        <f t="shared" si="5"/>
        <v>*0.28</v>
      </c>
      <c r="AS200" t="str">
        <f t="shared" si="5"/>
        <v>*0.28</v>
      </c>
      <c r="AT200" t="str">
        <f t="shared" si="5"/>
        <v>*0.26</v>
      </c>
      <c r="AV200" s="95">
        <f t="shared" si="7"/>
        <v>0.26189189189189194</v>
      </c>
      <c r="AW200" s="95">
        <f>IFERROR(AVERAGEIFS(RdTRABYVals!L$2:L$999,RdTRABYVals!$B$2:$B$999,"="&amp;$E200,RdTRABYVals!$C$2:$C$999,"="&amp;INS_EFF!$B200),"")</f>
        <v>0.23000000000000001</v>
      </c>
      <c r="AX200" s="95">
        <f>IFERROR(AVERAGEIFS(RdTRABYVals!M$2:M$999,RdTRABYVals!$B$2:$B$999,"="&amp;$E200,RdTRABYVals!$C$2:$C$999,"="&amp;INS_EFF!$B200),"")</f>
        <v>0.23999999999999999</v>
      </c>
      <c r="AY200" s="95">
        <f>IFERROR(AVERAGEIFS(RdTRABYVals!N$2:N$999,RdTRABYVals!$B$2:$B$999,"="&amp;$E200,RdTRABYVals!$C$2:$C$999,"="&amp;INS_EFF!$B200),"")</f>
        <v>0.28000000000000003</v>
      </c>
      <c r="AZ200" s="95">
        <f>IFERROR(AVERAGEIFS(RdTRABYVals!O$2:O$999,RdTRABYVals!$B$2:$B$999,"="&amp;$E200,RdTRABYVals!$C$2:$C$999,"="&amp;INS_EFF!$B200),"")</f>
        <v>0.25</v>
      </c>
      <c r="BA200" s="95">
        <f>IFERROR(AVERAGEIFS(RdTRABYVals!P$2:P$999,RdTRABYVals!$B$2:$B$999,"="&amp;$E200,RdTRABYVals!$C$2:$C$999,"="&amp;INS_EFF!$B200),"")</f>
        <v>0.22</v>
      </c>
      <c r="BB200" s="95">
        <f>IFERROR(AVERAGEIFS(RdTRABYVals!Q$2:Q$999,RdTRABYVals!$B$2:$B$999,"="&amp;$E200,RdTRABYVals!$C$2:$C$999,"="&amp;INS_EFF!$B200),"")</f>
        <v>0.25</v>
      </c>
      <c r="BC200" s="95">
        <f>IFERROR(AVERAGEIFS(RdTRABYVals!R$2:R$999,RdTRABYVals!$B$2:$B$999,"="&amp;$E200,RdTRABYVals!$C$2:$C$999,"="&amp;INS_EFF!$B200),"")</f>
        <v>0.23999999999999999</v>
      </c>
      <c r="BD200" s="95">
        <f>IFERROR(AVERAGEIFS(RdTRABYVals!S$2:S$999,RdTRABYVals!$B$2:$B$999,"="&amp;$E200,RdTRABYVals!$C$2:$C$999,"="&amp;INS_EFF!$B200),"")</f>
        <v>0.27000000000000002</v>
      </c>
      <c r="BE200" s="95">
        <f>IFERROR(AVERAGEIFS(RdTRABYVals!T$2:T$999,RdTRABYVals!$B$2:$B$999,"="&amp;$E200,RdTRABYVals!$C$2:$C$999,"="&amp;INS_EFF!$B200),"")</f>
        <v>0.25</v>
      </c>
      <c r="BF200" s="95">
        <f>IFERROR(AVERAGEIFS(RdTRABYVals!U$2:U$999,RdTRABYVals!$B$2:$B$999,"="&amp;$E200,RdTRABYVals!$C$2:$C$999,"="&amp;INS_EFF!$B200),"")</f>
        <v>0.28999999999999998</v>
      </c>
      <c r="BG200" s="95">
        <f>IFERROR(AVERAGEIFS(RdTRABYVals!V$2:V$999,RdTRABYVals!$B$2:$B$999,"="&amp;$E200,RdTRABYVals!$C$2:$C$999,"="&amp;INS_EFF!$B200),"")</f>
        <v>0.31</v>
      </c>
      <c r="BH200" s="95">
        <f>IFERROR(AVERAGEIFS(RdTRABYVals!W$2:W$999,RdTRABYVals!$B$2:$B$999,"="&amp;$E200,RdTRABYVals!$C$2:$C$999,"="&amp;INS_EFF!$B200),"")</f>
        <v>0.23000000000000001</v>
      </c>
      <c r="BI200" s="95">
        <f>IFERROR(AVERAGEIFS(RdTRABYVals!X$2:X$999,RdTRABYVals!$B$2:$B$999,"="&amp;$E200,RdTRABYVals!$C$2:$C$999,"="&amp;INS_EFF!$B200),"")</f>
        <v>0.28999999999999998</v>
      </c>
      <c r="BJ200" s="95">
        <f>IFERROR(AVERAGEIFS(RdTRABYVals!Y$2:Y$999,RdTRABYVals!$B$2:$B$999,"="&amp;$E200,RdTRABYVals!$C$2:$C$999,"="&amp;INS_EFF!$B200),"")</f>
        <v>0.26000000000000001</v>
      </c>
      <c r="BK200" s="95">
        <f>IFERROR(AVERAGEIFS(RdTRABYVals!Z$2:Z$999,RdTRABYVals!$B$2:$B$999,"="&amp;$E200,RdTRABYVals!$C$2:$C$999,"="&amp;INS_EFF!$B200),"")</f>
        <v>0.26000000000000001</v>
      </c>
      <c r="BL200" s="95">
        <f>IFERROR(AVERAGEIFS(RdTRABYVals!AA$2:AA$999,RdTRABYVals!$B$2:$B$999,"="&amp;$E200,RdTRABYVals!$C$2:$C$999,"="&amp;INS_EFF!$B200),"")</f>
        <v>0.28000000000000003</v>
      </c>
      <c r="BM200" s="95">
        <f>IFERROR(AVERAGEIFS(RdTRABYVals!AB$2:AB$999,RdTRABYVals!$B$2:$B$999,"="&amp;$E200,RdTRABYVals!$C$2:$C$999,"="&amp;INS_EFF!$B200),"")</f>
        <v>0.28999999999999998</v>
      </c>
      <c r="BN200" s="95">
        <f>IFERROR(AVERAGEIFS(RdTRABYVals!AC$2:AC$999,RdTRABYVals!$B$2:$B$999,"="&amp;$E200,RdTRABYVals!$C$2:$C$999,"="&amp;INS_EFF!$B200),"")</f>
        <v>0.23999999999999999</v>
      </c>
      <c r="BO200" s="95">
        <f>IFERROR(AVERAGEIFS(RdTRABYVals!AD$2:AD$999,RdTRABYVals!$B$2:$B$999,"="&amp;$E200,RdTRABYVals!$C$2:$C$999,"="&amp;INS_EFF!$B200),"")</f>
        <v>0.25</v>
      </c>
      <c r="BP200" s="95">
        <f>IFERROR(AVERAGEIFS(RdTRABYVals!AE$2:AE$999,RdTRABYVals!$B$2:$B$999,"="&amp;$E200,RdTRABYVals!$C$2:$C$999,"="&amp;INS_EFF!$B200),"")</f>
        <v>0.23000000000000001</v>
      </c>
      <c r="BQ200" s="95">
        <f>IFERROR(AVERAGEIFS(RdTRABYVals!AF$2:AF$999,RdTRABYVals!$B$2:$B$999,"="&amp;$E200,RdTRABYVals!$C$2:$C$999,"="&amp;INS_EFF!$B200),"")</f>
        <v>0.28000000000000003</v>
      </c>
      <c r="BR200" s="95">
        <f>IFERROR(AVERAGEIFS(RdTRABYVals!AG$2:AG$999,RdTRABYVals!$B$2:$B$999,"="&amp;$E200,RdTRABYVals!$C$2:$C$999,"="&amp;INS_EFF!$B200),"")</f>
        <v>0.28000000000000003</v>
      </c>
      <c r="BS200" s="95">
        <f>IFERROR(AVERAGEIFS(RdTRABYVals!AH$2:AH$999,RdTRABYVals!$B$2:$B$999,"="&amp;$E200,RdTRABYVals!$C$2:$C$999,"="&amp;INS_EFF!$B200),"")</f>
        <v>0.26000000000000001</v>
      </c>
      <c r="BT200" s="95">
        <f>IFERROR(AVERAGEIFS(RdTRABYVals!AI$2:AI$999,RdTRABYVals!$B$2:$B$999,"="&amp;$E200,RdTRABYVals!$C$2:$C$999,"="&amp;INS_EFF!$B200),"")</f>
        <v>0.28000000000000003</v>
      </c>
      <c r="BU200" s="95">
        <f>IFERROR(AVERAGEIFS(RdTRABYVals!AJ$2:AJ$999,RdTRABYVals!$B$2:$B$999,"="&amp;$E200,RdTRABYVals!$C$2:$C$999,"="&amp;INS_EFF!$B200),"")</f>
        <v>0.23000000000000001</v>
      </c>
      <c r="BV200" s="95">
        <f>IFERROR(AVERAGEIFS(RdTRABYVals!AK$2:AK$999,RdTRABYVals!$B$2:$B$999,"="&amp;$E200,RdTRABYVals!$C$2:$C$999,"="&amp;INS_EFF!$B200),"")</f>
        <v>0.26000000000000001</v>
      </c>
      <c r="BW200" s="95">
        <f>IFERROR(AVERAGEIFS(RdTRABYVals!AL$2:AL$999,RdTRABYVals!$B$2:$B$999,"="&amp;$E200,RdTRABYVals!$C$2:$C$999,"="&amp;INS_EFF!$B200),"")</f>
        <v>0.28000000000000003</v>
      </c>
      <c r="BX200" s="95">
        <f>IFERROR(AVERAGEIFS(RdTRABYVals!AM$2:AM$999,RdTRABYVals!$B$2:$B$999,"="&amp;$E200,RdTRABYVals!$C$2:$C$999,"="&amp;INS_EFF!$B200),"")</f>
        <v>0.25</v>
      </c>
      <c r="BY200" s="95">
        <f>IFERROR(AVERAGEIFS(RdTRABYVals!AN$2:AN$999,RdTRABYVals!$B$2:$B$999,"="&amp;$E200,RdTRABYVals!$C$2:$C$999,"="&amp;INS_EFF!$B200),"")</f>
        <v>0.27000000000000002</v>
      </c>
      <c r="BZ200" s="95">
        <f>IFERROR(AVERAGEIFS(RdTRABYVals!AO$2:AO$999,RdTRABYVals!$B$2:$B$999,"="&amp;$E200,RdTRABYVals!$C$2:$C$999,"="&amp;INS_EFF!$B200),"")</f>
        <v>0.28000000000000003</v>
      </c>
      <c r="CA200" s="95">
        <f>IFERROR(AVERAGEIFS(RdTRABYVals!AP$2:AP$999,RdTRABYVals!$B$2:$B$999,"="&amp;$E200,RdTRABYVals!$C$2:$C$999,"="&amp;INS_EFF!$B200),"")</f>
        <v>0.27000000000000002</v>
      </c>
      <c r="CB200" s="95">
        <f>IFERROR(AVERAGEIFS(RdTRABYVals!AQ$2:AQ$999,RdTRABYVals!$B$2:$B$999,"="&amp;$E200,RdTRABYVals!$C$2:$C$999,"="&amp;INS_EFF!$B200),"")</f>
        <v>0.20999999999999999</v>
      </c>
      <c r="CC200" s="95">
        <f>IFERROR(AVERAGEIFS(RdTRABYVals!AR$2:AR$999,RdTRABYVals!$B$2:$B$999,"="&amp;$E200,RdTRABYVals!$C$2:$C$999,"="&amp;INS_EFF!$B200),"")</f>
        <v>0.28000000000000003</v>
      </c>
      <c r="CD200" s="95">
        <f>IFERROR(AVERAGEIFS(RdTRABYVals!AS$2:AS$999,RdTRABYVals!$B$2:$B$999,"="&amp;$E200,RdTRABYVals!$C$2:$C$999,"="&amp;INS_EFF!$B200),"")</f>
        <v>0.28000000000000003</v>
      </c>
      <c r="CE200" s="95">
        <f>IFERROR(AVERAGEIFS(RdTRABYVals!AT$2:AT$999,RdTRABYVals!$B$2:$B$999,"="&amp;$E200,RdTRABYVals!$C$2:$C$999,"="&amp;INS_EFF!$B200),"")</f>
        <v>0.28000000000000003</v>
      </c>
      <c r="CF200" s="95">
        <f>IFERROR(AVERAGEIFS(RdTRABYVals!AU$2:AU$999,RdTRABYVals!$B$2:$B$999,"="&amp;$E200,RdTRABYVals!$C$2:$C$999,"="&amp;INS_EFF!$B200),"")</f>
        <v>0.28000000000000003</v>
      </c>
      <c r="CG200" s="95">
        <f>IFERROR(AVERAGEIFS(RdTRABYVals!AV$2:AV$999,RdTRABYVals!$B$2:$B$999,"="&amp;$E200,RdTRABYVals!$C$2:$C$999,"="&amp;INS_EFF!$B200),"")</f>
        <v>0.26000000000000001</v>
      </c>
    </row>
    <row r="201" spans="2:85" ht="15">
      <c r="B201" s="24" t="s">
        <v>119</v>
      </c>
      <c r="C201" s="24"/>
      <c r="E201" s="18" t="s">
        <v>29</v>
      </c>
      <c r="F201" s="71"/>
      <c r="G201" t="s">
        <v>119</v>
      </c>
      <c r="I201" t="str">
        <f t="shared" si="6"/>
        <v>*0.43027027027027</v>
      </c>
      <c r="J201" t="str">
        <f t="shared" si="3"/>
        <v>*0.4</v>
      </c>
      <c r="K201" t="str">
        <f t="shared" si="3"/>
        <v>*0.44</v>
      </c>
      <c r="L201" t="str">
        <f t="shared" si="3"/>
        <v>*0.43</v>
      </c>
      <c r="M201" t="str">
        <f t="shared" si="3"/>
        <v>*0.42</v>
      </c>
      <c r="N201" t="str">
        <f t="shared" si="3"/>
        <v>*0.38</v>
      </c>
      <c r="O201" t="str">
        <f t="shared" si="3"/>
        <v>*0.42</v>
      </c>
      <c r="P201" t="str">
        <f t="shared" si="3"/>
        <v>*0.4</v>
      </c>
      <c r="Q201" t="str">
        <f t="shared" si="3"/>
        <v>*0.43</v>
      </c>
      <c r="R201" t="str">
        <f t="shared" si="3"/>
        <v>*0.43</v>
      </c>
      <c r="S201" t="str">
        <f t="shared" si="3"/>
        <v>*0.45</v>
      </c>
      <c r="T201" t="str">
        <f t="shared" si="3"/>
        <v>*0.46</v>
      </c>
      <c r="U201" t="str">
        <f t="shared" si="3"/>
        <v>*0.4</v>
      </c>
      <c r="V201" t="str">
        <f t="shared" si="3"/>
        <v>*0.44</v>
      </c>
      <c r="W201" s="20" t="str">
        <f t="shared" si="3"/>
        <v>*0.42</v>
      </c>
      <c r="X201" t="str">
        <f t="shared" si="3"/>
        <v>*0.46</v>
      </c>
      <c r="Y201" t="str">
        <f t="shared" si="3"/>
        <v>*0.43</v>
      </c>
      <c r="Z201" t="str">
        <f t="shared" si="4"/>
        <v>*0.46</v>
      </c>
      <c r="AA201" t="str">
        <f t="shared" si="4"/>
        <v>*0.44</v>
      </c>
      <c r="AB201" t="str">
        <f t="shared" si="4"/>
        <v>*0.42</v>
      </c>
      <c r="AC201" t="str">
        <f t="shared" si="4"/>
        <v>*0.44</v>
      </c>
      <c r="AD201" t="str">
        <f t="shared" si="4"/>
        <v>*0.43</v>
      </c>
      <c r="AE201" t="str">
        <f t="shared" si="4"/>
        <v>*0.44</v>
      </c>
      <c r="AF201" t="str">
        <f t="shared" si="4"/>
        <v>*0.43</v>
      </c>
      <c r="AG201" t="str">
        <f t="shared" si="4"/>
        <v>*0.45</v>
      </c>
      <c r="AH201" t="str">
        <f t="shared" si="4"/>
        <v>*0.4</v>
      </c>
      <c r="AI201" t="str">
        <f t="shared" si="4"/>
        <v>*0.43</v>
      </c>
      <c r="AJ201" t="str">
        <f t="shared" si="4"/>
        <v>*0.44</v>
      </c>
      <c r="AK201" t="str">
        <f t="shared" si="4"/>
        <v>*0.4</v>
      </c>
      <c r="AL201" t="str">
        <f t="shared" si="4"/>
        <v>*0.42</v>
      </c>
      <c r="AM201" t="str">
        <f t="shared" si="4"/>
        <v>*0.43</v>
      </c>
      <c r="AN201" t="str">
        <f t="shared" si="4"/>
        <v>*0.45</v>
      </c>
      <c r="AO201" t="str">
        <f t="shared" si="4"/>
        <v>*0.39</v>
      </c>
      <c r="AP201" t="str">
        <f t="shared" si="5"/>
        <v>*0.43</v>
      </c>
      <c r="AQ201" t="str">
        <f t="shared" si="5"/>
        <v>*0.46</v>
      </c>
      <c r="AR201" t="str">
        <f t="shared" si="5"/>
        <v>*0.44</v>
      </c>
      <c r="AS201" t="str">
        <f t="shared" si="5"/>
        <v>*0.45</v>
      </c>
      <c r="AT201" t="str">
        <f t="shared" si="5"/>
        <v>*0.46</v>
      </c>
      <c r="AV201" s="95">
        <f t="shared" si="7"/>
        <v>0.43027027027027026</v>
      </c>
      <c r="AW201" s="95">
        <f>IFERROR(AVERAGEIFS(RdTRABYVals!L$2:L$999,RdTRABYVals!$B$2:$B$999,"="&amp;$E201,RdTRABYVals!$C$2:$C$999,"="&amp;INS_EFF!$B201),"")</f>
        <v>0.40000000000000002</v>
      </c>
      <c r="AX201" s="95">
        <f>IFERROR(AVERAGEIFS(RdTRABYVals!M$2:M$999,RdTRABYVals!$B$2:$B$999,"="&amp;$E201,RdTRABYVals!$C$2:$C$999,"="&amp;INS_EFF!$B201),"")</f>
        <v>0.44</v>
      </c>
      <c r="AY201" s="95">
        <f>IFERROR(AVERAGEIFS(RdTRABYVals!N$2:N$999,RdTRABYVals!$B$2:$B$999,"="&amp;$E201,RdTRABYVals!$C$2:$C$999,"="&amp;INS_EFF!$B201),"")</f>
        <v>0.42999999999999999</v>
      </c>
      <c r="AZ201" s="95">
        <f>IFERROR(AVERAGEIFS(RdTRABYVals!O$2:O$999,RdTRABYVals!$B$2:$B$999,"="&amp;$E201,RdTRABYVals!$C$2:$C$999,"="&amp;INS_EFF!$B201),"")</f>
        <v>0.41999999999999998</v>
      </c>
      <c r="BA201" s="95">
        <f>IFERROR(AVERAGEIFS(RdTRABYVals!P$2:P$999,RdTRABYVals!$B$2:$B$999,"="&amp;$E201,RdTRABYVals!$C$2:$C$999,"="&amp;INS_EFF!$B201),"")</f>
        <v>0.38</v>
      </c>
      <c r="BB201" s="95">
        <f>IFERROR(AVERAGEIFS(RdTRABYVals!Q$2:Q$999,RdTRABYVals!$B$2:$B$999,"="&amp;$E201,RdTRABYVals!$C$2:$C$999,"="&amp;INS_EFF!$B201),"")</f>
        <v>0.41999999999999998</v>
      </c>
      <c r="BC201" s="95">
        <f>IFERROR(AVERAGEIFS(RdTRABYVals!R$2:R$999,RdTRABYVals!$B$2:$B$999,"="&amp;$E201,RdTRABYVals!$C$2:$C$999,"="&amp;INS_EFF!$B201),"")</f>
        <v>0.40000000000000002</v>
      </c>
      <c r="BD201" s="95">
        <f>IFERROR(AVERAGEIFS(RdTRABYVals!S$2:S$999,RdTRABYVals!$B$2:$B$999,"="&amp;$E201,RdTRABYVals!$C$2:$C$999,"="&amp;INS_EFF!$B201),"")</f>
        <v>0.42999999999999999</v>
      </c>
      <c r="BE201" s="95">
        <f>IFERROR(AVERAGEIFS(RdTRABYVals!T$2:T$999,RdTRABYVals!$B$2:$B$999,"="&amp;$E201,RdTRABYVals!$C$2:$C$999,"="&amp;INS_EFF!$B201),"")</f>
        <v>0.42999999999999999</v>
      </c>
      <c r="BF201" s="95">
        <f>IFERROR(AVERAGEIFS(RdTRABYVals!U$2:U$999,RdTRABYVals!$B$2:$B$999,"="&amp;$E201,RdTRABYVals!$C$2:$C$999,"="&amp;INS_EFF!$B201),"")</f>
        <v>0.45000000000000001</v>
      </c>
      <c r="BG201" s="95">
        <f>IFERROR(AVERAGEIFS(RdTRABYVals!V$2:V$999,RdTRABYVals!$B$2:$B$999,"="&amp;$E201,RdTRABYVals!$C$2:$C$999,"="&amp;INS_EFF!$B201),"")</f>
        <v>0.46000000000000002</v>
      </c>
      <c r="BH201" s="95">
        <f>IFERROR(AVERAGEIFS(RdTRABYVals!W$2:W$999,RdTRABYVals!$B$2:$B$999,"="&amp;$E201,RdTRABYVals!$C$2:$C$999,"="&amp;INS_EFF!$B201),"")</f>
        <v>0.40000000000000002</v>
      </c>
      <c r="BI201" s="95">
        <f>IFERROR(AVERAGEIFS(RdTRABYVals!X$2:X$999,RdTRABYVals!$B$2:$B$999,"="&amp;$E201,RdTRABYVals!$C$2:$C$999,"="&amp;INS_EFF!$B201),"")</f>
        <v>0.44</v>
      </c>
      <c r="BJ201" s="95">
        <f>IFERROR(AVERAGEIFS(RdTRABYVals!Y$2:Y$999,RdTRABYVals!$B$2:$B$999,"="&amp;$E201,RdTRABYVals!$C$2:$C$999,"="&amp;INS_EFF!$B201),"")</f>
        <v>0.41999999999999998</v>
      </c>
      <c r="BK201" s="95">
        <f>IFERROR(AVERAGEIFS(RdTRABYVals!Z$2:Z$999,RdTRABYVals!$B$2:$B$999,"="&amp;$E201,RdTRABYVals!$C$2:$C$999,"="&amp;INS_EFF!$B201),"")</f>
        <v>0.46000000000000002</v>
      </c>
      <c r="BL201" s="95">
        <f>IFERROR(AVERAGEIFS(RdTRABYVals!AA$2:AA$999,RdTRABYVals!$B$2:$B$999,"="&amp;$E201,RdTRABYVals!$C$2:$C$999,"="&amp;INS_EFF!$B201),"")</f>
        <v>0.42999999999999999</v>
      </c>
      <c r="BM201" s="95">
        <f>IFERROR(AVERAGEIFS(RdTRABYVals!AB$2:AB$999,RdTRABYVals!$B$2:$B$999,"="&amp;$E201,RdTRABYVals!$C$2:$C$999,"="&amp;INS_EFF!$B201),"")</f>
        <v>0.46000000000000002</v>
      </c>
      <c r="BN201" s="95">
        <f>IFERROR(AVERAGEIFS(RdTRABYVals!AC$2:AC$999,RdTRABYVals!$B$2:$B$999,"="&amp;$E201,RdTRABYVals!$C$2:$C$999,"="&amp;INS_EFF!$B201),"")</f>
        <v>0.44</v>
      </c>
      <c r="BO201" s="95">
        <f>IFERROR(AVERAGEIFS(RdTRABYVals!AD$2:AD$999,RdTRABYVals!$B$2:$B$999,"="&amp;$E201,RdTRABYVals!$C$2:$C$999,"="&amp;INS_EFF!$B201),"")</f>
        <v>0.41999999999999998</v>
      </c>
      <c r="BP201" s="95">
        <f>IFERROR(AVERAGEIFS(RdTRABYVals!AE$2:AE$999,RdTRABYVals!$B$2:$B$999,"="&amp;$E201,RdTRABYVals!$C$2:$C$999,"="&amp;INS_EFF!$B201),"")</f>
        <v>0.44</v>
      </c>
      <c r="BQ201" s="95">
        <f>IFERROR(AVERAGEIFS(RdTRABYVals!AF$2:AF$999,RdTRABYVals!$B$2:$B$999,"="&amp;$E201,RdTRABYVals!$C$2:$C$999,"="&amp;INS_EFF!$B201),"")</f>
        <v>0.42999999999999999</v>
      </c>
      <c r="BR201" s="95">
        <f>IFERROR(AVERAGEIFS(RdTRABYVals!AG$2:AG$999,RdTRABYVals!$B$2:$B$999,"="&amp;$E201,RdTRABYVals!$C$2:$C$999,"="&amp;INS_EFF!$B201),"")</f>
        <v>0.44</v>
      </c>
      <c r="BS201" s="95">
        <f>IFERROR(AVERAGEIFS(RdTRABYVals!AH$2:AH$999,RdTRABYVals!$B$2:$B$999,"="&amp;$E201,RdTRABYVals!$C$2:$C$999,"="&amp;INS_EFF!$B201),"")</f>
        <v>0.42999999999999999</v>
      </c>
      <c r="BT201" s="95">
        <f>IFERROR(AVERAGEIFS(RdTRABYVals!AI$2:AI$999,RdTRABYVals!$B$2:$B$999,"="&amp;$E201,RdTRABYVals!$C$2:$C$999,"="&amp;INS_EFF!$B201),"")</f>
        <v>0.45000000000000001</v>
      </c>
      <c r="BU201" s="95">
        <f>IFERROR(AVERAGEIFS(RdTRABYVals!AJ$2:AJ$999,RdTRABYVals!$B$2:$B$999,"="&amp;$E201,RdTRABYVals!$C$2:$C$999,"="&amp;INS_EFF!$B201),"")</f>
        <v>0.40000000000000002</v>
      </c>
      <c r="BV201" s="95">
        <f>IFERROR(AVERAGEIFS(RdTRABYVals!AK$2:AK$999,RdTRABYVals!$B$2:$B$999,"="&amp;$E201,RdTRABYVals!$C$2:$C$999,"="&amp;INS_EFF!$B201),"")</f>
        <v>0.42999999999999999</v>
      </c>
      <c r="BW201" s="95">
        <f>IFERROR(AVERAGEIFS(RdTRABYVals!AL$2:AL$999,RdTRABYVals!$B$2:$B$999,"="&amp;$E201,RdTRABYVals!$C$2:$C$999,"="&amp;INS_EFF!$B201),"")</f>
        <v>0.44</v>
      </c>
      <c r="BX201" s="95">
        <f>IFERROR(AVERAGEIFS(RdTRABYVals!AM$2:AM$999,RdTRABYVals!$B$2:$B$999,"="&amp;$E201,RdTRABYVals!$C$2:$C$999,"="&amp;INS_EFF!$B201),"")</f>
        <v>0.40000000000000002</v>
      </c>
      <c r="BY201" s="95">
        <f>IFERROR(AVERAGEIFS(RdTRABYVals!AN$2:AN$999,RdTRABYVals!$B$2:$B$999,"="&amp;$E201,RdTRABYVals!$C$2:$C$999,"="&amp;INS_EFF!$B201),"")</f>
        <v>0.41999999999999998</v>
      </c>
      <c r="BZ201" s="95">
        <f>IFERROR(AVERAGEIFS(RdTRABYVals!AO$2:AO$999,RdTRABYVals!$B$2:$B$999,"="&amp;$E201,RdTRABYVals!$C$2:$C$999,"="&amp;INS_EFF!$B201),"")</f>
        <v>0.42999999999999999</v>
      </c>
      <c r="CA201" s="95">
        <f>IFERROR(AVERAGEIFS(RdTRABYVals!AP$2:AP$999,RdTRABYVals!$B$2:$B$999,"="&amp;$E201,RdTRABYVals!$C$2:$C$999,"="&amp;INS_EFF!$B201),"")</f>
        <v>0.45000000000000001</v>
      </c>
      <c r="CB201" s="95">
        <f>IFERROR(AVERAGEIFS(RdTRABYVals!AQ$2:AQ$999,RdTRABYVals!$B$2:$B$999,"="&amp;$E201,RdTRABYVals!$C$2:$C$999,"="&amp;INS_EFF!$B201),"")</f>
        <v>0.39000000000000001</v>
      </c>
      <c r="CC201" s="95">
        <f>IFERROR(AVERAGEIFS(RdTRABYVals!AR$2:AR$999,RdTRABYVals!$B$2:$B$999,"="&amp;$E201,RdTRABYVals!$C$2:$C$999,"="&amp;INS_EFF!$B201),"")</f>
        <v>0.42999999999999999</v>
      </c>
      <c r="CD201" s="95">
        <f>IFERROR(AVERAGEIFS(RdTRABYVals!AS$2:AS$999,RdTRABYVals!$B$2:$B$999,"="&amp;$E201,RdTRABYVals!$C$2:$C$999,"="&amp;INS_EFF!$B201),"")</f>
        <v>0.46000000000000002</v>
      </c>
      <c r="CE201" s="95">
        <f>IFERROR(AVERAGEIFS(RdTRABYVals!AT$2:AT$999,RdTRABYVals!$B$2:$B$999,"="&amp;$E201,RdTRABYVals!$C$2:$C$999,"="&amp;INS_EFF!$B201),"")</f>
        <v>0.44</v>
      </c>
      <c r="CF201" s="95">
        <f>IFERROR(AVERAGEIFS(RdTRABYVals!AU$2:AU$999,RdTRABYVals!$B$2:$B$999,"="&amp;$E201,RdTRABYVals!$C$2:$C$999,"="&amp;INS_EFF!$B201),"")</f>
        <v>0.45000000000000001</v>
      </c>
      <c r="CG201" s="95">
        <f>IFERROR(AVERAGEIFS(RdTRABYVals!AV$2:AV$999,RdTRABYVals!$B$2:$B$999,"="&amp;$E201,RdTRABYVals!$C$2:$C$999,"="&amp;INS_EFF!$B201),"")</f>
        <v>0.46000000000000002</v>
      </c>
    </row>
    <row r="202" spans="2:85" ht="15">
      <c r="B202" s="24" t="s">
        <v>120</v>
      </c>
      <c r="C202" s="24"/>
      <c r="E202" s="18" t="s">
        <v>29</v>
      </c>
      <c r="F202" s="71"/>
      <c r="G202" t="s">
        <v>120</v>
      </c>
      <c r="I202" t="str">
        <f t="shared" si="6"/>
        <v>*0.442702702702703</v>
      </c>
      <c r="J202" t="str">
        <f t="shared" si="3"/>
        <v>*0.41</v>
      </c>
      <c r="K202" t="str">
        <f t="shared" si="3"/>
        <v>*0.45</v>
      </c>
      <c r="L202" t="str">
        <f t="shared" si="3"/>
        <v>*0.44</v>
      </c>
      <c r="M202" t="str">
        <f t="shared" si="3"/>
        <v>*0.43</v>
      </c>
      <c r="N202" t="str">
        <f t="shared" si="3"/>
        <v>*0.38</v>
      </c>
      <c r="O202" t="str">
        <f t="shared" si="3"/>
        <v>*0.44</v>
      </c>
      <c r="P202" t="str">
        <f t="shared" si="3"/>
        <v>*0.41</v>
      </c>
      <c r="Q202" t="str">
        <f t="shared" si="3"/>
        <v>*0.44</v>
      </c>
      <c r="R202" t="str">
        <f t="shared" si="3"/>
        <v>*0.44</v>
      </c>
      <c r="S202" t="str">
        <f t="shared" si="3"/>
        <v>*0.49</v>
      </c>
      <c r="T202" t="str">
        <f t="shared" si="3"/>
        <v>*0.47</v>
      </c>
      <c r="U202" t="str">
        <f t="shared" si="3"/>
        <v>*0.41</v>
      </c>
      <c r="V202" t="str">
        <f t="shared" si="3"/>
        <v>*0.45</v>
      </c>
      <c r="W202" s="20" t="str">
        <f t="shared" si="3"/>
        <v>*0.43</v>
      </c>
      <c r="X202" t="str">
        <f t="shared" si="3"/>
        <v>*0.47</v>
      </c>
      <c r="Y202" t="str">
        <f t="shared" si="3"/>
        <v>*0.44</v>
      </c>
      <c r="Z202" t="str">
        <f t="shared" si="4"/>
        <v>*0.46</v>
      </c>
      <c r="AA202" t="str">
        <f t="shared" si="4"/>
        <v>*0.46</v>
      </c>
      <c r="AB202" t="str">
        <f t="shared" si="4"/>
        <v>*0.45</v>
      </c>
      <c r="AC202" t="str">
        <f t="shared" si="4"/>
        <v>*0.45</v>
      </c>
      <c r="AD202" t="str">
        <f t="shared" si="4"/>
        <v>*0.44</v>
      </c>
      <c r="AE202" t="str">
        <f t="shared" si="4"/>
        <v>*0.44</v>
      </c>
      <c r="AF202" t="str">
        <f t="shared" si="4"/>
        <v>*0.48</v>
      </c>
      <c r="AG202" t="str">
        <f t="shared" si="4"/>
        <v>*0.45</v>
      </c>
      <c r="AH202" t="str">
        <f t="shared" si="4"/>
        <v>*0.41</v>
      </c>
      <c r="AI202" t="str">
        <f t="shared" si="4"/>
        <v>*0.44</v>
      </c>
      <c r="AJ202" t="str">
        <f t="shared" si="4"/>
        <v>*0.46</v>
      </c>
      <c r="AK202" t="str">
        <f t="shared" si="4"/>
        <v>*0.43</v>
      </c>
      <c r="AL202" t="str">
        <f t="shared" si="4"/>
        <v>*0.42</v>
      </c>
      <c r="AM202" t="str">
        <f t="shared" si="4"/>
        <v>*0.43</v>
      </c>
      <c r="AN202" t="str">
        <f t="shared" si="4"/>
        <v>*0.47</v>
      </c>
      <c r="AO202" t="str">
        <f t="shared" si="4"/>
        <v>*0.39</v>
      </c>
      <c r="AP202" t="str">
        <f t="shared" si="5"/>
        <v>*0.44</v>
      </c>
      <c r="AQ202" t="str">
        <f t="shared" si="5"/>
        <v>*0.48</v>
      </c>
      <c r="AR202" t="str">
        <f t="shared" si="5"/>
        <v>*0.44</v>
      </c>
      <c r="AS202" t="str">
        <f t="shared" si="5"/>
        <v>*0.46</v>
      </c>
      <c r="AT202" t="str">
        <f t="shared" si="5"/>
        <v>*0.48</v>
      </c>
      <c r="AV202" s="95">
        <f t="shared" si="7"/>
        <v>0.44270270270270262</v>
      </c>
      <c r="AW202" s="95">
        <f>IFERROR(AVERAGEIFS(RdTRABYVals!L$2:L$999,RdTRABYVals!$B$2:$B$999,"="&amp;$E202,RdTRABYVals!$C$2:$C$999,"="&amp;INS_EFF!$B202),"")</f>
        <v>0.40999999999999998</v>
      </c>
      <c r="AX202" s="95">
        <f>IFERROR(AVERAGEIFS(RdTRABYVals!M$2:M$999,RdTRABYVals!$B$2:$B$999,"="&amp;$E202,RdTRABYVals!$C$2:$C$999,"="&amp;INS_EFF!$B202),"")</f>
        <v>0.45000000000000001</v>
      </c>
      <c r="AY202" s="95">
        <f>IFERROR(AVERAGEIFS(RdTRABYVals!N$2:N$999,RdTRABYVals!$B$2:$B$999,"="&amp;$E202,RdTRABYVals!$C$2:$C$999,"="&amp;INS_EFF!$B202),"")</f>
        <v>0.44</v>
      </c>
      <c r="AZ202" s="95">
        <f>IFERROR(AVERAGEIFS(RdTRABYVals!O$2:O$999,RdTRABYVals!$B$2:$B$999,"="&amp;$E202,RdTRABYVals!$C$2:$C$999,"="&amp;INS_EFF!$B202),"")</f>
        <v>0.42999999999999999</v>
      </c>
      <c r="BA202" s="95">
        <f>IFERROR(AVERAGEIFS(RdTRABYVals!P$2:P$999,RdTRABYVals!$B$2:$B$999,"="&amp;$E202,RdTRABYVals!$C$2:$C$999,"="&amp;INS_EFF!$B202),"")</f>
        <v>0.38</v>
      </c>
      <c r="BB202" s="95">
        <f>IFERROR(AVERAGEIFS(RdTRABYVals!Q$2:Q$999,RdTRABYVals!$B$2:$B$999,"="&amp;$E202,RdTRABYVals!$C$2:$C$999,"="&amp;INS_EFF!$B202),"")</f>
        <v>0.44</v>
      </c>
      <c r="BC202" s="95">
        <f>IFERROR(AVERAGEIFS(RdTRABYVals!R$2:R$999,RdTRABYVals!$B$2:$B$999,"="&amp;$E202,RdTRABYVals!$C$2:$C$999,"="&amp;INS_EFF!$B202),"")</f>
        <v>0.40999999999999998</v>
      </c>
      <c r="BD202" s="95">
        <f>IFERROR(AVERAGEIFS(RdTRABYVals!S$2:S$999,RdTRABYVals!$B$2:$B$999,"="&amp;$E202,RdTRABYVals!$C$2:$C$999,"="&amp;INS_EFF!$B202),"")</f>
        <v>0.44</v>
      </c>
      <c r="BE202" s="95">
        <f>IFERROR(AVERAGEIFS(RdTRABYVals!T$2:T$999,RdTRABYVals!$B$2:$B$999,"="&amp;$E202,RdTRABYVals!$C$2:$C$999,"="&amp;INS_EFF!$B202),"")</f>
        <v>0.44</v>
      </c>
      <c r="BF202" s="95">
        <f>IFERROR(AVERAGEIFS(RdTRABYVals!U$2:U$999,RdTRABYVals!$B$2:$B$999,"="&amp;$E202,RdTRABYVals!$C$2:$C$999,"="&amp;INS_EFF!$B202),"")</f>
        <v>0.48999999999999999</v>
      </c>
      <c r="BG202" s="95">
        <f>IFERROR(AVERAGEIFS(RdTRABYVals!V$2:V$999,RdTRABYVals!$B$2:$B$999,"="&amp;$E202,RdTRABYVals!$C$2:$C$999,"="&amp;INS_EFF!$B202),"")</f>
        <v>0.46999999999999997</v>
      </c>
      <c r="BH202" s="95">
        <f>IFERROR(AVERAGEIFS(RdTRABYVals!W$2:W$999,RdTRABYVals!$B$2:$B$999,"="&amp;$E202,RdTRABYVals!$C$2:$C$999,"="&amp;INS_EFF!$B202),"")</f>
        <v>0.40999999999999998</v>
      </c>
      <c r="BI202" s="95">
        <f>IFERROR(AVERAGEIFS(RdTRABYVals!X$2:X$999,RdTRABYVals!$B$2:$B$999,"="&amp;$E202,RdTRABYVals!$C$2:$C$999,"="&amp;INS_EFF!$B202),"")</f>
        <v>0.45000000000000001</v>
      </c>
      <c r="BJ202" s="95">
        <f>IFERROR(AVERAGEIFS(RdTRABYVals!Y$2:Y$999,RdTRABYVals!$B$2:$B$999,"="&amp;$E202,RdTRABYVals!$C$2:$C$999,"="&amp;INS_EFF!$B202),"")</f>
        <v>0.42999999999999999</v>
      </c>
      <c r="BK202" s="95">
        <f>IFERROR(AVERAGEIFS(RdTRABYVals!Z$2:Z$999,RdTRABYVals!$B$2:$B$999,"="&amp;$E202,RdTRABYVals!$C$2:$C$999,"="&amp;INS_EFF!$B202),"")</f>
        <v>0.46999999999999997</v>
      </c>
      <c r="BL202" s="95">
        <f>IFERROR(AVERAGEIFS(RdTRABYVals!AA$2:AA$999,RdTRABYVals!$B$2:$B$999,"="&amp;$E202,RdTRABYVals!$C$2:$C$999,"="&amp;INS_EFF!$B202),"")</f>
        <v>0.44</v>
      </c>
      <c r="BM202" s="95">
        <f>IFERROR(AVERAGEIFS(RdTRABYVals!AB$2:AB$999,RdTRABYVals!$B$2:$B$999,"="&amp;$E202,RdTRABYVals!$C$2:$C$999,"="&amp;INS_EFF!$B202),"")</f>
        <v>0.46000000000000002</v>
      </c>
      <c r="BN202" s="95">
        <f>IFERROR(AVERAGEIFS(RdTRABYVals!AC$2:AC$999,RdTRABYVals!$B$2:$B$999,"="&amp;$E202,RdTRABYVals!$C$2:$C$999,"="&amp;INS_EFF!$B202),"")</f>
        <v>0.46000000000000002</v>
      </c>
      <c r="BO202" s="95">
        <f>IFERROR(AVERAGEIFS(RdTRABYVals!AD$2:AD$999,RdTRABYVals!$B$2:$B$999,"="&amp;$E202,RdTRABYVals!$C$2:$C$999,"="&amp;INS_EFF!$B202),"")</f>
        <v>0.45000000000000001</v>
      </c>
      <c r="BP202" s="95">
        <f>IFERROR(AVERAGEIFS(RdTRABYVals!AE$2:AE$999,RdTRABYVals!$B$2:$B$999,"="&amp;$E202,RdTRABYVals!$C$2:$C$999,"="&amp;INS_EFF!$B202),"")</f>
        <v>0.45000000000000001</v>
      </c>
      <c r="BQ202" s="95">
        <f>IFERROR(AVERAGEIFS(RdTRABYVals!AF$2:AF$999,RdTRABYVals!$B$2:$B$999,"="&amp;$E202,RdTRABYVals!$C$2:$C$999,"="&amp;INS_EFF!$B202),"")</f>
        <v>0.44</v>
      </c>
      <c r="BR202" s="95">
        <f>IFERROR(AVERAGEIFS(RdTRABYVals!AG$2:AG$999,RdTRABYVals!$B$2:$B$999,"="&amp;$E202,RdTRABYVals!$C$2:$C$999,"="&amp;INS_EFF!$B202),"")</f>
        <v>0.44</v>
      </c>
      <c r="BS202" s="95">
        <f>IFERROR(AVERAGEIFS(RdTRABYVals!AH$2:AH$999,RdTRABYVals!$B$2:$B$999,"="&amp;$E202,RdTRABYVals!$C$2:$C$999,"="&amp;INS_EFF!$B202),"")</f>
        <v>0.47999999999999998</v>
      </c>
      <c r="BT202" s="95">
        <f>IFERROR(AVERAGEIFS(RdTRABYVals!AI$2:AI$999,RdTRABYVals!$B$2:$B$999,"="&amp;$E202,RdTRABYVals!$C$2:$C$999,"="&amp;INS_EFF!$B202),"")</f>
        <v>0.45000000000000001</v>
      </c>
      <c r="BU202" s="95">
        <f>IFERROR(AVERAGEIFS(RdTRABYVals!AJ$2:AJ$999,RdTRABYVals!$B$2:$B$999,"="&amp;$E202,RdTRABYVals!$C$2:$C$999,"="&amp;INS_EFF!$B202),"")</f>
        <v>0.40999999999999998</v>
      </c>
      <c r="BV202" s="95">
        <f>IFERROR(AVERAGEIFS(RdTRABYVals!AK$2:AK$999,RdTRABYVals!$B$2:$B$999,"="&amp;$E202,RdTRABYVals!$C$2:$C$999,"="&amp;INS_EFF!$B202),"")</f>
        <v>0.44</v>
      </c>
      <c r="BW202" s="95">
        <f>IFERROR(AVERAGEIFS(RdTRABYVals!AL$2:AL$999,RdTRABYVals!$B$2:$B$999,"="&amp;$E202,RdTRABYVals!$C$2:$C$999,"="&amp;INS_EFF!$B202),"")</f>
        <v>0.46000000000000002</v>
      </c>
      <c r="BX202" s="95">
        <f>IFERROR(AVERAGEIFS(RdTRABYVals!AM$2:AM$999,RdTRABYVals!$B$2:$B$999,"="&amp;$E202,RdTRABYVals!$C$2:$C$999,"="&amp;INS_EFF!$B202),"")</f>
        <v>0.42999999999999999</v>
      </c>
      <c r="BY202" s="95">
        <f>IFERROR(AVERAGEIFS(RdTRABYVals!AN$2:AN$999,RdTRABYVals!$B$2:$B$999,"="&amp;$E202,RdTRABYVals!$C$2:$C$999,"="&amp;INS_EFF!$B202),"")</f>
        <v>0.41999999999999998</v>
      </c>
      <c r="BZ202" s="95">
        <f>IFERROR(AVERAGEIFS(RdTRABYVals!AO$2:AO$999,RdTRABYVals!$B$2:$B$999,"="&amp;$E202,RdTRABYVals!$C$2:$C$999,"="&amp;INS_EFF!$B202),"")</f>
        <v>0.42999999999999999</v>
      </c>
      <c r="CA202" s="95">
        <f>IFERROR(AVERAGEIFS(RdTRABYVals!AP$2:AP$999,RdTRABYVals!$B$2:$B$999,"="&amp;$E202,RdTRABYVals!$C$2:$C$999,"="&amp;INS_EFF!$B202),"")</f>
        <v>0.46999999999999997</v>
      </c>
      <c r="CB202" s="95">
        <f>IFERROR(AVERAGEIFS(RdTRABYVals!AQ$2:AQ$999,RdTRABYVals!$B$2:$B$999,"="&amp;$E202,RdTRABYVals!$C$2:$C$999,"="&amp;INS_EFF!$B202),"")</f>
        <v>0.39000000000000001</v>
      </c>
      <c r="CC202" s="95">
        <f>IFERROR(AVERAGEIFS(RdTRABYVals!AR$2:AR$999,RdTRABYVals!$B$2:$B$999,"="&amp;$E202,RdTRABYVals!$C$2:$C$999,"="&amp;INS_EFF!$B202),"")</f>
        <v>0.44</v>
      </c>
      <c r="CD202" s="95">
        <f>IFERROR(AVERAGEIFS(RdTRABYVals!AS$2:AS$999,RdTRABYVals!$B$2:$B$999,"="&amp;$E202,RdTRABYVals!$C$2:$C$999,"="&amp;INS_EFF!$B202),"")</f>
        <v>0.47999999999999998</v>
      </c>
      <c r="CE202" s="95">
        <f>IFERROR(AVERAGEIFS(RdTRABYVals!AT$2:AT$999,RdTRABYVals!$B$2:$B$999,"="&amp;$E202,RdTRABYVals!$C$2:$C$999,"="&amp;INS_EFF!$B202),"")</f>
        <v>0.44</v>
      </c>
      <c r="CF202" s="95">
        <f>IFERROR(AVERAGEIFS(RdTRABYVals!AU$2:AU$999,RdTRABYVals!$B$2:$B$999,"="&amp;$E202,RdTRABYVals!$C$2:$C$999,"="&amp;INS_EFF!$B202),"")</f>
        <v>0.46000000000000002</v>
      </c>
      <c r="CG202" s="95">
        <f>IFERROR(AVERAGEIFS(RdTRABYVals!AV$2:AV$999,RdTRABYVals!$B$2:$B$999,"="&amp;$E202,RdTRABYVals!$C$2:$C$999,"="&amp;INS_EFF!$B202),"")</f>
        <v>0.47999999999999998</v>
      </c>
    </row>
    <row r="203" spans="2:85" ht="15">
      <c r="B203" s="24" t="s">
        <v>121</v>
      </c>
      <c r="C203" s="24"/>
      <c r="E203" s="18" t="s">
        <v>29</v>
      </c>
      <c r="F203" s="71"/>
      <c r="G203" t="s">
        <v>121</v>
      </c>
      <c r="I203" t="str">
        <f t="shared" si="6"/>
        <v>*0.364054054054054</v>
      </c>
      <c r="J203" t="str">
        <f t="shared" si="3"/>
        <v>*0.34</v>
      </c>
      <c r="K203" t="str">
        <f t="shared" si="3"/>
        <v>*0.37</v>
      </c>
      <c r="L203" t="str">
        <f t="shared" si="3"/>
        <v>*0.36</v>
      </c>
      <c r="M203" t="str">
        <f t="shared" si="3"/>
        <v>*0.36</v>
      </c>
      <c r="N203" t="str">
        <f t="shared" si="3"/>
        <v>*0.32</v>
      </c>
      <c r="O203" t="str">
        <f t="shared" si="3"/>
        <v>*0.36</v>
      </c>
      <c r="P203" t="str">
        <f t="shared" si="3"/>
        <v>*0.33</v>
      </c>
      <c r="Q203" t="str">
        <f t="shared" si="3"/>
        <v>*0.37</v>
      </c>
      <c r="R203" t="str">
        <f t="shared" si="3"/>
        <v>*0.37</v>
      </c>
      <c r="S203" t="str">
        <f t="shared" si="3"/>
        <v>*0.38</v>
      </c>
      <c r="T203" t="str">
        <f t="shared" si="3"/>
        <v>*0.4</v>
      </c>
      <c r="U203" t="str">
        <f t="shared" si="3"/>
        <v>*0.34</v>
      </c>
      <c r="V203" t="str">
        <f t="shared" si="3"/>
        <v>*0.38</v>
      </c>
      <c r="W203" s="20" t="str">
        <f t="shared" si="3"/>
        <v>*0.36</v>
      </c>
      <c r="X203" t="str">
        <f t="shared" si="3"/>
        <v>*0.38</v>
      </c>
      <c r="Y203" t="str">
        <f t="shared" si="8" ref="Y203:AN219">IF(BL203&lt;&gt;"","*"&amp;BL203,"")</f>
        <v>*0.36</v>
      </c>
      <c r="Z203" t="str">
        <f t="shared" si="4"/>
        <v>*0.39</v>
      </c>
      <c r="AA203" t="str">
        <f t="shared" si="4"/>
        <v>*0.37</v>
      </c>
      <c r="AB203" t="str">
        <f t="shared" si="4"/>
        <v>*0.35</v>
      </c>
      <c r="AC203" t="str">
        <f t="shared" si="4"/>
        <v>*0.37</v>
      </c>
      <c r="AD203" t="str">
        <f t="shared" si="4"/>
        <v>*0.36</v>
      </c>
      <c r="AE203" t="str">
        <f t="shared" si="4"/>
        <v>*0.36</v>
      </c>
      <c r="AF203" t="str">
        <f t="shared" si="4"/>
        <v>*0.36</v>
      </c>
      <c r="AG203" t="str">
        <f t="shared" si="4"/>
        <v>*0.38</v>
      </c>
      <c r="AH203" t="str">
        <f t="shared" si="4"/>
        <v>*0.34</v>
      </c>
      <c r="AI203" t="str">
        <f t="shared" si="4"/>
        <v>*0.36</v>
      </c>
      <c r="AJ203" t="str">
        <f t="shared" si="4"/>
        <v>*0.37</v>
      </c>
      <c r="AK203" t="str">
        <f t="shared" si="4"/>
        <v>*0.34</v>
      </c>
      <c r="AL203" t="str">
        <f t="shared" si="4"/>
        <v>*0.36</v>
      </c>
      <c r="AM203" t="str">
        <f t="shared" si="4"/>
        <v>*0.37</v>
      </c>
      <c r="AN203" t="str">
        <f t="shared" si="4"/>
        <v>*0.39</v>
      </c>
      <c r="AO203" t="str">
        <f t="shared" si="9" ref="AO203:AT240">IF(CB203&lt;&gt;"","*"&amp;CB203,"")</f>
        <v>*0.33</v>
      </c>
      <c r="AP203" t="str">
        <f t="shared" si="5"/>
        <v>*0.36</v>
      </c>
      <c r="AQ203" t="str">
        <f t="shared" si="5"/>
        <v>*0.38</v>
      </c>
      <c r="AR203" t="str">
        <f t="shared" si="5"/>
        <v>*0.37</v>
      </c>
      <c r="AS203" t="str">
        <f t="shared" si="5"/>
        <v>*0.39</v>
      </c>
      <c r="AT203" t="str">
        <f t="shared" si="5"/>
        <v>*0.39</v>
      </c>
      <c r="AV203" s="95">
        <f t="shared" si="7"/>
        <v>0.364054054054054</v>
      </c>
      <c r="AW203" s="95">
        <f>IFERROR(AVERAGEIFS(RdTRABYVals!L$2:L$999,RdTRABYVals!$B$2:$B$999,"="&amp;$E203,RdTRABYVals!$C$2:$C$999,"="&amp;INS_EFF!$B203),"")</f>
        <v>0.34000000000000002</v>
      </c>
      <c r="AX203" s="95">
        <f>IFERROR(AVERAGEIFS(RdTRABYVals!M$2:M$999,RdTRABYVals!$B$2:$B$999,"="&amp;$E203,RdTRABYVals!$C$2:$C$999,"="&amp;INS_EFF!$B203),"")</f>
        <v>0.37</v>
      </c>
      <c r="AY203" s="95">
        <f>IFERROR(AVERAGEIFS(RdTRABYVals!N$2:N$999,RdTRABYVals!$B$2:$B$999,"="&amp;$E203,RdTRABYVals!$C$2:$C$999,"="&amp;INS_EFF!$B203),"")</f>
        <v>0.35999999999999999</v>
      </c>
      <c r="AZ203" s="95">
        <f>IFERROR(AVERAGEIFS(RdTRABYVals!O$2:O$999,RdTRABYVals!$B$2:$B$999,"="&amp;$E203,RdTRABYVals!$C$2:$C$999,"="&amp;INS_EFF!$B203),"")</f>
        <v>0.35999999999999999</v>
      </c>
      <c r="BA203" s="95">
        <f>IFERROR(AVERAGEIFS(RdTRABYVals!P$2:P$999,RdTRABYVals!$B$2:$B$999,"="&amp;$E203,RdTRABYVals!$C$2:$C$999,"="&amp;INS_EFF!$B203),"")</f>
        <v>0.32000000000000001</v>
      </c>
      <c r="BB203" s="95">
        <f>IFERROR(AVERAGEIFS(RdTRABYVals!Q$2:Q$999,RdTRABYVals!$B$2:$B$999,"="&amp;$E203,RdTRABYVals!$C$2:$C$999,"="&amp;INS_EFF!$B203),"")</f>
        <v>0.35999999999999999</v>
      </c>
      <c r="BC203" s="95">
        <f>IFERROR(AVERAGEIFS(RdTRABYVals!R$2:R$999,RdTRABYVals!$B$2:$B$999,"="&amp;$E203,RdTRABYVals!$C$2:$C$999,"="&amp;INS_EFF!$B203),"")</f>
        <v>0.33000000000000002</v>
      </c>
      <c r="BD203" s="95">
        <f>IFERROR(AVERAGEIFS(RdTRABYVals!S$2:S$999,RdTRABYVals!$B$2:$B$999,"="&amp;$E203,RdTRABYVals!$C$2:$C$999,"="&amp;INS_EFF!$B203),"")</f>
        <v>0.37</v>
      </c>
      <c r="BE203" s="95">
        <f>IFERROR(AVERAGEIFS(RdTRABYVals!T$2:T$999,RdTRABYVals!$B$2:$B$999,"="&amp;$E203,RdTRABYVals!$C$2:$C$999,"="&amp;INS_EFF!$B203),"")</f>
        <v>0.37</v>
      </c>
      <c r="BF203" s="95">
        <f>IFERROR(AVERAGEIFS(RdTRABYVals!U$2:U$999,RdTRABYVals!$B$2:$B$999,"="&amp;$E203,RdTRABYVals!$C$2:$C$999,"="&amp;INS_EFF!$B203),"")</f>
        <v>0.38</v>
      </c>
      <c r="BG203" s="95">
        <f>IFERROR(AVERAGEIFS(RdTRABYVals!V$2:V$999,RdTRABYVals!$B$2:$B$999,"="&amp;$E203,RdTRABYVals!$C$2:$C$999,"="&amp;INS_EFF!$B203),"")</f>
        <v>0.40000000000000002</v>
      </c>
      <c r="BH203" s="95">
        <f>IFERROR(AVERAGEIFS(RdTRABYVals!W$2:W$999,RdTRABYVals!$B$2:$B$999,"="&amp;$E203,RdTRABYVals!$C$2:$C$999,"="&amp;INS_EFF!$B203),"")</f>
        <v>0.34000000000000002</v>
      </c>
      <c r="BI203" s="95">
        <f>IFERROR(AVERAGEIFS(RdTRABYVals!X$2:X$999,RdTRABYVals!$B$2:$B$999,"="&amp;$E203,RdTRABYVals!$C$2:$C$999,"="&amp;INS_EFF!$B203),"")</f>
        <v>0.38</v>
      </c>
      <c r="BJ203" s="95">
        <f>IFERROR(AVERAGEIFS(RdTRABYVals!Y$2:Y$999,RdTRABYVals!$B$2:$B$999,"="&amp;$E203,RdTRABYVals!$C$2:$C$999,"="&amp;INS_EFF!$B203),"")</f>
        <v>0.35999999999999999</v>
      </c>
      <c r="BK203" s="95">
        <f>IFERROR(AVERAGEIFS(RdTRABYVals!Z$2:Z$999,RdTRABYVals!$B$2:$B$999,"="&amp;$E203,RdTRABYVals!$C$2:$C$999,"="&amp;INS_EFF!$B203),"")</f>
        <v>0.38</v>
      </c>
      <c r="BL203" s="95">
        <f>IFERROR(AVERAGEIFS(RdTRABYVals!AA$2:AA$999,RdTRABYVals!$B$2:$B$999,"="&amp;$E203,RdTRABYVals!$C$2:$C$999,"="&amp;INS_EFF!$B203),"")</f>
        <v>0.35999999999999999</v>
      </c>
      <c r="BM203" s="95">
        <f>IFERROR(AVERAGEIFS(RdTRABYVals!AB$2:AB$999,RdTRABYVals!$B$2:$B$999,"="&amp;$E203,RdTRABYVals!$C$2:$C$999,"="&amp;INS_EFF!$B203),"")</f>
        <v>0.39000000000000001</v>
      </c>
      <c r="BN203" s="95">
        <f>IFERROR(AVERAGEIFS(RdTRABYVals!AC$2:AC$999,RdTRABYVals!$B$2:$B$999,"="&amp;$E203,RdTRABYVals!$C$2:$C$999,"="&amp;INS_EFF!$B203),"")</f>
        <v>0.37</v>
      </c>
      <c r="BO203" s="95">
        <f>IFERROR(AVERAGEIFS(RdTRABYVals!AD$2:AD$999,RdTRABYVals!$B$2:$B$999,"="&amp;$E203,RdTRABYVals!$C$2:$C$999,"="&amp;INS_EFF!$B203),"")</f>
        <v>0.34999999999999998</v>
      </c>
      <c r="BP203" s="95">
        <f>IFERROR(AVERAGEIFS(RdTRABYVals!AE$2:AE$999,RdTRABYVals!$B$2:$B$999,"="&amp;$E203,RdTRABYVals!$C$2:$C$999,"="&amp;INS_EFF!$B203),"")</f>
        <v>0.37</v>
      </c>
      <c r="BQ203" s="95">
        <f>IFERROR(AVERAGEIFS(RdTRABYVals!AF$2:AF$999,RdTRABYVals!$B$2:$B$999,"="&amp;$E203,RdTRABYVals!$C$2:$C$999,"="&amp;INS_EFF!$B203),"")</f>
        <v>0.35999999999999999</v>
      </c>
      <c r="BR203" s="95">
        <f>IFERROR(AVERAGEIFS(RdTRABYVals!AG$2:AG$999,RdTRABYVals!$B$2:$B$999,"="&amp;$E203,RdTRABYVals!$C$2:$C$999,"="&amp;INS_EFF!$B203),"")</f>
        <v>0.35999999999999999</v>
      </c>
      <c r="BS203" s="95">
        <f>IFERROR(AVERAGEIFS(RdTRABYVals!AH$2:AH$999,RdTRABYVals!$B$2:$B$999,"="&amp;$E203,RdTRABYVals!$C$2:$C$999,"="&amp;INS_EFF!$B203),"")</f>
        <v>0.35999999999999999</v>
      </c>
      <c r="BT203" s="95">
        <f>IFERROR(AVERAGEIFS(RdTRABYVals!AI$2:AI$999,RdTRABYVals!$B$2:$B$999,"="&amp;$E203,RdTRABYVals!$C$2:$C$999,"="&amp;INS_EFF!$B203),"")</f>
        <v>0.38</v>
      </c>
      <c r="BU203" s="95">
        <f>IFERROR(AVERAGEIFS(RdTRABYVals!AJ$2:AJ$999,RdTRABYVals!$B$2:$B$999,"="&amp;$E203,RdTRABYVals!$C$2:$C$999,"="&amp;INS_EFF!$B203),"")</f>
        <v>0.34000000000000002</v>
      </c>
      <c r="BV203" s="95">
        <f>IFERROR(AVERAGEIFS(RdTRABYVals!AK$2:AK$999,RdTRABYVals!$B$2:$B$999,"="&amp;$E203,RdTRABYVals!$C$2:$C$999,"="&amp;INS_EFF!$B203),"")</f>
        <v>0.35999999999999999</v>
      </c>
      <c r="BW203" s="95">
        <f>IFERROR(AVERAGEIFS(RdTRABYVals!AL$2:AL$999,RdTRABYVals!$B$2:$B$999,"="&amp;$E203,RdTRABYVals!$C$2:$C$999,"="&amp;INS_EFF!$B203),"")</f>
        <v>0.37</v>
      </c>
      <c r="BX203" s="95">
        <f>IFERROR(AVERAGEIFS(RdTRABYVals!AM$2:AM$999,RdTRABYVals!$B$2:$B$999,"="&amp;$E203,RdTRABYVals!$C$2:$C$999,"="&amp;INS_EFF!$B203),"")</f>
        <v>0.34000000000000002</v>
      </c>
      <c r="BY203" s="95">
        <f>IFERROR(AVERAGEIFS(RdTRABYVals!AN$2:AN$999,RdTRABYVals!$B$2:$B$999,"="&amp;$E203,RdTRABYVals!$C$2:$C$999,"="&amp;INS_EFF!$B203),"")</f>
        <v>0.35999999999999999</v>
      </c>
      <c r="BZ203" s="95">
        <f>IFERROR(AVERAGEIFS(RdTRABYVals!AO$2:AO$999,RdTRABYVals!$B$2:$B$999,"="&amp;$E203,RdTRABYVals!$C$2:$C$999,"="&amp;INS_EFF!$B203),"")</f>
        <v>0.37</v>
      </c>
      <c r="CA203" s="95">
        <f>IFERROR(AVERAGEIFS(RdTRABYVals!AP$2:AP$999,RdTRABYVals!$B$2:$B$999,"="&amp;$E203,RdTRABYVals!$C$2:$C$999,"="&amp;INS_EFF!$B203),"")</f>
        <v>0.39000000000000001</v>
      </c>
      <c r="CB203" s="95">
        <f>IFERROR(AVERAGEIFS(RdTRABYVals!AQ$2:AQ$999,RdTRABYVals!$B$2:$B$999,"="&amp;$E203,RdTRABYVals!$C$2:$C$999,"="&amp;INS_EFF!$B203),"")</f>
        <v>0.33000000000000002</v>
      </c>
      <c r="CC203" s="95">
        <f>IFERROR(AVERAGEIFS(RdTRABYVals!AR$2:AR$999,RdTRABYVals!$B$2:$B$999,"="&amp;$E203,RdTRABYVals!$C$2:$C$999,"="&amp;INS_EFF!$B203),"")</f>
        <v>0.35999999999999999</v>
      </c>
      <c r="CD203" s="95">
        <f>IFERROR(AVERAGEIFS(RdTRABYVals!AS$2:AS$999,RdTRABYVals!$B$2:$B$999,"="&amp;$E203,RdTRABYVals!$C$2:$C$999,"="&amp;INS_EFF!$B203),"")</f>
        <v>0.38</v>
      </c>
      <c r="CE203" s="95">
        <f>IFERROR(AVERAGEIFS(RdTRABYVals!AT$2:AT$999,RdTRABYVals!$B$2:$B$999,"="&amp;$E203,RdTRABYVals!$C$2:$C$999,"="&amp;INS_EFF!$B203),"")</f>
        <v>0.37</v>
      </c>
      <c r="CF203" s="95">
        <f>IFERROR(AVERAGEIFS(RdTRABYVals!AU$2:AU$999,RdTRABYVals!$B$2:$B$999,"="&amp;$E203,RdTRABYVals!$C$2:$C$999,"="&amp;INS_EFF!$B203),"")</f>
        <v>0.39000000000000001</v>
      </c>
      <c r="CG203" s="95">
        <f>IFERROR(AVERAGEIFS(RdTRABYVals!AV$2:AV$999,RdTRABYVals!$B$2:$B$999,"="&amp;$E203,RdTRABYVals!$C$2:$C$999,"="&amp;INS_EFF!$B203),"")</f>
        <v>0.39000000000000001</v>
      </c>
    </row>
    <row r="204" spans="2:85" ht="15">
      <c r="B204" s="24" t="s">
        <v>122</v>
      </c>
      <c r="C204" s="24"/>
      <c r="E204" s="18" t="s">
        <v>29</v>
      </c>
      <c r="F204" s="71"/>
      <c r="G204" t="s">
        <v>122</v>
      </c>
      <c r="I204" t="str">
        <f t="shared" si="6"/>
        <v>*0.384545454545455</v>
      </c>
      <c r="J204" t="str">
        <f t="shared" si="6"/>
        <v>*0.37</v>
      </c>
      <c r="K204" t="str">
        <f t="shared" si="6"/>
        <v>*0.384545454545455</v>
      </c>
      <c r="L204" t="str">
        <f t="shared" si="6"/>
        <v>*0.42</v>
      </c>
      <c r="M204" t="str">
        <f t="shared" si="6"/>
        <v>*0.35</v>
      </c>
      <c r="N204" t="str">
        <f t="shared" si="6"/>
        <v>*0.36</v>
      </c>
      <c r="O204" t="str">
        <f t="shared" si="6"/>
        <v>*0.384545454545455</v>
      </c>
      <c r="P204" t="str">
        <f t="shared" si="6"/>
        <v>*0.384545454545455</v>
      </c>
      <c r="Q204" t="str">
        <f t="shared" si="6"/>
        <v>*0.384545454545455</v>
      </c>
      <c r="R204" t="str">
        <f t="shared" si="6"/>
        <v>*0.42</v>
      </c>
      <c r="S204" t="str">
        <f t="shared" si="6"/>
        <v>*0.47</v>
      </c>
      <c r="T204" t="str">
        <f t="shared" si="6"/>
        <v>*0.384545454545455</v>
      </c>
      <c r="U204" t="str">
        <f t="shared" si="6"/>
        <v>*0.37</v>
      </c>
      <c r="V204" t="str">
        <f t="shared" si="6"/>
        <v>*0.384545454545455</v>
      </c>
      <c r="W204" s="20" t="str">
        <f t="shared" si="6"/>
        <v>*0.384545454545455</v>
      </c>
      <c r="X204" t="str">
        <f t="shared" si="6"/>
        <v>*0.38</v>
      </c>
      <c r="Y204" t="str">
        <f t="shared" si="8"/>
        <v>*0.42</v>
      </c>
      <c r="Z204" t="str">
        <f t="shared" si="8"/>
        <v>*0.39</v>
      </c>
      <c r="AA204" t="str">
        <f t="shared" si="8"/>
        <v>*0.37</v>
      </c>
      <c r="AB204" t="str">
        <f t="shared" si="8"/>
        <v>*0.384545454545455</v>
      </c>
      <c r="AC204" t="str">
        <f t="shared" si="8"/>
        <v>*0.36</v>
      </c>
      <c r="AD204" t="str">
        <f t="shared" si="8"/>
        <v>*0.42</v>
      </c>
      <c r="AE204" t="str">
        <f t="shared" si="8"/>
        <v>*0.384545454545455</v>
      </c>
      <c r="AF204" t="str">
        <f t="shared" si="8"/>
        <v>*0.384545454545455</v>
      </c>
      <c r="AG204" t="str">
        <f t="shared" si="8"/>
        <v>*0.39</v>
      </c>
      <c r="AH204" t="str">
        <f t="shared" si="8"/>
        <v>*0.37</v>
      </c>
      <c r="AI204" t="str">
        <f t="shared" si="8"/>
        <v>*0.384545454545455</v>
      </c>
      <c r="AJ204" t="str">
        <f t="shared" si="8"/>
        <v>*0.384545454545455</v>
      </c>
      <c r="AK204" t="str">
        <f t="shared" si="8"/>
        <v>*0.33</v>
      </c>
      <c r="AL204" t="str">
        <f t="shared" si="8"/>
        <v>*0.384545454545455</v>
      </c>
      <c r="AM204" t="str">
        <f t="shared" si="8"/>
        <v>*0.38</v>
      </c>
      <c r="AN204" t="str">
        <f t="shared" si="8"/>
        <v>*0.35</v>
      </c>
      <c r="AO204" t="str">
        <f t="shared" si="9"/>
        <v>*0.36</v>
      </c>
      <c r="AP204" t="str">
        <f t="shared" si="9"/>
        <v>*0.42</v>
      </c>
      <c r="AQ204" t="str">
        <f t="shared" si="9"/>
        <v>*0.384545454545455</v>
      </c>
      <c r="AR204" t="str">
        <f t="shared" si="9"/>
        <v>*0.384545454545455</v>
      </c>
      <c r="AS204" t="str">
        <f t="shared" si="9"/>
        <v>*0.39</v>
      </c>
      <c r="AT204" t="str">
        <f t="shared" si="9"/>
        <v>*0.37</v>
      </c>
      <c r="AV204" s="95">
        <f t="shared" si="7"/>
        <v>0.38454545454545475</v>
      </c>
      <c r="AW204" s="95">
        <f>IFERROR(AVERAGEIFS(RdTRABYVals!L$2:L$999,RdTRABYVals!$B$2:$B$999,"="&amp;$E204,RdTRABYVals!$C$2:$C$999,"="&amp;INS_EFF!$B204),"")</f>
        <v>0.37</v>
      </c>
      <c r="AX204" s="95">
        <f>IFERROR(AVERAGEIFS(RdTRABYVals!M$2:M$999,RdTRABYVals!$B$2:$B$999,"="&amp;$E204,RdTRABYVals!$C$2:$C$999,"="&amp;INS_EFF!$B204),"")</f>
        <v>0.38454545454545502</v>
      </c>
      <c r="AY204" s="95">
        <f>IFERROR(AVERAGEIFS(RdTRABYVals!N$2:N$999,RdTRABYVals!$B$2:$B$999,"="&amp;$E204,RdTRABYVals!$C$2:$C$999,"="&amp;INS_EFF!$B204),"")</f>
        <v>0.41999999999999998</v>
      </c>
      <c r="AZ204" s="95">
        <f>IFERROR(AVERAGEIFS(RdTRABYVals!O$2:O$999,RdTRABYVals!$B$2:$B$999,"="&amp;$E204,RdTRABYVals!$C$2:$C$999,"="&amp;INS_EFF!$B204),"")</f>
        <v>0.34999999999999998</v>
      </c>
      <c r="BA204" s="95">
        <f>IFERROR(AVERAGEIFS(RdTRABYVals!P$2:P$999,RdTRABYVals!$B$2:$B$999,"="&amp;$E204,RdTRABYVals!$C$2:$C$999,"="&amp;INS_EFF!$B204),"")</f>
        <v>0.35999999999999999</v>
      </c>
      <c r="BB204" s="95">
        <f>IFERROR(AVERAGEIFS(RdTRABYVals!Q$2:Q$999,RdTRABYVals!$B$2:$B$999,"="&amp;$E204,RdTRABYVals!$C$2:$C$999,"="&amp;INS_EFF!$B204),"")</f>
        <v>0.38454545454545502</v>
      </c>
      <c r="BC204" s="95">
        <f>IFERROR(AVERAGEIFS(RdTRABYVals!R$2:R$999,RdTRABYVals!$B$2:$B$999,"="&amp;$E204,RdTRABYVals!$C$2:$C$999,"="&amp;INS_EFF!$B204),"")</f>
        <v>0.38454545454545502</v>
      </c>
      <c r="BD204" s="95">
        <f>IFERROR(AVERAGEIFS(RdTRABYVals!S$2:S$999,RdTRABYVals!$B$2:$B$999,"="&amp;$E204,RdTRABYVals!$C$2:$C$999,"="&amp;INS_EFF!$B204),"")</f>
        <v>0.38454545454545502</v>
      </c>
      <c r="BE204" s="95">
        <f>IFERROR(AVERAGEIFS(RdTRABYVals!T$2:T$999,RdTRABYVals!$B$2:$B$999,"="&amp;$E204,RdTRABYVals!$C$2:$C$999,"="&amp;INS_EFF!$B204),"")</f>
        <v>0.41999999999999998</v>
      </c>
      <c r="BF204" s="95">
        <f>IFERROR(AVERAGEIFS(RdTRABYVals!U$2:U$999,RdTRABYVals!$B$2:$B$999,"="&amp;$E204,RdTRABYVals!$C$2:$C$999,"="&amp;INS_EFF!$B204),"")</f>
        <v>0.46999999999999997</v>
      </c>
      <c r="BG204" s="95">
        <f>IFERROR(AVERAGEIFS(RdTRABYVals!V$2:V$999,RdTRABYVals!$B$2:$B$999,"="&amp;$E204,RdTRABYVals!$C$2:$C$999,"="&amp;INS_EFF!$B204),"")</f>
        <v>0.38454545454545502</v>
      </c>
      <c r="BH204" s="95">
        <f>IFERROR(AVERAGEIFS(RdTRABYVals!W$2:W$999,RdTRABYVals!$B$2:$B$999,"="&amp;$E204,RdTRABYVals!$C$2:$C$999,"="&amp;INS_EFF!$B204),"")</f>
        <v>0.37</v>
      </c>
      <c r="BI204" s="95">
        <f>IFERROR(AVERAGEIFS(RdTRABYVals!X$2:X$999,RdTRABYVals!$B$2:$B$999,"="&amp;$E204,RdTRABYVals!$C$2:$C$999,"="&amp;INS_EFF!$B204),"")</f>
        <v>0.38454545454545502</v>
      </c>
      <c r="BJ204" s="95">
        <f>IFERROR(AVERAGEIFS(RdTRABYVals!Y$2:Y$999,RdTRABYVals!$B$2:$B$999,"="&amp;$E204,RdTRABYVals!$C$2:$C$999,"="&amp;INS_EFF!$B204),"")</f>
        <v>0.38454545454545502</v>
      </c>
      <c r="BK204" s="95">
        <f>IFERROR(AVERAGEIFS(RdTRABYVals!Z$2:Z$999,RdTRABYVals!$B$2:$B$999,"="&amp;$E204,RdTRABYVals!$C$2:$C$999,"="&amp;INS_EFF!$B204),"")</f>
        <v>0.38</v>
      </c>
      <c r="BL204" s="95">
        <f>IFERROR(AVERAGEIFS(RdTRABYVals!AA$2:AA$999,RdTRABYVals!$B$2:$B$999,"="&amp;$E204,RdTRABYVals!$C$2:$C$999,"="&amp;INS_EFF!$B204),"")</f>
        <v>0.41999999999999998</v>
      </c>
      <c r="BM204" s="95">
        <f>IFERROR(AVERAGEIFS(RdTRABYVals!AB$2:AB$999,RdTRABYVals!$B$2:$B$999,"="&amp;$E204,RdTRABYVals!$C$2:$C$999,"="&amp;INS_EFF!$B204),"")</f>
        <v>0.39000000000000001</v>
      </c>
      <c r="BN204" s="95">
        <f>IFERROR(AVERAGEIFS(RdTRABYVals!AC$2:AC$999,RdTRABYVals!$B$2:$B$999,"="&amp;$E204,RdTRABYVals!$C$2:$C$999,"="&amp;INS_EFF!$B204),"")</f>
        <v>0.37</v>
      </c>
      <c r="BO204" s="95">
        <f>IFERROR(AVERAGEIFS(RdTRABYVals!AD$2:AD$999,RdTRABYVals!$B$2:$B$999,"="&amp;$E204,RdTRABYVals!$C$2:$C$999,"="&amp;INS_EFF!$B204),"")</f>
        <v>0.38454545454545502</v>
      </c>
      <c r="BP204" s="95">
        <f>IFERROR(AVERAGEIFS(RdTRABYVals!AE$2:AE$999,RdTRABYVals!$B$2:$B$999,"="&amp;$E204,RdTRABYVals!$C$2:$C$999,"="&amp;INS_EFF!$B204),"")</f>
        <v>0.35999999999999999</v>
      </c>
      <c r="BQ204" s="95">
        <f>IFERROR(AVERAGEIFS(RdTRABYVals!AF$2:AF$999,RdTRABYVals!$B$2:$B$999,"="&amp;$E204,RdTRABYVals!$C$2:$C$999,"="&amp;INS_EFF!$B204),"")</f>
        <v>0.41999999999999998</v>
      </c>
      <c r="BR204" s="95">
        <f>IFERROR(AVERAGEIFS(RdTRABYVals!AG$2:AG$999,RdTRABYVals!$B$2:$B$999,"="&amp;$E204,RdTRABYVals!$C$2:$C$999,"="&amp;INS_EFF!$B204),"")</f>
        <v>0.38454545454545502</v>
      </c>
      <c r="BS204" s="95">
        <f>IFERROR(AVERAGEIFS(RdTRABYVals!AH$2:AH$999,RdTRABYVals!$B$2:$B$999,"="&amp;$E204,RdTRABYVals!$C$2:$C$999,"="&amp;INS_EFF!$B204),"")</f>
        <v>0.38454545454545502</v>
      </c>
      <c r="BT204" s="95">
        <f>IFERROR(AVERAGEIFS(RdTRABYVals!AI$2:AI$999,RdTRABYVals!$B$2:$B$999,"="&amp;$E204,RdTRABYVals!$C$2:$C$999,"="&amp;INS_EFF!$B204),"")</f>
        <v>0.39000000000000001</v>
      </c>
      <c r="BU204" s="95">
        <f>IFERROR(AVERAGEIFS(RdTRABYVals!AJ$2:AJ$999,RdTRABYVals!$B$2:$B$999,"="&amp;$E204,RdTRABYVals!$C$2:$C$999,"="&amp;INS_EFF!$B204),"")</f>
        <v>0.37</v>
      </c>
      <c r="BV204" s="95">
        <f>IFERROR(AVERAGEIFS(RdTRABYVals!AK$2:AK$999,RdTRABYVals!$B$2:$B$999,"="&amp;$E204,RdTRABYVals!$C$2:$C$999,"="&amp;INS_EFF!$B204),"")</f>
        <v>0.38454545454545502</v>
      </c>
      <c r="BW204" s="95">
        <f>IFERROR(AVERAGEIFS(RdTRABYVals!AL$2:AL$999,RdTRABYVals!$B$2:$B$999,"="&amp;$E204,RdTRABYVals!$C$2:$C$999,"="&amp;INS_EFF!$B204),"")</f>
        <v>0.38454545454545502</v>
      </c>
      <c r="BX204" s="95">
        <f>IFERROR(AVERAGEIFS(RdTRABYVals!AM$2:AM$999,RdTRABYVals!$B$2:$B$999,"="&amp;$E204,RdTRABYVals!$C$2:$C$999,"="&amp;INS_EFF!$B204),"")</f>
        <v>0.33000000000000002</v>
      </c>
      <c r="BY204" s="95">
        <f>IFERROR(AVERAGEIFS(RdTRABYVals!AN$2:AN$999,RdTRABYVals!$B$2:$B$999,"="&amp;$E204,RdTRABYVals!$C$2:$C$999,"="&amp;INS_EFF!$B204),"")</f>
        <v>0.38454545454545502</v>
      </c>
      <c r="BZ204" s="95">
        <f>IFERROR(AVERAGEIFS(RdTRABYVals!AO$2:AO$999,RdTRABYVals!$B$2:$B$999,"="&amp;$E204,RdTRABYVals!$C$2:$C$999,"="&amp;INS_EFF!$B204),"")</f>
        <v>0.38</v>
      </c>
      <c r="CA204" s="95">
        <f>IFERROR(AVERAGEIFS(RdTRABYVals!AP$2:AP$999,RdTRABYVals!$B$2:$B$999,"="&amp;$E204,RdTRABYVals!$C$2:$C$999,"="&amp;INS_EFF!$B204),"")</f>
        <v>0.34999999999999998</v>
      </c>
      <c r="CB204" s="95">
        <f>IFERROR(AVERAGEIFS(RdTRABYVals!AQ$2:AQ$999,RdTRABYVals!$B$2:$B$999,"="&amp;$E204,RdTRABYVals!$C$2:$C$999,"="&amp;INS_EFF!$B204),"")</f>
        <v>0.35999999999999999</v>
      </c>
      <c r="CC204" s="95">
        <f>IFERROR(AVERAGEIFS(RdTRABYVals!AR$2:AR$999,RdTRABYVals!$B$2:$B$999,"="&amp;$E204,RdTRABYVals!$C$2:$C$999,"="&amp;INS_EFF!$B204),"")</f>
        <v>0.41999999999999998</v>
      </c>
      <c r="CD204" s="95">
        <f>IFERROR(AVERAGEIFS(RdTRABYVals!AS$2:AS$999,RdTRABYVals!$B$2:$B$999,"="&amp;$E204,RdTRABYVals!$C$2:$C$999,"="&amp;INS_EFF!$B204),"")</f>
        <v>0.38454545454545502</v>
      </c>
      <c r="CE204" s="95">
        <f>IFERROR(AVERAGEIFS(RdTRABYVals!AT$2:AT$999,RdTRABYVals!$B$2:$B$999,"="&amp;$E204,RdTRABYVals!$C$2:$C$999,"="&amp;INS_EFF!$B204),"")</f>
        <v>0.38454545454545502</v>
      </c>
      <c r="CF204" s="95">
        <f>IFERROR(AVERAGEIFS(RdTRABYVals!AU$2:AU$999,RdTRABYVals!$B$2:$B$999,"="&amp;$E204,RdTRABYVals!$C$2:$C$999,"="&amp;INS_EFF!$B204),"")</f>
        <v>0.39000000000000001</v>
      </c>
      <c r="CG204" s="95">
        <f>IFERROR(AVERAGEIFS(RdTRABYVals!AV$2:AV$999,RdTRABYVals!$B$2:$B$999,"="&amp;$E204,RdTRABYVals!$C$2:$C$999,"="&amp;INS_EFF!$B204),"")</f>
        <v>0.37</v>
      </c>
    </row>
    <row r="205" spans="2:85" ht="15">
      <c r="B205" s="24" t="s">
        <v>123</v>
      </c>
      <c r="C205" s="24"/>
      <c r="E205" s="18" t="s">
        <v>29</v>
      </c>
      <c r="F205" s="71"/>
      <c r="G205" t="s">
        <v>123</v>
      </c>
      <c r="I205" t="str">
        <f t="shared" si="6"/>
        <v>*0.384090909090909</v>
      </c>
      <c r="J205" t="str">
        <f t="shared" si="6"/>
        <v>*0.37</v>
      </c>
      <c r="K205" t="str">
        <f t="shared" si="6"/>
        <v>*0.384090909090909</v>
      </c>
      <c r="L205" t="str">
        <f t="shared" si="6"/>
        <v>*0.42</v>
      </c>
      <c r="M205" t="str">
        <f t="shared" si="6"/>
        <v>*0.35</v>
      </c>
      <c r="N205" t="str">
        <f t="shared" si="6"/>
        <v>*0.36</v>
      </c>
      <c r="O205" t="str">
        <f t="shared" si="6"/>
        <v>*0.384090909090909</v>
      </c>
      <c r="P205" t="str">
        <f t="shared" si="6"/>
        <v>*0.384090909090909</v>
      </c>
      <c r="Q205" t="str">
        <f t="shared" si="6"/>
        <v>*0.384090909090909</v>
      </c>
      <c r="R205" t="str">
        <f t="shared" si="6"/>
        <v>*0.41</v>
      </c>
      <c r="S205" t="str">
        <f t="shared" si="6"/>
        <v>*0.47</v>
      </c>
      <c r="T205" t="str">
        <f t="shared" si="6"/>
        <v>*0.384090909090909</v>
      </c>
      <c r="U205" t="str">
        <f t="shared" si="6"/>
        <v>*0.37</v>
      </c>
      <c r="V205" t="str">
        <f t="shared" si="6"/>
        <v>*0.384090909090909</v>
      </c>
      <c r="W205" s="20" t="str">
        <f t="shared" si="6"/>
        <v>*0.384090909090909</v>
      </c>
      <c r="X205" t="str">
        <f t="shared" si="6"/>
        <v>*0.38</v>
      </c>
      <c r="Y205" t="str">
        <f t="shared" si="8"/>
        <v>*0.42</v>
      </c>
      <c r="Z205" t="str">
        <f t="shared" si="8"/>
        <v>*0.39</v>
      </c>
      <c r="AA205" t="str">
        <f t="shared" si="8"/>
        <v>*0.37</v>
      </c>
      <c r="AB205" t="str">
        <f t="shared" si="8"/>
        <v>*0.384090909090909</v>
      </c>
      <c r="AC205" t="str">
        <f t="shared" si="8"/>
        <v>*0.36</v>
      </c>
      <c r="AD205" t="str">
        <f t="shared" si="8"/>
        <v>*0.42</v>
      </c>
      <c r="AE205" t="str">
        <f t="shared" si="8"/>
        <v>*0.384090909090909</v>
      </c>
      <c r="AF205" t="str">
        <f t="shared" si="8"/>
        <v>*0.384090909090909</v>
      </c>
      <c r="AG205" t="str">
        <f t="shared" si="8"/>
        <v>*0.39</v>
      </c>
      <c r="AH205" t="str">
        <f t="shared" si="8"/>
        <v>*0.37</v>
      </c>
      <c r="AI205" t="str">
        <f t="shared" si="8"/>
        <v>*0.384090909090909</v>
      </c>
      <c r="AJ205" t="str">
        <f t="shared" si="8"/>
        <v>*0.384090909090909</v>
      </c>
      <c r="AK205" t="str">
        <f t="shared" si="8"/>
        <v>*0.33</v>
      </c>
      <c r="AL205" t="str">
        <f t="shared" si="8"/>
        <v>*0.384090909090909</v>
      </c>
      <c r="AM205" t="str">
        <f t="shared" si="8"/>
        <v>*0.38</v>
      </c>
      <c r="AN205" t="str">
        <f t="shared" si="8"/>
        <v>*0.35</v>
      </c>
      <c r="AO205" t="str">
        <f t="shared" si="9"/>
        <v>*0.36</v>
      </c>
      <c r="AP205" t="str">
        <f t="shared" si="9"/>
        <v>*0.42</v>
      </c>
      <c r="AQ205" t="str">
        <f t="shared" si="9"/>
        <v>*0.384090909090909</v>
      </c>
      <c r="AR205" t="str">
        <f t="shared" si="9"/>
        <v>*0.384090909090909</v>
      </c>
      <c r="AS205" t="str">
        <f t="shared" si="9"/>
        <v>*0.39</v>
      </c>
      <c r="AT205" t="str">
        <f t="shared" si="9"/>
        <v>*0.37</v>
      </c>
      <c r="AV205" s="95">
        <f t="shared" si="7"/>
        <v>0.38409090909090898</v>
      </c>
      <c r="AW205" s="95">
        <f>IFERROR(AVERAGEIFS(RdTRABYVals!L$2:L$999,RdTRABYVals!$B$2:$B$999,"="&amp;$E205,RdTRABYVals!$C$2:$C$999,"="&amp;INS_EFF!$B205),"")</f>
        <v>0.37</v>
      </c>
      <c r="AX205" s="95">
        <f>IFERROR(AVERAGEIFS(RdTRABYVals!M$2:M$999,RdTRABYVals!$B$2:$B$999,"="&amp;$E205,RdTRABYVals!$C$2:$C$999,"="&amp;INS_EFF!$B205),"")</f>
        <v>0.38409090909090898</v>
      </c>
      <c r="AY205" s="95">
        <f>IFERROR(AVERAGEIFS(RdTRABYVals!N$2:N$999,RdTRABYVals!$B$2:$B$999,"="&amp;$E205,RdTRABYVals!$C$2:$C$999,"="&amp;INS_EFF!$B205),"")</f>
        <v>0.41999999999999998</v>
      </c>
      <c r="AZ205" s="95">
        <f>IFERROR(AVERAGEIFS(RdTRABYVals!O$2:O$999,RdTRABYVals!$B$2:$B$999,"="&amp;$E205,RdTRABYVals!$C$2:$C$999,"="&amp;INS_EFF!$B205),"")</f>
        <v>0.34999999999999998</v>
      </c>
      <c r="BA205" s="95">
        <f>IFERROR(AVERAGEIFS(RdTRABYVals!P$2:P$999,RdTRABYVals!$B$2:$B$999,"="&amp;$E205,RdTRABYVals!$C$2:$C$999,"="&amp;INS_EFF!$B205),"")</f>
        <v>0.35999999999999999</v>
      </c>
      <c r="BB205" s="95">
        <f>IFERROR(AVERAGEIFS(RdTRABYVals!Q$2:Q$999,RdTRABYVals!$B$2:$B$999,"="&amp;$E205,RdTRABYVals!$C$2:$C$999,"="&amp;INS_EFF!$B205),"")</f>
        <v>0.38409090909090898</v>
      </c>
      <c r="BC205" s="95">
        <f>IFERROR(AVERAGEIFS(RdTRABYVals!R$2:R$999,RdTRABYVals!$B$2:$B$999,"="&amp;$E205,RdTRABYVals!$C$2:$C$999,"="&amp;INS_EFF!$B205),"")</f>
        <v>0.38409090909090898</v>
      </c>
      <c r="BD205" s="95">
        <f>IFERROR(AVERAGEIFS(RdTRABYVals!S$2:S$999,RdTRABYVals!$B$2:$B$999,"="&amp;$E205,RdTRABYVals!$C$2:$C$999,"="&amp;INS_EFF!$B205),"")</f>
        <v>0.38409090909090898</v>
      </c>
      <c r="BE205" s="95">
        <f>IFERROR(AVERAGEIFS(RdTRABYVals!T$2:T$999,RdTRABYVals!$B$2:$B$999,"="&amp;$E205,RdTRABYVals!$C$2:$C$999,"="&amp;INS_EFF!$B205),"")</f>
        <v>0.40999999999999998</v>
      </c>
      <c r="BF205" s="95">
        <f>IFERROR(AVERAGEIFS(RdTRABYVals!U$2:U$999,RdTRABYVals!$B$2:$B$999,"="&amp;$E205,RdTRABYVals!$C$2:$C$999,"="&amp;INS_EFF!$B205),"")</f>
        <v>0.46999999999999997</v>
      </c>
      <c r="BG205" s="95">
        <f>IFERROR(AVERAGEIFS(RdTRABYVals!V$2:V$999,RdTRABYVals!$B$2:$B$999,"="&amp;$E205,RdTRABYVals!$C$2:$C$999,"="&amp;INS_EFF!$B205),"")</f>
        <v>0.38409090909090898</v>
      </c>
      <c r="BH205" s="95">
        <f>IFERROR(AVERAGEIFS(RdTRABYVals!W$2:W$999,RdTRABYVals!$B$2:$B$999,"="&amp;$E205,RdTRABYVals!$C$2:$C$999,"="&amp;INS_EFF!$B205),"")</f>
        <v>0.37</v>
      </c>
      <c r="BI205" s="95">
        <f>IFERROR(AVERAGEIFS(RdTRABYVals!X$2:X$999,RdTRABYVals!$B$2:$B$999,"="&amp;$E205,RdTRABYVals!$C$2:$C$999,"="&amp;INS_EFF!$B205),"")</f>
        <v>0.38409090909090898</v>
      </c>
      <c r="BJ205" s="95">
        <f>IFERROR(AVERAGEIFS(RdTRABYVals!Y$2:Y$999,RdTRABYVals!$B$2:$B$999,"="&amp;$E205,RdTRABYVals!$C$2:$C$999,"="&amp;INS_EFF!$B205),"")</f>
        <v>0.38409090909090898</v>
      </c>
      <c r="BK205" s="95">
        <f>IFERROR(AVERAGEIFS(RdTRABYVals!Z$2:Z$999,RdTRABYVals!$B$2:$B$999,"="&amp;$E205,RdTRABYVals!$C$2:$C$999,"="&amp;INS_EFF!$B205),"")</f>
        <v>0.38</v>
      </c>
      <c r="BL205" s="95">
        <f>IFERROR(AVERAGEIFS(RdTRABYVals!AA$2:AA$999,RdTRABYVals!$B$2:$B$999,"="&amp;$E205,RdTRABYVals!$C$2:$C$999,"="&amp;INS_EFF!$B205),"")</f>
        <v>0.41999999999999998</v>
      </c>
      <c r="BM205" s="95">
        <f>IFERROR(AVERAGEIFS(RdTRABYVals!AB$2:AB$999,RdTRABYVals!$B$2:$B$999,"="&amp;$E205,RdTRABYVals!$C$2:$C$999,"="&amp;INS_EFF!$B205),"")</f>
        <v>0.39000000000000001</v>
      </c>
      <c r="BN205" s="95">
        <f>IFERROR(AVERAGEIFS(RdTRABYVals!AC$2:AC$999,RdTRABYVals!$B$2:$B$999,"="&amp;$E205,RdTRABYVals!$C$2:$C$999,"="&amp;INS_EFF!$B205),"")</f>
        <v>0.37</v>
      </c>
      <c r="BO205" s="95">
        <f>IFERROR(AVERAGEIFS(RdTRABYVals!AD$2:AD$999,RdTRABYVals!$B$2:$B$999,"="&amp;$E205,RdTRABYVals!$C$2:$C$999,"="&amp;INS_EFF!$B205),"")</f>
        <v>0.38409090909090898</v>
      </c>
      <c r="BP205" s="95">
        <f>IFERROR(AVERAGEIFS(RdTRABYVals!AE$2:AE$999,RdTRABYVals!$B$2:$B$999,"="&amp;$E205,RdTRABYVals!$C$2:$C$999,"="&amp;INS_EFF!$B205),"")</f>
        <v>0.35999999999999999</v>
      </c>
      <c r="BQ205" s="95">
        <f>IFERROR(AVERAGEIFS(RdTRABYVals!AF$2:AF$999,RdTRABYVals!$B$2:$B$999,"="&amp;$E205,RdTRABYVals!$C$2:$C$999,"="&amp;INS_EFF!$B205),"")</f>
        <v>0.41999999999999998</v>
      </c>
      <c r="BR205" s="95">
        <f>IFERROR(AVERAGEIFS(RdTRABYVals!AG$2:AG$999,RdTRABYVals!$B$2:$B$999,"="&amp;$E205,RdTRABYVals!$C$2:$C$999,"="&amp;INS_EFF!$B205),"")</f>
        <v>0.38409090909090898</v>
      </c>
      <c r="BS205" s="95">
        <f>IFERROR(AVERAGEIFS(RdTRABYVals!AH$2:AH$999,RdTRABYVals!$B$2:$B$999,"="&amp;$E205,RdTRABYVals!$C$2:$C$999,"="&amp;INS_EFF!$B205),"")</f>
        <v>0.38409090909090898</v>
      </c>
      <c r="BT205" s="95">
        <f>IFERROR(AVERAGEIFS(RdTRABYVals!AI$2:AI$999,RdTRABYVals!$B$2:$B$999,"="&amp;$E205,RdTRABYVals!$C$2:$C$999,"="&amp;INS_EFF!$B205),"")</f>
        <v>0.39000000000000001</v>
      </c>
      <c r="BU205" s="95">
        <f>IFERROR(AVERAGEIFS(RdTRABYVals!AJ$2:AJ$999,RdTRABYVals!$B$2:$B$999,"="&amp;$E205,RdTRABYVals!$C$2:$C$999,"="&amp;INS_EFF!$B205),"")</f>
        <v>0.37</v>
      </c>
      <c r="BV205" s="95">
        <f>IFERROR(AVERAGEIFS(RdTRABYVals!AK$2:AK$999,RdTRABYVals!$B$2:$B$999,"="&amp;$E205,RdTRABYVals!$C$2:$C$999,"="&amp;INS_EFF!$B205),"")</f>
        <v>0.38409090909090898</v>
      </c>
      <c r="BW205" s="95">
        <f>IFERROR(AVERAGEIFS(RdTRABYVals!AL$2:AL$999,RdTRABYVals!$B$2:$B$999,"="&amp;$E205,RdTRABYVals!$C$2:$C$999,"="&amp;INS_EFF!$B205),"")</f>
        <v>0.38409090909090898</v>
      </c>
      <c r="BX205" s="95">
        <f>IFERROR(AVERAGEIFS(RdTRABYVals!AM$2:AM$999,RdTRABYVals!$B$2:$B$999,"="&amp;$E205,RdTRABYVals!$C$2:$C$999,"="&amp;INS_EFF!$B205),"")</f>
        <v>0.33000000000000002</v>
      </c>
      <c r="BY205" s="95">
        <f>IFERROR(AVERAGEIFS(RdTRABYVals!AN$2:AN$999,RdTRABYVals!$B$2:$B$999,"="&amp;$E205,RdTRABYVals!$C$2:$C$999,"="&amp;INS_EFF!$B205),"")</f>
        <v>0.38409090909090898</v>
      </c>
      <c r="BZ205" s="95">
        <f>IFERROR(AVERAGEIFS(RdTRABYVals!AO$2:AO$999,RdTRABYVals!$B$2:$B$999,"="&amp;$E205,RdTRABYVals!$C$2:$C$999,"="&amp;INS_EFF!$B205),"")</f>
        <v>0.38</v>
      </c>
      <c r="CA205" s="95">
        <f>IFERROR(AVERAGEIFS(RdTRABYVals!AP$2:AP$999,RdTRABYVals!$B$2:$B$999,"="&amp;$E205,RdTRABYVals!$C$2:$C$999,"="&amp;INS_EFF!$B205),"")</f>
        <v>0.34999999999999998</v>
      </c>
      <c r="CB205" s="95">
        <f>IFERROR(AVERAGEIFS(RdTRABYVals!AQ$2:AQ$999,RdTRABYVals!$B$2:$B$999,"="&amp;$E205,RdTRABYVals!$C$2:$C$999,"="&amp;INS_EFF!$B205),"")</f>
        <v>0.35999999999999999</v>
      </c>
      <c r="CC205" s="95">
        <f>IFERROR(AVERAGEIFS(RdTRABYVals!AR$2:AR$999,RdTRABYVals!$B$2:$B$999,"="&amp;$E205,RdTRABYVals!$C$2:$C$999,"="&amp;INS_EFF!$B205),"")</f>
        <v>0.41999999999999998</v>
      </c>
      <c r="CD205" s="95">
        <f>IFERROR(AVERAGEIFS(RdTRABYVals!AS$2:AS$999,RdTRABYVals!$B$2:$B$999,"="&amp;$E205,RdTRABYVals!$C$2:$C$999,"="&amp;INS_EFF!$B205),"")</f>
        <v>0.38409090909090898</v>
      </c>
      <c r="CE205" s="95">
        <f>IFERROR(AVERAGEIFS(RdTRABYVals!AT$2:AT$999,RdTRABYVals!$B$2:$B$999,"="&amp;$E205,RdTRABYVals!$C$2:$C$999,"="&amp;INS_EFF!$B205),"")</f>
        <v>0.38409090909090898</v>
      </c>
      <c r="CF205" s="95">
        <f>IFERROR(AVERAGEIFS(RdTRABYVals!AU$2:AU$999,RdTRABYVals!$B$2:$B$999,"="&amp;$E205,RdTRABYVals!$C$2:$C$999,"="&amp;INS_EFF!$B205),"")</f>
        <v>0.39000000000000001</v>
      </c>
      <c r="CG205" s="95">
        <f>IFERROR(AVERAGEIFS(RdTRABYVals!AV$2:AV$999,RdTRABYVals!$B$2:$B$999,"="&amp;$E205,RdTRABYVals!$C$2:$C$999,"="&amp;INS_EFF!$B205),"")</f>
        <v>0.37</v>
      </c>
    </row>
    <row r="206" spans="2:85" ht="15">
      <c r="B206" s="24" t="s">
        <v>124</v>
      </c>
      <c r="C206" s="24"/>
      <c r="E206" s="18" t="s">
        <v>29</v>
      </c>
      <c r="F206" s="71"/>
      <c r="G206" t="s">
        <v>124</v>
      </c>
      <c r="I206" t="str">
        <f t="shared" si="6"/>
        <v>*0.384545454545455</v>
      </c>
      <c r="J206" t="str">
        <f t="shared" si="6"/>
        <v>*0.37</v>
      </c>
      <c r="K206" t="str">
        <f t="shared" si="6"/>
        <v>*0.384545454545455</v>
      </c>
      <c r="L206" t="str">
        <f t="shared" si="6"/>
        <v>*0.42</v>
      </c>
      <c r="M206" t="str">
        <f t="shared" si="6"/>
        <v>*0.35</v>
      </c>
      <c r="N206" t="str">
        <f t="shared" si="6"/>
        <v>*0.36</v>
      </c>
      <c r="O206" t="str">
        <f t="shared" si="6"/>
        <v>*0.384545454545455</v>
      </c>
      <c r="P206" t="str">
        <f t="shared" si="6"/>
        <v>*0.384545454545455</v>
      </c>
      <c r="Q206" t="str">
        <f t="shared" si="6"/>
        <v>*0.384545454545455</v>
      </c>
      <c r="R206" t="str">
        <f t="shared" si="6"/>
        <v>*0.41</v>
      </c>
      <c r="S206" t="str">
        <f t="shared" si="6"/>
        <v>*0.47</v>
      </c>
      <c r="T206" t="str">
        <f t="shared" si="6"/>
        <v>*0.384545454545455</v>
      </c>
      <c r="U206" t="str">
        <f t="shared" si="6"/>
        <v>*0.37</v>
      </c>
      <c r="V206" t="str">
        <f t="shared" si="6"/>
        <v>*0.384545454545455</v>
      </c>
      <c r="W206" s="20" t="str">
        <f t="shared" si="6"/>
        <v>*0.384545454545455</v>
      </c>
      <c r="X206" t="str">
        <f t="shared" si="6"/>
        <v>*0.38</v>
      </c>
      <c r="Y206" t="str">
        <f t="shared" si="8"/>
        <v>*0.42</v>
      </c>
      <c r="Z206" t="str">
        <f t="shared" si="8"/>
        <v>*0.39</v>
      </c>
      <c r="AA206" t="str">
        <f t="shared" si="8"/>
        <v>*0.37</v>
      </c>
      <c r="AB206" t="str">
        <f t="shared" si="8"/>
        <v>*0.384545454545455</v>
      </c>
      <c r="AC206" t="str">
        <f t="shared" si="8"/>
        <v>*0.36</v>
      </c>
      <c r="AD206" t="str">
        <f t="shared" si="8"/>
        <v>*0.42</v>
      </c>
      <c r="AE206" t="str">
        <f t="shared" si="8"/>
        <v>*0.384545454545455</v>
      </c>
      <c r="AF206" t="str">
        <f t="shared" si="8"/>
        <v>*0.384545454545455</v>
      </c>
      <c r="AG206" t="str">
        <f t="shared" si="8"/>
        <v>*0.39</v>
      </c>
      <c r="AH206" t="str">
        <f t="shared" si="8"/>
        <v>*0.37</v>
      </c>
      <c r="AI206" t="str">
        <f t="shared" si="8"/>
        <v>*0.384545454545455</v>
      </c>
      <c r="AJ206" t="str">
        <f t="shared" si="8"/>
        <v>*0.384545454545455</v>
      </c>
      <c r="AK206" t="str">
        <f t="shared" si="8"/>
        <v>*0.34</v>
      </c>
      <c r="AL206" t="str">
        <f t="shared" si="8"/>
        <v>*0.384545454545455</v>
      </c>
      <c r="AM206" t="str">
        <f t="shared" si="8"/>
        <v>*0.38</v>
      </c>
      <c r="AN206" t="str">
        <f t="shared" si="8"/>
        <v>*0.35</v>
      </c>
      <c r="AO206" t="str">
        <f t="shared" si="9"/>
        <v>*0.36</v>
      </c>
      <c r="AP206" t="str">
        <f t="shared" si="9"/>
        <v>*0.42</v>
      </c>
      <c r="AQ206" t="str">
        <f t="shared" si="9"/>
        <v>*0.384545454545455</v>
      </c>
      <c r="AR206" t="str">
        <f t="shared" si="9"/>
        <v>*0.384545454545455</v>
      </c>
      <c r="AS206" t="str">
        <f t="shared" si="9"/>
        <v>*0.39</v>
      </c>
      <c r="AT206" t="str">
        <f t="shared" si="9"/>
        <v>*0.37</v>
      </c>
      <c r="AV206" s="95">
        <f t="shared" si="7"/>
        <v>0.38454545454545469</v>
      </c>
      <c r="AW206" s="95">
        <f>IFERROR(AVERAGEIFS(RdTRABYVals!L$2:L$999,RdTRABYVals!$B$2:$B$999,"="&amp;$E206,RdTRABYVals!$C$2:$C$999,"="&amp;INS_EFF!$B206),"")</f>
        <v>0.37</v>
      </c>
      <c r="AX206" s="95">
        <f>IFERROR(AVERAGEIFS(RdTRABYVals!M$2:M$999,RdTRABYVals!$B$2:$B$999,"="&amp;$E206,RdTRABYVals!$C$2:$C$999,"="&amp;INS_EFF!$B206),"")</f>
        <v>0.38454545454545502</v>
      </c>
      <c r="AY206" s="95">
        <f>IFERROR(AVERAGEIFS(RdTRABYVals!N$2:N$999,RdTRABYVals!$B$2:$B$999,"="&amp;$E206,RdTRABYVals!$C$2:$C$999,"="&amp;INS_EFF!$B206),"")</f>
        <v>0.41999999999999998</v>
      </c>
      <c r="AZ206" s="95">
        <f>IFERROR(AVERAGEIFS(RdTRABYVals!O$2:O$999,RdTRABYVals!$B$2:$B$999,"="&amp;$E206,RdTRABYVals!$C$2:$C$999,"="&amp;INS_EFF!$B206),"")</f>
        <v>0.34999999999999998</v>
      </c>
      <c r="BA206" s="95">
        <f>IFERROR(AVERAGEIFS(RdTRABYVals!P$2:P$999,RdTRABYVals!$B$2:$B$999,"="&amp;$E206,RdTRABYVals!$C$2:$C$999,"="&amp;INS_EFF!$B206),"")</f>
        <v>0.35999999999999999</v>
      </c>
      <c r="BB206" s="95">
        <f>IFERROR(AVERAGEIFS(RdTRABYVals!Q$2:Q$999,RdTRABYVals!$B$2:$B$999,"="&amp;$E206,RdTRABYVals!$C$2:$C$999,"="&amp;INS_EFF!$B206),"")</f>
        <v>0.38454545454545502</v>
      </c>
      <c r="BC206" s="95">
        <f>IFERROR(AVERAGEIFS(RdTRABYVals!R$2:R$999,RdTRABYVals!$B$2:$B$999,"="&amp;$E206,RdTRABYVals!$C$2:$C$999,"="&amp;INS_EFF!$B206),"")</f>
        <v>0.38454545454545502</v>
      </c>
      <c r="BD206" s="95">
        <f>IFERROR(AVERAGEIFS(RdTRABYVals!S$2:S$999,RdTRABYVals!$B$2:$B$999,"="&amp;$E206,RdTRABYVals!$C$2:$C$999,"="&amp;INS_EFF!$B206),"")</f>
        <v>0.38454545454545502</v>
      </c>
      <c r="BE206" s="95">
        <f>IFERROR(AVERAGEIFS(RdTRABYVals!T$2:T$999,RdTRABYVals!$B$2:$B$999,"="&amp;$E206,RdTRABYVals!$C$2:$C$999,"="&amp;INS_EFF!$B206),"")</f>
        <v>0.40999999999999998</v>
      </c>
      <c r="BF206" s="95">
        <f>IFERROR(AVERAGEIFS(RdTRABYVals!U$2:U$999,RdTRABYVals!$B$2:$B$999,"="&amp;$E206,RdTRABYVals!$C$2:$C$999,"="&amp;INS_EFF!$B206),"")</f>
        <v>0.46999999999999997</v>
      </c>
      <c r="BG206" s="95">
        <f>IFERROR(AVERAGEIFS(RdTRABYVals!V$2:V$999,RdTRABYVals!$B$2:$B$999,"="&amp;$E206,RdTRABYVals!$C$2:$C$999,"="&amp;INS_EFF!$B206),"")</f>
        <v>0.38454545454545502</v>
      </c>
      <c r="BH206" s="95">
        <f>IFERROR(AVERAGEIFS(RdTRABYVals!W$2:W$999,RdTRABYVals!$B$2:$B$999,"="&amp;$E206,RdTRABYVals!$C$2:$C$999,"="&amp;INS_EFF!$B206),"")</f>
        <v>0.37</v>
      </c>
      <c r="BI206" s="95">
        <f>IFERROR(AVERAGEIFS(RdTRABYVals!X$2:X$999,RdTRABYVals!$B$2:$B$999,"="&amp;$E206,RdTRABYVals!$C$2:$C$999,"="&amp;INS_EFF!$B206),"")</f>
        <v>0.38454545454545502</v>
      </c>
      <c r="BJ206" s="95">
        <f>IFERROR(AVERAGEIFS(RdTRABYVals!Y$2:Y$999,RdTRABYVals!$B$2:$B$999,"="&amp;$E206,RdTRABYVals!$C$2:$C$999,"="&amp;INS_EFF!$B206),"")</f>
        <v>0.38454545454545502</v>
      </c>
      <c r="BK206" s="95">
        <f>IFERROR(AVERAGEIFS(RdTRABYVals!Z$2:Z$999,RdTRABYVals!$B$2:$B$999,"="&amp;$E206,RdTRABYVals!$C$2:$C$999,"="&amp;INS_EFF!$B206),"")</f>
        <v>0.38</v>
      </c>
      <c r="BL206" s="95">
        <f>IFERROR(AVERAGEIFS(RdTRABYVals!AA$2:AA$999,RdTRABYVals!$B$2:$B$999,"="&amp;$E206,RdTRABYVals!$C$2:$C$999,"="&amp;INS_EFF!$B206),"")</f>
        <v>0.41999999999999998</v>
      </c>
      <c r="BM206" s="95">
        <f>IFERROR(AVERAGEIFS(RdTRABYVals!AB$2:AB$999,RdTRABYVals!$B$2:$B$999,"="&amp;$E206,RdTRABYVals!$C$2:$C$999,"="&amp;INS_EFF!$B206),"")</f>
        <v>0.39000000000000001</v>
      </c>
      <c r="BN206" s="95">
        <f>IFERROR(AVERAGEIFS(RdTRABYVals!AC$2:AC$999,RdTRABYVals!$B$2:$B$999,"="&amp;$E206,RdTRABYVals!$C$2:$C$999,"="&amp;INS_EFF!$B206),"")</f>
        <v>0.37</v>
      </c>
      <c r="BO206" s="95">
        <f>IFERROR(AVERAGEIFS(RdTRABYVals!AD$2:AD$999,RdTRABYVals!$B$2:$B$999,"="&amp;$E206,RdTRABYVals!$C$2:$C$999,"="&amp;INS_EFF!$B206),"")</f>
        <v>0.38454545454545502</v>
      </c>
      <c r="BP206" s="95">
        <f>IFERROR(AVERAGEIFS(RdTRABYVals!AE$2:AE$999,RdTRABYVals!$B$2:$B$999,"="&amp;$E206,RdTRABYVals!$C$2:$C$999,"="&amp;INS_EFF!$B206),"")</f>
        <v>0.35999999999999999</v>
      </c>
      <c r="BQ206" s="95">
        <f>IFERROR(AVERAGEIFS(RdTRABYVals!AF$2:AF$999,RdTRABYVals!$B$2:$B$999,"="&amp;$E206,RdTRABYVals!$C$2:$C$999,"="&amp;INS_EFF!$B206),"")</f>
        <v>0.41999999999999998</v>
      </c>
      <c r="BR206" s="95">
        <f>IFERROR(AVERAGEIFS(RdTRABYVals!AG$2:AG$999,RdTRABYVals!$B$2:$B$999,"="&amp;$E206,RdTRABYVals!$C$2:$C$999,"="&amp;INS_EFF!$B206),"")</f>
        <v>0.38454545454545502</v>
      </c>
      <c r="BS206" s="95">
        <f>IFERROR(AVERAGEIFS(RdTRABYVals!AH$2:AH$999,RdTRABYVals!$B$2:$B$999,"="&amp;$E206,RdTRABYVals!$C$2:$C$999,"="&amp;INS_EFF!$B206),"")</f>
        <v>0.38454545454545502</v>
      </c>
      <c r="BT206" s="95">
        <f>IFERROR(AVERAGEIFS(RdTRABYVals!AI$2:AI$999,RdTRABYVals!$B$2:$B$999,"="&amp;$E206,RdTRABYVals!$C$2:$C$999,"="&amp;INS_EFF!$B206),"")</f>
        <v>0.39000000000000001</v>
      </c>
      <c r="BU206" s="95">
        <f>IFERROR(AVERAGEIFS(RdTRABYVals!AJ$2:AJ$999,RdTRABYVals!$B$2:$B$999,"="&amp;$E206,RdTRABYVals!$C$2:$C$999,"="&amp;INS_EFF!$B206),"")</f>
        <v>0.37</v>
      </c>
      <c r="BV206" s="95">
        <f>IFERROR(AVERAGEIFS(RdTRABYVals!AK$2:AK$999,RdTRABYVals!$B$2:$B$999,"="&amp;$E206,RdTRABYVals!$C$2:$C$999,"="&amp;INS_EFF!$B206),"")</f>
        <v>0.38454545454545502</v>
      </c>
      <c r="BW206" s="95">
        <f>IFERROR(AVERAGEIFS(RdTRABYVals!AL$2:AL$999,RdTRABYVals!$B$2:$B$999,"="&amp;$E206,RdTRABYVals!$C$2:$C$999,"="&amp;INS_EFF!$B206),"")</f>
        <v>0.38454545454545502</v>
      </c>
      <c r="BX206" s="95">
        <f>IFERROR(AVERAGEIFS(RdTRABYVals!AM$2:AM$999,RdTRABYVals!$B$2:$B$999,"="&amp;$E206,RdTRABYVals!$C$2:$C$999,"="&amp;INS_EFF!$B206),"")</f>
        <v>0.34000000000000002</v>
      </c>
      <c r="BY206" s="95">
        <f>IFERROR(AVERAGEIFS(RdTRABYVals!AN$2:AN$999,RdTRABYVals!$B$2:$B$999,"="&amp;$E206,RdTRABYVals!$C$2:$C$999,"="&amp;INS_EFF!$B206),"")</f>
        <v>0.38454545454545502</v>
      </c>
      <c r="BZ206" s="95">
        <f>IFERROR(AVERAGEIFS(RdTRABYVals!AO$2:AO$999,RdTRABYVals!$B$2:$B$999,"="&amp;$E206,RdTRABYVals!$C$2:$C$999,"="&amp;INS_EFF!$B206),"")</f>
        <v>0.38</v>
      </c>
      <c r="CA206" s="95">
        <f>IFERROR(AVERAGEIFS(RdTRABYVals!AP$2:AP$999,RdTRABYVals!$B$2:$B$999,"="&amp;$E206,RdTRABYVals!$C$2:$C$999,"="&amp;INS_EFF!$B206),"")</f>
        <v>0.34999999999999998</v>
      </c>
      <c r="CB206" s="95">
        <f>IFERROR(AVERAGEIFS(RdTRABYVals!AQ$2:AQ$999,RdTRABYVals!$B$2:$B$999,"="&amp;$E206,RdTRABYVals!$C$2:$C$999,"="&amp;INS_EFF!$B206),"")</f>
        <v>0.35999999999999999</v>
      </c>
      <c r="CC206" s="95">
        <f>IFERROR(AVERAGEIFS(RdTRABYVals!AR$2:AR$999,RdTRABYVals!$B$2:$B$999,"="&amp;$E206,RdTRABYVals!$C$2:$C$999,"="&amp;INS_EFF!$B206),"")</f>
        <v>0.41999999999999998</v>
      </c>
      <c r="CD206" s="95">
        <f>IFERROR(AVERAGEIFS(RdTRABYVals!AS$2:AS$999,RdTRABYVals!$B$2:$B$999,"="&amp;$E206,RdTRABYVals!$C$2:$C$999,"="&amp;INS_EFF!$B206),"")</f>
        <v>0.38454545454545502</v>
      </c>
      <c r="CE206" s="95">
        <f>IFERROR(AVERAGEIFS(RdTRABYVals!AT$2:AT$999,RdTRABYVals!$B$2:$B$999,"="&amp;$E206,RdTRABYVals!$C$2:$C$999,"="&amp;INS_EFF!$B206),"")</f>
        <v>0.38454545454545502</v>
      </c>
      <c r="CF206" s="95">
        <f>IFERROR(AVERAGEIFS(RdTRABYVals!AU$2:AU$999,RdTRABYVals!$B$2:$B$999,"="&amp;$E206,RdTRABYVals!$C$2:$C$999,"="&amp;INS_EFF!$B206),"")</f>
        <v>0.39000000000000001</v>
      </c>
      <c r="CG206" s="95">
        <f>IFERROR(AVERAGEIFS(RdTRABYVals!AV$2:AV$999,RdTRABYVals!$B$2:$B$999,"="&amp;$E206,RdTRABYVals!$C$2:$C$999,"="&amp;INS_EFF!$B206),"")</f>
        <v>0.37</v>
      </c>
    </row>
    <row r="207" spans="2:85" ht="15">
      <c r="B207" s="24" t="s">
        <v>125</v>
      </c>
      <c r="C207" s="24"/>
      <c r="E207" s="18" t="s">
        <v>29</v>
      </c>
      <c r="F207" s="71"/>
      <c r="G207" t="s">
        <v>125</v>
      </c>
      <c r="I207" t="str">
        <f t="shared" si="6"/>
        <v>*0.385</v>
      </c>
      <c r="J207" t="str">
        <f t="shared" si="6"/>
        <v>*0.37</v>
      </c>
      <c r="K207" t="str">
        <f t="shared" si="6"/>
        <v>*0.385</v>
      </c>
      <c r="L207" t="str">
        <f t="shared" si="6"/>
        <v>*0.42</v>
      </c>
      <c r="M207" t="str">
        <f t="shared" si="6"/>
        <v>*0.35</v>
      </c>
      <c r="N207" t="str">
        <f t="shared" si="6"/>
        <v>*0.36</v>
      </c>
      <c r="O207" t="str">
        <f t="shared" si="6"/>
        <v>*0.385</v>
      </c>
      <c r="P207" t="str">
        <f t="shared" si="6"/>
        <v>*0.385</v>
      </c>
      <c r="Q207" t="str">
        <f t="shared" si="6"/>
        <v>*0.385</v>
      </c>
      <c r="R207" t="str">
        <f t="shared" si="6"/>
        <v>*0.42</v>
      </c>
      <c r="S207" t="str">
        <f t="shared" si="6"/>
        <v>*0.47</v>
      </c>
      <c r="T207" t="str">
        <f t="shared" si="6"/>
        <v>*0.385</v>
      </c>
      <c r="U207" t="str">
        <f t="shared" si="6"/>
        <v>*0.37</v>
      </c>
      <c r="V207" t="str">
        <f t="shared" si="6"/>
        <v>*0.385</v>
      </c>
      <c r="W207" s="20" t="str">
        <f t="shared" si="6"/>
        <v>*0.385</v>
      </c>
      <c r="X207" t="str">
        <f t="shared" si="6"/>
        <v>*0.38</v>
      </c>
      <c r="Y207" t="str">
        <f t="shared" si="8"/>
        <v>*0.42</v>
      </c>
      <c r="Z207" t="str">
        <f t="shared" si="8"/>
        <v>*0.39</v>
      </c>
      <c r="AA207" t="str">
        <f t="shared" si="8"/>
        <v>*0.37</v>
      </c>
      <c r="AB207" t="str">
        <f t="shared" si="8"/>
        <v>*0.385</v>
      </c>
      <c r="AC207" t="str">
        <f t="shared" si="8"/>
        <v>*0.36</v>
      </c>
      <c r="AD207" t="str">
        <f t="shared" si="8"/>
        <v>*0.42</v>
      </c>
      <c r="AE207" t="str">
        <f t="shared" si="8"/>
        <v>*0.385</v>
      </c>
      <c r="AF207" t="str">
        <f t="shared" si="8"/>
        <v>*0.385</v>
      </c>
      <c r="AG207" t="str">
        <f t="shared" si="8"/>
        <v>*0.39</v>
      </c>
      <c r="AH207" t="str">
        <f t="shared" si="8"/>
        <v>*0.37</v>
      </c>
      <c r="AI207" t="str">
        <f t="shared" si="8"/>
        <v>*0.385</v>
      </c>
      <c r="AJ207" t="str">
        <f t="shared" si="8"/>
        <v>*0.385</v>
      </c>
      <c r="AK207" t="str">
        <f t="shared" si="8"/>
        <v>*0.33</v>
      </c>
      <c r="AL207" t="str">
        <f t="shared" si="8"/>
        <v>*0.385</v>
      </c>
      <c r="AM207" t="str">
        <f t="shared" si="8"/>
        <v>*0.38</v>
      </c>
      <c r="AN207" t="str">
        <f t="shared" si="8"/>
        <v>*0.36</v>
      </c>
      <c r="AO207" t="str">
        <f t="shared" si="9"/>
        <v>*0.36</v>
      </c>
      <c r="AP207" t="str">
        <f t="shared" si="9"/>
        <v>*0.42</v>
      </c>
      <c r="AQ207" t="str">
        <f t="shared" si="9"/>
        <v>*0.385</v>
      </c>
      <c r="AR207" t="str">
        <f t="shared" si="9"/>
        <v>*0.385</v>
      </c>
      <c r="AS207" t="str">
        <f t="shared" si="9"/>
        <v>*0.39</v>
      </c>
      <c r="AT207" t="str">
        <f t="shared" si="9"/>
        <v>*0.37</v>
      </c>
      <c r="AV207" s="95">
        <f t="shared" si="7"/>
        <v>0.38499999999999995</v>
      </c>
      <c r="AW207" s="95">
        <f>IFERROR(AVERAGEIFS(RdTRABYVals!L$2:L$999,RdTRABYVals!$B$2:$B$999,"="&amp;$E207,RdTRABYVals!$C$2:$C$999,"="&amp;INS_EFF!$B207),"")</f>
        <v>0.37</v>
      </c>
      <c r="AX207" s="95">
        <f>IFERROR(AVERAGEIFS(RdTRABYVals!M$2:M$999,RdTRABYVals!$B$2:$B$999,"="&amp;$E207,RdTRABYVals!$C$2:$C$999,"="&amp;INS_EFF!$B207),"")</f>
        <v>0.38500000000000001</v>
      </c>
      <c r="AY207" s="95">
        <f>IFERROR(AVERAGEIFS(RdTRABYVals!N$2:N$999,RdTRABYVals!$B$2:$B$999,"="&amp;$E207,RdTRABYVals!$C$2:$C$999,"="&amp;INS_EFF!$B207),"")</f>
        <v>0.41999999999999998</v>
      </c>
      <c r="AZ207" s="95">
        <f>IFERROR(AVERAGEIFS(RdTRABYVals!O$2:O$999,RdTRABYVals!$B$2:$B$999,"="&amp;$E207,RdTRABYVals!$C$2:$C$999,"="&amp;INS_EFF!$B207),"")</f>
        <v>0.34999999999999998</v>
      </c>
      <c r="BA207" s="95">
        <f>IFERROR(AVERAGEIFS(RdTRABYVals!P$2:P$999,RdTRABYVals!$B$2:$B$999,"="&amp;$E207,RdTRABYVals!$C$2:$C$999,"="&amp;INS_EFF!$B207),"")</f>
        <v>0.35999999999999999</v>
      </c>
      <c r="BB207" s="95">
        <f>IFERROR(AVERAGEIFS(RdTRABYVals!Q$2:Q$999,RdTRABYVals!$B$2:$B$999,"="&amp;$E207,RdTRABYVals!$C$2:$C$999,"="&amp;INS_EFF!$B207),"")</f>
        <v>0.38500000000000001</v>
      </c>
      <c r="BC207" s="95">
        <f>IFERROR(AVERAGEIFS(RdTRABYVals!R$2:R$999,RdTRABYVals!$B$2:$B$999,"="&amp;$E207,RdTRABYVals!$C$2:$C$999,"="&amp;INS_EFF!$B207),"")</f>
        <v>0.38500000000000001</v>
      </c>
      <c r="BD207" s="95">
        <f>IFERROR(AVERAGEIFS(RdTRABYVals!S$2:S$999,RdTRABYVals!$B$2:$B$999,"="&amp;$E207,RdTRABYVals!$C$2:$C$999,"="&amp;INS_EFF!$B207),"")</f>
        <v>0.38500000000000001</v>
      </c>
      <c r="BE207" s="95">
        <f>IFERROR(AVERAGEIFS(RdTRABYVals!T$2:T$999,RdTRABYVals!$B$2:$B$999,"="&amp;$E207,RdTRABYVals!$C$2:$C$999,"="&amp;INS_EFF!$B207),"")</f>
        <v>0.41999999999999998</v>
      </c>
      <c r="BF207" s="95">
        <f>IFERROR(AVERAGEIFS(RdTRABYVals!U$2:U$999,RdTRABYVals!$B$2:$B$999,"="&amp;$E207,RdTRABYVals!$C$2:$C$999,"="&amp;INS_EFF!$B207),"")</f>
        <v>0.46999999999999997</v>
      </c>
      <c r="BG207" s="95">
        <f>IFERROR(AVERAGEIFS(RdTRABYVals!V$2:V$999,RdTRABYVals!$B$2:$B$999,"="&amp;$E207,RdTRABYVals!$C$2:$C$999,"="&amp;INS_EFF!$B207),"")</f>
        <v>0.38500000000000001</v>
      </c>
      <c r="BH207" s="95">
        <f>IFERROR(AVERAGEIFS(RdTRABYVals!W$2:W$999,RdTRABYVals!$B$2:$B$999,"="&amp;$E207,RdTRABYVals!$C$2:$C$999,"="&amp;INS_EFF!$B207),"")</f>
        <v>0.37</v>
      </c>
      <c r="BI207" s="95">
        <f>IFERROR(AVERAGEIFS(RdTRABYVals!X$2:X$999,RdTRABYVals!$B$2:$B$999,"="&amp;$E207,RdTRABYVals!$C$2:$C$999,"="&amp;INS_EFF!$B207),"")</f>
        <v>0.38500000000000001</v>
      </c>
      <c r="BJ207" s="95">
        <f>IFERROR(AVERAGEIFS(RdTRABYVals!Y$2:Y$999,RdTRABYVals!$B$2:$B$999,"="&amp;$E207,RdTRABYVals!$C$2:$C$999,"="&amp;INS_EFF!$B207),"")</f>
        <v>0.38500000000000001</v>
      </c>
      <c r="BK207" s="95">
        <f>IFERROR(AVERAGEIFS(RdTRABYVals!Z$2:Z$999,RdTRABYVals!$B$2:$B$999,"="&amp;$E207,RdTRABYVals!$C$2:$C$999,"="&amp;INS_EFF!$B207),"")</f>
        <v>0.38</v>
      </c>
      <c r="BL207" s="95">
        <f>IFERROR(AVERAGEIFS(RdTRABYVals!AA$2:AA$999,RdTRABYVals!$B$2:$B$999,"="&amp;$E207,RdTRABYVals!$C$2:$C$999,"="&amp;INS_EFF!$B207),"")</f>
        <v>0.41999999999999998</v>
      </c>
      <c r="BM207" s="95">
        <f>IFERROR(AVERAGEIFS(RdTRABYVals!AB$2:AB$999,RdTRABYVals!$B$2:$B$999,"="&amp;$E207,RdTRABYVals!$C$2:$C$999,"="&amp;INS_EFF!$B207),"")</f>
        <v>0.39000000000000001</v>
      </c>
      <c r="BN207" s="95">
        <f>IFERROR(AVERAGEIFS(RdTRABYVals!AC$2:AC$999,RdTRABYVals!$B$2:$B$999,"="&amp;$E207,RdTRABYVals!$C$2:$C$999,"="&amp;INS_EFF!$B207),"")</f>
        <v>0.37</v>
      </c>
      <c r="BO207" s="95">
        <f>IFERROR(AVERAGEIFS(RdTRABYVals!AD$2:AD$999,RdTRABYVals!$B$2:$B$999,"="&amp;$E207,RdTRABYVals!$C$2:$C$999,"="&amp;INS_EFF!$B207),"")</f>
        <v>0.38500000000000001</v>
      </c>
      <c r="BP207" s="95">
        <f>IFERROR(AVERAGEIFS(RdTRABYVals!AE$2:AE$999,RdTRABYVals!$B$2:$B$999,"="&amp;$E207,RdTRABYVals!$C$2:$C$999,"="&amp;INS_EFF!$B207),"")</f>
        <v>0.35999999999999999</v>
      </c>
      <c r="BQ207" s="95">
        <f>IFERROR(AVERAGEIFS(RdTRABYVals!AF$2:AF$999,RdTRABYVals!$B$2:$B$999,"="&amp;$E207,RdTRABYVals!$C$2:$C$999,"="&amp;INS_EFF!$B207),"")</f>
        <v>0.41999999999999998</v>
      </c>
      <c r="BR207" s="95">
        <f>IFERROR(AVERAGEIFS(RdTRABYVals!AG$2:AG$999,RdTRABYVals!$B$2:$B$999,"="&amp;$E207,RdTRABYVals!$C$2:$C$999,"="&amp;INS_EFF!$B207),"")</f>
        <v>0.38500000000000001</v>
      </c>
      <c r="BS207" s="95">
        <f>IFERROR(AVERAGEIFS(RdTRABYVals!AH$2:AH$999,RdTRABYVals!$B$2:$B$999,"="&amp;$E207,RdTRABYVals!$C$2:$C$999,"="&amp;INS_EFF!$B207),"")</f>
        <v>0.38500000000000001</v>
      </c>
      <c r="BT207" s="95">
        <f>IFERROR(AVERAGEIFS(RdTRABYVals!AI$2:AI$999,RdTRABYVals!$B$2:$B$999,"="&amp;$E207,RdTRABYVals!$C$2:$C$999,"="&amp;INS_EFF!$B207),"")</f>
        <v>0.39000000000000001</v>
      </c>
      <c r="BU207" s="95">
        <f>IFERROR(AVERAGEIFS(RdTRABYVals!AJ$2:AJ$999,RdTRABYVals!$B$2:$B$999,"="&amp;$E207,RdTRABYVals!$C$2:$C$999,"="&amp;INS_EFF!$B207),"")</f>
        <v>0.37</v>
      </c>
      <c r="BV207" s="95">
        <f>IFERROR(AVERAGEIFS(RdTRABYVals!AK$2:AK$999,RdTRABYVals!$B$2:$B$999,"="&amp;$E207,RdTRABYVals!$C$2:$C$999,"="&amp;INS_EFF!$B207),"")</f>
        <v>0.38500000000000001</v>
      </c>
      <c r="BW207" s="95">
        <f>IFERROR(AVERAGEIFS(RdTRABYVals!AL$2:AL$999,RdTRABYVals!$B$2:$B$999,"="&amp;$E207,RdTRABYVals!$C$2:$C$999,"="&amp;INS_EFF!$B207),"")</f>
        <v>0.38500000000000001</v>
      </c>
      <c r="BX207" s="95">
        <f>IFERROR(AVERAGEIFS(RdTRABYVals!AM$2:AM$999,RdTRABYVals!$B$2:$B$999,"="&amp;$E207,RdTRABYVals!$C$2:$C$999,"="&amp;INS_EFF!$B207),"")</f>
        <v>0.33000000000000002</v>
      </c>
      <c r="BY207" s="95">
        <f>IFERROR(AVERAGEIFS(RdTRABYVals!AN$2:AN$999,RdTRABYVals!$B$2:$B$999,"="&amp;$E207,RdTRABYVals!$C$2:$C$999,"="&amp;INS_EFF!$B207),"")</f>
        <v>0.38500000000000001</v>
      </c>
      <c r="BZ207" s="95">
        <f>IFERROR(AVERAGEIFS(RdTRABYVals!AO$2:AO$999,RdTRABYVals!$B$2:$B$999,"="&amp;$E207,RdTRABYVals!$C$2:$C$999,"="&amp;INS_EFF!$B207),"")</f>
        <v>0.38</v>
      </c>
      <c r="CA207" s="95">
        <f>IFERROR(AVERAGEIFS(RdTRABYVals!AP$2:AP$999,RdTRABYVals!$B$2:$B$999,"="&amp;$E207,RdTRABYVals!$C$2:$C$999,"="&amp;INS_EFF!$B207),"")</f>
        <v>0.35999999999999999</v>
      </c>
      <c r="CB207" s="95">
        <f>IFERROR(AVERAGEIFS(RdTRABYVals!AQ$2:AQ$999,RdTRABYVals!$B$2:$B$999,"="&amp;$E207,RdTRABYVals!$C$2:$C$999,"="&amp;INS_EFF!$B207),"")</f>
        <v>0.35999999999999999</v>
      </c>
      <c r="CC207" s="95">
        <f>IFERROR(AVERAGEIFS(RdTRABYVals!AR$2:AR$999,RdTRABYVals!$B$2:$B$999,"="&amp;$E207,RdTRABYVals!$C$2:$C$999,"="&amp;INS_EFF!$B207),"")</f>
        <v>0.41999999999999998</v>
      </c>
      <c r="CD207" s="95">
        <f>IFERROR(AVERAGEIFS(RdTRABYVals!AS$2:AS$999,RdTRABYVals!$B$2:$B$999,"="&amp;$E207,RdTRABYVals!$C$2:$C$999,"="&amp;INS_EFF!$B207),"")</f>
        <v>0.38500000000000001</v>
      </c>
      <c r="CE207" s="95">
        <f>IFERROR(AVERAGEIFS(RdTRABYVals!AT$2:AT$999,RdTRABYVals!$B$2:$B$999,"="&amp;$E207,RdTRABYVals!$C$2:$C$999,"="&amp;INS_EFF!$B207),"")</f>
        <v>0.38500000000000001</v>
      </c>
      <c r="CF207" s="95">
        <f>IFERROR(AVERAGEIFS(RdTRABYVals!AU$2:AU$999,RdTRABYVals!$B$2:$B$999,"="&amp;$E207,RdTRABYVals!$C$2:$C$999,"="&amp;INS_EFF!$B207),"")</f>
        <v>0.39000000000000001</v>
      </c>
      <c r="CG207" s="95">
        <f>IFERROR(AVERAGEIFS(RdTRABYVals!AV$2:AV$999,RdTRABYVals!$B$2:$B$999,"="&amp;$E207,RdTRABYVals!$C$2:$C$999,"="&amp;INS_EFF!$B207),"")</f>
        <v>0.37</v>
      </c>
    </row>
    <row r="208" spans="2:85" ht="15">
      <c r="B208" s="24" t="s">
        <v>132</v>
      </c>
      <c r="C208" s="24"/>
      <c r="E208" s="18" t="s">
        <v>29</v>
      </c>
      <c r="F208" s="71"/>
      <c r="G208" t="s">
        <v>132</v>
      </c>
      <c r="I208" t="str">
        <f t="shared" si="6"/>
        <v>*0.195905201584103</v>
      </c>
      <c r="J208" t="str">
        <f t="shared" si="6"/>
        <v>*0.195905201584103</v>
      </c>
      <c r="K208" t="str">
        <f t="shared" si="6"/>
        <v>*0.195905201584103</v>
      </c>
      <c r="L208" t="str">
        <f t="shared" si="6"/>
        <v>*0.195905201584103</v>
      </c>
      <c r="M208" t="str">
        <f t="shared" si="6"/>
        <v>*0.195905201584103</v>
      </c>
      <c r="N208" t="str">
        <f t="shared" si="6"/>
        <v>*0.195905201584103</v>
      </c>
      <c r="O208" t="str">
        <f t="shared" si="6"/>
        <v>*0.201033948201707</v>
      </c>
      <c r="P208" t="str">
        <f t="shared" si="6"/>
        <v>*0.195905201584103</v>
      </c>
      <c r="Q208" t="str">
        <f t="shared" si="6"/>
        <v>*0.195905201584103</v>
      </c>
      <c r="R208" t="str">
        <f t="shared" si="6"/>
        <v>*0.201554945517171</v>
      </c>
      <c r="S208" t="str">
        <f t="shared" si="6"/>
        <v>*0.195905201584103</v>
      </c>
      <c r="T208" t="str">
        <f t="shared" si="6"/>
        <v>*0.195905201584103</v>
      </c>
      <c r="U208" t="str">
        <f t="shared" si="6"/>
        <v>*0.195905201584103</v>
      </c>
      <c r="V208" t="str">
        <f t="shared" si="6"/>
        <v>*0.195905201584103</v>
      </c>
      <c r="W208" s="20" t="str">
        <f t="shared" si="6"/>
        <v>*0.195905201584103</v>
      </c>
      <c r="X208" t="str">
        <f t="shared" si="6"/>
        <v>*0.195905201584103</v>
      </c>
      <c r="Y208" t="str">
        <f t="shared" si="8"/>
        <v>*0.195905201584103</v>
      </c>
      <c r="Z208" t="str">
        <f t="shared" si="8"/>
        <v>*0.195905201584103</v>
      </c>
      <c r="AA208" t="str">
        <f t="shared" si="8"/>
        <v>*0.195905201584103</v>
      </c>
      <c r="AB208" t="str">
        <f t="shared" si="8"/>
        <v>*0.195905201584103</v>
      </c>
      <c r="AC208" t="str">
        <f t="shared" si="8"/>
        <v>*0.195905201584103</v>
      </c>
      <c r="AD208" t="str">
        <f t="shared" si="8"/>
        <v>*0.195905201584103</v>
      </c>
      <c r="AE208" t="str">
        <f t="shared" si="8"/>
        <v>*0.195905201584103</v>
      </c>
      <c r="AF208" t="str">
        <f t="shared" si="8"/>
        <v>*0.195905201584103</v>
      </c>
      <c r="AG208" t="str">
        <f t="shared" si="8"/>
        <v>*0.195905201584103</v>
      </c>
      <c r="AH208" t="str">
        <f t="shared" si="8"/>
        <v>*0.195905201584103</v>
      </c>
      <c r="AI208" t="str">
        <f t="shared" si="8"/>
        <v>*0.195905201584103</v>
      </c>
      <c r="AJ208" t="str">
        <f t="shared" si="8"/>
        <v>*0.195905201584103</v>
      </c>
      <c r="AK208" t="str">
        <f t="shared" si="8"/>
        <v>*0.185126711033431</v>
      </c>
      <c r="AL208" t="str">
        <f t="shared" si="8"/>
        <v>*0.195905201584103</v>
      </c>
      <c r="AM208" t="str">
        <f t="shared" si="8"/>
        <v>*0.195905201584103</v>
      </c>
      <c r="AN208" t="str">
        <f t="shared" si="8"/>
        <v>*0.195905201584103</v>
      </c>
      <c r="AO208" t="str">
        <f t="shared" si="9"/>
        <v>*0.195905201584103</v>
      </c>
      <c r="AP208" t="str">
        <f t="shared" si="9"/>
        <v>*0.195905201584103</v>
      </c>
      <c r="AQ208" t="str">
        <f t="shared" si="9"/>
        <v>*0.195905201584103</v>
      </c>
      <c r="AR208" t="str">
        <f t="shared" si="9"/>
        <v>*0.195905201584103</v>
      </c>
      <c r="AS208" t="str">
        <f t="shared" si="9"/>
        <v>*0.195905201584103</v>
      </c>
      <c r="AT208" t="str">
        <f t="shared" si="9"/>
        <v>*0.195905201584103</v>
      </c>
      <c r="AV208" s="95">
        <f t="shared" si="7"/>
        <v>0.19590520158410299</v>
      </c>
      <c r="AW208" s="95">
        <f>IFERROR(AVERAGEIFS(RdTRABYVals!L$2:L$999,RdTRABYVals!$B$2:$B$999,"="&amp;$E208,RdTRABYVals!$C$2:$C$999,"="&amp;INS_EFF!$B208),"")</f>
        <v>0.19590520158410299</v>
      </c>
      <c r="AX208" s="95">
        <f>IFERROR(AVERAGEIFS(RdTRABYVals!M$2:M$999,RdTRABYVals!$B$2:$B$999,"="&amp;$E208,RdTRABYVals!$C$2:$C$999,"="&amp;INS_EFF!$B208),"")</f>
        <v>0.19590520158410299</v>
      </c>
      <c r="AY208" s="95">
        <f>IFERROR(AVERAGEIFS(RdTRABYVals!N$2:N$999,RdTRABYVals!$B$2:$B$999,"="&amp;$E208,RdTRABYVals!$C$2:$C$999,"="&amp;INS_EFF!$B208),"")</f>
        <v>0.19590520158410299</v>
      </c>
      <c r="AZ208" s="95">
        <f>IFERROR(AVERAGEIFS(RdTRABYVals!O$2:O$999,RdTRABYVals!$B$2:$B$999,"="&amp;$E208,RdTRABYVals!$C$2:$C$999,"="&amp;INS_EFF!$B208),"")</f>
        <v>0.19590520158410299</v>
      </c>
      <c r="BA208" s="95">
        <f>IFERROR(AVERAGEIFS(RdTRABYVals!P$2:P$999,RdTRABYVals!$B$2:$B$999,"="&amp;$E208,RdTRABYVals!$C$2:$C$999,"="&amp;INS_EFF!$B208),"")</f>
        <v>0.19590520158410299</v>
      </c>
      <c r="BB208" s="95">
        <f>IFERROR(AVERAGEIFS(RdTRABYVals!Q$2:Q$999,RdTRABYVals!$B$2:$B$999,"="&amp;$E208,RdTRABYVals!$C$2:$C$999,"="&amp;INS_EFF!$B208),"")</f>
        <v>0.201033948201707</v>
      </c>
      <c r="BC208" s="95">
        <f>IFERROR(AVERAGEIFS(RdTRABYVals!R$2:R$999,RdTRABYVals!$B$2:$B$999,"="&amp;$E208,RdTRABYVals!$C$2:$C$999,"="&amp;INS_EFF!$B208),"")</f>
        <v>0.19590520158410299</v>
      </c>
      <c r="BD208" s="95">
        <f>IFERROR(AVERAGEIFS(RdTRABYVals!S$2:S$999,RdTRABYVals!$B$2:$B$999,"="&amp;$E208,RdTRABYVals!$C$2:$C$999,"="&amp;INS_EFF!$B208),"")</f>
        <v>0.19590520158410299</v>
      </c>
      <c r="BE208" s="95">
        <f>IFERROR(AVERAGEIFS(RdTRABYVals!T$2:T$999,RdTRABYVals!$B$2:$B$999,"="&amp;$E208,RdTRABYVals!$C$2:$C$999,"="&amp;INS_EFF!$B208),"")</f>
        <v>0.20155494551717101</v>
      </c>
      <c r="BF208" s="95">
        <f>IFERROR(AVERAGEIFS(RdTRABYVals!U$2:U$999,RdTRABYVals!$B$2:$B$999,"="&amp;$E208,RdTRABYVals!$C$2:$C$999,"="&amp;INS_EFF!$B208),"")</f>
        <v>0.19590520158410299</v>
      </c>
      <c r="BG208" s="95">
        <f>IFERROR(AVERAGEIFS(RdTRABYVals!V$2:V$999,RdTRABYVals!$B$2:$B$999,"="&amp;$E208,RdTRABYVals!$C$2:$C$999,"="&amp;INS_EFF!$B208),"")</f>
        <v>0.19590520158410299</v>
      </c>
      <c r="BH208" s="95">
        <f>IFERROR(AVERAGEIFS(RdTRABYVals!W$2:W$999,RdTRABYVals!$B$2:$B$999,"="&amp;$E208,RdTRABYVals!$C$2:$C$999,"="&amp;INS_EFF!$B208),"")</f>
        <v>0.19590520158410299</v>
      </c>
      <c r="BI208" s="95">
        <f>IFERROR(AVERAGEIFS(RdTRABYVals!X$2:X$999,RdTRABYVals!$B$2:$B$999,"="&amp;$E208,RdTRABYVals!$C$2:$C$999,"="&amp;INS_EFF!$B208),"")</f>
        <v>0.19590520158410299</v>
      </c>
      <c r="BJ208" s="95">
        <f>IFERROR(AVERAGEIFS(RdTRABYVals!Y$2:Y$999,RdTRABYVals!$B$2:$B$999,"="&amp;$E208,RdTRABYVals!$C$2:$C$999,"="&amp;INS_EFF!$B208),"")</f>
        <v>0.19590520158410299</v>
      </c>
      <c r="BK208" s="95">
        <f>IFERROR(AVERAGEIFS(RdTRABYVals!Z$2:Z$999,RdTRABYVals!$B$2:$B$999,"="&amp;$E208,RdTRABYVals!$C$2:$C$999,"="&amp;INS_EFF!$B208),"")</f>
        <v>0.19590520158410299</v>
      </c>
      <c r="BL208" s="95">
        <f>IFERROR(AVERAGEIFS(RdTRABYVals!AA$2:AA$999,RdTRABYVals!$B$2:$B$999,"="&amp;$E208,RdTRABYVals!$C$2:$C$999,"="&amp;INS_EFF!$B208),"")</f>
        <v>0.19590520158410299</v>
      </c>
      <c r="BM208" s="95">
        <f>IFERROR(AVERAGEIFS(RdTRABYVals!AB$2:AB$999,RdTRABYVals!$B$2:$B$999,"="&amp;$E208,RdTRABYVals!$C$2:$C$999,"="&amp;INS_EFF!$B208),"")</f>
        <v>0.19590520158410299</v>
      </c>
      <c r="BN208" s="95">
        <f>IFERROR(AVERAGEIFS(RdTRABYVals!AC$2:AC$999,RdTRABYVals!$B$2:$B$999,"="&amp;$E208,RdTRABYVals!$C$2:$C$999,"="&amp;INS_EFF!$B208),"")</f>
        <v>0.19590520158410299</v>
      </c>
      <c r="BO208" s="95">
        <f>IFERROR(AVERAGEIFS(RdTRABYVals!AD$2:AD$999,RdTRABYVals!$B$2:$B$999,"="&amp;$E208,RdTRABYVals!$C$2:$C$999,"="&amp;INS_EFF!$B208),"")</f>
        <v>0.19590520158410299</v>
      </c>
      <c r="BP208" s="95">
        <f>IFERROR(AVERAGEIFS(RdTRABYVals!AE$2:AE$999,RdTRABYVals!$B$2:$B$999,"="&amp;$E208,RdTRABYVals!$C$2:$C$999,"="&amp;INS_EFF!$B208),"")</f>
        <v>0.19590520158410299</v>
      </c>
      <c r="BQ208" s="95">
        <f>IFERROR(AVERAGEIFS(RdTRABYVals!AF$2:AF$999,RdTRABYVals!$B$2:$B$999,"="&amp;$E208,RdTRABYVals!$C$2:$C$999,"="&amp;INS_EFF!$B208),"")</f>
        <v>0.19590520158410299</v>
      </c>
      <c r="BR208" s="95">
        <f>IFERROR(AVERAGEIFS(RdTRABYVals!AG$2:AG$999,RdTRABYVals!$B$2:$B$999,"="&amp;$E208,RdTRABYVals!$C$2:$C$999,"="&amp;INS_EFF!$B208),"")</f>
        <v>0.19590520158410299</v>
      </c>
      <c r="BS208" s="95">
        <f>IFERROR(AVERAGEIFS(RdTRABYVals!AH$2:AH$999,RdTRABYVals!$B$2:$B$999,"="&amp;$E208,RdTRABYVals!$C$2:$C$999,"="&amp;INS_EFF!$B208),"")</f>
        <v>0.19590520158410299</v>
      </c>
      <c r="BT208" s="95">
        <f>IFERROR(AVERAGEIFS(RdTRABYVals!AI$2:AI$999,RdTRABYVals!$B$2:$B$999,"="&amp;$E208,RdTRABYVals!$C$2:$C$999,"="&amp;INS_EFF!$B208),"")</f>
        <v>0.19590520158410299</v>
      </c>
      <c r="BU208" s="95">
        <f>IFERROR(AVERAGEIFS(RdTRABYVals!AJ$2:AJ$999,RdTRABYVals!$B$2:$B$999,"="&amp;$E208,RdTRABYVals!$C$2:$C$999,"="&amp;INS_EFF!$B208),"")</f>
        <v>0.19590520158410299</v>
      </c>
      <c r="BV208" s="95">
        <f>IFERROR(AVERAGEIFS(RdTRABYVals!AK$2:AK$999,RdTRABYVals!$B$2:$B$999,"="&amp;$E208,RdTRABYVals!$C$2:$C$999,"="&amp;INS_EFF!$B208),"")</f>
        <v>0.19590520158410299</v>
      </c>
      <c r="BW208" s="95">
        <f>IFERROR(AVERAGEIFS(RdTRABYVals!AL$2:AL$999,RdTRABYVals!$B$2:$B$999,"="&amp;$E208,RdTRABYVals!$C$2:$C$999,"="&amp;INS_EFF!$B208),"")</f>
        <v>0.19590520158410299</v>
      </c>
      <c r="BX208" s="95">
        <f>IFERROR(AVERAGEIFS(RdTRABYVals!AM$2:AM$999,RdTRABYVals!$B$2:$B$999,"="&amp;$E208,RdTRABYVals!$C$2:$C$999,"="&amp;INS_EFF!$B208),"")</f>
        <v>0.18512671103343101</v>
      </c>
      <c r="BY208" s="95">
        <f>IFERROR(AVERAGEIFS(RdTRABYVals!AN$2:AN$999,RdTRABYVals!$B$2:$B$999,"="&amp;$E208,RdTRABYVals!$C$2:$C$999,"="&amp;INS_EFF!$B208),"")</f>
        <v>0.19590520158410299</v>
      </c>
      <c r="BZ208" s="95">
        <f>IFERROR(AVERAGEIFS(RdTRABYVals!AO$2:AO$999,RdTRABYVals!$B$2:$B$999,"="&amp;$E208,RdTRABYVals!$C$2:$C$999,"="&amp;INS_EFF!$B208),"")</f>
        <v>0.19590520158410299</v>
      </c>
      <c r="CA208" s="95">
        <f>IFERROR(AVERAGEIFS(RdTRABYVals!AP$2:AP$999,RdTRABYVals!$B$2:$B$999,"="&amp;$E208,RdTRABYVals!$C$2:$C$999,"="&amp;INS_EFF!$B208),"")</f>
        <v>0.19590520158410299</v>
      </c>
      <c r="CB208" s="95">
        <f>IFERROR(AVERAGEIFS(RdTRABYVals!AQ$2:AQ$999,RdTRABYVals!$B$2:$B$999,"="&amp;$E208,RdTRABYVals!$C$2:$C$999,"="&amp;INS_EFF!$B208),"")</f>
        <v>0.19590520158410299</v>
      </c>
      <c r="CC208" s="95">
        <f>IFERROR(AVERAGEIFS(RdTRABYVals!AR$2:AR$999,RdTRABYVals!$B$2:$B$999,"="&amp;$E208,RdTRABYVals!$C$2:$C$999,"="&amp;INS_EFF!$B208),"")</f>
        <v>0.19590520158410299</v>
      </c>
      <c r="CD208" s="95">
        <f>IFERROR(AVERAGEIFS(RdTRABYVals!AS$2:AS$999,RdTRABYVals!$B$2:$B$999,"="&amp;$E208,RdTRABYVals!$C$2:$C$999,"="&amp;INS_EFF!$B208),"")</f>
        <v>0.19590520158410299</v>
      </c>
      <c r="CE208" s="95">
        <f>IFERROR(AVERAGEIFS(RdTRABYVals!AT$2:AT$999,RdTRABYVals!$B$2:$B$999,"="&amp;$E208,RdTRABYVals!$C$2:$C$999,"="&amp;INS_EFF!$B208),"")</f>
        <v>0.19590520158410299</v>
      </c>
      <c r="CF208" s="95">
        <f>IFERROR(AVERAGEIFS(RdTRABYVals!AU$2:AU$999,RdTRABYVals!$B$2:$B$999,"="&amp;$E208,RdTRABYVals!$C$2:$C$999,"="&amp;INS_EFF!$B208),"")</f>
        <v>0.19590520158410299</v>
      </c>
      <c r="CG208" s="95">
        <f>IFERROR(AVERAGEIFS(RdTRABYVals!AV$2:AV$999,RdTRABYVals!$B$2:$B$999,"="&amp;$E208,RdTRABYVals!$C$2:$C$999,"="&amp;INS_EFF!$B208),"")</f>
        <v>0.19590520158410299</v>
      </c>
    </row>
    <row r="209" spans="2:85" ht="15">
      <c r="B209" s="24" t="s">
        <v>133</v>
      </c>
      <c r="C209" s="24"/>
      <c r="E209" s="18" t="s">
        <v>29</v>
      </c>
      <c r="F209" s="71"/>
      <c r="G209" t="s">
        <v>133</v>
      </c>
      <c r="I209" t="str">
        <f t="shared" si="6"/>
        <v>*0.289591499884299</v>
      </c>
      <c r="J209" t="str">
        <f t="shared" si="6"/>
        <v>*0.285300287700073</v>
      </c>
      <c r="K209" t="str">
        <f t="shared" si="6"/>
        <v>*0.276078007220829</v>
      </c>
      <c r="L209" t="str">
        <f t="shared" si="6"/>
        <v>*0.304420780718888</v>
      </c>
      <c r="M209" t="str">
        <f t="shared" si="6"/>
        <v>*0.263731110027036</v>
      </c>
      <c r="N209" t="str">
        <f t="shared" si="6"/>
        <v>*0.274052188465247</v>
      </c>
      <c r="O209" t="str">
        <f t="shared" si="6"/>
        <v>*0.263852616088118</v>
      </c>
      <c r="P209" t="str">
        <f t="shared" si="6"/>
        <v>*0.282614371038421</v>
      </c>
      <c r="Q209" t="str">
        <f t="shared" si="6"/>
        <v>*0.281526402081865</v>
      </c>
      <c r="R209" t="str">
        <f t="shared" si="6"/>
        <v>*0.276151674033561</v>
      </c>
      <c r="S209" t="str">
        <f t="shared" si="6"/>
        <v>*0.343256079583113</v>
      </c>
      <c r="T209" t="str">
        <f t="shared" si="6"/>
        <v>*0.300076606846102</v>
      </c>
      <c r="U209" t="str">
        <f t="shared" si="6"/>
        <v>*0.285300287700073</v>
      </c>
      <c r="V209" t="str">
        <f t="shared" si="6"/>
        <v>*0.260419905506247</v>
      </c>
      <c r="W209" s="20" t="str">
        <f t="shared" si="6"/>
        <v>*0.295016429375914</v>
      </c>
      <c r="X209" t="str">
        <f t="shared" si="6"/>
        <v>*0.298361980415889</v>
      </c>
      <c r="Y209" t="str">
        <f t="shared" si="8"/>
        <v>*0.304420780718888</v>
      </c>
      <c r="Z209" t="str">
        <f t="shared" si="8"/>
        <v>*0.2935352819074</v>
      </c>
      <c r="AA209" t="str">
        <f t="shared" si="8"/>
        <v>*0.284071716210475</v>
      </c>
      <c r="AB209" t="str">
        <f t="shared" si="8"/>
        <v>*0.280385925692643</v>
      </c>
      <c r="AC209" t="str">
        <f t="shared" si="8"/>
        <v>*0.30777259609094</v>
      </c>
      <c r="AD209" t="str">
        <f t="shared" si="8"/>
        <v>*0.304420780718888</v>
      </c>
      <c r="AE209" t="str">
        <f t="shared" si="8"/>
        <v>*0.265834143975887</v>
      </c>
      <c r="AF209" t="str">
        <f t="shared" si="8"/>
        <v>*0.261367508627056</v>
      </c>
      <c r="AG209" t="str">
        <f t="shared" si="8"/>
        <v>*0.338730810739688</v>
      </c>
      <c r="AH209" t="str">
        <f t="shared" si="8"/>
        <v>*0.285300287700073</v>
      </c>
      <c r="AI209" t="str">
        <f t="shared" si="8"/>
        <v>*0.295879307936225</v>
      </c>
      <c r="AJ209" t="str">
        <f t="shared" si="8"/>
        <v>*0.294272950836145</v>
      </c>
      <c r="AK209" t="str">
        <f t="shared" si="8"/>
        <v>*0.255309723394689</v>
      </c>
      <c r="AL209" t="str">
        <f t="shared" si="8"/>
        <v>*0.302070905549486</v>
      </c>
      <c r="AM209" t="str">
        <f t="shared" si="8"/>
        <v>*0.292872702504734</v>
      </c>
      <c r="AN209" t="str">
        <f t="shared" si="8"/>
        <v>*0.26381358585829</v>
      </c>
      <c r="AO209" t="str">
        <f t="shared" si="9"/>
        <v>*0.277332473471146</v>
      </c>
      <c r="AP209" t="str">
        <f t="shared" si="9"/>
        <v>*0.304420780718888</v>
      </c>
      <c r="AQ209" t="str">
        <f t="shared" si="9"/>
        <v>*0.314057523757112</v>
      </c>
      <c r="AR209" t="str">
        <f t="shared" si="9"/>
        <v>*0.306590732609561</v>
      </c>
      <c r="AS209" t="str">
        <f t="shared" si="9"/>
        <v>*0.293464957836483</v>
      </c>
      <c r="AT209" t="str">
        <f t="shared" si="9"/>
        <v>*0.298801292062977</v>
      </c>
      <c r="AV209" s="95">
        <f t="shared" si="7"/>
        <v>0.28959149988429861</v>
      </c>
      <c r="AW209" s="95">
        <f>IFERROR(AVERAGEIFS(RdTRABYVals!L$2:L$999,RdTRABYVals!$B$2:$B$999,"="&amp;$E209,RdTRABYVals!$C$2:$C$999,"="&amp;INS_EFF!$B209),"")</f>
        <v>0.28530028770007299</v>
      </c>
      <c r="AX209" s="95">
        <f>IFERROR(AVERAGEIFS(RdTRABYVals!M$2:M$999,RdTRABYVals!$B$2:$B$999,"="&amp;$E209,RdTRABYVals!$C$2:$C$999,"="&amp;INS_EFF!$B209),"")</f>
        <v>0.27607800722082898</v>
      </c>
      <c r="AY209" s="95">
        <f>IFERROR(AVERAGEIFS(RdTRABYVals!N$2:N$999,RdTRABYVals!$B$2:$B$999,"="&amp;$E209,RdTRABYVals!$C$2:$C$999,"="&amp;INS_EFF!$B209),"")</f>
        <v>0.30442078071888801</v>
      </c>
      <c r="AZ209" s="95">
        <f>IFERROR(AVERAGEIFS(RdTRABYVals!O$2:O$999,RdTRABYVals!$B$2:$B$999,"="&amp;$E209,RdTRABYVals!$C$2:$C$999,"="&amp;INS_EFF!$B209),"")</f>
        <v>0.26373111002703598</v>
      </c>
      <c r="BA209" s="95">
        <f>IFERROR(AVERAGEIFS(RdTRABYVals!P$2:P$999,RdTRABYVals!$B$2:$B$999,"="&amp;$E209,RdTRABYVals!$C$2:$C$999,"="&amp;INS_EFF!$B209),"")</f>
        <v>0.27405218846524698</v>
      </c>
      <c r="BB209" s="95">
        <f>IFERROR(AVERAGEIFS(RdTRABYVals!Q$2:Q$999,RdTRABYVals!$B$2:$B$999,"="&amp;$E209,RdTRABYVals!$C$2:$C$999,"="&amp;INS_EFF!$B209),"")</f>
        <v>0.263852616088118</v>
      </c>
      <c r="BC209" s="95">
        <f>IFERROR(AVERAGEIFS(RdTRABYVals!R$2:R$999,RdTRABYVals!$B$2:$B$999,"="&amp;$E209,RdTRABYVals!$C$2:$C$999,"="&amp;INS_EFF!$B209),"")</f>
        <v>0.28261437103842102</v>
      </c>
      <c r="BD209" s="95">
        <f>IFERROR(AVERAGEIFS(RdTRABYVals!S$2:S$999,RdTRABYVals!$B$2:$B$999,"="&amp;$E209,RdTRABYVals!$C$2:$C$999,"="&amp;INS_EFF!$B209),"")</f>
        <v>0.28152640208186502</v>
      </c>
      <c r="BE209" s="95">
        <f>IFERROR(AVERAGEIFS(RdTRABYVals!T$2:T$999,RdTRABYVals!$B$2:$B$999,"="&amp;$E209,RdTRABYVals!$C$2:$C$999,"="&amp;INS_EFF!$B209),"")</f>
        <v>0.276151674033561</v>
      </c>
      <c r="BF209" s="95">
        <f>IFERROR(AVERAGEIFS(RdTRABYVals!U$2:U$999,RdTRABYVals!$B$2:$B$999,"="&amp;$E209,RdTRABYVals!$C$2:$C$999,"="&amp;INS_EFF!$B209),"")</f>
        <v>0.34325607958311299</v>
      </c>
      <c r="BG209" s="95">
        <f>IFERROR(AVERAGEIFS(RdTRABYVals!V$2:V$999,RdTRABYVals!$B$2:$B$999,"="&amp;$E209,RdTRABYVals!$C$2:$C$999,"="&amp;INS_EFF!$B209),"")</f>
        <v>0.30007660684610199</v>
      </c>
      <c r="BH209" s="95">
        <f>IFERROR(AVERAGEIFS(RdTRABYVals!W$2:W$999,RdTRABYVals!$B$2:$B$999,"="&amp;$E209,RdTRABYVals!$C$2:$C$999,"="&amp;INS_EFF!$B209),"")</f>
        <v>0.28530028770007299</v>
      </c>
      <c r="BI209" s="95">
        <f>IFERROR(AVERAGEIFS(RdTRABYVals!X$2:X$999,RdTRABYVals!$B$2:$B$999,"="&amp;$E209,RdTRABYVals!$C$2:$C$999,"="&amp;INS_EFF!$B209),"")</f>
        <v>0.260419905506247</v>
      </c>
      <c r="BJ209" s="95">
        <f>IFERROR(AVERAGEIFS(RdTRABYVals!Y$2:Y$999,RdTRABYVals!$B$2:$B$999,"="&amp;$E209,RdTRABYVals!$C$2:$C$999,"="&amp;INS_EFF!$B209),"")</f>
        <v>0.29501642937591399</v>
      </c>
      <c r="BK209" s="95">
        <f>IFERROR(AVERAGEIFS(RdTRABYVals!Z$2:Z$999,RdTRABYVals!$B$2:$B$999,"="&amp;$E209,RdTRABYVals!$C$2:$C$999,"="&amp;INS_EFF!$B209),"")</f>
        <v>0.29836198041588902</v>
      </c>
      <c r="BL209" s="95">
        <f>IFERROR(AVERAGEIFS(RdTRABYVals!AA$2:AA$999,RdTRABYVals!$B$2:$B$999,"="&amp;$E209,RdTRABYVals!$C$2:$C$999,"="&amp;INS_EFF!$B209),"")</f>
        <v>0.30442078071888801</v>
      </c>
      <c r="BM209" s="95">
        <f>IFERROR(AVERAGEIFS(RdTRABYVals!AB$2:AB$999,RdTRABYVals!$B$2:$B$999,"="&amp;$E209,RdTRABYVals!$C$2:$C$999,"="&amp;INS_EFF!$B209),"")</f>
        <v>0.29353528190740003</v>
      </c>
      <c r="BN209" s="95">
        <f>IFERROR(AVERAGEIFS(RdTRABYVals!AC$2:AC$999,RdTRABYVals!$B$2:$B$999,"="&amp;$E209,RdTRABYVals!$C$2:$C$999,"="&amp;INS_EFF!$B209),"")</f>
        <v>0.284071716210475</v>
      </c>
      <c r="BO209" s="95">
        <f>IFERROR(AVERAGEIFS(RdTRABYVals!AD$2:AD$999,RdTRABYVals!$B$2:$B$999,"="&amp;$E209,RdTRABYVals!$C$2:$C$999,"="&amp;INS_EFF!$B209),"")</f>
        <v>0.28038592569264298</v>
      </c>
      <c r="BP209" s="95">
        <f>IFERROR(AVERAGEIFS(RdTRABYVals!AE$2:AE$999,RdTRABYVals!$B$2:$B$999,"="&amp;$E209,RdTRABYVals!$C$2:$C$999,"="&amp;INS_EFF!$B209),"")</f>
        <v>0.30777259609093999</v>
      </c>
      <c r="BQ209" s="95">
        <f>IFERROR(AVERAGEIFS(RdTRABYVals!AF$2:AF$999,RdTRABYVals!$B$2:$B$999,"="&amp;$E209,RdTRABYVals!$C$2:$C$999,"="&amp;INS_EFF!$B209),"")</f>
        <v>0.30442078071888801</v>
      </c>
      <c r="BR209" s="95">
        <f>IFERROR(AVERAGEIFS(RdTRABYVals!AG$2:AG$999,RdTRABYVals!$B$2:$B$999,"="&amp;$E209,RdTRABYVals!$C$2:$C$999,"="&amp;INS_EFF!$B209),"")</f>
        <v>0.26583414397588701</v>
      </c>
      <c r="BS209" s="95">
        <f>IFERROR(AVERAGEIFS(RdTRABYVals!AH$2:AH$999,RdTRABYVals!$B$2:$B$999,"="&amp;$E209,RdTRABYVals!$C$2:$C$999,"="&amp;INS_EFF!$B209),"")</f>
        <v>0.26136750862705599</v>
      </c>
      <c r="BT209" s="95">
        <f>IFERROR(AVERAGEIFS(RdTRABYVals!AI$2:AI$999,RdTRABYVals!$B$2:$B$999,"="&amp;$E209,RdTRABYVals!$C$2:$C$999,"="&amp;INS_EFF!$B209),"")</f>
        <v>0.33873081073968803</v>
      </c>
      <c r="BU209" s="95">
        <f>IFERROR(AVERAGEIFS(RdTRABYVals!AJ$2:AJ$999,RdTRABYVals!$B$2:$B$999,"="&amp;$E209,RdTRABYVals!$C$2:$C$999,"="&amp;INS_EFF!$B209),"")</f>
        <v>0.28530028770007299</v>
      </c>
      <c r="BV209" s="95">
        <f>IFERROR(AVERAGEIFS(RdTRABYVals!AK$2:AK$999,RdTRABYVals!$B$2:$B$999,"="&amp;$E209,RdTRABYVals!$C$2:$C$999,"="&amp;INS_EFF!$B209),"")</f>
        <v>0.29587930793622502</v>
      </c>
      <c r="BW209" s="95">
        <f>IFERROR(AVERAGEIFS(RdTRABYVals!AL$2:AL$999,RdTRABYVals!$B$2:$B$999,"="&amp;$E209,RdTRABYVals!$C$2:$C$999,"="&amp;INS_EFF!$B209),"")</f>
        <v>0.29427295083614502</v>
      </c>
      <c r="BX209" s="95">
        <f>IFERROR(AVERAGEIFS(RdTRABYVals!AM$2:AM$999,RdTRABYVals!$B$2:$B$999,"="&amp;$E209,RdTRABYVals!$C$2:$C$999,"="&amp;INS_EFF!$B209),"")</f>
        <v>0.25530972339468899</v>
      </c>
      <c r="BY209" s="95">
        <f>IFERROR(AVERAGEIFS(RdTRABYVals!AN$2:AN$999,RdTRABYVals!$B$2:$B$999,"="&amp;$E209,RdTRABYVals!$C$2:$C$999,"="&amp;INS_EFF!$B209),"")</f>
        <v>0.30207090554948601</v>
      </c>
      <c r="BZ209" s="95">
        <f>IFERROR(AVERAGEIFS(RdTRABYVals!AO$2:AO$999,RdTRABYVals!$B$2:$B$999,"="&amp;$E209,RdTRABYVals!$C$2:$C$999,"="&amp;INS_EFF!$B209),"")</f>
        <v>0.29287270250473402</v>
      </c>
      <c r="CA209" s="95">
        <f>IFERROR(AVERAGEIFS(RdTRABYVals!AP$2:AP$999,RdTRABYVals!$B$2:$B$999,"="&amp;$E209,RdTRABYVals!$C$2:$C$999,"="&amp;INS_EFF!$B209),"")</f>
        <v>0.26381358585829001</v>
      </c>
      <c r="CB209" s="95">
        <f>IFERROR(AVERAGEIFS(RdTRABYVals!AQ$2:AQ$999,RdTRABYVals!$B$2:$B$999,"="&amp;$E209,RdTRABYVals!$C$2:$C$999,"="&amp;INS_EFF!$B209),"")</f>
        <v>0.27733247347114598</v>
      </c>
      <c r="CC209" s="95">
        <f>IFERROR(AVERAGEIFS(RdTRABYVals!AR$2:AR$999,RdTRABYVals!$B$2:$B$999,"="&amp;$E209,RdTRABYVals!$C$2:$C$999,"="&amp;INS_EFF!$B209),"")</f>
        <v>0.30442078071888801</v>
      </c>
      <c r="CD209" s="95">
        <f>IFERROR(AVERAGEIFS(RdTRABYVals!AS$2:AS$999,RdTRABYVals!$B$2:$B$999,"="&amp;$E209,RdTRABYVals!$C$2:$C$999,"="&amp;INS_EFF!$B209),"")</f>
        <v>0.31405752375711199</v>
      </c>
      <c r="CE209" s="95">
        <f>IFERROR(AVERAGEIFS(RdTRABYVals!AT$2:AT$999,RdTRABYVals!$B$2:$B$999,"="&amp;$E209,RdTRABYVals!$C$2:$C$999,"="&amp;INS_EFF!$B209),"")</f>
        <v>0.30659073260956099</v>
      </c>
      <c r="CF209" s="95">
        <f>IFERROR(AVERAGEIFS(RdTRABYVals!AU$2:AU$999,RdTRABYVals!$B$2:$B$999,"="&amp;$E209,RdTRABYVals!$C$2:$C$999,"="&amp;INS_EFF!$B209),"")</f>
        <v>0.29346495783648302</v>
      </c>
      <c r="CG209" s="95">
        <f>IFERROR(AVERAGEIFS(RdTRABYVals!AV$2:AV$999,RdTRABYVals!$B$2:$B$999,"="&amp;$E209,RdTRABYVals!$C$2:$C$999,"="&amp;INS_EFF!$B209),"")</f>
        <v>0.29880129206297701</v>
      </c>
    </row>
    <row r="210" spans="2:85" ht="15">
      <c r="B210" s="24" t="s">
        <v>134</v>
      </c>
      <c r="C210" s="24"/>
      <c r="E210" s="18" t="s">
        <v>29</v>
      </c>
      <c r="F210" s="71"/>
      <c r="G210" t="s">
        <v>134</v>
      </c>
      <c r="I210" t="str">
        <f t="shared" si="6"/>
        <v>*0.231262852132941</v>
      </c>
      <c r="J210" t="str">
        <f t="shared" si="6"/>
        <v>*0.206720917116494</v>
      </c>
      <c r="K210" t="str">
        <f t="shared" si="6"/>
        <v>*0.230853068617818</v>
      </c>
      <c r="L210" t="str">
        <f t="shared" si="6"/>
        <v>*0.241210029642046</v>
      </c>
      <c r="M210" t="str">
        <f t="shared" si="6"/>
        <v>*0.22389667370098</v>
      </c>
      <c r="N210" t="str">
        <f t="shared" si="6"/>
        <v>*0.198438025786818</v>
      </c>
      <c r="O210" t="str">
        <f t="shared" si="6"/>
        <v>*0.22378876804671</v>
      </c>
      <c r="P210" t="str">
        <f t="shared" si="6"/>
        <v>*0.206290289052558</v>
      </c>
      <c r="Q210" t="str">
        <f t="shared" si="6"/>
        <v>*0.234785934286788</v>
      </c>
      <c r="R210" t="str">
        <f t="shared" si="6"/>
        <v>*0.219073254668277</v>
      </c>
      <c r="S210" t="str">
        <f t="shared" si="6"/>
        <v>*0.253991932573673</v>
      </c>
      <c r="T210" t="str">
        <f t="shared" si="6"/>
        <v>*0.26067792413552</v>
      </c>
      <c r="U210" t="str">
        <f t="shared" si="6"/>
        <v>*0.206720917116494</v>
      </c>
      <c r="V210" t="str">
        <f t="shared" si="6"/>
        <v>*0.255427972050333</v>
      </c>
      <c r="W210" s="20" t="str">
        <f t="shared" si="6"/>
        <v>*0.240916245751196</v>
      </c>
      <c r="X210" t="str">
        <f t="shared" si="6"/>
        <v>*0.238834836382566</v>
      </c>
      <c r="Y210" t="str">
        <f t="shared" si="8"/>
        <v>*0.241210029642046</v>
      </c>
      <c r="Z210" t="str">
        <f t="shared" si="8"/>
        <v>*0.255604985969833</v>
      </c>
      <c r="AA210" t="str">
        <f t="shared" si="8"/>
        <v>*0.204213248102036</v>
      </c>
      <c r="AB210" t="str">
        <f t="shared" si="8"/>
        <v>*0.208249470350152</v>
      </c>
      <c r="AC210" t="str">
        <f t="shared" si="8"/>
        <v>*0.246580390963192</v>
      </c>
      <c r="AD210" t="str">
        <f t="shared" si="8"/>
        <v>*0.241210029642046</v>
      </c>
      <c r="AE210" t="str">
        <f t="shared" si="8"/>
        <v>*0.208861707868195</v>
      </c>
      <c r="AF210" t="str">
        <f t="shared" si="8"/>
        <v>*0.219925956692754</v>
      </c>
      <c r="AG210" t="str">
        <f t="shared" si="8"/>
        <v>*0.249666814442304</v>
      </c>
      <c r="AH210" t="str">
        <f t="shared" si="8"/>
        <v>*0.206720917116494</v>
      </c>
      <c r="AI210" t="str">
        <f t="shared" si="8"/>
        <v>*0.248865849380247</v>
      </c>
      <c r="AJ210" t="str">
        <f t="shared" si="8"/>
        <v>*0.221238278896112</v>
      </c>
      <c r="AK210" t="str">
        <f t="shared" si="8"/>
        <v>*0.207834165073242</v>
      </c>
      <c r="AL210" t="str">
        <f t="shared" si="8"/>
        <v>*0.23488290223038</v>
      </c>
      <c r="AM210" t="str">
        <f t="shared" si="8"/>
        <v>*0.229635115823821</v>
      </c>
      <c r="AN210" t="str">
        <f t="shared" si="8"/>
        <v>*0.257445713795368</v>
      </c>
      <c r="AO210" t="str">
        <f t="shared" si="9"/>
        <v>*0.218901913564027</v>
      </c>
      <c r="AP210" t="str">
        <f t="shared" si="9"/>
        <v>*0.241210029642046</v>
      </c>
      <c r="AQ210" t="str">
        <f t="shared" si="9"/>
        <v>*0.244886187693852</v>
      </c>
      <c r="AR210" t="str">
        <f t="shared" si="9"/>
        <v>*0.232706519460248</v>
      </c>
      <c r="AS210" t="str">
        <f t="shared" si="9"/>
        <v>*0.240308292293256</v>
      </c>
      <c r="AT210" t="str">
        <f t="shared" si="9"/>
        <v>*0.254940221348877</v>
      </c>
      <c r="AV210" s="95">
        <f t="shared" si="7"/>
        <v>0.23126285213294054</v>
      </c>
      <c r="AW210" s="95">
        <f>IFERROR(AVERAGEIFS(RdTRABYVals!L$2:L$999,RdTRABYVals!$B$2:$B$999,"="&amp;$E210,RdTRABYVals!$C$2:$C$999,"="&amp;INS_EFF!$B210),"")</f>
        <v>0.20672091711649401</v>
      </c>
      <c r="AX210" s="95">
        <f>IFERROR(AVERAGEIFS(RdTRABYVals!M$2:M$999,RdTRABYVals!$B$2:$B$999,"="&amp;$E210,RdTRABYVals!$C$2:$C$999,"="&amp;INS_EFF!$B210),"")</f>
        <v>0.23085306861781801</v>
      </c>
      <c r="AY210" s="95">
        <f>IFERROR(AVERAGEIFS(RdTRABYVals!N$2:N$999,RdTRABYVals!$B$2:$B$999,"="&amp;$E210,RdTRABYVals!$C$2:$C$999,"="&amp;INS_EFF!$B210),"")</f>
        <v>0.24121002964204599</v>
      </c>
      <c r="AZ210" s="95">
        <f>IFERROR(AVERAGEIFS(RdTRABYVals!O$2:O$999,RdTRABYVals!$B$2:$B$999,"="&amp;$E210,RdTRABYVals!$C$2:$C$999,"="&amp;INS_EFF!$B210),"")</f>
        <v>0.22389667370097999</v>
      </c>
      <c r="BA210" s="95">
        <f>IFERROR(AVERAGEIFS(RdTRABYVals!P$2:P$999,RdTRABYVals!$B$2:$B$999,"="&amp;$E210,RdTRABYVals!$C$2:$C$999,"="&amp;INS_EFF!$B210),"")</f>
        <v>0.19843802578681799</v>
      </c>
      <c r="BB210" s="95">
        <f>IFERROR(AVERAGEIFS(RdTRABYVals!Q$2:Q$999,RdTRABYVals!$B$2:$B$999,"="&amp;$E210,RdTRABYVals!$C$2:$C$999,"="&amp;INS_EFF!$B210),"")</f>
        <v>0.22378876804671</v>
      </c>
      <c r="BC210" s="95">
        <f>IFERROR(AVERAGEIFS(RdTRABYVals!R$2:R$999,RdTRABYVals!$B$2:$B$999,"="&amp;$E210,RdTRABYVals!$C$2:$C$999,"="&amp;INS_EFF!$B210),"")</f>
        <v>0.206290289052558</v>
      </c>
      <c r="BD210" s="95">
        <f>IFERROR(AVERAGEIFS(RdTRABYVals!S$2:S$999,RdTRABYVals!$B$2:$B$999,"="&amp;$E210,RdTRABYVals!$C$2:$C$999,"="&amp;INS_EFF!$B210),"")</f>
        <v>0.23478593428678801</v>
      </c>
      <c r="BE210" s="95">
        <f>IFERROR(AVERAGEIFS(RdTRABYVals!T$2:T$999,RdTRABYVals!$B$2:$B$999,"="&amp;$E210,RdTRABYVals!$C$2:$C$999,"="&amp;INS_EFF!$B210),"")</f>
        <v>0.21907325466827701</v>
      </c>
      <c r="BF210" s="95">
        <f>IFERROR(AVERAGEIFS(RdTRABYVals!U$2:U$999,RdTRABYVals!$B$2:$B$999,"="&amp;$E210,RdTRABYVals!$C$2:$C$999,"="&amp;INS_EFF!$B210),"")</f>
        <v>0.25399193257367297</v>
      </c>
      <c r="BG210" s="95">
        <f>IFERROR(AVERAGEIFS(RdTRABYVals!V$2:V$999,RdTRABYVals!$B$2:$B$999,"="&amp;$E210,RdTRABYVals!$C$2:$C$999,"="&amp;INS_EFF!$B210),"")</f>
        <v>0.26067792413551999</v>
      </c>
      <c r="BH210" s="95">
        <f>IFERROR(AVERAGEIFS(RdTRABYVals!W$2:W$999,RdTRABYVals!$B$2:$B$999,"="&amp;$E210,RdTRABYVals!$C$2:$C$999,"="&amp;INS_EFF!$B210),"")</f>
        <v>0.20672091711649401</v>
      </c>
      <c r="BI210" s="95">
        <f>IFERROR(AVERAGEIFS(RdTRABYVals!X$2:X$999,RdTRABYVals!$B$2:$B$999,"="&amp;$E210,RdTRABYVals!$C$2:$C$999,"="&amp;INS_EFF!$B210),"")</f>
        <v>0.25542797205033302</v>
      </c>
      <c r="BJ210" s="95">
        <f>IFERROR(AVERAGEIFS(RdTRABYVals!Y$2:Y$999,RdTRABYVals!$B$2:$B$999,"="&amp;$E210,RdTRABYVals!$C$2:$C$999,"="&amp;INS_EFF!$B210),"")</f>
        <v>0.240916245751196</v>
      </c>
      <c r="BK210" s="95">
        <f>IFERROR(AVERAGEIFS(RdTRABYVals!Z$2:Z$999,RdTRABYVals!$B$2:$B$999,"="&amp;$E210,RdTRABYVals!$C$2:$C$999,"="&amp;INS_EFF!$B210),"")</f>
        <v>0.238834836382566</v>
      </c>
      <c r="BL210" s="95">
        <f>IFERROR(AVERAGEIFS(RdTRABYVals!AA$2:AA$999,RdTRABYVals!$B$2:$B$999,"="&amp;$E210,RdTRABYVals!$C$2:$C$999,"="&amp;INS_EFF!$B210),"")</f>
        <v>0.24121002964204599</v>
      </c>
      <c r="BM210" s="95">
        <f>IFERROR(AVERAGEIFS(RdTRABYVals!AB$2:AB$999,RdTRABYVals!$B$2:$B$999,"="&amp;$E210,RdTRABYVals!$C$2:$C$999,"="&amp;INS_EFF!$B210),"")</f>
        <v>0.255604985969833</v>
      </c>
      <c r="BN210" s="95">
        <f>IFERROR(AVERAGEIFS(RdTRABYVals!AC$2:AC$999,RdTRABYVals!$B$2:$B$999,"="&amp;$E210,RdTRABYVals!$C$2:$C$999,"="&amp;INS_EFF!$B210),"")</f>
        <v>0.204213248102036</v>
      </c>
      <c r="BO210" s="95">
        <f>IFERROR(AVERAGEIFS(RdTRABYVals!AD$2:AD$999,RdTRABYVals!$B$2:$B$999,"="&amp;$E210,RdTRABYVals!$C$2:$C$999,"="&amp;INS_EFF!$B210),"")</f>
        <v>0.20824947035015201</v>
      </c>
      <c r="BP210" s="95">
        <f>IFERROR(AVERAGEIFS(RdTRABYVals!AE$2:AE$999,RdTRABYVals!$B$2:$B$999,"="&amp;$E210,RdTRABYVals!$C$2:$C$999,"="&amp;INS_EFF!$B210),"")</f>
        <v>0.24658039096319201</v>
      </c>
      <c r="BQ210" s="95">
        <f>IFERROR(AVERAGEIFS(RdTRABYVals!AF$2:AF$999,RdTRABYVals!$B$2:$B$999,"="&amp;$E210,RdTRABYVals!$C$2:$C$999,"="&amp;INS_EFF!$B210),"")</f>
        <v>0.24121002964204599</v>
      </c>
      <c r="BR210" s="95">
        <f>IFERROR(AVERAGEIFS(RdTRABYVals!AG$2:AG$999,RdTRABYVals!$B$2:$B$999,"="&amp;$E210,RdTRABYVals!$C$2:$C$999,"="&amp;INS_EFF!$B210),"")</f>
        <v>0.208861707868195</v>
      </c>
      <c r="BS210" s="95">
        <f>IFERROR(AVERAGEIFS(RdTRABYVals!AH$2:AH$999,RdTRABYVals!$B$2:$B$999,"="&amp;$E210,RdTRABYVals!$C$2:$C$999,"="&amp;INS_EFF!$B210),"")</f>
        <v>0.219925956692754</v>
      </c>
      <c r="BT210" s="95">
        <f>IFERROR(AVERAGEIFS(RdTRABYVals!AI$2:AI$999,RdTRABYVals!$B$2:$B$999,"="&amp;$E210,RdTRABYVals!$C$2:$C$999,"="&amp;INS_EFF!$B210),"")</f>
        <v>0.24966681444230401</v>
      </c>
      <c r="BU210" s="95">
        <f>IFERROR(AVERAGEIFS(RdTRABYVals!AJ$2:AJ$999,RdTRABYVals!$B$2:$B$999,"="&amp;$E210,RdTRABYVals!$C$2:$C$999,"="&amp;INS_EFF!$B210),"")</f>
        <v>0.20672091711649401</v>
      </c>
      <c r="BV210" s="95">
        <f>IFERROR(AVERAGEIFS(RdTRABYVals!AK$2:AK$999,RdTRABYVals!$B$2:$B$999,"="&amp;$E210,RdTRABYVals!$C$2:$C$999,"="&amp;INS_EFF!$B210),"")</f>
        <v>0.248865849380247</v>
      </c>
      <c r="BW210" s="95">
        <f>IFERROR(AVERAGEIFS(RdTRABYVals!AL$2:AL$999,RdTRABYVals!$B$2:$B$999,"="&amp;$E210,RdTRABYVals!$C$2:$C$999,"="&amp;INS_EFF!$B210),"")</f>
        <v>0.221238278896112</v>
      </c>
      <c r="BX210" s="95">
        <f>IFERROR(AVERAGEIFS(RdTRABYVals!AM$2:AM$999,RdTRABYVals!$B$2:$B$999,"="&amp;$E210,RdTRABYVals!$C$2:$C$999,"="&amp;INS_EFF!$B210),"")</f>
        <v>0.20783416507324201</v>
      </c>
      <c r="BY210" s="95">
        <f>IFERROR(AVERAGEIFS(RdTRABYVals!AN$2:AN$999,RdTRABYVals!$B$2:$B$999,"="&amp;$E210,RdTRABYVals!$C$2:$C$999,"="&amp;INS_EFF!$B210),"")</f>
        <v>0.23488290223038</v>
      </c>
      <c r="BZ210" s="95">
        <f>IFERROR(AVERAGEIFS(RdTRABYVals!AO$2:AO$999,RdTRABYVals!$B$2:$B$999,"="&amp;$E210,RdTRABYVals!$C$2:$C$999,"="&amp;INS_EFF!$B210),"")</f>
        <v>0.22963511582382101</v>
      </c>
      <c r="CA210" s="95">
        <f>IFERROR(AVERAGEIFS(RdTRABYVals!AP$2:AP$999,RdTRABYVals!$B$2:$B$999,"="&amp;$E210,RdTRABYVals!$C$2:$C$999,"="&amp;INS_EFF!$B210),"")</f>
        <v>0.25744571379536801</v>
      </c>
      <c r="CB210" s="95">
        <f>IFERROR(AVERAGEIFS(RdTRABYVals!AQ$2:AQ$999,RdTRABYVals!$B$2:$B$999,"="&amp;$E210,RdTRABYVals!$C$2:$C$999,"="&amp;INS_EFF!$B210),"")</f>
        <v>0.218901913564027</v>
      </c>
      <c r="CC210" s="95">
        <f>IFERROR(AVERAGEIFS(RdTRABYVals!AR$2:AR$999,RdTRABYVals!$B$2:$B$999,"="&amp;$E210,RdTRABYVals!$C$2:$C$999,"="&amp;INS_EFF!$B210),"")</f>
        <v>0.24121002964204599</v>
      </c>
      <c r="CD210" s="95">
        <f>IFERROR(AVERAGEIFS(RdTRABYVals!AS$2:AS$999,RdTRABYVals!$B$2:$B$999,"="&amp;$E210,RdTRABYVals!$C$2:$C$999,"="&amp;INS_EFF!$B210),"")</f>
        <v>0.24488618769385201</v>
      </c>
      <c r="CE210" s="95">
        <f>IFERROR(AVERAGEIFS(RdTRABYVals!AT$2:AT$999,RdTRABYVals!$B$2:$B$999,"="&amp;$E210,RdTRABYVals!$C$2:$C$999,"="&amp;INS_EFF!$B210),"")</f>
        <v>0.23270651946024801</v>
      </c>
      <c r="CF210" s="95">
        <f>IFERROR(AVERAGEIFS(RdTRABYVals!AU$2:AU$999,RdTRABYVals!$B$2:$B$999,"="&amp;$E210,RdTRABYVals!$C$2:$C$999,"="&amp;INS_EFF!$B210),"")</f>
        <v>0.24030829229325601</v>
      </c>
      <c r="CG210" s="95">
        <f>IFERROR(AVERAGEIFS(RdTRABYVals!AV$2:AV$999,RdTRABYVals!$B$2:$B$999,"="&amp;$E210,RdTRABYVals!$C$2:$C$999,"="&amp;INS_EFF!$B210),"")</f>
        <v>0.25494022134887701</v>
      </c>
    </row>
    <row r="211" spans="2:85" ht="15">
      <c r="B211" s="24" t="s">
        <v>135</v>
      </c>
      <c r="C211" s="24"/>
      <c r="E211" s="18" t="s">
        <v>29</v>
      </c>
      <c r="F211" s="71"/>
      <c r="G211" t="s">
        <v>135</v>
      </c>
      <c r="I211" t="str">
        <f t="shared" si="6"/>
        <v>*0.226178244331562</v>
      </c>
      <c r="J211" t="str">
        <f t="shared" si="6"/>
        <v>*0.226178244331562</v>
      </c>
      <c r="K211" t="str">
        <f t="shared" si="6"/>
        <v>*0.226178244331562</v>
      </c>
      <c r="L211" t="str">
        <f t="shared" si="6"/>
        <v>*0.226178244331562</v>
      </c>
      <c r="M211" t="str">
        <f t="shared" si="6"/>
        <v>*0.226178244331562</v>
      </c>
      <c r="N211" t="str">
        <f t="shared" si="6"/>
        <v>*0.226178244331562</v>
      </c>
      <c r="O211" t="str">
        <f t="shared" si="6"/>
        <v>*0.226178244331562</v>
      </c>
      <c r="P211" t="str">
        <f t="shared" si="6"/>
        <v>*0.226178244331562</v>
      </c>
      <c r="Q211" t="str">
        <f t="shared" si="6"/>
        <v>*0.226178244331562</v>
      </c>
      <c r="R211" t="str">
        <f t="shared" si="6"/>
        <v>*0.207767826916185</v>
      </c>
      <c r="S211" t="str">
        <f t="shared" si="6"/>
        <v>*0.245367408219423</v>
      </c>
      <c r="T211" t="str">
        <f t="shared" si="6"/>
        <v>*0.226178244331562</v>
      </c>
      <c r="U211" t="str">
        <f t="shared" si="6"/>
        <v>*0.226178244331562</v>
      </c>
      <c r="V211" t="str">
        <f t="shared" si="6"/>
        <v>*0.226178244331562</v>
      </c>
      <c r="W211" s="20" t="str">
        <f t="shared" si="6"/>
        <v>*0.226178244331562</v>
      </c>
      <c r="X211" t="str">
        <f t="shared" si="6"/>
        <v>*0.226178244331562</v>
      </c>
      <c r="Y211" t="str">
        <f t="shared" si="8"/>
        <v>*0.226178244331562</v>
      </c>
      <c r="Z211" t="str">
        <f t="shared" si="8"/>
        <v>*0.226178244331562</v>
      </c>
      <c r="AA211" t="str">
        <f t="shared" si="8"/>
        <v>*0.226178244331562</v>
      </c>
      <c r="AB211" t="str">
        <f t="shared" si="8"/>
        <v>*0.226178244331562</v>
      </c>
      <c r="AC211" t="str">
        <f t="shared" si="8"/>
        <v>*0.226178244331562</v>
      </c>
      <c r="AD211" t="str">
        <f t="shared" si="8"/>
        <v>*0.226178244331562</v>
      </c>
      <c r="AE211" t="str">
        <f t="shared" si="8"/>
        <v>*0.226178244331562</v>
      </c>
      <c r="AF211" t="str">
        <f t="shared" si="8"/>
        <v>*0.226178244331562</v>
      </c>
      <c r="AG211" t="str">
        <f t="shared" si="8"/>
        <v>*0.236570498381022</v>
      </c>
      <c r="AH211" t="str">
        <f t="shared" si="8"/>
        <v>*0.226178244331562</v>
      </c>
      <c r="AI211" t="str">
        <f t="shared" si="8"/>
        <v>*0.226178244331562</v>
      </c>
      <c r="AJ211" t="str">
        <f t="shared" si="8"/>
        <v>*0.226178244331562</v>
      </c>
      <c r="AK211" t="str">
        <f t="shared" si="8"/>
        <v>*0.192931910247019</v>
      </c>
      <c r="AL211" t="str">
        <f t="shared" si="8"/>
        <v>*0.226178244331562</v>
      </c>
      <c r="AM211" t="str">
        <f t="shared" si="8"/>
        <v>*0.218203680884985</v>
      </c>
      <c r="AN211" t="str">
        <f t="shared" si="8"/>
        <v>*0.242020198345385</v>
      </c>
      <c r="AO211" t="str">
        <f t="shared" si="9"/>
        <v>*0.226178244331562</v>
      </c>
      <c r="AP211" t="str">
        <f t="shared" si="9"/>
        <v>*0.226178244331562</v>
      </c>
      <c r="AQ211" t="str">
        <f t="shared" si="9"/>
        <v>*0.226178244331562</v>
      </c>
      <c r="AR211" t="str">
        <f t="shared" si="9"/>
        <v>*0.226178244331562</v>
      </c>
      <c r="AS211" t="str">
        <f t="shared" si="9"/>
        <v>*0.226178244331562</v>
      </c>
      <c r="AT211" t="str">
        <f t="shared" si="9"/>
        <v>*0.240386187326915</v>
      </c>
      <c r="AV211" s="95">
        <f t="shared" si="7"/>
        <v>0.226178244331562</v>
      </c>
      <c r="AW211" s="95">
        <f>IFERROR(AVERAGEIFS(RdTRABYVals!L$2:L$999,RdTRABYVals!$B$2:$B$999,"="&amp;$E211,RdTRABYVals!$C$2:$C$999,"="&amp;INS_EFF!$B211),"")</f>
        <v>0.226178244331562</v>
      </c>
      <c r="AX211" s="95">
        <f>IFERROR(AVERAGEIFS(RdTRABYVals!M$2:M$999,RdTRABYVals!$B$2:$B$999,"="&amp;$E211,RdTRABYVals!$C$2:$C$999,"="&amp;INS_EFF!$B211),"")</f>
        <v>0.226178244331562</v>
      </c>
      <c r="AY211" s="95">
        <f>IFERROR(AVERAGEIFS(RdTRABYVals!N$2:N$999,RdTRABYVals!$B$2:$B$999,"="&amp;$E211,RdTRABYVals!$C$2:$C$999,"="&amp;INS_EFF!$B211),"")</f>
        <v>0.226178244331562</v>
      </c>
      <c r="AZ211" s="95">
        <f>IFERROR(AVERAGEIFS(RdTRABYVals!O$2:O$999,RdTRABYVals!$B$2:$B$999,"="&amp;$E211,RdTRABYVals!$C$2:$C$999,"="&amp;INS_EFF!$B211),"")</f>
        <v>0.226178244331562</v>
      </c>
      <c r="BA211" s="95">
        <f>IFERROR(AVERAGEIFS(RdTRABYVals!P$2:P$999,RdTRABYVals!$B$2:$B$999,"="&amp;$E211,RdTRABYVals!$C$2:$C$999,"="&amp;INS_EFF!$B211),"")</f>
        <v>0.226178244331562</v>
      </c>
      <c r="BB211" s="95">
        <f>IFERROR(AVERAGEIFS(RdTRABYVals!Q$2:Q$999,RdTRABYVals!$B$2:$B$999,"="&amp;$E211,RdTRABYVals!$C$2:$C$999,"="&amp;INS_EFF!$B211),"")</f>
        <v>0.226178244331562</v>
      </c>
      <c r="BC211" s="95">
        <f>IFERROR(AVERAGEIFS(RdTRABYVals!R$2:R$999,RdTRABYVals!$B$2:$B$999,"="&amp;$E211,RdTRABYVals!$C$2:$C$999,"="&amp;INS_EFF!$B211),"")</f>
        <v>0.226178244331562</v>
      </c>
      <c r="BD211" s="95">
        <f>IFERROR(AVERAGEIFS(RdTRABYVals!S$2:S$999,RdTRABYVals!$B$2:$B$999,"="&amp;$E211,RdTRABYVals!$C$2:$C$999,"="&amp;INS_EFF!$B211),"")</f>
        <v>0.226178244331562</v>
      </c>
      <c r="BE211" s="95">
        <f>IFERROR(AVERAGEIFS(RdTRABYVals!T$2:T$999,RdTRABYVals!$B$2:$B$999,"="&amp;$E211,RdTRABYVals!$C$2:$C$999,"="&amp;INS_EFF!$B211),"")</f>
        <v>0.20776782691618501</v>
      </c>
      <c r="BF211" s="95">
        <f>IFERROR(AVERAGEIFS(RdTRABYVals!U$2:U$999,RdTRABYVals!$B$2:$B$999,"="&amp;$E211,RdTRABYVals!$C$2:$C$999,"="&amp;INS_EFF!$B211),"")</f>
        <v>0.24536740821942299</v>
      </c>
      <c r="BG211" s="95">
        <f>IFERROR(AVERAGEIFS(RdTRABYVals!V$2:V$999,RdTRABYVals!$B$2:$B$999,"="&amp;$E211,RdTRABYVals!$C$2:$C$999,"="&amp;INS_EFF!$B211),"")</f>
        <v>0.226178244331562</v>
      </c>
      <c r="BH211" s="95">
        <f>IFERROR(AVERAGEIFS(RdTRABYVals!W$2:W$999,RdTRABYVals!$B$2:$B$999,"="&amp;$E211,RdTRABYVals!$C$2:$C$999,"="&amp;INS_EFF!$B211),"")</f>
        <v>0.226178244331562</v>
      </c>
      <c r="BI211" s="95">
        <f>IFERROR(AVERAGEIFS(RdTRABYVals!X$2:X$999,RdTRABYVals!$B$2:$B$999,"="&amp;$E211,RdTRABYVals!$C$2:$C$999,"="&amp;INS_EFF!$B211),"")</f>
        <v>0.226178244331562</v>
      </c>
      <c r="BJ211" s="95">
        <f>IFERROR(AVERAGEIFS(RdTRABYVals!Y$2:Y$999,RdTRABYVals!$B$2:$B$999,"="&amp;$E211,RdTRABYVals!$C$2:$C$999,"="&amp;INS_EFF!$B211),"")</f>
        <v>0.226178244331562</v>
      </c>
      <c r="BK211" s="95">
        <f>IFERROR(AVERAGEIFS(RdTRABYVals!Z$2:Z$999,RdTRABYVals!$B$2:$B$999,"="&amp;$E211,RdTRABYVals!$C$2:$C$999,"="&amp;INS_EFF!$B211),"")</f>
        <v>0.226178244331562</v>
      </c>
      <c r="BL211" s="95">
        <f>IFERROR(AVERAGEIFS(RdTRABYVals!AA$2:AA$999,RdTRABYVals!$B$2:$B$999,"="&amp;$E211,RdTRABYVals!$C$2:$C$999,"="&amp;INS_EFF!$B211),"")</f>
        <v>0.226178244331562</v>
      </c>
      <c r="BM211" s="95">
        <f>IFERROR(AVERAGEIFS(RdTRABYVals!AB$2:AB$999,RdTRABYVals!$B$2:$B$999,"="&amp;$E211,RdTRABYVals!$C$2:$C$999,"="&amp;INS_EFF!$B211),"")</f>
        <v>0.226178244331562</v>
      </c>
      <c r="BN211" s="95">
        <f>IFERROR(AVERAGEIFS(RdTRABYVals!AC$2:AC$999,RdTRABYVals!$B$2:$B$999,"="&amp;$E211,RdTRABYVals!$C$2:$C$999,"="&amp;INS_EFF!$B211),"")</f>
        <v>0.226178244331562</v>
      </c>
      <c r="BO211" s="95">
        <f>IFERROR(AVERAGEIFS(RdTRABYVals!AD$2:AD$999,RdTRABYVals!$B$2:$B$999,"="&amp;$E211,RdTRABYVals!$C$2:$C$999,"="&amp;INS_EFF!$B211),"")</f>
        <v>0.226178244331562</v>
      </c>
      <c r="BP211" s="95">
        <f>IFERROR(AVERAGEIFS(RdTRABYVals!AE$2:AE$999,RdTRABYVals!$B$2:$B$999,"="&amp;$E211,RdTRABYVals!$C$2:$C$999,"="&amp;INS_EFF!$B211),"")</f>
        <v>0.226178244331562</v>
      </c>
      <c r="BQ211" s="95">
        <f>IFERROR(AVERAGEIFS(RdTRABYVals!AF$2:AF$999,RdTRABYVals!$B$2:$B$999,"="&amp;$E211,RdTRABYVals!$C$2:$C$999,"="&amp;INS_EFF!$B211),"")</f>
        <v>0.226178244331562</v>
      </c>
      <c r="BR211" s="95">
        <f>IFERROR(AVERAGEIFS(RdTRABYVals!AG$2:AG$999,RdTRABYVals!$B$2:$B$999,"="&amp;$E211,RdTRABYVals!$C$2:$C$999,"="&amp;INS_EFF!$B211),"")</f>
        <v>0.226178244331562</v>
      </c>
      <c r="BS211" s="95">
        <f>IFERROR(AVERAGEIFS(RdTRABYVals!AH$2:AH$999,RdTRABYVals!$B$2:$B$999,"="&amp;$E211,RdTRABYVals!$C$2:$C$999,"="&amp;INS_EFF!$B211),"")</f>
        <v>0.226178244331562</v>
      </c>
      <c r="BT211" s="95">
        <f>IFERROR(AVERAGEIFS(RdTRABYVals!AI$2:AI$999,RdTRABYVals!$B$2:$B$999,"="&amp;$E211,RdTRABYVals!$C$2:$C$999,"="&amp;INS_EFF!$B211),"")</f>
        <v>0.23657049838102201</v>
      </c>
      <c r="BU211" s="95">
        <f>IFERROR(AVERAGEIFS(RdTRABYVals!AJ$2:AJ$999,RdTRABYVals!$B$2:$B$999,"="&amp;$E211,RdTRABYVals!$C$2:$C$999,"="&amp;INS_EFF!$B211),"")</f>
        <v>0.226178244331562</v>
      </c>
      <c r="BV211" s="95">
        <f>IFERROR(AVERAGEIFS(RdTRABYVals!AK$2:AK$999,RdTRABYVals!$B$2:$B$999,"="&amp;$E211,RdTRABYVals!$C$2:$C$999,"="&amp;INS_EFF!$B211),"")</f>
        <v>0.226178244331562</v>
      </c>
      <c r="BW211" s="95">
        <f>IFERROR(AVERAGEIFS(RdTRABYVals!AL$2:AL$999,RdTRABYVals!$B$2:$B$999,"="&amp;$E211,RdTRABYVals!$C$2:$C$999,"="&amp;INS_EFF!$B211),"")</f>
        <v>0.226178244331562</v>
      </c>
      <c r="BX211" s="95">
        <f>IFERROR(AVERAGEIFS(RdTRABYVals!AM$2:AM$999,RdTRABYVals!$B$2:$B$999,"="&amp;$E211,RdTRABYVals!$C$2:$C$999,"="&amp;INS_EFF!$B211),"")</f>
        <v>0.192931910247019</v>
      </c>
      <c r="BY211" s="95">
        <f>IFERROR(AVERAGEIFS(RdTRABYVals!AN$2:AN$999,RdTRABYVals!$B$2:$B$999,"="&amp;$E211,RdTRABYVals!$C$2:$C$999,"="&amp;INS_EFF!$B211),"")</f>
        <v>0.226178244331562</v>
      </c>
      <c r="BZ211" s="95">
        <f>IFERROR(AVERAGEIFS(RdTRABYVals!AO$2:AO$999,RdTRABYVals!$B$2:$B$999,"="&amp;$E211,RdTRABYVals!$C$2:$C$999,"="&amp;INS_EFF!$B211),"")</f>
        <v>0.21820368088498501</v>
      </c>
      <c r="CA211" s="95">
        <f>IFERROR(AVERAGEIFS(RdTRABYVals!AP$2:AP$999,RdTRABYVals!$B$2:$B$999,"="&amp;$E211,RdTRABYVals!$C$2:$C$999,"="&amp;INS_EFF!$B211),"")</f>
        <v>0.24202019834538499</v>
      </c>
      <c r="CB211" s="95">
        <f>IFERROR(AVERAGEIFS(RdTRABYVals!AQ$2:AQ$999,RdTRABYVals!$B$2:$B$999,"="&amp;$E211,RdTRABYVals!$C$2:$C$999,"="&amp;INS_EFF!$B211),"")</f>
        <v>0.226178244331562</v>
      </c>
      <c r="CC211" s="95">
        <f>IFERROR(AVERAGEIFS(RdTRABYVals!AR$2:AR$999,RdTRABYVals!$B$2:$B$999,"="&amp;$E211,RdTRABYVals!$C$2:$C$999,"="&amp;INS_EFF!$B211),"")</f>
        <v>0.226178244331562</v>
      </c>
      <c r="CD211" s="95">
        <f>IFERROR(AVERAGEIFS(RdTRABYVals!AS$2:AS$999,RdTRABYVals!$B$2:$B$999,"="&amp;$E211,RdTRABYVals!$C$2:$C$999,"="&amp;INS_EFF!$B211),"")</f>
        <v>0.226178244331562</v>
      </c>
      <c r="CE211" s="95">
        <f>IFERROR(AVERAGEIFS(RdTRABYVals!AT$2:AT$999,RdTRABYVals!$B$2:$B$999,"="&amp;$E211,RdTRABYVals!$C$2:$C$999,"="&amp;INS_EFF!$B211),"")</f>
        <v>0.226178244331562</v>
      </c>
      <c r="CF211" s="95">
        <f>IFERROR(AVERAGEIFS(RdTRABYVals!AU$2:AU$999,RdTRABYVals!$B$2:$B$999,"="&amp;$E211,RdTRABYVals!$C$2:$C$999,"="&amp;INS_EFF!$B211),"")</f>
        <v>0.226178244331562</v>
      </c>
      <c r="CG211" s="95">
        <f>IFERROR(AVERAGEIFS(RdTRABYVals!AV$2:AV$999,RdTRABYVals!$B$2:$B$999,"="&amp;$E211,RdTRABYVals!$C$2:$C$999,"="&amp;INS_EFF!$B211),"")</f>
        <v>0.240386187326915</v>
      </c>
    </row>
    <row r="212" spans="2:85" ht="15">
      <c r="B212" s="24" t="s">
        <v>134</v>
      </c>
      <c r="C212" s="24"/>
      <c r="E212" s="18" t="s">
        <v>29</v>
      </c>
      <c r="F212" s="71"/>
      <c r="G212" t="s">
        <v>158</v>
      </c>
      <c r="I212" t="str">
        <f t="shared" si="6"/>
        <v>*0.231262852132941</v>
      </c>
      <c r="J212" t="str">
        <f t="shared" si="6"/>
        <v>*0.206720917116494</v>
      </c>
      <c r="K212" t="str">
        <f t="shared" si="6"/>
        <v>*0.230853068617818</v>
      </c>
      <c r="L212" t="str">
        <f t="shared" si="6"/>
        <v>*0.241210029642046</v>
      </c>
      <c r="M212" t="str">
        <f t="shared" si="6"/>
        <v>*0.22389667370098</v>
      </c>
      <c r="N212" t="str">
        <f t="shared" si="6"/>
        <v>*0.198438025786818</v>
      </c>
      <c r="O212" t="str">
        <f t="shared" si="6"/>
        <v>*0.22378876804671</v>
      </c>
      <c r="P212" t="str">
        <f t="shared" si="6"/>
        <v>*0.206290289052558</v>
      </c>
      <c r="Q212" t="str">
        <f t="shared" si="6"/>
        <v>*0.234785934286788</v>
      </c>
      <c r="R212" t="str">
        <f t="shared" si="6"/>
        <v>*0.219073254668277</v>
      </c>
      <c r="S212" t="str">
        <f t="shared" si="6"/>
        <v>*0.253991932573673</v>
      </c>
      <c r="T212" t="str">
        <f t="shared" si="6"/>
        <v>*0.26067792413552</v>
      </c>
      <c r="U212" t="str">
        <f t="shared" si="6"/>
        <v>*0.206720917116494</v>
      </c>
      <c r="V212" t="str">
        <f t="shared" si="6"/>
        <v>*0.255427972050333</v>
      </c>
      <c r="W212" s="20" t="str">
        <f t="shared" si="6"/>
        <v>*0.240916245751196</v>
      </c>
      <c r="X212" t="str">
        <f t="shared" si="6"/>
        <v>*0.238834836382566</v>
      </c>
      <c r="Y212" t="str">
        <f t="shared" si="8"/>
        <v>*0.241210029642046</v>
      </c>
      <c r="Z212" t="str">
        <f t="shared" si="8"/>
        <v>*0.255604985969833</v>
      </c>
      <c r="AA212" t="str">
        <f t="shared" si="8"/>
        <v>*0.204213248102036</v>
      </c>
      <c r="AB212" t="str">
        <f t="shared" si="8"/>
        <v>*0.208249470350152</v>
      </c>
      <c r="AC212" t="str">
        <f t="shared" si="8"/>
        <v>*0.246580390963192</v>
      </c>
      <c r="AD212" t="str">
        <f t="shared" si="8"/>
        <v>*0.241210029642046</v>
      </c>
      <c r="AE212" t="str">
        <f t="shared" si="8"/>
        <v>*0.208861707868195</v>
      </c>
      <c r="AF212" t="str">
        <f t="shared" si="8"/>
        <v>*0.219925956692754</v>
      </c>
      <c r="AG212" t="str">
        <f t="shared" si="8"/>
        <v>*0.249666814442304</v>
      </c>
      <c r="AH212" t="str">
        <f t="shared" si="8"/>
        <v>*0.206720917116494</v>
      </c>
      <c r="AI212" t="str">
        <f t="shared" si="8"/>
        <v>*0.248865849380247</v>
      </c>
      <c r="AJ212" t="str">
        <f t="shared" si="8"/>
        <v>*0.221238278896112</v>
      </c>
      <c r="AK212" t="str">
        <f t="shared" si="8"/>
        <v>*0.207834165073242</v>
      </c>
      <c r="AL212" t="str">
        <f t="shared" si="8"/>
        <v>*0.23488290223038</v>
      </c>
      <c r="AM212" t="str">
        <f t="shared" si="8"/>
        <v>*0.229635115823821</v>
      </c>
      <c r="AN212" t="str">
        <f t="shared" si="8"/>
        <v>*0.257445713795368</v>
      </c>
      <c r="AO212" t="str">
        <f t="shared" si="9"/>
        <v>*0.218901913564027</v>
      </c>
      <c r="AP212" t="str">
        <f t="shared" si="9"/>
        <v>*0.241210029642046</v>
      </c>
      <c r="AQ212" t="str">
        <f t="shared" si="9"/>
        <v>*0.244886187693852</v>
      </c>
      <c r="AR212" t="str">
        <f t="shared" si="9"/>
        <v>*0.232706519460248</v>
      </c>
      <c r="AS212" t="str">
        <f t="shared" si="9"/>
        <v>*0.240308292293256</v>
      </c>
      <c r="AT212" t="str">
        <f t="shared" si="9"/>
        <v>*0.254940221348877</v>
      </c>
      <c r="AV212" s="95">
        <f t="shared" si="7"/>
        <v>0.23126285213294054</v>
      </c>
      <c r="AW212" s="95">
        <f>IFERROR(AVERAGEIFS(RdTRABYVals!L$2:L$999,RdTRABYVals!$B$2:$B$999,"="&amp;$E212,RdTRABYVals!$C$2:$C$999,"="&amp;INS_EFF!$B212),"")</f>
        <v>0.20672091711649401</v>
      </c>
      <c r="AX212" s="95">
        <f>IFERROR(AVERAGEIFS(RdTRABYVals!M$2:M$999,RdTRABYVals!$B$2:$B$999,"="&amp;$E212,RdTRABYVals!$C$2:$C$999,"="&amp;INS_EFF!$B212),"")</f>
        <v>0.23085306861781801</v>
      </c>
      <c r="AY212" s="95">
        <f>IFERROR(AVERAGEIFS(RdTRABYVals!N$2:N$999,RdTRABYVals!$B$2:$B$999,"="&amp;$E212,RdTRABYVals!$C$2:$C$999,"="&amp;INS_EFF!$B212),"")</f>
        <v>0.24121002964204599</v>
      </c>
      <c r="AZ212" s="95">
        <f>IFERROR(AVERAGEIFS(RdTRABYVals!O$2:O$999,RdTRABYVals!$B$2:$B$999,"="&amp;$E212,RdTRABYVals!$C$2:$C$999,"="&amp;INS_EFF!$B212),"")</f>
        <v>0.22389667370097999</v>
      </c>
      <c r="BA212" s="95">
        <f>IFERROR(AVERAGEIFS(RdTRABYVals!P$2:P$999,RdTRABYVals!$B$2:$B$999,"="&amp;$E212,RdTRABYVals!$C$2:$C$999,"="&amp;INS_EFF!$B212),"")</f>
        <v>0.19843802578681799</v>
      </c>
      <c r="BB212" s="95">
        <f>IFERROR(AVERAGEIFS(RdTRABYVals!Q$2:Q$999,RdTRABYVals!$B$2:$B$999,"="&amp;$E212,RdTRABYVals!$C$2:$C$999,"="&amp;INS_EFF!$B212),"")</f>
        <v>0.22378876804671</v>
      </c>
      <c r="BC212" s="95">
        <f>IFERROR(AVERAGEIFS(RdTRABYVals!R$2:R$999,RdTRABYVals!$B$2:$B$999,"="&amp;$E212,RdTRABYVals!$C$2:$C$999,"="&amp;INS_EFF!$B212),"")</f>
        <v>0.206290289052558</v>
      </c>
      <c r="BD212" s="95">
        <f>IFERROR(AVERAGEIFS(RdTRABYVals!S$2:S$999,RdTRABYVals!$B$2:$B$999,"="&amp;$E212,RdTRABYVals!$C$2:$C$999,"="&amp;INS_EFF!$B212),"")</f>
        <v>0.23478593428678801</v>
      </c>
      <c r="BE212" s="95">
        <f>IFERROR(AVERAGEIFS(RdTRABYVals!T$2:T$999,RdTRABYVals!$B$2:$B$999,"="&amp;$E212,RdTRABYVals!$C$2:$C$999,"="&amp;INS_EFF!$B212),"")</f>
        <v>0.21907325466827701</v>
      </c>
      <c r="BF212" s="95">
        <f>IFERROR(AVERAGEIFS(RdTRABYVals!U$2:U$999,RdTRABYVals!$B$2:$B$999,"="&amp;$E212,RdTRABYVals!$C$2:$C$999,"="&amp;INS_EFF!$B212),"")</f>
        <v>0.25399193257367297</v>
      </c>
      <c r="BG212" s="95">
        <f>IFERROR(AVERAGEIFS(RdTRABYVals!V$2:V$999,RdTRABYVals!$B$2:$B$999,"="&amp;$E212,RdTRABYVals!$C$2:$C$999,"="&amp;INS_EFF!$B212),"")</f>
        <v>0.26067792413551999</v>
      </c>
      <c r="BH212" s="95">
        <f>IFERROR(AVERAGEIFS(RdTRABYVals!W$2:W$999,RdTRABYVals!$B$2:$B$999,"="&amp;$E212,RdTRABYVals!$C$2:$C$999,"="&amp;INS_EFF!$B212),"")</f>
        <v>0.20672091711649401</v>
      </c>
      <c r="BI212" s="95">
        <f>IFERROR(AVERAGEIFS(RdTRABYVals!X$2:X$999,RdTRABYVals!$B$2:$B$999,"="&amp;$E212,RdTRABYVals!$C$2:$C$999,"="&amp;INS_EFF!$B212),"")</f>
        <v>0.25542797205033302</v>
      </c>
      <c r="BJ212" s="95">
        <f>IFERROR(AVERAGEIFS(RdTRABYVals!Y$2:Y$999,RdTRABYVals!$B$2:$B$999,"="&amp;$E212,RdTRABYVals!$C$2:$C$999,"="&amp;INS_EFF!$B212),"")</f>
        <v>0.240916245751196</v>
      </c>
      <c r="BK212" s="95">
        <f>IFERROR(AVERAGEIFS(RdTRABYVals!Z$2:Z$999,RdTRABYVals!$B$2:$B$999,"="&amp;$E212,RdTRABYVals!$C$2:$C$999,"="&amp;INS_EFF!$B212),"")</f>
        <v>0.238834836382566</v>
      </c>
      <c r="BL212" s="95">
        <f>IFERROR(AVERAGEIFS(RdTRABYVals!AA$2:AA$999,RdTRABYVals!$B$2:$B$999,"="&amp;$E212,RdTRABYVals!$C$2:$C$999,"="&amp;INS_EFF!$B212),"")</f>
        <v>0.24121002964204599</v>
      </c>
      <c r="BM212" s="95">
        <f>IFERROR(AVERAGEIFS(RdTRABYVals!AB$2:AB$999,RdTRABYVals!$B$2:$B$999,"="&amp;$E212,RdTRABYVals!$C$2:$C$999,"="&amp;INS_EFF!$B212),"")</f>
        <v>0.255604985969833</v>
      </c>
      <c r="BN212" s="95">
        <f>IFERROR(AVERAGEIFS(RdTRABYVals!AC$2:AC$999,RdTRABYVals!$B$2:$B$999,"="&amp;$E212,RdTRABYVals!$C$2:$C$999,"="&amp;INS_EFF!$B212),"")</f>
        <v>0.204213248102036</v>
      </c>
      <c r="BO212" s="95">
        <f>IFERROR(AVERAGEIFS(RdTRABYVals!AD$2:AD$999,RdTRABYVals!$B$2:$B$999,"="&amp;$E212,RdTRABYVals!$C$2:$C$999,"="&amp;INS_EFF!$B212),"")</f>
        <v>0.20824947035015201</v>
      </c>
      <c r="BP212" s="95">
        <f>IFERROR(AVERAGEIFS(RdTRABYVals!AE$2:AE$999,RdTRABYVals!$B$2:$B$999,"="&amp;$E212,RdTRABYVals!$C$2:$C$999,"="&amp;INS_EFF!$B212),"")</f>
        <v>0.24658039096319201</v>
      </c>
      <c r="BQ212" s="95">
        <f>IFERROR(AVERAGEIFS(RdTRABYVals!AF$2:AF$999,RdTRABYVals!$B$2:$B$999,"="&amp;$E212,RdTRABYVals!$C$2:$C$999,"="&amp;INS_EFF!$B212),"")</f>
        <v>0.24121002964204599</v>
      </c>
      <c r="BR212" s="95">
        <f>IFERROR(AVERAGEIFS(RdTRABYVals!AG$2:AG$999,RdTRABYVals!$B$2:$B$999,"="&amp;$E212,RdTRABYVals!$C$2:$C$999,"="&amp;INS_EFF!$B212),"")</f>
        <v>0.208861707868195</v>
      </c>
      <c r="BS212" s="95">
        <f>IFERROR(AVERAGEIFS(RdTRABYVals!AH$2:AH$999,RdTRABYVals!$B$2:$B$999,"="&amp;$E212,RdTRABYVals!$C$2:$C$999,"="&amp;INS_EFF!$B212),"")</f>
        <v>0.219925956692754</v>
      </c>
      <c r="BT212" s="95">
        <f>IFERROR(AVERAGEIFS(RdTRABYVals!AI$2:AI$999,RdTRABYVals!$B$2:$B$999,"="&amp;$E212,RdTRABYVals!$C$2:$C$999,"="&amp;INS_EFF!$B212),"")</f>
        <v>0.24966681444230401</v>
      </c>
      <c r="BU212" s="95">
        <f>IFERROR(AVERAGEIFS(RdTRABYVals!AJ$2:AJ$999,RdTRABYVals!$B$2:$B$999,"="&amp;$E212,RdTRABYVals!$C$2:$C$999,"="&amp;INS_EFF!$B212),"")</f>
        <v>0.20672091711649401</v>
      </c>
      <c r="BV212" s="95">
        <f>IFERROR(AVERAGEIFS(RdTRABYVals!AK$2:AK$999,RdTRABYVals!$B$2:$B$999,"="&amp;$E212,RdTRABYVals!$C$2:$C$999,"="&amp;INS_EFF!$B212),"")</f>
        <v>0.248865849380247</v>
      </c>
      <c r="BW212" s="95">
        <f>IFERROR(AVERAGEIFS(RdTRABYVals!AL$2:AL$999,RdTRABYVals!$B$2:$B$999,"="&amp;$E212,RdTRABYVals!$C$2:$C$999,"="&amp;INS_EFF!$B212),"")</f>
        <v>0.221238278896112</v>
      </c>
      <c r="BX212" s="95">
        <f>IFERROR(AVERAGEIFS(RdTRABYVals!AM$2:AM$999,RdTRABYVals!$B$2:$B$999,"="&amp;$E212,RdTRABYVals!$C$2:$C$999,"="&amp;INS_EFF!$B212),"")</f>
        <v>0.20783416507324201</v>
      </c>
      <c r="BY212" s="95">
        <f>IFERROR(AVERAGEIFS(RdTRABYVals!AN$2:AN$999,RdTRABYVals!$B$2:$B$999,"="&amp;$E212,RdTRABYVals!$C$2:$C$999,"="&amp;INS_EFF!$B212),"")</f>
        <v>0.23488290223038</v>
      </c>
      <c r="BZ212" s="95">
        <f>IFERROR(AVERAGEIFS(RdTRABYVals!AO$2:AO$999,RdTRABYVals!$B$2:$B$999,"="&amp;$E212,RdTRABYVals!$C$2:$C$999,"="&amp;INS_EFF!$B212),"")</f>
        <v>0.22963511582382101</v>
      </c>
      <c r="CA212" s="95">
        <f>IFERROR(AVERAGEIFS(RdTRABYVals!AP$2:AP$999,RdTRABYVals!$B$2:$B$999,"="&amp;$E212,RdTRABYVals!$C$2:$C$999,"="&amp;INS_EFF!$B212),"")</f>
        <v>0.25744571379536801</v>
      </c>
      <c r="CB212" s="95">
        <f>IFERROR(AVERAGEIFS(RdTRABYVals!AQ$2:AQ$999,RdTRABYVals!$B$2:$B$999,"="&amp;$E212,RdTRABYVals!$C$2:$C$999,"="&amp;INS_EFF!$B212),"")</f>
        <v>0.218901913564027</v>
      </c>
      <c r="CC212" s="95">
        <f>IFERROR(AVERAGEIFS(RdTRABYVals!AR$2:AR$999,RdTRABYVals!$B$2:$B$999,"="&amp;$E212,RdTRABYVals!$C$2:$C$999,"="&amp;INS_EFF!$B212),"")</f>
        <v>0.24121002964204599</v>
      </c>
      <c r="CD212" s="95">
        <f>IFERROR(AVERAGEIFS(RdTRABYVals!AS$2:AS$999,RdTRABYVals!$B$2:$B$999,"="&amp;$E212,RdTRABYVals!$C$2:$C$999,"="&amp;INS_EFF!$B212),"")</f>
        <v>0.24488618769385201</v>
      </c>
      <c r="CE212" s="95">
        <f>IFERROR(AVERAGEIFS(RdTRABYVals!AT$2:AT$999,RdTRABYVals!$B$2:$B$999,"="&amp;$E212,RdTRABYVals!$C$2:$C$999,"="&amp;INS_EFF!$B212),"")</f>
        <v>0.23270651946024801</v>
      </c>
      <c r="CF212" s="95">
        <f>IFERROR(AVERAGEIFS(RdTRABYVals!AU$2:AU$999,RdTRABYVals!$B$2:$B$999,"="&amp;$E212,RdTRABYVals!$C$2:$C$999,"="&amp;INS_EFF!$B212),"")</f>
        <v>0.24030829229325601</v>
      </c>
      <c r="CG212" s="95">
        <f>IFERROR(AVERAGEIFS(RdTRABYVals!AV$2:AV$999,RdTRABYVals!$B$2:$B$999,"="&amp;$E212,RdTRABYVals!$C$2:$C$999,"="&amp;INS_EFF!$B212),"")</f>
        <v>0.25494022134887701</v>
      </c>
    </row>
    <row r="213" spans="2:85" ht="15">
      <c r="B213" s="24" t="s">
        <v>134</v>
      </c>
      <c r="C213" s="24"/>
      <c r="E213" s="18" t="s">
        <v>29</v>
      </c>
      <c r="F213" s="71"/>
      <c r="G213" t="s">
        <v>159</v>
      </c>
      <c r="I213" t="str">
        <f>IF(AV213&lt;&gt;"","*"&amp;AV213,"")</f>
        <v>*0.231262852132941</v>
      </c>
      <c r="J213" t="str">
        <f t="shared" si="6"/>
        <v>*0.206720917116494</v>
      </c>
      <c r="K213" t="str">
        <f t="shared" si="6"/>
        <v>*0.230853068617818</v>
      </c>
      <c r="L213" t="str">
        <f t="shared" si="6"/>
        <v>*0.241210029642046</v>
      </c>
      <c r="M213" t="str">
        <f t="shared" si="6"/>
        <v>*0.22389667370098</v>
      </c>
      <c r="N213" t="str">
        <f t="shared" si="6"/>
        <v>*0.198438025786818</v>
      </c>
      <c r="O213" t="str">
        <f t="shared" si="6"/>
        <v>*0.22378876804671</v>
      </c>
      <c r="P213" t="str">
        <f t="shared" si="6"/>
        <v>*0.206290289052558</v>
      </c>
      <c r="Q213" t="str">
        <f t="shared" si="6"/>
        <v>*0.234785934286788</v>
      </c>
      <c r="R213" t="str">
        <f t="shared" si="6"/>
        <v>*0.219073254668277</v>
      </c>
      <c r="S213" t="str">
        <f t="shared" si="6"/>
        <v>*0.253991932573673</v>
      </c>
      <c r="T213" t="str">
        <f t="shared" si="6"/>
        <v>*0.26067792413552</v>
      </c>
      <c r="U213" t="str">
        <f t="shared" si="6"/>
        <v>*0.206720917116494</v>
      </c>
      <c r="V213" t="str">
        <f t="shared" si="6"/>
        <v>*0.255427972050333</v>
      </c>
      <c r="W213" s="20" t="str">
        <f t="shared" si="6"/>
        <v>*0.240916245751196</v>
      </c>
      <c r="X213" t="str">
        <f t="shared" si="6"/>
        <v>*0.238834836382566</v>
      </c>
      <c r="Y213" t="str">
        <f t="shared" si="8"/>
        <v>*0.241210029642046</v>
      </c>
      <c r="Z213" t="str">
        <f t="shared" si="8"/>
        <v>*0.255604985969833</v>
      </c>
      <c r="AA213" t="str">
        <f t="shared" si="8"/>
        <v>*0.204213248102036</v>
      </c>
      <c r="AB213" t="str">
        <f t="shared" si="8"/>
        <v>*0.208249470350152</v>
      </c>
      <c r="AC213" t="str">
        <f t="shared" si="8"/>
        <v>*0.246580390963192</v>
      </c>
      <c r="AD213" t="str">
        <f t="shared" si="8"/>
        <v>*0.241210029642046</v>
      </c>
      <c r="AE213" t="str">
        <f t="shared" si="8"/>
        <v>*0.208861707868195</v>
      </c>
      <c r="AF213" t="str">
        <f t="shared" si="8"/>
        <v>*0.219925956692754</v>
      </c>
      <c r="AG213" t="str">
        <f t="shared" si="8"/>
        <v>*0.249666814442304</v>
      </c>
      <c r="AH213" t="str">
        <f t="shared" si="8"/>
        <v>*0.206720917116494</v>
      </c>
      <c r="AI213" t="str">
        <f t="shared" si="8"/>
        <v>*0.248865849380247</v>
      </c>
      <c r="AJ213" t="str">
        <f t="shared" si="8"/>
        <v>*0.221238278896112</v>
      </c>
      <c r="AK213" t="str">
        <f t="shared" si="8"/>
        <v>*0.207834165073242</v>
      </c>
      <c r="AL213" t="str">
        <f t="shared" si="8"/>
        <v>*0.23488290223038</v>
      </c>
      <c r="AM213" t="str">
        <f t="shared" si="8"/>
        <v>*0.229635115823821</v>
      </c>
      <c r="AN213" t="str">
        <f t="shared" si="8"/>
        <v>*0.257445713795368</v>
      </c>
      <c r="AO213" t="str">
        <f t="shared" si="9"/>
        <v>*0.218901913564027</v>
      </c>
      <c r="AP213" t="str">
        <f t="shared" si="9"/>
        <v>*0.241210029642046</v>
      </c>
      <c r="AQ213" t="str">
        <f t="shared" si="9"/>
        <v>*0.244886187693852</v>
      </c>
      <c r="AR213" t="str">
        <f t="shared" si="9"/>
        <v>*0.232706519460248</v>
      </c>
      <c r="AS213" t="str">
        <f t="shared" si="9"/>
        <v>*0.240308292293256</v>
      </c>
      <c r="AT213" t="str">
        <f t="shared" si="9"/>
        <v>*0.254940221348877</v>
      </c>
      <c r="AV213" s="95">
        <f t="shared" si="7"/>
        <v>0.23126285213294054</v>
      </c>
      <c r="AW213" s="95">
        <f>IFERROR(AVERAGEIFS(RdTRABYVals!L$2:L$999,RdTRABYVals!$B$2:$B$999,"="&amp;$E213,RdTRABYVals!$C$2:$C$999,"="&amp;INS_EFF!$B213),"")</f>
        <v>0.20672091711649401</v>
      </c>
      <c r="AX213" s="95">
        <f>IFERROR(AVERAGEIFS(RdTRABYVals!M$2:M$999,RdTRABYVals!$B$2:$B$999,"="&amp;$E213,RdTRABYVals!$C$2:$C$999,"="&amp;INS_EFF!$B213),"")</f>
        <v>0.23085306861781801</v>
      </c>
      <c r="AY213" s="95">
        <f>IFERROR(AVERAGEIFS(RdTRABYVals!N$2:N$999,RdTRABYVals!$B$2:$B$999,"="&amp;$E213,RdTRABYVals!$C$2:$C$999,"="&amp;INS_EFF!$B213),"")</f>
        <v>0.24121002964204599</v>
      </c>
      <c r="AZ213" s="95">
        <f>IFERROR(AVERAGEIFS(RdTRABYVals!O$2:O$999,RdTRABYVals!$B$2:$B$999,"="&amp;$E213,RdTRABYVals!$C$2:$C$999,"="&amp;INS_EFF!$B213),"")</f>
        <v>0.22389667370097999</v>
      </c>
      <c r="BA213" s="95">
        <f>IFERROR(AVERAGEIFS(RdTRABYVals!P$2:P$999,RdTRABYVals!$B$2:$B$999,"="&amp;$E213,RdTRABYVals!$C$2:$C$999,"="&amp;INS_EFF!$B213),"")</f>
        <v>0.19843802578681799</v>
      </c>
      <c r="BB213" s="95">
        <f>IFERROR(AVERAGEIFS(RdTRABYVals!Q$2:Q$999,RdTRABYVals!$B$2:$B$999,"="&amp;$E213,RdTRABYVals!$C$2:$C$999,"="&amp;INS_EFF!$B213),"")</f>
        <v>0.22378876804671</v>
      </c>
      <c r="BC213" s="95">
        <f>IFERROR(AVERAGEIFS(RdTRABYVals!R$2:R$999,RdTRABYVals!$B$2:$B$999,"="&amp;$E213,RdTRABYVals!$C$2:$C$999,"="&amp;INS_EFF!$B213),"")</f>
        <v>0.206290289052558</v>
      </c>
      <c r="BD213" s="95">
        <f>IFERROR(AVERAGEIFS(RdTRABYVals!S$2:S$999,RdTRABYVals!$B$2:$B$999,"="&amp;$E213,RdTRABYVals!$C$2:$C$999,"="&amp;INS_EFF!$B213),"")</f>
        <v>0.23478593428678801</v>
      </c>
      <c r="BE213" s="95">
        <f>IFERROR(AVERAGEIFS(RdTRABYVals!T$2:T$999,RdTRABYVals!$B$2:$B$999,"="&amp;$E213,RdTRABYVals!$C$2:$C$999,"="&amp;INS_EFF!$B213),"")</f>
        <v>0.21907325466827701</v>
      </c>
      <c r="BF213" s="95">
        <f>IFERROR(AVERAGEIFS(RdTRABYVals!U$2:U$999,RdTRABYVals!$B$2:$B$999,"="&amp;$E213,RdTRABYVals!$C$2:$C$999,"="&amp;INS_EFF!$B213),"")</f>
        <v>0.25399193257367297</v>
      </c>
      <c r="BG213" s="95">
        <f>IFERROR(AVERAGEIFS(RdTRABYVals!V$2:V$999,RdTRABYVals!$B$2:$B$999,"="&amp;$E213,RdTRABYVals!$C$2:$C$999,"="&amp;INS_EFF!$B213),"")</f>
        <v>0.26067792413551999</v>
      </c>
      <c r="BH213" s="95">
        <f>IFERROR(AVERAGEIFS(RdTRABYVals!W$2:W$999,RdTRABYVals!$B$2:$B$999,"="&amp;$E213,RdTRABYVals!$C$2:$C$999,"="&amp;INS_EFF!$B213),"")</f>
        <v>0.20672091711649401</v>
      </c>
      <c r="BI213" s="95">
        <f>IFERROR(AVERAGEIFS(RdTRABYVals!X$2:X$999,RdTRABYVals!$B$2:$B$999,"="&amp;$E213,RdTRABYVals!$C$2:$C$999,"="&amp;INS_EFF!$B213),"")</f>
        <v>0.25542797205033302</v>
      </c>
      <c r="BJ213" s="95">
        <f>IFERROR(AVERAGEIFS(RdTRABYVals!Y$2:Y$999,RdTRABYVals!$B$2:$B$999,"="&amp;$E213,RdTRABYVals!$C$2:$C$999,"="&amp;INS_EFF!$B213),"")</f>
        <v>0.240916245751196</v>
      </c>
      <c r="BK213" s="95">
        <f>IFERROR(AVERAGEIFS(RdTRABYVals!Z$2:Z$999,RdTRABYVals!$B$2:$B$999,"="&amp;$E213,RdTRABYVals!$C$2:$C$999,"="&amp;INS_EFF!$B213),"")</f>
        <v>0.238834836382566</v>
      </c>
      <c r="BL213" s="95">
        <f>IFERROR(AVERAGEIFS(RdTRABYVals!AA$2:AA$999,RdTRABYVals!$B$2:$B$999,"="&amp;$E213,RdTRABYVals!$C$2:$C$999,"="&amp;INS_EFF!$B213),"")</f>
        <v>0.24121002964204599</v>
      </c>
      <c r="BM213" s="95">
        <f>IFERROR(AVERAGEIFS(RdTRABYVals!AB$2:AB$999,RdTRABYVals!$B$2:$B$999,"="&amp;$E213,RdTRABYVals!$C$2:$C$999,"="&amp;INS_EFF!$B213),"")</f>
        <v>0.255604985969833</v>
      </c>
      <c r="BN213" s="95">
        <f>IFERROR(AVERAGEIFS(RdTRABYVals!AC$2:AC$999,RdTRABYVals!$B$2:$B$999,"="&amp;$E213,RdTRABYVals!$C$2:$C$999,"="&amp;INS_EFF!$B213),"")</f>
        <v>0.204213248102036</v>
      </c>
      <c r="BO213" s="95">
        <f>IFERROR(AVERAGEIFS(RdTRABYVals!AD$2:AD$999,RdTRABYVals!$B$2:$B$999,"="&amp;$E213,RdTRABYVals!$C$2:$C$999,"="&amp;INS_EFF!$B213),"")</f>
        <v>0.20824947035015201</v>
      </c>
      <c r="BP213" s="95">
        <f>IFERROR(AVERAGEIFS(RdTRABYVals!AE$2:AE$999,RdTRABYVals!$B$2:$B$999,"="&amp;$E213,RdTRABYVals!$C$2:$C$999,"="&amp;INS_EFF!$B213),"")</f>
        <v>0.24658039096319201</v>
      </c>
      <c r="BQ213" s="95">
        <f>IFERROR(AVERAGEIFS(RdTRABYVals!AF$2:AF$999,RdTRABYVals!$B$2:$B$999,"="&amp;$E213,RdTRABYVals!$C$2:$C$999,"="&amp;INS_EFF!$B213),"")</f>
        <v>0.24121002964204599</v>
      </c>
      <c r="BR213" s="95">
        <f>IFERROR(AVERAGEIFS(RdTRABYVals!AG$2:AG$999,RdTRABYVals!$B$2:$B$999,"="&amp;$E213,RdTRABYVals!$C$2:$C$999,"="&amp;INS_EFF!$B213),"")</f>
        <v>0.208861707868195</v>
      </c>
      <c r="BS213" s="95">
        <f>IFERROR(AVERAGEIFS(RdTRABYVals!AH$2:AH$999,RdTRABYVals!$B$2:$B$999,"="&amp;$E213,RdTRABYVals!$C$2:$C$999,"="&amp;INS_EFF!$B213),"")</f>
        <v>0.219925956692754</v>
      </c>
      <c r="BT213" s="95">
        <f>IFERROR(AVERAGEIFS(RdTRABYVals!AI$2:AI$999,RdTRABYVals!$B$2:$B$999,"="&amp;$E213,RdTRABYVals!$C$2:$C$999,"="&amp;INS_EFF!$B213),"")</f>
        <v>0.24966681444230401</v>
      </c>
      <c r="BU213" s="95">
        <f>IFERROR(AVERAGEIFS(RdTRABYVals!AJ$2:AJ$999,RdTRABYVals!$B$2:$B$999,"="&amp;$E213,RdTRABYVals!$C$2:$C$999,"="&amp;INS_EFF!$B213),"")</f>
        <v>0.20672091711649401</v>
      </c>
      <c r="BV213" s="95">
        <f>IFERROR(AVERAGEIFS(RdTRABYVals!AK$2:AK$999,RdTRABYVals!$B$2:$B$999,"="&amp;$E213,RdTRABYVals!$C$2:$C$999,"="&amp;INS_EFF!$B213),"")</f>
        <v>0.248865849380247</v>
      </c>
      <c r="BW213" s="95">
        <f>IFERROR(AVERAGEIFS(RdTRABYVals!AL$2:AL$999,RdTRABYVals!$B$2:$B$999,"="&amp;$E213,RdTRABYVals!$C$2:$C$999,"="&amp;INS_EFF!$B213),"")</f>
        <v>0.221238278896112</v>
      </c>
      <c r="BX213" s="95">
        <f>IFERROR(AVERAGEIFS(RdTRABYVals!AM$2:AM$999,RdTRABYVals!$B$2:$B$999,"="&amp;$E213,RdTRABYVals!$C$2:$C$999,"="&amp;INS_EFF!$B213),"")</f>
        <v>0.20783416507324201</v>
      </c>
      <c r="BY213" s="95">
        <f>IFERROR(AVERAGEIFS(RdTRABYVals!AN$2:AN$999,RdTRABYVals!$B$2:$B$999,"="&amp;$E213,RdTRABYVals!$C$2:$C$999,"="&amp;INS_EFF!$B213),"")</f>
        <v>0.23488290223038</v>
      </c>
      <c r="BZ213" s="95">
        <f>IFERROR(AVERAGEIFS(RdTRABYVals!AO$2:AO$999,RdTRABYVals!$B$2:$B$999,"="&amp;$E213,RdTRABYVals!$C$2:$C$999,"="&amp;INS_EFF!$B213),"")</f>
        <v>0.22963511582382101</v>
      </c>
      <c r="CA213" s="95">
        <f>IFERROR(AVERAGEIFS(RdTRABYVals!AP$2:AP$999,RdTRABYVals!$B$2:$B$999,"="&amp;$E213,RdTRABYVals!$C$2:$C$999,"="&amp;INS_EFF!$B213),"")</f>
        <v>0.25744571379536801</v>
      </c>
      <c r="CB213" s="95">
        <f>IFERROR(AVERAGEIFS(RdTRABYVals!AQ$2:AQ$999,RdTRABYVals!$B$2:$B$999,"="&amp;$E213,RdTRABYVals!$C$2:$C$999,"="&amp;INS_EFF!$B213),"")</f>
        <v>0.218901913564027</v>
      </c>
      <c r="CC213" s="95">
        <f>IFERROR(AVERAGEIFS(RdTRABYVals!AR$2:AR$999,RdTRABYVals!$B$2:$B$999,"="&amp;$E213,RdTRABYVals!$C$2:$C$999,"="&amp;INS_EFF!$B213),"")</f>
        <v>0.24121002964204599</v>
      </c>
      <c r="CD213" s="95">
        <f>IFERROR(AVERAGEIFS(RdTRABYVals!AS$2:AS$999,RdTRABYVals!$B$2:$B$999,"="&amp;$E213,RdTRABYVals!$C$2:$C$999,"="&amp;INS_EFF!$B213),"")</f>
        <v>0.24488618769385201</v>
      </c>
      <c r="CE213" s="95">
        <f>IFERROR(AVERAGEIFS(RdTRABYVals!AT$2:AT$999,RdTRABYVals!$B$2:$B$999,"="&amp;$E213,RdTRABYVals!$C$2:$C$999,"="&amp;INS_EFF!$B213),"")</f>
        <v>0.23270651946024801</v>
      </c>
      <c r="CF213" s="95">
        <f>IFERROR(AVERAGEIFS(RdTRABYVals!AU$2:AU$999,RdTRABYVals!$B$2:$B$999,"="&amp;$E213,RdTRABYVals!$C$2:$C$999,"="&amp;INS_EFF!$B213),"")</f>
        <v>0.24030829229325601</v>
      </c>
      <c r="CG213" s="95">
        <f>IFERROR(AVERAGEIFS(RdTRABYVals!AV$2:AV$999,RdTRABYVals!$B$2:$B$999,"="&amp;$E213,RdTRABYVals!$C$2:$C$999,"="&amp;INS_EFF!$B213),"")</f>
        <v>0.25494022134887701</v>
      </c>
    </row>
    <row r="214" spans="2:85" ht="15">
      <c r="B214" s="24" t="s">
        <v>134</v>
      </c>
      <c r="C214" s="24"/>
      <c r="E214" s="18" t="s">
        <v>29</v>
      </c>
      <c r="F214" s="71"/>
      <c r="G214" t="s">
        <v>160</v>
      </c>
      <c r="I214" t="str">
        <f t="shared" si="6"/>
        <v>*0.231262852132941</v>
      </c>
      <c r="J214" t="str">
        <f t="shared" si="6"/>
        <v>*0.206720917116494</v>
      </c>
      <c r="K214" t="str">
        <f t="shared" si="6"/>
        <v>*0.230853068617818</v>
      </c>
      <c r="L214" t="str">
        <f t="shared" si="6"/>
        <v>*0.241210029642046</v>
      </c>
      <c r="M214" t="str">
        <f t="shared" si="6"/>
        <v>*0.22389667370098</v>
      </c>
      <c r="N214" t="str">
        <f t="shared" si="6"/>
        <v>*0.198438025786818</v>
      </c>
      <c r="O214" t="str">
        <f t="shared" si="6"/>
        <v>*0.22378876804671</v>
      </c>
      <c r="P214" t="str">
        <f t="shared" si="6"/>
        <v>*0.206290289052558</v>
      </c>
      <c r="Q214" t="str">
        <f t="shared" si="6"/>
        <v>*0.234785934286788</v>
      </c>
      <c r="R214" t="str">
        <f t="shared" si="6"/>
        <v>*0.219073254668277</v>
      </c>
      <c r="S214" t="str">
        <f t="shared" si="6"/>
        <v>*0.253991932573673</v>
      </c>
      <c r="T214" t="str">
        <f t="shared" si="6"/>
        <v>*0.26067792413552</v>
      </c>
      <c r="U214" t="str">
        <f t="shared" si="6"/>
        <v>*0.206720917116494</v>
      </c>
      <c r="V214" t="str">
        <f t="shared" si="6"/>
        <v>*0.255427972050333</v>
      </c>
      <c r="W214" s="20" t="str">
        <f t="shared" si="6"/>
        <v>*0.240916245751196</v>
      </c>
      <c r="X214" t="str">
        <f t="shared" si="6"/>
        <v>*0.238834836382566</v>
      </c>
      <c r="Y214" t="str">
        <f t="shared" si="8"/>
        <v>*0.241210029642046</v>
      </c>
      <c r="Z214" t="str">
        <f t="shared" si="8"/>
        <v>*0.255604985969833</v>
      </c>
      <c r="AA214" t="str">
        <f t="shared" si="8"/>
        <v>*0.204213248102036</v>
      </c>
      <c r="AB214" t="str">
        <f t="shared" si="8"/>
        <v>*0.208249470350152</v>
      </c>
      <c r="AC214" t="str">
        <f t="shared" si="8"/>
        <v>*0.246580390963192</v>
      </c>
      <c r="AD214" t="str">
        <f t="shared" si="8"/>
        <v>*0.241210029642046</v>
      </c>
      <c r="AE214" t="str">
        <f t="shared" si="8"/>
        <v>*0.208861707868195</v>
      </c>
      <c r="AF214" t="str">
        <f t="shared" si="8"/>
        <v>*0.219925956692754</v>
      </c>
      <c r="AG214" t="str">
        <f t="shared" si="8"/>
        <v>*0.249666814442304</v>
      </c>
      <c r="AH214" t="str">
        <f t="shared" si="8"/>
        <v>*0.206720917116494</v>
      </c>
      <c r="AI214" t="str">
        <f t="shared" si="8"/>
        <v>*0.248865849380247</v>
      </c>
      <c r="AJ214" t="str">
        <f t="shared" si="8"/>
        <v>*0.221238278896112</v>
      </c>
      <c r="AK214" t="str">
        <f t="shared" si="8"/>
        <v>*0.207834165073242</v>
      </c>
      <c r="AL214" t="str">
        <f t="shared" si="8"/>
        <v>*0.23488290223038</v>
      </c>
      <c r="AM214" t="str">
        <f t="shared" si="8"/>
        <v>*0.229635115823821</v>
      </c>
      <c r="AN214" t="str">
        <f t="shared" si="8"/>
        <v>*0.257445713795368</v>
      </c>
      <c r="AO214" t="str">
        <f t="shared" si="9"/>
        <v>*0.218901913564027</v>
      </c>
      <c r="AP214" t="str">
        <f t="shared" si="9"/>
        <v>*0.241210029642046</v>
      </c>
      <c r="AQ214" t="str">
        <f t="shared" si="9"/>
        <v>*0.244886187693852</v>
      </c>
      <c r="AR214" t="str">
        <f t="shared" si="9"/>
        <v>*0.232706519460248</v>
      </c>
      <c r="AS214" t="str">
        <f t="shared" si="9"/>
        <v>*0.240308292293256</v>
      </c>
      <c r="AT214" t="str">
        <f t="shared" si="9"/>
        <v>*0.254940221348877</v>
      </c>
      <c r="AV214" s="95">
        <f t="shared" si="7"/>
        <v>0.23126285213294054</v>
      </c>
      <c r="AW214" s="95">
        <f>IFERROR(AVERAGEIFS(RdTRABYVals!L$2:L$999,RdTRABYVals!$B$2:$B$999,"="&amp;$E214,RdTRABYVals!$C$2:$C$999,"="&amp;INS_EFF!$B214),"")</f>
        <v>0.20672091711649401</v>
      </c>
      <c r="AX214" s="95">
        <f>IFERROR(AVERAGEIFS(RdTRABYVals!M$2:M$999,RdTRABYVals!$B$2:$B$999,"="&amp;$E214,RdTRABYVals!$C$2:$C$999,"="&amp;INS_EFF!$B214),"")</f>
        <v>0.23085306861781801</v>
      </c>
      <c r="AY214" s="95">
        <f>IFERROR(AVERAGEIFS(RdTRABYVals!N$2:N$999,RdTRABYVals!$B$2:$B$999,"="&amp;$E214,RdTRABYVals!$C$2:$C$999,"="&amp;INS_EFF!$B214),"")</f>
        <v>0.24121002964204599</v>
      </c>
      <c r="AZ214" s="95">
        <f>IFERROR(AVERAGEIFS(RdTRABYVals!O$2:O$999,RdTRABYVals!$B$2:$B$999,"="&amp;$E214,RdTRABYVals!$C$2:$C$999,"="&amp;INS_EFF!$B214),"")</f>
        <v>0.22389667370097999</v>
      </c>
      <c r="BA214" s="95">
        <f>IFERROR(AVERAGEIFS(RdTRABYVals!P$2:P$999,RdTRABYVals!$B$2:$B$999,"="&amp;$E214,RdTRABYVals!$C$2:$C$999,"="&amp;INS_EFF!$B214),"")</f>
        <v>0.19843802578681799</v>
      </c>
      <c r="BB214" s="95">
        <f>IFERROR(AVERAGEIFS(RdTRABYVals!Q$2:Q$999,RdTRABYVals!$B$2:$B$999,"="&amp;$E214,RdTRABYVals!$C$2:$C$999,"="&amp;INS_EFF!$B214),"")</f>
        <v>0.22378876804671</v>
      </c>
      <c r="BC214" s="95">
        <f>IFERROR(AVERAGEIFS(RdTRABYVals!R$2:R$999,RdTRABYVals!$B$2:$B$999,"="&amp;$E214,RdTRABYVals!$C$2:$C$999,"="&amp;INS_EFF!$B214),"")</f>
        <v>0.206290289052558</v>
      </c>
      <c r="BD214" s="95">
        <f>IFERROR(AVERAGEIFS(RdTRABYVals!S$2:S$999,RdTRABYVals!$B$2:$B$999,"="&amp;$E214,RdTRABYVals!$C$2:$C$999,"="&amp;INS_EFF!$B214),"")</f>
        <v>0.23478593428678801</v>
      </c>
      <c r="BE214" s="95">
        <f>IFERROR(AVERAGEIFS(RdTRABYVals!T$2:T$999,RdTRABYVals!$B$2:$B$999,"="&amp;$E214,RdTRABYVals!$C$2:$C$999,"="&amp;INS_EFF!$B214),"")</f>
        <v>0.21907325466827701</v>
      </c>
      <c r="BF214" s="95">
        <f>IFERROR(AVERAGEIFS(RdTRABYVals!U$2:U$999,RdTRABYVals!$B$2:$B$999,"="&amp;$E214,RdTRABYVals!$C$2:$C$999,"="&amp;INS_EFF!$B214),"")</f>
        <v>0.25399193257367297</v>
      </c>
      <c r="BG214" s="95">
        <f>IFERROR(AVERAGEIFS(RdTRABYVals!V$2:V$999,RdTRABYVals!$B$2:$B$999,"="&amp;$E214,RdTRABYVals!$C$2:$C$999,"="&amp;INS_EFF!$B214),"")</f>
        <v>0.26067792413551999</v>
      </c>
      <c r="BH214" s="95">
        <f>IFERROR(AVERAGEIFS(RdTRABYVals!W$2:W$999,RdTRABYVals!$B$2:$B$999,"="&amp;$E214,RdTRABYVals!$C$2:$C$999,"="&amp;INS_EFF!$B214),"")</f>
        <v>0.20672091711649401</v>
      </c>
      <c r="BI214" s="95">
        <f>IFERROR(AVERAGEIFS(RdTRABYVals!X$2:X$999,RdTRABYVals!$B$2:$B$999,"="&amp;$E214,RdTRABYVals!$C$2:$C$999,"="&amp;INS_EFF!$B214),"")</f>
        <v>0.25542797205033302</v>
      </c>
      <c r="BJ214" s="95">
        <f>IFERROR(AVERAGEIFS(RdTRABYVals!Y$2:Y$999,RdTRABYVals!$B$2:$B$999,"="&amp;$E214,RdTRABYVals!$C$2:$C$999,"="&amp;INS_EFF!$B214),"")</f>
        <v>0.240916245751196</v>
      </c>
      <c r="BK214" s="95">
        <f>IFERROR(AVERAGEIFS(RdTRABYVals!Z$2:Z$999,RdTRABYVals!$B$2:$B$999,"="&amp;$E214,RdTRABYVals!$C$2:$C$999,"="&amp;INS_EFF!$B214),"")</f>
        <v>0.238834836382566</v>
      </c>
      <c r="BL214" s="95">
        <f>IFERROR(AVERAGEIFS(RdTRABYVals!AA$2:AA$999,RdTRABYVals!$B$2:$B$999,"="&amp;$E214,RdTRABYVals!$C$2:$C$999,"="&amp;INS_EFF!$B214),"")</f>
        <v>0.24121002964204599</v>
      </c>
      <c r="BM214" s="95">
        <f>IFERROR(AVERAGEIFS(RdTRABYVals!AB$2:AB$999,RdTRABYVals!$B$2:$B$999,"="&amp;$E214,RdTRABYVals!$C$2:$C$999,"="&amp;INS_EFF!$B214),"")</f>
        <v>0.255604985969833</v>
      </c>
      <c r="BN214" s="95">
        <f>IFERROR(AVERAGEIFS(RdTRABYVals!AC$2:AC$999,RdTRABYVals!$B$2:$B$999,"="&amp;$E214,RdTRABYVals!$C$2:$C$999,"="&amp;INS_EFF!$B214),"")</f>
        <v>0.204213248102036</v>
      </c>
      <c r="BO214" s="95">
        <f>IFERROR(AVERAGEIFS(RdTRABYVals!AD$2:AD$999,RdTRABYVals!$B$2:$B$999,"="&amp;$E214,RdTRABYVals!$C$2:$C$999,"="&amp;INS_EFF!$B214),"")</f>
        <v>0.20824947035015201</v>
      </c>
      <c r="BP214" s="95">
        <f>IFERROR(AVERAGEIFS(RdTRABYVals!AE$2:AE$999,RdTRABYVals!$B$2:$B$999,"="&amp;$E214,RdTRABYVals!$C$2:$C$999,"="&amp;INS_EFF!$B214),"")</f>
        <v>0.24658039096319201</v>
      </c>
      <c r="BQ214" s="95">
        <f>IFERROR(AVERAGEIFS(RdTRABYVals!AF$2:AF$999,RdTRABYVals!$B$2:$B$999,"="&amp;$E214,RdTRABYVals!$C$2:$C$999,"="&amp;INS_EFF!$B214),"")</f>
        <v>0.24121002964204599</v>
      </c>
      <c r="BR214" s="95">
        <f>IFERROR(AVERAGEIFS(RdTRABYVals!AG$2:AG$999,RdTRABYVals!$B$2:$B$999,"="&amp;$E214,RdTRABYVals!$C$2:$C$999,"="&amp;INS_EFF!$B214),"")</f>
        <v>0.208861707868195</v>
      </c>
      <c r="BS214" s="95">
        <f>IFERROR(AVERAGEIFS(RdTRABYVals!AH$2:AH$999,RdTRABYVals!$B$2:$B$999,"="&amp;$E214,RdTRABYVals!$C$2:$C$999,"="&amp;INS_EFF!$B214),"")</f>
        <v>0.219925956692754</v>
      </c>
      <c r="BT214" s="95">
        <f>IFERROR(AVERAGEIFS(RdTRABYVals!AI$2:AI$999,RdTRABYVals!$B$2:$B$999,"="&amp;$E214,RdTRABYVals!$C$2:$C$999,"="&amp;INS_EFF!$B214),"")</f>
        <v>0.24966681444230401</v>
      </c>
      <c r="BU214" s="95">
        <f>IFERROR(AVERAGEIFS(RdTRABYVals!AJ$2:AJ$999,RdTRABYVals!$B$2:$B$999,"="&amp;$E214,RdTRABYVals!$C$2:$C$999,"="&amp;INS_EFF!$B214),"")</f>
        <v>0.20672091711649401</v>
      </c>
      <c r="BV214" s="95">
        <f>IFERROR(AVERAGEIFS(RdTRABYVals!AK$2:AK$999,RdTRABYVals!$B$2:$B$999,"="&amp;$E214,RdTRABYVals!$C$2:$C$999,"="&amp;INS_EFF!$B214),"")</f>
        <v>0.248865849380247</v>
      </c>
      <c r="BW214" s="95">
        <f>IFERROR(AVERAGEIFS(RdTRABYVals!AL$2:AL$999,RdTRABYVals!$B$2:$B$999,"="&amp;$E214,RdTRABYVals!$C$2:$C$999,"="&amp;INS_EFF!$B214),"")</f>
        <v>0.221238278896112</v>
      </c>
      <c r="BX214" s="95">
        <f>IFERROR(AVERAGEIFS(RdTRABYVals!AM$2:AM$999,RdTRABYVals!$B$2:$B$999,"="&amp;$E214,RdTRABYVals!$C$2:$C$999,"="&amp;INS_EFF!$B214),"")</f>
        <v>0.20783416507324201</v>
      </c>
      <c r="BY214" s="95">
        <f>IFERROR(AVERAGEIFS(RdTRABYVals!AN$2:AN$999,RdTRABYVals!$B$2:$B$999,"="&amp;$E214,RdTRABYVals!$C$2:$C$999,"="&amp;INS_EFF!$B214),"")</f>
        <v>0.23488290223038</v>
      </c>
      <c r="BZ214" s="95">
        <f>IFERROR(AVERAGEIFS(RdTRABYVals!AO$2:AO$999,RdTRABYVals!$B$2:$B$999,"="&amp;$E214,RdTRABYVals!$C$2:$C$999,"="&amp;INS_EFF!$B214),"")</f>
        <v>0.22963511582382101</v>
      </c>
      <c r="CA214" s="95">
        <f>IFERROR(AVERAGEIFS(RdTRABYVals!AP$2:AP$999,RdTRABYVals!$B$2:$B$999,"="&amp;$E214,RdTRABYVals!$C$2:$C$999,"="&amp;INS_EFF!$B214),"")</f>
        <v>0.25744571379536801</v>
      </c>
      <c r="CB214" s="95">
        <f>IFERROR(AVERAGEIFS(RdTRABYVals!AQ$2:AQ$999,RdTRABYVals!$B$2:$B$999,"="&amp;$E214,RdTRABYVals!$C$2:$C$999,"="&amp;INS_EFF!$B214),"")</f>
        <v>0.218901913564027</v>
      </c>
      <c r="CC214" s="95">
        <f>IFERROR(AVERAGEIFS(RdTRABYVals!AR$2:AR$999,RdTRABYVals!$B$2:$B$999,"="&amp;$E214,RdTRABYVals!$C$2:$C$999,"="&amp;INS_EFF!$B214),"")</f>
        <v>0.24121002964204599</v>
      </c>
      <c r="CD214" s="95">
        <f>IFERROR(AVERAGEIFS(RdTRABYVals!AS$2:AS$999,RdTRABYVals!$B$2:$B$999,"="&amp;$E214,RdTRABYVals!$C$2:$C$999,"="&amp;INS_EFF!$B214),"")</f>
        <v>0.24488618769385201</v>
      </c>
      <c r="CE214" s="95">
        <f>IFERROR(AVERAGEIFS(RdTRABYVals!AT$2:AT$999,RdTRABYVals!$B$2:$B$999,"="&amp;$E214,RdTRABYVals!$C$2:$C$999,"="&amp;INS_EFF!$B214),"")</f>
        <v>0.23270651946024801</v>
      </c>
      <c r="CF214" s="95">
        <f>IFERROR(AVERAGEIFS(RdTRABYVals!AU$2:AU$999,RdTRABYVals!$B$2:$B$999,"="&amp;$E214,RdTRABYVals!$C$2:$C$999,"="&amp;INS_EFF!$B214),"")</f>
        <v>0.24030829229325601</v>
      </c>
      <c r="CG214" s="95">
        <f>IFERROR(AVERAGEIFS(RdTRABYVals!AV$2:AV$999,RdTRABYVals!$B$2:$B$999,"="&amp;$E214,RdTRABYVals!$C$2:$C$999,"="&amp;INS_EFF!$B214),"")</f>
        <v>0.25494022134887701</v>
      </c>
    </row>
    <row r="215" spans="2:85" ht="15">
      <c r="B215" s="24" t="s">
        <v>136</v>
      </c>
      <c r="C215" s="24"/>
      <c r="E215" s="18" t="s">
        <v>29</v>
      </c>
      <c r="F215" s="71"/>
      <c r="G215" t="s">
        <v>136</v>
      </c>
      <c r="I215" t="str">
        <f t="shared" si="6"/>
        <v>*1.07000329988658</v>
      </c>
      <c r="J215" t="str">
        <f t="shared" si="6"/>
        <v>*1.04407952057914</v>
      </c>
      <c r="K215" t="str">
        <f t="shared" si="6"/>
        <v>*1.09260918649098</v>
      </c>
      <c r="L215" t="str">
        <f t="shared" si="6"/>
        <v>*1.11189366737313</v>
      </c>
      <c r="M215" t="str">
        <f t="shared" si="6"/>
        <v>*1.04008416766686</v>
      </c>
      <c r="N215" t="str">
        <f t="shared" si="6"/>
        <v>*1.0809728679292</v>
      </c>
      <c r="O215" t="str">
        <f t="shared" si="6"/>
        <v>*1.02425023016475</v>
      </c>
      <c r="P215" t="str">
        <f t="shared" si="6"/>
        <v>*1.04899029075893</v>
      </c>
      <c r="Q215" t="str">
        <f t="shared" si="6"/>
        <v>*1.00608498349528</v>
      </c>
      <c r="R215" t="str">
        <f t="shared" si="6"/>
        <v>*1.00082109353235</v>
      </c>
      <c r="S215" t="str">
        <f t="shared" si="6"/>
        <v>*1.07619552705011</v>
      </c>
      <c r="T215" t="str">
        <f t="shared" si="6"/>
        <v>*1.07000329988658</v>
      </c>
      <c r="U215" t="str">
        <f t="shared" si="6"/>
        <v>*1.04407952057914</v>
      </c>
      <c r="V215" t="str">
        <f t="shared" si="6"/>
        <v>*1.06209869642994</v>
      </c>
      <c r="W215" s="20" t="str">
        <f t="shared" si="6"/>
        <v>*1.06861504462526</v>
      </c>
      <c r="X215" t="str">
        <f t="shared" si="6"/>
        <v>*1.09629158690831</v>
      </c>
      <c r="Y215" t="str">
        <f t="shared" si="8"/>
        <v>*1.11189366737313</v>
      </c>
      <c r="Z215" t="str">
        <f t="shared" si="8"/>
        <v>*1.08531988288222</v>
      </c>
      <c r="AA215" t="str">
        <f t="shared" si="8"/>
        <v>*1.12964795046778</v>
      </c>
      <c r="AB215" t="str">
        <f t="shared" si="8"/>
        <v>*1.07000329988658</v>
      </c>
      <c r="AC215" t="str">
        <f t="shared" si="8"/>
        <v>*1.00918665061122</v>
      </c>
      <c r="AD215" t="str">
        <f t="shared" si="8"/>
        <v>*1.11189366737313</v>
      </c>
      <c r="AE215" t="str">
        <f t="shared" si="8"/>
        <v>*0.945811537546269</v>
      </c>
      <c r="AF215" t="str">
        <f t="shared" si="8"/>
        <v>*1.03408804019147</v>
      </c>
      <c r="AG215" t="str">
        <f t="shared" si="8"/>
        <v>*1.14213174114348</v>
      </c>
      <c r="AH215" t="str">
        <f t="shared" si="8"/>
        <v>*1.04407952057914</v>
      </c>
      <c r="AI215" t="str">
        <f t="shared" si="8"/>
        <v>*1.07000329988658</v>
      </c>
      <c r="AJ215" t="str">
        <f t="shared" si="8"/>
        <v>*1.04098738849628</v>
      </c>
      <c r="AK215" t="str">
        <f t="shared" si="8"/>
        <v>*1.0954418262893</v>
      </c>
      <c r="AL215" t="str">
        <f t="shared" si="8"/>
        <v>*1.07499559239017</v>
      </c>
      <c r="AM215" t="str">
        <f t="shared" si="8"/>
        <v>*1.07428476217411</v>
      </c>
      <c r="AN215" t="str">
        <f t="shared" si="8"/>
        <v>*1.06544825294274</v>
      </c>
      <c r="AO215" t="str">
        <f t="shared" si="9"/>
        <v>*1.12152908692885</v>
      </c>
      <c r="AP215" t="str">
        <f t="shared" si="9"/>
        <v>*1.11189366737313</v>
      </c>
      <c r="AQ215" t="str">
        <f t="shared" si="9"/>
        <v>*1.11440865190304</v>
      </c>
      <c r="AR215" t="str">
        <f t="shared" si="9"/>
        <v>*1.09058159604954</v>
      </c>
      <c r="AS215" t="str">
        <f t="shared" si="9"/>
        <v>*1.0872236728367</v>
      </c>
      <c r="AT215" t="str">
        <f t="shared" si="9"/>
        <v>*1.09219865700873</v>
      </c>
      <c r="AV215" s="95">
        <f t="shared" si="7"/>
        <v>1.0700032998865825</v>
      </c>
      <c r="AW215" s="95">
        <f>IFERROR(AVERAGEIFS(RdTRABYVals!L$2:L$999,RdTRABYVals!$B$2:$B$999,"="&amp;$E215,RdTRABYVals!$C$2:$C$999,"="&amp;INS_EFF!$B215),"")</f>
        <v>1.04407952057914</v>
      </c>
      <c r="AX215" s="95">
        <f>IFERROR(AVERAGEIFS(RdTRABYVals!M$2:M$999,RdTRABYVals!$B$2:$B$999,"="&amp;$E215,RdTRABYVals!$C$2:$C$999,"="&amp;INS_EFF!$B215),"")</f>
        <v>1.0926091864909799</v>
      </c>
      <c r="AY215" s="95">
        <f>IFERROR(AVERAGEIFS(RdTRABYVals!N$2:N$999,RdTRABYVals!$B$2:$B$999,"="&amp;$E215,RdTRABYVals!$C$2:$C$999,"="&amp;INS_EFF!$B215),"")</f>
        <v>1.1118936673731299</v>
      </c>
      <c r="AZ215" s="95">
        <f>IFERROR(AVERAGEIFS(RdTRABYVals!O$2:O$999,RdTRABYVals!$B$2:$B$999,"="&amp;$E215,RdTRABYVals!$C$2:$C$999,"="&amp;INS_EFF!$B215),"")</f>
        <v>1.04008416766686</v>
      </c>
      <c r="BA215" s="95">
        <f>IFERROR(AVERAGEIFS(RdTRABYVals!P$2:P$999,RdTRABYVals!$B$2:$B$999,"="&amp;$E215,RdTRABYVals!$C$2:$C$999,"="&amp;INS_EFF!$B215),"")</f>
        <v>1.0809728679292001</v>
      </c>
      <c r="BB215" s="95">
        <f>IFERROR(AVERAGEIFS(RdTRABYVals!Q$2:Q$999,RdTRABYVals!$B$2:$B$999,"="&amp;$E215,RdTRABYVals!$C$2:$C$999,"="&amp;INS_EFF!$B215),"")</f>
        <v>1.02425023016475</v>
      </c>
      <c r="BC215" s="95">
        <f>IFERROR(AVERAGEIFS(RdTRABYVals!R$2:R$999,RdTRABYVals!$B$2:$B$999,"="&amp;$E215,RdTRABYVals!$C$2:$C$999,"="&amp;INS_EFF!$B215),"")</f>
        <v>1.0489902907589299</v>
      </c>
      <c r="BD215" s="95">
        <f>IFERROR(AVERAGEIFS(RdTRABYVals!S$2:S$999,RdTRABYVals!$B$2:$B$999,"="&amp;$E215,RdTRABYVals!$C$2:$C$999,"="&amp;INS_EFF!$B215),"")</f>
        <v>1.0060849834952801</v>
      </c>
      <c r="BE215" s="95">
        <f>IFERROR(AVERAGEIFS(RdTRABYVals!T$2:T$999,RdTRABYVals!$B$2:$B$999,"="&amp;$E215,RdTRABYVals!$C$2:$C$999,"="&amp;INS_EFF!$B215),"")</f>
        <v>1.00082109353235</v>
      </c>
      <c r="BF215" s="95">
        <f>IFERROR(AVERAGEIFS(RdTRABYVals!U$2:U$999,RdTRABYVals!$B$2:$B$999,"="&amp;$E215,RdTRABYVals!$C$2:$C$999,"="&amp;INS_EFF!$B215),"")</f>
        <v>1.07619552705011</v>
      </c>
      <c r="BG215" s="95">
        <f>IFERROR(AVERAGEIFS(RdTRABYVals!V$2:V$999,RdTRABYVals!$B$2:$B$999,"="&amp;$E215,RdTRABYVals!$C$2:$C$999,"="&amp;INS_EFF!$B215),"")</f>
        <v>1.0700032998865801</v>
      </c>
      <c r="BH215" s="95">
        <f>IFERROR(AVERAGEIFS(RdTRABYVals!W$2:W$999,RdTRABYVals!$B$2:$B$999,"="&amp;$E215,RdTRABYVals!$C$2:$C$999,"="&amp;INS_EFF!$B215),"")</f>
        <v>1.04407952057914</v>
      </c>
      <c r="BI215" s="95">
        <f>IFERROR(AVERAGEIFS(RdTRABYVals!X$2:X$999,RdTRABYVals!$B$2:$B$999,"="&amp;$E215,RdTRABYVals!$C$2:$C$999,"="&amp;INS_EFF!$B215),"")</f>
        <v>1.0620986964299399</v>
      </c>
      <c r="BJ215" s="95">
        <f>IFERROR(AVERAGEIFS(RdTRABYVals!Y$2:Y$999,RdTRABYVals!$B$2:$B$999,"="&amp;$E215,RdTRABYVals!$C$2:$C$999,"="&amp;INS_EFF!$B215),"")</f>
        <v>1.06861504462526</v>
      </c>
      <c r="BK215" s="95">
        <f>IFERROR(AVERAGEIFS(RdTRABYVals!Z$2:Z$999,RdTRABYVals!$B$2:$B$999,"="&amp;$E215,RdTRABYVals!$C$2:$C$999,"="&amp;INS_EFF!$B215),"")</f>
        <v>1.0962915869083101</v>
      </c>
      <c r="BL215" s="95">
        <f>IFERROR(AVERAGEIFS(RdTRABYVals!AA$2:AA$999,RdTRABYVals!$B$2:$B$999,"="&amp;$E215,RdTRABYVals!$C$2:$C$999,"="&amp;INS_EFF!$B215),"")</f>
        <v>1.1118936673731299</v>
      </c>
      <c r="BM215" s="95">
        <f>IFERROR(AVERAGEIFS(RdTRABYVals!AB$2:AB$999,RdTRABYVals!$B$2:$B$999,"="&amp;$E215,RdTRABYVals!$C$2:$C$999,"="&amp;INS_EFF!$B215),"")</f>
        <v>1.0853198828822199</v>
      </c>
      <c r="BN215" s="95">
        <f>IFERROR(AVERAGEIFS(RdTRABYVals!AC$2:AC$999,RdTRABYVals!$B$2:$B$999,"="&amp;$E215,RdTRABYVals!$C$2:$C$999,"="&amp;INS_EFF!$B215),"")</f>
        <v>1.1296479504677801</v>
      </c>
      <c r="BO215" s="95">
        <f>IFERROR(AVERAGEIFS(RdTRABYVals!AD$2:AD$999,RdTRABYVals!$B$2:$B$999,"="&amp;$E215,RdTRABYVals!$C$2:$C$999,"="&amp;INS_EFF!$B215),"")</f>
        <v>1.0700032998865801</v>
      </c>
      <c r="BP215" s="95">
        <f>IFERROR(AVERAGEIFS(RdTRABYVals!AE$2:AE$999,RdTRABYVals!$B$2:$B$999,"="&amp;$E215,RdTRABYVals!$C$2:$C$999,"="&amp;INS_EFF!$B215),"")</f>
        <v>1.0091866506112199</v>
      </c>
      <c r="BQ215" s="95">
        <f>IFERROR(AVERAGEIFS(RdTRABYVals!AF$2:AF$999,RdTRABYVals!$B$2:$B$999,"="&amp;$E215,RdTRABYVals!$C$2:$C$999,"="&amp;INS_EFF!$B215),"")</f>
        <v>1.1118936673731299</v>
      </c>
      <c r="BR215" s="95">
        <f>IFERROR(AVERAGEIFS(RdTRABYVals!AG$2:AG$999,RdTRABYVals!$B$2:$B$999,"="&amp;$E215,RdTRABYVals!$C$2:$C$999,"="&amp;INS_EFF!$B215),"")</f>
        <v>0.94581153754626901</v>
      </c>
      <c r="BS215" s="95">
        <f>IFERROR(AVERAGEIFS(RdTRABYVals!AH$2:AH$999,RdTRABYVals!$B$2:$B$999,"="&amp;$E215,RdTRABYVals!$C$2:$C$999,"="&amp;INS_EFF!$B215),"")</f>
        <v>1.03408804019147</v>
      </c>
      <c r="BT215" s="95">
        <f>IFERROR(AVERAGEIFS(RdTRABYVals!AI$2:AI$999,RdTRABYVals!$B$2:$B$999,"="&amp;$E215,RdTRABYVals!$C$2:$C$999,"="&amp;INS_EFF!$B215),"")</f>
        <v>1.1421317411434799</v>
      </c>
      <c r="BU215" s="95">
        <f>IFERROR(AVERAGEIFS(RdTRABYVals!AJ$2:AJ$999,RdTRABYVals!$B$2:$B$999,"="&amp;$E215,RdTRABYVals!$C$2:$C$999,"="&amp;INS_EFF!$B215),"")</f>
        <v>1.04407952057914</v>
      </c>
      <c r="BV215" s="95">
        <f>IFERROR(AVERAGEIFS(RdTRABYVals!AK$2:AK$999,RdTRABYVals!$B$2:$B$999,"="&amp;$E215,RdTRABYVals!$C$2:$C$999,"="&amp;INS_EFF!$B215),"")</f>
        <v>1.0700032998865801</v>
      </c>
      <c r="BW215" s="95">
        <f>IFERROR(AVERAGEIFS(RdTRABYVals!AL$2:AL$999,RdTRABYVals!$B$2:$B$999,"="&amp;$E215,RdTRABYVals!$C$2:$C$999,"="&amp;INS_EFF!$B215),"")</f>
        <v>1.0409873884962799</v>
      </c>
      <c r="BX215" s="95">
        <f>IFERROR(AVERAGEIFS(RdTRABYVals!AM$2:AM$999,RdTRABYVals!$B$2:$B$999,"="&amp;$E215,RdTRABYVals!$C$2:$C$999,"="&amp;INS_EFF!$B215),"")</f>
        <v>1.0954418262893</v>
      </c>
      <c r="BY215" s="95">
        <f>IFERROR(AVERAGEIFS(RdTRABYVals!AN$2:AN$999,RdTRABYVals!$B$2:$B$999,"="&amp;$E215,RdTRABYVals!$C$2:$C$999,"="&amp;INS_EFF!$B215),"")</f>
        <v>1.07499559239017</v>
      </c>
      <c r="BZ215" s="95">
        <f>IFERROR(AVERAGEIFS(RdTRABYVals!AO$2:AO$999,RdTRABYVals!$B$2:$B$999,"="&amp;$E215,RdTRABYVals!$C$2:$C$999,"="&amp;INS_EFF!$B215),"")</f>
        <v>1.0742847621741101</v>
      </c>
      <c r="CA215" s="95">
        <f>IFERROR(AVERAGEIFS(RdTRABYVals!AP$2:AP$999,RdTRABYVals!$B$2:$B$999,"="&amp;$E215,RdTRABYVals!$C$2:$C$999,"="&amp;INS_EFF!$B215),"")</f>
        <v>1.06544825294274</v>
      </c>
      <c r="CB215" s="95">
        <f>IFERROR(AVERAGEIFS(RdTRABYVals!AQ$2:AQ$999,RdTRABYVals!$B$2:$B$999,"="&amp;$E215,RdTRABYVals!$C$2:$C$999,"="&amp;INS_EFF!$B215),"")</f>
        <v>1.1215290869288499</v>
      </c>
      <c r="CC215" s="95">
        <f>IFERROR(AVERAGEIFS(RdTRABYVals!AR$2:AR$999,RdTRABYVals!$B$2:$B$999,"="&amp;$E215,RdTRABYVals!$C$2:$C$999,"="&amp;INS_EFF!$B215),"")</f>
        <v>1.1118936673731299</v>
      </c>
      <c r="CD215" s="95">
        <f>IFERROR(AVERAGEIFS(RdTRABYVals!AS$2:AS$999,RdTRABYVals!$B$2:$B$999,"="&amp;$E215,RdTRABYVals!$C$2:$C$999,"="&amp;INS_EFF!$B215),"")</f>
        <v>1.1144086519030401</v>
      </c>
      <c r="CE215" s="95">
        <f>IFERROR(AVERAGEIFS(RdTRABYVals!AT$2:AT$999,RdTRABYVals!$B$2:$B$999,"="&amp;$E215,RdTRABYVals!$C$2:$C$999,"="&amp;INS_EFF!$B215),"")</f>
        <v>1.09058159604954</v>
      </c>
      <c r="CF215" s="95">
        <f>IFERROR(AVERAGEIFS(RdTRABYVals!AU$2:AU$999,RdTRABYVals!$B$2:$B$999,"="&amp;$E215,RdTRABYVals!$C$2:$C$999,"="&amp;INS_EFF!$B215),"")</f>
        <v>1.0872236728367</v>
      </c>
      <c r="CG215" s="95">
        <f>IFERROR(AVERAGEIFS(RdTRABYVals!AV$2:AV$999,RdTRABYVals!$B$2:$B$999,"="&amp;$E215,RdTRABYVals!$C$2:$C$999,"="&amp;INS_EFF!$B215),"")</f>
        <v>1.0921986570087301</v>
      </c>
    </row>
    <row r="216" spans="2:85" ht="15">
      <c r="B216" s="25" t="s">
        <v>137</v>
      </c>
      <c r="C216" s="25"/>
      <c r="E216" s="18" t="s">
        <v>29</v>
      </c>
      <c r="F216" s="71"/>
      <c r="G216" t="s">
        <v>137</v>
      </c>
      <c r="I216" t="str">
        <f t="shared" si="6"/>
        <v>*0.641080551496624</v>
      </c>
      <c r="J216" t="str">
        <f t="shared" si="6"/>
        <v>*0.661578457471393</v>
      </c>
      <c r="K216" t="str">
        <f t="shared" si="6"/>
        <v>*0.662289028544465</v>
      </c>
      <c r="L216" t="str">
        <f t="shared" si="6"/>
        <v>*0.623321674311133</v>
      </c>
      <c r="M216" t="str">
        <f t="shared" si="6"/>
        <v>*0.621152824134031</v>
      </c>
      <c r="N216" t="str">
        <f t="shared" si="6"/>
        <v>*0.621359466427288</v>
      </c>
      <c r="O216" t="str">
        <f t="shared" si="6"/>
        <v>*0.625192255633571</v>
      </c>
      <c r="P216" t="str">
        <f t="shared" si="6"/>
        <v>*0.673435369325016</v>
      </c>
      <c r="Q216" t="str">
        <f t="shared" si="6"/>
        <v>*0.639160722573184</v>
      </c>
      <c r="R216" t="str">
        <f t="shared" si="6"/>
        <v>*0.658550068492754</v>
      </c>
      <c r="S216" t="str">
        <f t="shared" si="6"/>
        <v>*0.686683765067413</v>
      </c>
      <c r="T216" t="str">
        <f t="shared" si="6"/>
        <v>*0.631822556736692</v>
      </c>
      <c r="U216" t="str">
        <f t="shared" si="6"/>
        <v>*0.661578457471393</v>
      </c>
      <c r="V216" t="str">
        <f t="shared" si="6"/>
        <v>*0.611774997268324</v>
      </c>
      <c r="W216" s="20" t="str">
        <f t="shared" si="6"/>
        <v>*0.639297809237315</v>
      </c>
      <c r="X216" t="str">
        <f t="shared" si="6"/>
        <v>*0.664028999866633</v>
      </c>
      <c r="Y216" t="str">
        <f t="shared" si="8"/>
        <v>*0.623321674311133</v>
      </c>
      <c r="Z216" t="str">
        <f t="shared" si="8"/>
        <v>*0.694492888808367</v>
      </c>
      <c r="AA216" t="str">
        <f t="shared" si="8"/>
        <v>*0.58797955123032</v>
      </c>
      <c r="AB216" t="str">
        <f t="shared" si="8"/>
        <v>*0.589380338418921</v>
      </c>
      <c r="AC216" t="str">
        <f t="shared" si="8"/>
        <v>*0.70408081539128</v>
      </c>
      <c r="AD216" t="str">
        <f t="shared" si="8"/>
        <v>*0.623321674311133</v>
      </c>
      <c r="AE216" t="str">
        <f t="shared" si="8"/>
        <v>*0.605592482216311</v>
      </c>
      <c r="AF216" t="str">
        <f t="shared" si="8"/>
        <v>*0.600804467894062</v>
      </c>
      <c r="AG216" t="str">
        <f t="shared" si="8"/>
        <v>*0.690472680994831</v>
      </c>
      <c r="AH216" t="str">
        <f t="shared" si="8"/>
        <v>*0.661578457471393</v>
      </c>
      <c r="AI216" t="str">
        <f t="shared" si="8"/>
        <v>*0.619136984614676</v>
      </c>
      <c r="AJ216" t="str">
        <f t="shared" si="8"/>
        <v>*0.663635556629942</v>
      </c>
      <c r="AK216" t="str">
        <f t="shared" si="8"/>
        <v>*0.552424659940085</v>
      </c>
      <c r="AL216" t="str">
        <f t="shared" si="8"/>
        <v>*0.668098084460143</v>
      </c>
      <c r="AM216" t="str">
        <f t="shared" si="8"/>
        <v>*0.700230544989045</v>
      </c>
      <c r="AN216" t="str">
        <f t="shared" si="8"/>
        <v>*0.545311458670438</v>
      </c>
      <c r="AO216" t="str">
        <f t="shared" si="9"/>
        <v>*0.644597629486907</v>
      </c>
      <c r="AP216" t="str">
        <f t="shared" si="9"/>
        <v>*0.623321674311133</v>
      </c>
      <c r="AQ216" t="str">
        <f t="shared" si="9"/>
        <v>*0.679515522458692</v>
      </c>
      <c r="AR216" t="str">
        <f t="shared" si="9"/>
        <v>*0.623916601175477</v>
      </c>
      <c r="AS216" t="str">
        <f t="shared" si="9"/>
        <v>*0.64926878656447</v>
      </c>
      <c r="AT216" t="str">
        <f t="shared" si="9"/>
        <v>*0.688271418465718</v>
      </c>
      <c r="AV216" s="95">
        <f t="shared" si="7"/>
        <v>0.64108055149662391</v>
      </c>
      <c r="AW216" s="95">
        <f>IFERROR(AVERAGEIFS(RdTRABYVals!L$2:L$999,RdTRABYVals!$B$2:$B$999,"="&amp;$E216,RdTRABYVals!$C$2:$C$999,"="&amp;INS_EFF!$B216),"")</f>
        <v>0.66157845747139299</v>
      </c>
      <c r="AX216" s="95">
        <f>IFERROR(AVERAGEIFS(RdTRABYVals!M$2:M$999,RdTRABYVals!$B$2:$B$999,"="&amp;$E216,RdTRABYVals!$C$2:$C$999,"="&amp;INS_EFF!$B216),"")</f>
        <v>0.66228902854446503</v>
      </c>
      <c r="AY216" s="95">
        <f>IFERROR(AVERAGEIFS(RdTRABYVals!N$2:N$999,RdTRABYVals!$B$2:$B$999,"="&amp;$E216,RdTRABYVals!$C$2:$C$999,"="&amp;INS_EFF!$B216),"")</f>
        <v>0.62332167431113294</v>
      </c>
      <c r="AZ216" s="95">
        <f>IFERROR(AVERAGEIFS(RdTRABYVals!O$2:O$999,RdTRABYVals!$B$2:$B$999,"="&amp;$E216,RdTRABYVals!$C$2:$C$999,"="&amp;INS_EFF!$B216),"")</f>
        <v>0.62115282413403095</v>
      </c>
      <c r="BA216" s="95">
        <f>IFERROR(AVERAGEIFS(RdTRABYVals!P$2:P$999,RdTRABYVals!$B$2:$B$999,"="&amp;$E216,RdTRABYVals!$C$2:$C$999,"="&amp;INS_EFF!$B216),"")</f>
        <v>0.62135946642728801</v>
      </c>
      <c r="BB216" s="95">
        <f>IFERROR(AVERAGEIFS(RdTRABYVals!Q$2:Q$999,RdTRABYVals!$B$2:$B$999,"="&amp;$E216,RdTRABYVals!$C$2:$C$999,"="&amp;INS_EFF!$B216),"")</f>
        <v>0.62519225563357095</v>
      </c>
      <c r="BC216" s="95">
        <f>IFERROR(AVERAGEIFS(RdTRABYVals!R$2:R$999,RdTRABYVals!$B$2:$B$999,"="&amp;$E216,RdTRABYVals!$C$2:$C$999,"="&amp;INS_EFF!$B216),"")</f>
        <v>0.67343536932501602</v>
      </c>
      <c r="BD216" s="95">
        <f>IFERROR(AVERAGEIFS(RdTRABYVals!S$2:S$999,RdTRABYVals!$B$2:$B$999,"="&amp;$E216,RdTRABYVals!$C$2:$C$999,"="&amp;INS_EFF!$B216),"")</f>
        <v>0.63916072257318401</v>
      </c>
      <c r="BE216" s="95">
        <f>IFERROR(AVERAGEIFS(RdTRABYVals!T$2:T$999,RdTRABYVals!$B$2:$B$999,"="&amp;$E216,RdTRABYVals!$C$2:$C$999,"="&amp;INS_EFF!$B216),"")</f>
        <v>0.65855006849275399</v>
      </c>
      <c r="BF216" s="95">
        <f>IFERROR(AVERAGEIFS(RdTRABYVals!U$2:U$999,RdTRABYVals!$B$2:$B$999,"="&amp;$E216,RdTRABYVals!$C$2:$C$999,"="&amp;INS_EFF!$B216),"")</f>
        <v>0.68668376506741302</v>
      </c>
      <c r="BG216" s="95">
        <f>IFERROR(AVERAGEIFS(RdTRABYVals!V$2:V$999,RdTRABYVals!$B$2:$B$999,"="&amp;$E216,RdTRABYVals!$C$2:$C$999,"="&amp;INS_EFF!$B216),"")</f>
        <v>0.63182255673669196</v>
      </c>
      <c r="BH216" s="95">
        <f>IFERROR(AVERAGEIFS(RdTRABYVals!W$2:W$999,RdTRABYVals!$B$2:$B$999,"="&amp;$E216,RdTRABYVals!$C$2:$C$999,"="&amp;INS_EFF!$B216),"")</f>
        <v>0.66157845747139299</v>
      </c>
      <c r="BI216" s="95">
        <f>IFERROR(AVERAGEIFS(RdTRABYVals!X$2:X$999,RdTRABYVals!$B$2:$B$999,"="&amp;$E216,RdTRABYVals!$C$2:$C$999,"="&amp;INS_EFF!$B216),"")</f>
        <v>0.61177499726832396</v>
      </c>
      <c r="BJ216" s="95">
        <f>IFERROR(AVERAGEIFS(RdTRABYVals!Y$2:Y$999,RdTRABYVals!$B$2:$B$999,"="&amp;$E216,RdTRABYVals!$C$2:$C$999,"="&amp;INS_EFF!$B216),"")</f>
        <v>0.63929780923731505</v>
      </c>
      <c r="BK216" s="95">
        <f>IFERROR(AVERAGEIFS(RdTRABYVals!Z$2:Z$999,RdTRABYVals!$B$2:$B$999,"="&amp;$E216,RdTRABYVals!$C$2:$C$999,"="&amp;INS_EFF!$B216),"")</f>
        <v>0.664028999866633</v>
      </c>
      <c r="BL216" s="95">
        <f>IFERROR(AVERAGEIFS(RdTRABYVals!AA$2:AA$999,RdTRABYVals!$B$2:$B$999,"="&amp;$E216,RdTRABYVals!$C$2:$C$999,"="&amp;INS_EFF!$B216),"")</f>
        <v>0.62332167431113294</v>
      </c>
      <c r="BM216" s="95">
        <f>IFERROR(AVERAGEIFS(RdTRABYVals!AB$2:AB$999,RdTRABYVals!$B$2:$B$999,"="&amp;$E216,RdTRABYVals!$C$2:$C$999,"="&amp;INS_EFF!$B216),"")</f>
        <v>0.69449288880836701</v>
      </c>
      <c r="BN216" s="95">
        <f>IFERROR(AVERAGEIFS(RdTRABYVals!AC$2:AC$999,RdTRABYVals!$B$2:$B$999,"="&amp;$E216,RdTRABYVals!$C$2:$C$999,"="&amp;INS_EFF!$B216),"")</f>
        <v>0.58797955123031997</v>
      </c>
      <c r="BO216" s="95">
        <f>IFERROR(AVERAGEIFS(RdTRABYVals!AD$2:AD$999,RdTRABYVals!$B$2:$B$999,"="&amp;$E216,RdTRABYVals!$C$2:$C$999,"="&amp;INS_EFF!$B216),"")</f>
        <v>0.58938033841892101</v>
      </c>
      <c r="BP216" s="95">
        <f>IFERROR(AVERAGEIFS(RdTRABYVals!AE$2:AE$999,RdTRABYVals!$B$2:$B$999,"="&amp;$E216,RdTRABYVals!$C$2:$C$999,"="&amp;INS_EFF!$B216),"")</f>
        <v>0.70408081539127998</v>
      </c>
      <c r="BQ216" s="95">
        <f>IFERROR(AVERAGEIFS(RdTRABYVals!AF$2:AF$999,RdTRABYVals!$B$2:$B$999,"="&amp;$E216,RdTRABYVals!$C$2:$C$999,"="&amp;INS_EFF!$B216),"")</f>
        <v>0.62332167431113294</v>
      </c>
      <c r="BR216" s="95">
        <f>IFERROR(AVERAGEIFS(RdTRABYVals!AG$2:AG$999,RdTRABYVals!$B$2:$B$999,"="&amp;$E216,RdTRABYVals!$C$2:$C$999,"="&amp;INS_EFF!$B216),"")</f>
        <v>0.60559248221631101</v>
      </c>
      <c r="BS216" s="95">
        <f>IFERROR(AVERAGEIFS(RdTRABYVals!AH$2:AH$999,RdTRABYVals!$B$2:$B$999,"="&amp;$E216,RdTRABYVals!$C$2:$C$999,"="&amp;INS_EFF!$B216),"")</f>
        <v>0.60080446789406206</v>
      </c>
      <c r="BT216" s="95">
        <f>IFERROR(AVERAGEIFS(RdTRABYVals!AI$2:AI$999,RdTRABYVals!$B$2:$B$999,"="&amp;$E216,RdTRABYVals!$C$2:$C$999,"="&amp;INS_EFF!$B216),"")</f>
        <v>0.69047268099483095</v>
      </c>
      <c r="BU216" s="95">
        <f>IFERROR(AVERAGEIFS(RdTRABYVals!AJ$2:AJ$999,RdTRABYVals!$B$2:$B$999,"="&amp;$E216,RdTRABYVals!$C$2:$C$999,"="&amp;INS_EFF!$B216),"")</f>
        <v>0.66157845747139299</v>
      </c>
      <c r="BV216" s="95">
        <f>IFERROR(AVERAGEIFS(RdTRABYVals!AK$2:AK$999,RdTRABYVals!$B$2:$B$999,"="&amp;$E216,RdTRABYVals!$C$2:$C$999,"="&amp;INS_EFF!$B216),"")</f>
        <v>0.61913698461467603</v>
      </c>
      <c r="BW216" s="95">
        <f>IFERROR(AVERAGEIFS(RdTRABYVals!AL$2:AL$999,RdTRABYVals!$B$2:$B$999,"="&amp;$E216,RdTRABYVals!$C$2:$C$999,"="&amp;INS_EFF!$B216),"")</f>
        <v>0.663635556629942</v>
      </c>
      <c r="BX216" s="95">
        <f>IFERROR(AVERAGEIFS(RdTRABYVals!AM$2:AM$999,RdTRABYVals!$B$2:$B$999,"="&amp;$E216,RdTRABYVals!$C$2:$C$999,"="&amp;INS_EFF!$B216),"")</f>
        <v>0.55242465994008505</v>
      </c>
      <c r="BY216" s="95">
        <f>IFERROR(AVERAGEIFS(RdTRABYVals!AN$2:AN$999,RdTRABYVals!$B$2:$B$999,"="&amp;$E216,RdTRABYVals!$C$2:$C$999,"="&amp;INS_EFF!$B216),"")</f>
        <v>0.66809808446014296</v>
      </c>
      <c r="BZ216" s="95">
        <f>IFERROR(AVERAGEIFS(RdTRABYVals!AO$2:AO$999,RdTRABYVals!$B$2:$B$999,"="&amp;$E216,RdTRABYVals!$C$2:$C$999,"="&amp;INS_EFF!$B216),"")</f>
        <v>0.70023054498904502</v>
      </c>
      <c r="CA216" s="95">
        <f>IFERROR(AVERAGEIFS(RdTRABYVals!AP$2:AP$999,RdTRABYVals!$B$2:$B$999,"="&amp;$E216,RdTRABYVals!$C$2:$C$999,"="&amp;INS_EFF!$B216),"")</f>
        <v>0.54531145867043795</v>
      </c>
      <c r="CB216" s="95">
        <f>IFERROR(AVERAGEIFS(RdTRABYVals!AQ$2:AQ$999,RdTRABYVals!$B$2:$B$999,"="&amp;$E216,RdTRABYVals!$C$2:$C$999,"="&amp;INS_EFF!$B216),"")</f>
        <v>0.64459762948690702</v>
      </c>
      <c r="CC216" s="95">
        <f>IFERROR(AVERAGEIFS(RdTRABYVals!AR$2:AR$999,RdTRABYVals!$B$2:$B$999,"="&amp;$E216,RdTRABYVals!$C$2:$C$999,"="&amp;INS_EFF!$B216),"")</f>
        <v>0.62332167431113294</v>
      </c>
      <c r="CD216" s="95">
        <f>IFERROR(AVERAGEIFS(RdTRABYVals!AS$2:AS$999,RdTRABYVals!$B$2:$B$999,"="&amp;$E216,RdTRABYVals!$C$2:$C$999,"="&amp;INS_EFF!$B216),"")</f>
        <v>0.67951552245869196</v>
      </c>
      <c r="CE216" s="95">
        <f>IFERROR(AVERAGEIFS(RdTRABYVals!AT$2:AT$999,RdTRABYVals!$B$2:$B$999,"="&amp;$E216,RdTRABYVals!$C$2:$C$999,"="&amp;INS_EFF!$B216),"")</f>
        <v>0.62391660117547698</v>
      </c>
      <c r="CF216" s="95">
        <f>IFERROR(AVERAGEIFS(RdTRABYVals!AU$2:AU$999,RdTRABYVals!$B$2:$B$999,"="&amp;$E216,RdTRABYVals!$C$2:$C$999,"="&amp;INS_EFF!$B216),"")</f>
        <v>0.64926878656446996</v>
      </c>
      <c r="CG216" s="95">
        <f>IFERROR(AVERAGEIFS(RdTRABYVals!AV$2:AV$999,RdTRABYVals!$B$2:$B$999,"="&amp;$E216,RdTRABYVals!$C$2:$C$999,"="&amp;INS_EFF!$B216),"")</f>
        <v>0.68827141846571804</v>
      </c>
    </row>
    <row r="217" spans="2:85" ht="15">
      <c r="B217" s="24" t="s">
        <v>136</v>
      </c>
      <c r="C217" s="24"/>
      <c r="E217" s="18" t="s">
        <v>29</v>
      </c>
      <c r="F217" s="71"/>
      <c r="G217" s="18" t="s">
        <v>170</v>
      </c>
      <c r="I217" t="str">
        <f t="shared" si="6"/>
        <v>*1.07000329988658</v>
      </c>
      <c r="J217" t="str">
        <f t="shared" si="6"/>
        <v>*1.04407952057914</v>
      </c>
      <c r="K217" t="str">
        <f t="shared" si="6"/>
        <v>*1.09260918649098</v>
      </c>
      <c r="L217" t="str">
        <f t="shared" si="6"/>
        <v>*1.11189366737313</v>
      </c>
      <c r="M217" t="str">
        <f t="shared" si="6"/>
        <v>*1.04008416766686</v>
      </c>
      <c r="N217" t="str">
        <f t="shared" si="6"/>
        <v>*1.0809728679292</v>
      </c>
      <c r="O217" t="str">
        <f t="shared" si="6"/>
        <v>*1.02425023016475</v>
      </c>
      <c r="P217" t="str">
        <f t="shared" si="6"/>
        <v>*1.04899029075893</v>
      </c>
      <c r="Q217" t="str">
        <f t="shared" si="6"/>
        <v>*1.00608498349528</v>
      </c>
      <c r="R217" t="str">
        <f t="shared" si="6"/>
        <v>*1.00082109353235</v>
      </c>
      <c r="S217" t="str">
        <f t="shared" si="6"/>
        <v>*1.07619552705011</v>
      </c>
      <c r="T217" t="str">
        <f t="shared" si="6"/>
        <v>*1.07000329988658</v>
      </c>
      <c r="U217" t="str">
        <f t="shared" si="6"/>
        <v>*1.04407952057914</v>
      </c>
      <c r="V217" t="str">
        <f t="shared" si="6"/>
        <v>*1.06209869642994</v>
      </c>
      <c r="W217" s="20" t="str">
        <f t="shared" si="6"/>
        <v>*1.06861504462526</v>
      </c>
      <c r="X217" t="str">
        <f t="shared" si="6"/>
        <v>*1.09629158690831</v>
      </c>
      <c r="Y217" t="str">
        <f t="shared" si="8"/>
        <v>*1.11189366737313</v>
      </c>
      <c r="Z217" t="str">
        <f t="shared" si="8"/>
        <v>*1.08531988288222</v>
      </c>
      <c r="AA217" t="str">
        <f t="shared" si="8"/>
        <v>*1.12964795046778</v>
      </c>
      <c r="AB217" t="str">
        <f t="shared" si="8"/>
        <v>*1.07000329988658</v>
      </c>
      <c r="AC217" t="str">
        <f t="shared" si="8"/>
        <v>*1.00918665061122</v>
      </c>
      <c r="AD217" t="str">
        <f t="shared" si="8"/>
        <v>*1.11189366737313</v>
      </c>
      <c r="AE217" t="str">
        <f t="shared" si="8"/>
        <v>*0.945811537546269</v>
      </c>
      <c r="AF217" t="str">
        <f t="shared" si="8"/>
        <v>*1.03408804019147</v>
      </c>
      <c r="AG217" t="str">
        <f t="shared" si="8"/>
        <v>*1.14213174114348</v>
      </c>
      <c r="AH217" t="str">
        <f t="shared" si="8"/>
        <v>*1.04407952057914</v>
      </c>
      <c r="AI217" t="str">
        <f t="shared" si="8"/>
        <v>*1.07000329988658</v>
      </c>
      <c r="AJ217" t="str">
        <f t="shared" si="8"/>
        <v>*1.04098738849628</v>
      </c>
      <c r="AK217" t="str">
        <f t="shared" si="8"/>
        <v>*1.0954418262893</v>
      </c>
      <c r="AL217" t="str">
        <f t="shared" si="8"/>
        <v>*1.07499559239017</v>
      </c>
      <c r="AM217" t="str">
        <f t="shared" si="8"/>
        <v>*1.07428476217411</v>
      </c>
      <c r="AN217" t="str">
        <f t="shared" si="8"/>
        <v>*1.06544825294274</v>
      </c>
      <c r="AO217" t="str">
        <f t="shared" si="9"/>
        <v>*1.12152908692885</v>
      </c>
      <c r="AP217" t="str">
        <f t="shared" si="9"/>
        <v>*1.11189366737313</v>
      </c>
      <c r="AQ217" t="str">
        <f t="shared" si="9"/>
        <v>*1.11440865190304</v>
      </c>
      <c r="AR217" t="str">
        <f t="shared" si="9"/>
        <v>*1.09058159604954</v>
      </c>
      <c r="AS217" t="str">
        <f t="shared" si="9"/>
        <v>*1.0872236728367</v>
      </c>
      <c r="AT217" t="str">
        <f t="shared" si="9"/>
        <v>*1.09219865700873</v>
      </c>
      <c r="AV217" s="95">
        <f t="shared" si="7"/>
        <v>1.0700032998865825</v>
      </c>
      <c r="AW217" s="95">
        <f>IFERROR(AVERAGEIFS(RdTRABYVals!L$2:L$999,RdTRABYVals!$B$2:$B$999,"="&amp;$E217,RdTRABYVals!$C$2:$C$999,"="&amp;INS_EFF!$B217),"")</f>
        <v>1.04407952057914</v>
      </c>
      <c r="AX217" s="95">
        <f>IFERROR(AVERAGEIFS(RdTRABYVals!M$2:M$999,RdTRABYVals!$B$2:$B$999,"="&amp;$E217,RdTRABYVals!$C$2:$C$999,"="&amp;INS_EFF!$B217),"")</f>
        <v>1.0926091864909799</v>
      </c>
      <c r="AY217" s="95">
        <f>IFERROR(AVERAGEIFS(RdTRABYVals!N$2:N$999,RdTRABYVals!$B$2:$B$999,"="&amp;$E217,RdTRABYVals!$C$2:$C$999,"="&amp;INS_EFF!$B217),"")</f>
        <v>1.1118936673731299</v>
      </c>
      <c r="AZ217" s="95">
        <f>IFERROR(AVERAGEIFS(RdTRABYVals!O$2:O$999,RdTRABYVals!$B$2:$B$999,"="&amp;$E217,RdTRABYVals!$C$2:$C$999,"="&amp;INS_EFF!$B217),"")</f>
        <v>1.04008416766686</v>
      </c>
      <c r="BA217" s="95">
        <f>IFERROR(AVERAGEIFS(RdTRABYVals!P$2:P$999,RdTRABYVals!$B$2:$B$999,"="&amp;$E217,RdTRABYVals!$C$2:$C$999,"="&amp;INS_EFF!$B217),"")</f>
        <v>1.0809728679292001</v>
      </c>
      <c r="BB217" s="95">
        <f>IFERROR(AVERAGEIFS(RdTRABYVals!Q$2:Q$999,RdTRABYVals!$B$2:$B$999,"="&amp;$E217,RdTRABYVals!$C$2:$C$999,"="&amp;INS_EFF!$B217),"")</f>
        <v>1.02425023016475</v>
      </c>
      <c r="BC217" s="95">
        <f>IFERROR(AVERAGEIFS(RdTRABYVals!R$2:R$999,RdTRABYVals!$B$2:$B$999,"="&amp;$E217,RdTRABYVals!$C$2:$C$999,"="&amp;INS_EFF!$B217),"")</f>
        <v>1.0489902907589299</v>
      </c>
      <c r="BD217" s="95">
        <f>IFERROR(AVERAGEIFS(RdTRABYVals!S$2:S$999,RdTRABYVals!$B$2:$B$999,"="&amp;$E217,RdTRABYVals!$C$2:$C$999,"="&amp;INS_EFF!$B217),"")</f>
        <v>1.0060849834952801</v>
      </c>
      <c r="BE217" s="95">
        <f>IFERROR(AVERAGEIFS(RdTRABYVals!T$2:T$999,RdTRABYVals!$B$2:$B$999,"="&amp;$E217,RdTRABYVals!$C$2:$C$999,"="&amp;INS_EFF!$B217),"")</f>
        <v>1.00082109353235</v>
      </c>
      <c r="BF217" s="95">
        <f>IFERROR(AVERAGEIFS(RdTRABYVals!U$2:U$999,RdTRABYVals!$B$2:$B$999,"="&amp;$E217,RdTRABYVals!$C$2:$C$999,"="&amp;INS_EFF!$B217),"")</f>
        <v>1.07619552705011</v>
      </c>
      <c r="BG217" s="95">
        <f>IFERROR(AVERAGEIFS(RdTRABYVals!V$2:V$999,RdTRABYVals!$B$2:$B$999,"="&amp;$E217,RdTRABYVals!$C$2:$C$999,"="&amp;INS_EFF!$B217),"")</f>
        <v>1.0700032998865801</v>
      </c>
      <c r="BH217" s="95">
        <f>IFERROR(AVERAGEIFS(RdTRABYVals!W$2:W$999,RdTRABYVals!$B$2:$B$999,"="&amp;$E217,RdTRABYVals!$C$2:$C$999,"="&amp;INS_EFF!$B217),"")</f>
        <v>1.04407952057914</v>
      </c>
      <c r="BI217" s="95">
        <f>IFERROR(AVERAGEIFS(RdTRABYVals!X$2:X$999,RdTRABYVals!$B$2:$B$999,"="&amp;$E217,RdTRABYVals!$C$2:$C$999,"="&amp;INS_EFF!$B217),"")</f>
        <v>1.0620986964299399</v>
      </c>
      <c r="BJ217" s="95">
        <f>IFERROR(AVERAGEIFS(RdTRABYVals!Y$2:Y$999,RdTRABYVals!$B$2:$B$999,"="&amp;$E217,RdTRABYVals!$C$2:$C$999,"="&amp;INS_EFF!$B217),"")</f>
        <v>1.06861504462526</v>
      </c>
      <c r="BK217" s="95">
        <f>IFERROR(AVERAGEIFS(RdTRABYVals!Z$2:Z$999,RdTRABYVals!$B$2:$B$999,"="&amp;$E217,RdTRABYVals!$C$2:$C$999,"="&amp;INS_EFF!$B217),"")</f>
        <v>1.0962915869083101</v>
      </c>
      <c r="BL217" s="95">
        <f>IFERROR(AVERAGEIFS(RdTRABYVals!AA$2:AA$999,RdTRABYVals!$B$2:$B$999,"="&amp;$E217,RdTRABYVals!$C$2:$C$999,"="&amp;INS_EFF!$B217),"")</f>
        <v>1.1118936673731299</v>
      </c>
      <c r="BM217" s="95">
        <f>IFERROR(AVERAGEIFS(RdTRABYVals!AB$2:AB$999,RdTRABYVals!$B$2:$B$999,"="&amp;$E217,RdTRABYVals!$C$2:$C$999,"="&amp;INS_EFF!$B217),"")</f>
        <v>1.0853198828822199</v>
      </c>
      <c r="BN217" s="95">
        <f>IFERROR(AVERAGEIFS(RdTRABYVals!AC$2:AC$999,RdTRABYVals!$B$2:$B$999,"="&amp;$E217,RdTRABYVals!$C$2:$C$999,"="&amp;INS_EFF!$B217),"")</f>
        <v>1.1296479504677801</v>
      </c>
      <c r="BO217" s="95">
        <f>IFERROR(AVERAGEIFS(RdTRABYVals!AD$2:AD$999,RdTRABYVals!$B$2:$B$999,"="&amp;$E217,RdTRABYVals!$C$2:$C$999,"="&amp;INS_EFF!$B217),"")</f>
        <v>1.0700032998865801</v>
      </c>
      <c r="BP217" s="95">
        <f>IFERROR(AVERAGEIFS(RdTRABYVals!AE$2:AE$999,RdTRABYVals!$B$2:$B$999,"="&amp;$E217,RdTRABYVals!$C$2:$C$999,"="&amp;INS_EFF!$B217),"")</f>
        <v>1.0091866506112199</v>
      </c>
      <c r="BQ217" s="95">
        <f>IFERROR(AVERAGEIFS(RdTRABYVals!AF$2:AF$999,RdTRABYVals!$B$2:$B$999,"="&amp;$E217,RdTRABYVals!$C$2:$C$999,"="&amp;INS_EFF!$B217),"")</f>
        <v>1.1118936673731299</v>
      </c>
      <c r="BR217" s="95">
        <f>IFERROR(AVERAGEIFS(RdTRABYVals!AG$2:AG$999,RdTRABYVals!$B$2:$B$999,"="&amp;$E217,RdTRABYVals!$C$2:$C$999,"="&amp;INS_EFF!$B217),"")</f>
        <v>0.94581153754626901</v>
      </c>
      <c r="BS217" s="95">
        <f>IFERROR(AVERAGEIFS(RdTRABYVals!AH$2:AH$999,RdTRABYVals!$B$2:$B$999,"="&amp;$E217,RdTRABYVals!$C$2:$C$999,"="&amp;INS_EFF!$B217),"")</f>
        <v>1.03408804019147</v>
      </c>
      <c r="BT217" s="95">
        <f>IFERROR(AVERAGEIFS(RdTRABYVals!AI$2:AI$999,RdTRABYVals!$B$2:$B$999,"="&amp;$E217,RdTRABYVals!$C$2:$C$999,"="&amp;INS_EFF!$B217),"")</f>
        <v>1.1421317411434799</v>
      </c>
      <c r="BU217" s="95">
        <f>IFERROR(AVERAGEIFS(RdTRABYVals!AJ$2:AJ$999,RdTRABYVals!$B$2:$B$999,"="&amp;$E217,RdTRABYVals!$C$2:$C$999,"="&amp;INS_EFF!$B217),"")</f>
        <v>1.04407952057914</v>
      </c>
      <c r="BV217" s="95">
        <f>IFERROR(AVERAGEIFS(RdTRABYVals!AK$2:AK$999,RdTRABYVals!$B$2:$B$999,"="&amp;$E217,RdTRABYVals!$C$2:$C$999,"="&amp;INS_EFF!$B217),"")</f>
        <v>1.0700032998865801</v>
      </c>
      <c r="BW217" s="95">
        <f>IFERROR(AVERAGEIFS(RdTRABYVals!AL$2:AL$999,RdTRABYVals!$B$2:$B$999,"="&amp;$E217,RdTRABYVals!$C$2:$C$999,"="&amp;INS_EFF!$B217),"")</f>
        <v>1.0409873884962799</v>
      </c>
      <c r="BX217" s="95">
        <f>IFERROR(AVERAGEIFS(RdTRABYVals!AM$2:AM$999,RdTRABYVals!$B$2:$B$999,"="&amp;$E217,RdTRABYVals!$C$2:$C$999,"="&amp;INS_EFF!$B217),"")</f>
        <v>1.0954418262893</v>
      </c>
      <c r="BY217" s="95">
        <f>IFERROR(AVERAGEIFS(RdTRABYVals!AN$2:AN$999,RdTRABYVals!$B$2:$B$999,"="&amp;$E217,RdTRABYVals!$C$2:$C$999,"="&amp;INS_EFF!$B217),"")</f>
        <v>1.07499559239017</v>
      </c>
      <c r="BZ217" s="95">
        <f>IFERROR(AVERAGEIFS(RdTRABYVals!AO$2:AO$999,RdTRABYVals!$B$2:$B$999,"="&amp;$E217,RdTRABYVals!$C$2:$C$999,"="&amp;INS_EFF!$B217),"")</f>
        <v>1.0742847621741101</v>
      </c>
      <c r="CA217" s="95">
        <f>IFERROR(AVERAGEIFS(RdTRABYVals!AP$2:AP$999,RdTRABYVals!$B$2:$B$999,"="&amp;$E217,RdTRABYVals!$C$2:$C$999,"="&amp;INS_EFF!$B217),"")</f>
        <v>1.06544825294274</v>
      </c>
      <c r="CB217" s="95">
        <f>IFERROR(AVERAGEIFS(RdTRABYVals!AQ$2:AQ$999,RdTRABYVals!$B$2:$B$999,"="&amp;$E217,RdTRABYVals!$C$2:$C$999,"="&amp;INS_EFF!$B217),"")</f>
        <v>1.1215290869288499</v>
      </c>
      <c r="CC217" s="95">
        <f>IFERROR(AVERAGEIFS(RdTRABYVals!AR$2:AR$999,RdTRABYVals!$B$2:$B$999,"="&amp;$E217,RdTRABYVals!$C$2:$C$999,"="&amp;INS_EFF!$B217),"")</f>
        <v>1.1118936673731299</v>
      </c>
      <c r="CD217" s="95">
        <f>IFERROR(AVERAGEIFS(RdTRABYVals!AS$2:AS$999,RdTRABYVals!$B$2:$B$999,"="&amp;$E217,RdTRABYVals!$C$2:$C$999,"="&amp;INS_EFF!$B217),"")</f>
        <v>1.1144086519030401</v>
      </c>
      <c r="CE217" s="95">
        <f>IFERROR(AVERAGEIFS(RdTRABYVals!AT$2:AT$999,RdTRABYVals!$B$2:$B$999,"="&amp;$E217,RdTRABYVals!$C$2:$C$999,"="&amp;INS_EFF!$B217),"")</f>
        <v>1.09058159604954</v>
      </c>
      <c r="CF217" s="95">
        <f>IFERROR(AVERAGEIFS(RdTRABYVals!AU$2:AU$999,RdTRABYVals!$B$2:$B$999,"="&amp;$E217,RdTRABYVals!$C$2:$C$999,"="&amp;INS_EFF!$B217),"")</f>
        <v>1.0872236728367</v>
      </c>
      <c r="CG217" s="95">
        <f>IFERROR(AVERAGEIFS(RdTRABYVals!AV$2:AV$999,RdTRABYVals!$B$2:$B$999,"="&amp;$E217,RdTRABYVals!$C$2:$C$999,"="&amp;INS_EFF!$B217),"")</f>
        <v>1.0921986570087301</v>
      </c>
    </row>
    <row r="218" spans="2:85" ht="15">
      <c r="B218" s="25" t="s">
        <v>137</v>
      </c>
      <c r="C218" s="25"/>
      <c r="E218" s="18" t="s">
        <v>29</v>
      </c>
      <c r="F218" s="71"/>
      <c r="G218" s="18" t="s">
        <v>171</v>
      </c>
      <c r="I218" t="str">
        <f t="shared" si="6"/>
        <v>*0.641080551496624</v>
      </c>
      <c r="J218" t="str">
        <f t="shared" si="6"/>
        <v>*0.661578457471393</v>
      </c>
      <c r="K218" t="str">
        <f t="shared" si="6"/>
        <v>*0.662289028544465</v>
      </c>
      <c r="L218" t="str">
        <f t="shared" si="6"/>
        <v>*0.623321674311133</v>
      </c>
      <c r="M218" t="str">
        <f t="shared" si="6"/>
        <v>*0.621152824134031</v>
      </c>
      <c r="N218" t="str">
        <f t="shared" si="6"/>
        <v>*0.621359466427288</v>
      </c>
      <c r="O218" t="str">
        <f t="shared" si="6"/>
        <v>*0.625192255633571</v>
      </c>
      <c r="P218" t="str">
        <f t="shared" si="6"/>
        <v>*0.673435369325016</v>
      </c>
      <c r="Q218" t="str">
        <f t="shared" si="6"/>
        <v>*0.639160722573184</v>
      </c>
      <c r="R218" t="str">
        <f t="shared" si="6"/>
        <v>*0.658550068492754</v>
      </c>
      <c r="S218" t="str">
        <f t="shared" si="6"/>
        <v>*0.686683765067413</v>
      </c>
      <c r="T218" t="str">
        <f t="shared" si="6"/>
        <v>*0.631822556736692</v>
      </c>
      <c r="U218" t="str">
        <f t="shared" si="6"/>
        <v>*0.661578457471393</v>
      </c>
      <c r="V218" t="str">
        <f t="shared" si="6"/>
        <v>*0.611774997268324</v>
      </c>
      <c r="W218" s="20" t="str">
        <f t="shared" si="6"/>
        <v>*0.639297809237315</v>
      </c>
      <c r="X218" t="str">
        <f t="shared" si="6"/>
        <v>*0.664028999866633</v>
      </c>
      <c r="Y218" t="str">
        <f t="shared" si="8"/>
        <v>*0.623321674311133</v>
      </c>
      <c r="Z218" t="str">
        <f t="shared" si="8"/>
        <v>*0.694492888808367</v>
      </c>
      <c r="AA218" t="str">
        <f t="shared" si="8"/>
        <v>*0.58797955123032</v>
      </c>
      <c r="AB218" t="str">
        <f t="shared" si="8"/>
        <v>*0.589380338418921</v>
      </c>
      <c r="AC218" t="str">
        <f t="shared" si="8"/>
        <v>*0.70408081539128</v>
      </c>
      <c r="AD218" t="str">
        <f t="shared" si="8"/>
        <v>*0.623321674311133</v>
      </c>
      <c r="AE218" t="str">
        <f t="shared" si="8"/>
        <v>*0.605592482216311</v>
      </c>
      <c r="AF218" t="str">
        <f t="shared" si="8"/>
        <v>*0.600804467894062</v>
      </c>
      <c r="AG218" t="str">
        <f t="shared" si="8"/>
        <v>*0.690472680994831</v>
      </c>
      <c r="AH218" t="str">
        <f t="shared" si="8"/>
        <v>*0.661578457471393</v>
      </c>
      <c r="AI218" t="str">
        <f t="shared" si="8"/>
        <v>*0.619136984614676</v>
      </c>
      <c r="AJ218" t="str">
        <f t="shared" si="8"/>
        <v>*0.663635556629942</v>
      </c>
      <c r="AK218" t="str">
        <f t="shared" si="8"/>
        <v>*0.552424659940085</v>
      </c>
      <c r="AL218" t="str">
        <f t="shared" si="8"/>
        <v>*0.668098084460143</v>
      </c>
      <c r="AM218" t="str">
        <f t="shared" si="8"/>
        <v>*0.700230544989045</v>
      </c>
      <c r="AN218" t="str">
        <f t="shared" si="8"/>
        <v>*0.545311458670438</v>
      </c>
      <c r="AO218" t="str">
        <f t="shared" si="9"/>
        <v>*0.644597629486907</v>
      </c>
      <c r="AP218" t="str">
        <f t="shared" si="9"/>
        <v>*0.623321674311133</v>
      </c>
      <c r="AQ218" t="str">
        <f t="shared" si="9"/>
        <v>*0.679515522458692</v>
      </c>
      <c r="AR218" t="str">
        <f t="shared" si="9"/>
        <v>*0.623916601175477</v>
      </c>
      <c r="AS218" t="str">
        <f t="shared" si="9"/>
        <v>*0.64926878656447</v>
      </c>
      <c r="AT218" t="str">
        <f t="shared" si="9"/>
        <v>*0.688271418465718</v>
      </c>
      <c r="AV218" s="95">
        <f t="shared" si="7"/>
        <v>0.64108055149662391</v>
      </c>
      <c r="AW218" s="95">
        <f>IFERROR(AVERAGEIFS(RdTRABYVals!L$2:L$999,RdTRABYVals!$B$2:$B$999,"="&amp;$E218,RdTRABYVals!$C$2:$C$999,"="&amp;INS_EFF!$B218),"")</f>
        <v>0.66157845747139299</v>
      </c>
      <c r="AX218" s="95">
        <f>IFERROR(AVERAGEIFS(RdTRABYVals!M$2:M$999,RdTRABYVals!$B$2:$B$999,"="&amp;$E218,RdTRABYVals!$C$2:$C$999,"="&amp;INS_EFF!$B218),"")</f>
        <v>0.66228902854446503</v>
      </c>
      <c r="AY218" s="95">
        <f>IFERROR(AVERAGEIFS(RdTRABYVals!N$2:N$999,RdTRABYVals!$B$2:$B$999,"="&amp;$E218,RdTRABYVals!$C$2:$C$999,"="&amp;INS_EFF!$B218),"")</f>
        <v>0.62332167431113294</v>
      </c>
      <c r="AZ218" s="95">
        <f>IFERROR(AVERAGEIFS(RdTRABYVals!O$2:O$999,RdTRABYVals!$B$2:$B$999,"="&amp;$E218,RdTRABYVals!$C$2:$C$999,"="&amp;INS_EFF!$B218),"")</f>
        <v>0.62115282413403095</v>
      </c>
      <c r="BA218" s="95">
        <f>IFERROR(AVERAGEIFS(RdTRABYVals!P$2:P$999,RdTRABYVals!$B$2:$B$999,"="&amp;$E218,RdTRABYVals!$C$2:$C$999,"="&amp;INS_EFF!$B218),"")</f>
        <v>0.62135946642728801</v>
      </c>
      <c r="BB218" s="95">
        <f>IFERROR(AVERAGEIFS(RdTRABYVals!Q$2:Q$999,RdTRABYVals!$B$2:$B$999,"="&amp;$E218,RdTRABYVals!$C$2:$C$999,"="&amp;INS_EFF!$B218),"")</f>
        <v>0.62519225563357095</v>
      </c>
      <c r="BC218" s="95">
        <f>IFERROR(AVERAGEIFS(RdTRABYVals!R$2:R$999,RdTRABYVals!$B$2:$B$999,"="&amp;$E218,RdTRABYVals!$C$2:$C$999,"="&amp;INS_EFF!$B218),"")</f>
        <v>0.67343536932501602</v>
      </c>
      <c r="BD218" s="95">
        <f>IFERROR(AVERAGEIFS(RdTRABYVals!S$2:S$999,RdTRABYVals!$B$2:$B$999,"="&amp;$E218,RdTRABYVals!$C$2:$C$999,"="&amp;INS_EFF!$B218),"")</f>
        <v>0.63916072257318401</v>
      </c>
      <c r="BE218" s="95">
        <f>IFERROR(AVERAGEIFS(RdTRABYVals!T$2:T$999,RdTRABYVals!$B$2:$B$999,"="&amp;$E218,RdTRABYVals!$C$2:$C$999,"="&amp;INS_EFF!$B218),"")</f>
        <v>0.65855006849275399</v>
      </c>
      <c r="BF218" s="95">
        <f>IFERROR(AVERAGEIFS(RdTRABYVals!U$2:U$999,RdTRABYVals!$B$2:$B$999,"="&amp;$E218,RdTRABYVals!$C$2:$C$999,"="&amp;INS_EFF!$B218),"")</f>
        <v>0.68668376506741302</v>
      </c>
      <c r="BG218" s="95">
        <f>IFERROR(AVERAGEIFS(RdTRABYVals!V$2:V$999,RdTRABYVals!$B$2:$B$999,"="&amp;$E218,RdTRABYVals!$C$2:$C$999,"="&amp;INS_EFF!$B218),"")</f>
        <v>0.63182255673669196</v>
      </c>
      <c r="BH218" s="95">
        <f>IFERROR(AVERAGEIFS(RdTRABYVals!W$2:W$999,RdTRABYVals!$B$2:$B$999,"="&amp;$E218,RdTRABYVals!$C$2:$C$999,"="&amp;INS_EFF!$B218),"")</f>
        <v>0.66157845747139299</v>
      </c>
      <c r="BI218" s="95">
        <f>IFERROR(AVERAGEIFS(RdTRABYVals!X$2:X$999,RdTRABYVals!$B$2:$B$999,"="&amp;$E218,RdTRABYVals!$C$2:$C$999,"="&amp;INS_EFF!$B218),"")</f>
        <v>0.61177499726832396</v>
      </c>
      <c r="BJ218" s="95">
        <f>IFERROR(AVERAGEIFS(RdTRABYVals!Y$2:Y$999,RdTRABYVals!$B$2:$B$999,"="&amp;$E218,RdTRABYVals!$C$2:$C$999,"="&amp;INS_EFF!$B218),"")</f>
        <v>0.63929780923731505</v>
      </c>
      <c r="BK218" s="95">
        <f>IFERROR(AVERAGEIFS(RdTRABYVals!Z$2:Z$999,RdTRABYVals!$B$2:$B$999,"="&amp;$E218,RdTRABYVals!$C$2:$C$999,"="&amp;INS_EFF!$B218),"")</f>
        <v>0.664028999866633</v>
      </c>
      <c r="BL218" s="95">
        <f>IFERROR(AVERAGEIFS(RdTRABYVals!AA$2:AA$999,RdTRABYVals!$B$2:$B$999,"="&amp;$E218,RdTRABYVals!$C$2:$C$999,"="&amp;INS_EFF!$B218),"")</f>
        <v>0.62332167431113294</v>
      </c>
      <c r="BM218" s="95">
        <f>IFERROR(AVERAGEIFS(RdTRABYVals!AB$2:AB$999,RdTRABYVals!$B$2:$B$999,"="&amp;$E218,RdTRABYVals!$C$2:$C$999,"="&amp;INS_EFF!$B218),"")</f>
        <v>0.69449288880836701</v>
      </c>
      <c r="BN218" s="95">
        <f>IFERROR(AVERAGEIFS(RdTRABYVals!AC$2:AC$999,RdTRABYVals!$B$2:$B$999,"="&amp;$E218,RdTRABYVals!$C$2:$C$999,"="&amp;INS_EFF!$B218),"")</f>
        <v>0.58797955123031997</v>
      </c>
      <c r="BO218" s="95">
        <f>IFERROR(AVERAGEIFS(RdTRABYVals!AD$2:AD$999,RdTRABYVals!$B$2:$B$999,"="&amp;$E218,RdTRABYVals!$C$2:$C$999,"="&amp;INS_EFF!$B218),"")</f>
        <v>0.58938033841892101</v>
      </c>
      <c r="BP218" s="95">
        <f>IFERROR(AVERAGEIFS(RdTRABYVals!AE$2:AE$999,RdTRABYVals!$B$2:$B$999,"="&amp;$E218,RdTRABYVals!$C$2:$C$999,"="&amp;INS_EFF!$B218),"")</f>
        <v>0.70408081539127998</v>
      </c>
      <c r="BQ218" s="95">
        <f>IFERROR(AVERAGEIFS(RdTRABYVals!AF$2:AF$999,RdTRABYVals!$B$2:$B$999,"="&amp;$E218,RdTRABYVals!$C$2:$C$999,"="&amp;INS_EFF!$B218),"")</f>
        <v>0.62332167431113294</v>
      </c>
      <c r="BR218" s="95">
        <f>IFERROR(AVERAGEIFS(RdTRABYVals!AG$2:AG$999,RdTRABYVals!$B$2:$B$999,"="&amp;$E218,RdTRABYVals!$C$2:$C$999,"="&amp;INS_EFF!$B218),"")</f>
        <v>0.60559248221631101</v>
      </c>
      <c r="BS218" s="95">
        <f>IFERROR(AVERAGEIFS(RdTRABYVals!AH$2:AH$999,RdTRABYVals!$B$2:$B$999,"="&amp;$E218,RdTRABYVals!$C$2:$C$999,"="&amp;INS_EFF!$B218),"")</f>
        <v>0.60080446789406206</v>
      </c>
      <c r="BT218" s="95">
        <f>IFERROR(AVERAGEIFS(RdTRABYVals!AI$2:AI$999,RdTRABYVals!$B$2:$B$999,"="&amp;$E218,RdTRABYVals!$C$2:$C$999,"="&amp;INS_EFF!$B218),"")</f>
        <v>0.69047268099483095</v>
      </c>
      <c r="BU218" s="95">
        <f>IFERROR(AVERAGEIFS(RdTRABYVals!AJ$2:AJ$999,RdTRABYVals!$B$2:$B$999,"="&amp;$E218,RdTRABYVals!$C$2:$C$999,"="&amp;INS_EFF!$B218),"")</f>
        <v>0.66157845747139299</v>
      </c>
      <c r="BV218" s="95">
        <f>IFERROR(AVERAGEIFS(RdTRABYVals!AK$2:AK$999,RdTRABYVals!$B$2:$B$999,"="&amp;$E218,RdTRABYVals!$C$2:$C$999,"="&amp;INS_EFF!$B218),"")</f>
        <v>0.61913698461467603</v>
      </c>
      <c r="BW218" s="95">
        <f>IFERROR(AVERAGEIFS(RdTRABYVals!AL$2:AL$999,RdTRABYVals!$B$2:$B$999,"="&amp;$E218,RdTRABYVals!$C$2:$C$999,"="&amp;INS_EFF!$B218),"")</f>
        <v>0.663635556629942</v>
      </c>
      <c r="BX218" s="95">
        <f>IFERROR(AVERAGEIFS(RdTRABYVals!AM$2:AM$999,RdTRABYVals!$B$2:$B$999,"="&amp;$E218,RdTRABYVals!$C$2:$C$999,"="&amp;INS_EFF!$B218),"")</f>
        <v>0.55242465994008505</v>
      </c>
      <c r="BY218" s="95">
        <f>IFERROR(AVERAGEIFS(RdTRABYVals!AN$2:AN$999,RdTRABYVals!$B$2:$B$999,"="&amp;$E218,RdTRABYVals!$C$2:$C$999,"="&amp;INS_EFF!$B218),"")</f>
        <v>0.66809808446014296</v>
      </c>
      <c r="BZ218" s="95">
        <f>IFERROR(AVERAGEIFS(RdTRABYVals!AO$2:AO$999,RdTRABYVals!$B$2:$B$999,"="&amp;$E218,RdTRABYVals!$C$2:$C$999,"="&amp;INS_EFF!$B218),"")</f>
        <v>0.70023054498904502</v>
      </c>
      <c r="CA218" s="95">
        <f>IFERROR(AVERAGEIFS(RdTRABYVals!AP$2:AP$999,RdTRABYVals!$B$2:$B$999,"="&amp;$E218,RdTRABYVals!$C$2:$C$999,"="&amp;INS_EFF!$B218),"")</f>
        <v>0.54531145867043795</v>
      </c>
      <c r="CB218" s="95">
        <f>IFERROR(AVERAGEIFS(RdTRABYVals!AQ$2:AQ$999,RdTRABYVals!$B$2:$B$999,"="&amp;$E218,RdTRABYVals!$C$2:$C$999,"="&amp;INS_EFF!$B218),"")</f>
        <v>0.64459762948690702</v>
      </c>
      <c r="CC218" s="95">
        <f>IFERROR(AVERAGEIFS(RdTRABYVals!AR$2:AR$999,RdTRABYVals!$B$2:$B$999,"="&amp;$E218,RdTRABYVals!$C$2:$C$999,"="&amp;INS_EFF!$B218),"")</f>
        <v>0.62332167431113294</v>
      </c>
      <c r="CD218" s="95">
        <f>IFERROR(AVERAGEIFS(RdTRABYVals!AS$2:AS$999,RdTRABYVals!$B$2:$B$999,"="&amp;$E218,RdTRABYVals!$C$2:$C$999,"="&amp;INS_EFF!$B218),"")</f>
        <v>0.67951552245869196</v>
      </c>
      <c r="CE218" s="95">
        <f>IFERROR(AVERAGEIFS(RdTRABYVals!AT$2:AT$999,RdTRABYVals!$B$2:$B$999,"="&amp;$E218,RdTRABYVals!$C$2:$C$999,"="&amp;INS_EFF!$B218),"")</f>
        <v>0.62391660117547698</v>
      </c>
      <c r="CF218" s="95">
        <f>IFERROR(AVERAGEIFS(RdTRABYVals!AU$2:AU$999,RdTRABYVals!$B$2:$B$999,"="&amp;$E218,RdTRABYVals!$C$2:$C$999,"="&amp;INS_EFF!$B218),"")</f>
        <v>0.64926878656446996</v>
      </c>
      <c r="CG218" s="95">
        <f>IFERROR(AVERAGEIFS(RdTRABYVals!AV$2:AV$999,RdTRABYVals!$B$2:$B$999,"="&amp;$E218,RdTRABYVals!$C$2:$C$999,"="&amp;INS_EFF!$B218),"")</f>
        <v>0.68827141846571804</v>
      </c>
    </row>
    <row r="219" spans="2:85" ht="15">
      <c r="B219" s="25" t="s">
        <v>118</v>
      </c>
      <c r="C219" s="25"/>
      <c r="E219" s="18" t="s">
        <v>29</v>
      </c>
      <c r="F219" s="71"/>
      <c r="G219" t="s">
        <v>138</v>
      </c>
      <c r="I219" t="str">
        <f t="shared" si="6"/>
        <v>*0.261891891891892</v>
      </c>
      <c r="J219" t="str">
        <f t="shared" si="10" ref="J219:Y234">IF(AW219&lt;&gt;"","*"&amp;AW219,"")</f>
        <v>*0.23</v>
      </c>
      <c r="K219" t="str">
        <f t="shared" si="10"/>
        <v>*0.24</v>
      </c>
      <c r="L219" t="str">
        <f t="shared" si="10"/>
        <v>*0.28</v>
      </c>
      <c r="M219" t="str">
        <f t="shared" si="10"/>
        <v>*0.25</v>
      </c>
      <c r="N219" t="str">
        <f t="shared" si="10"/>
        <v>*0.22</v>
      </c>
      <c r="O219" t="str">
        <f t="shared" si="10"/>
        <v>*0.25</v>
      </c>
      <c r="P219" t="str">
        <f t="shared" si="10"/>
        <v>*0.24</v>
      </c>
      <c r="Q219" t="str">
        <f t="shared" si="10"/>
        <v>*0.27</v>
      </c>
      <c r="R219" t="str">
        <f t="shared" si="10"/>
        <v>*0.25</v>
      </c>
      <c r="S219" t="str">
        <f t="shared" si="10"/>
        <v>*0.29</v>
      </c>
      <c r="T219" t="str">
        <f t="shared" si="10"/>
        <v>*0.31</v>
      </c>
      <c r="U219" t="str">
        <f t="shared" si="10"/>
        <v>*0.23</v>
      </c>
      <c r="V219" t="str">
        <f t="shared" si="10"/>
        <v>*0.29</v>
      </c>
      <c r="W219" s="20" t="str">
        <f t="shared" si="10"/>
        <v>*0.26</v>
      </c>
      <c r="X219" t="str">
        <f t="shared" si="10"/>
        <v>*0.26</v>
      </c>
      <c r="Y219" t="str">
        <f t="shared" si="8"/>
        <v>*0.28</v>
      </c>
      <c r="Z219" t="str">
        <f t="shared" si="8"/>
        <v>*0.29</v>
      </c>
      <c r="AA219" t="str">
        <f t="shared" si="8"/>
        <v>*0.24</v>
      </c>
      <c r="AB219" t="str">
        <f t="shared" si="8"/>
        <v>*0.25</v>
      </c>
      <c r="AC219" t="str">
        <f t="shared" si="8"/>
        <v>*0.23</v>
      </c>
      <c r="AD219" t="str">
        <f t="shared" si="8"/>
        <v>*0.28</v>
      </c>
      <c r="AE219" t="str">
        <f t="shared" si="8"/>
        <v>*0.28</v>
      </c>
      <c r="AF219" t="str">
        <f t="shared" si="8"/>
        <v>*0.26</v>
      </c>
      <c r="AG219" t="str">
        <f t="shared" si="8"/>
        <v>*0.28</v>
      </c>
      <c r="AH219" t="str">
        <f t="shared" si="8"/>
        <v>*0.23</v>
      </c>
      <c r="AI219" t="str">
        <f t="shared" si="8"/>
        <v>*0.26</v>
      </c>
      <c r="AJ219" t="str">
        <f t="shared" si="8"/>
        <v>*0.28</v>
      </c>
      <c r="AK219" t="str">
        <f t="shared" si="8"/>
        <v>*0.25</v>
      </c>
      <c r="AL219" t="str">
        <f t="shared" si="8"/>
        <v>*0.27</v>
      </c>
      <c r="AM219" t="str">
        <f t="shared" si="11" ref="AM219:AN240">IF(BZ219&lt;&gt;"","*"&amp;BZ219,"")</f>
        <v>*0.28</v>
      </c>
      <c r="AN219" t="str">
        <f t="shared" si="11"/>
        <v>*0.27</v>
      </c>
      <c r="AO219" t="str">
        <f t="shared" si="9"/>
        <v>*0.21</v>
      </c>
      <c r="AP219" t="str">
        <f t="shared" si="9"/>
        <v>*0.28</v>
      </c>
      <c r="AQ219" t="str">
        <f t="shared" si="9"/>
        <v>*0.28</v>
      </c>
      <c r="AR219" t="str">
        <f t="shared" si="9"/>
        <v>*0.28</v>
      </c>
      <c r="AS219" t="str">
        <f t="shared" si="9"/>
        <v>*0.28</v>
      </c>
      <c r="AT219" t="str">
        <f t="shared" si="9"/>
        <v>*0.26</v>
      </c>
      <c r="AV219" s="95">
        <f t="shared" si="7"/>
        <v>0.26189189189189194</v>
      </c>
      <c r="AW219" s="95">
        <f>IFERROR(AVERAGEIFS(RdTRABYVals!L$2:L$999,RdTRABYVals!$B$2:$B$999,"="&amp;$E219,RdTRABYVals!$C$2:$C$999,"="&amp;INS_EFF!$B219),"")</f>
        <v>0.23000000000000001</v>
      </c>
      <c r="AX219" s="95">
        <f>IFERROR(AVERAGEIFS(RdTRABYVals!M$2:M$999,RdTRABYVals!$B$2:$B$999,"="&amp;$E219,RdTRABYVals!$C$2:$C$999,"="&amp;INS_EFF!$B219),"")</f>
        <v>0.23999999999999999</v>
      </c>
      <c r="AY219" s="95">
        <f>IFERROR(AVERAGEIFS(RdTRABYVals!N$2:N$999,RdTRABYVals!$B$2:$B$999,"="&amp;$E219,RdTRABYVals!$C$2:$C$999,"="&amp;INS_EFF!$B219),"")</f>
        <v>0.28000000000000003</v>
      </c>
      <c r="AZ219" s="95">
        <f>IFERROR(AVERAGEIFS(RdTRABYVals!O$2:O$999,RdTRABYVals!$B$2:$B$999,"="&amp;$E219,RdTRABYVals!$C$2:$C$999,"="&amp;INS_EFF!$B219),"")</f>
        <v>0.25</v>
      </c>
      <c r="BA219" s="95">
        <f>IFERROR(AVERAGEIFS(RdTRABYVals!P$2:P$999,RdTRABYVals!$B$2:$B$999,"="&amp;$E219,RdTRABYVals!$C$2:$C$999,"="&amp;INS_EFF!$B219),"")</f>
        <v>0.22</v>
      </c>
      <c r="BB219" s="95">
        <f>IFERROR(AVERAGEIFS(RdTRABYVals!Q$2:Q$999,RdTRABYVals!$B$2:$B$999,"="&amp;$E219,RdTRABYVals!$C$2:$C$999,"="&amp;INS_EFF!$B219),"")</f>
        <v>0.25</v>
      </c>
      <c r="BC219" s="95">
        <f>IFERROR(AVERAGEIFS(RdTRABYVals!R$2:R$999,RdTRABYVals!$B$2:$B$999,"="&amp;$E219,RdTRABYVals!$C$2:$C$999,"="&amp;INS_EFF!$B219),"")</f>
        <v>0.23999999999999999</v>
      </c>
      <c r="BD219" s="95">
        <f>IFERROR(AVERAGEIFS(RdTRABYVals!S$2:S$999,RdTRABYVals!$B$2:$B$999,"="&amp;$E219,RdTRABYVals!$C$2:$C$999,"="&amp;INS_EFF!$B219),"")</f>
        <v>0.27000000000000002</v>
      </c>
      <c r="BE219" s="95">
        <f>IFERROR(AVERAGEIFS(RdTRABYVals!T$2:T$999,RdTRABYVals!$B$2:$B$999,"="&amp;$E219,RdTRABYVals!$C$2:$C$999,"="&amp;INS_EFF!$B219),"")</f>
        <v>0.25</v>
      </c>
      <c r="BF219" s="95">
        <f>IFERROR(AVERAGEIFS(RdTRABYVals!U$2:U$999,RdTRABYVals!$B$2:$B$999,"="&amp;$E219,RdTRABYVals!$C$2:$C$999,"="&amp;INS_EFF!$B219),"")</f>
        <v>0.28999999999999998</v>
      </c>
      <c r="BG219" s="95">
        <f>IFERROR(AVERAGEIFS(RdTRABYVals!V$2:V$999,RdTRABYVals!$B$2:$B$999,"="&amp;$E219,RdTRABYVals!$C$2:$C$999,"="&amp;INS_EFF!$B219),"")</f>
        <v>0.31</v>
      </c>
      <c r="BH219" s="95">
        <f>IFERROR(AVERAGEIFS(RdTRABYVals!W$2:W$999,RdTRABYVals!$B$2:$B$999,"="&amp;$E219,RdTRABYVals!$C$2:$C$999,"="&amp;INS_EFF!$B219),"")</f>
        <v>0.23000000000000001</v>
      </c>
      <c r="BI219" s="95">
        <f>IFERROR(AVERAGEIFS(RdTRABYVals!X$2:X$999,RdTRABYVals!$B$2:$B$999,"="&amp;$E219,RdTRABYVals!$C$2:$C$999,"="&amp;INS_EFF!$B219),"")</f>
        <v>0.28999999999999998</v>
      </c>
      <c r="BJ219" s="95">
        <f>IFERROR(AVERAGEIFS(RdTRABYVals!Y$2:Y$999,RdTRABYVals!$B$2:$B$999,"="&amp;$E219,RdTRABYVals!$C$2:$C$999,"="&amp;INS_EFF!$B219),"")</f>
        <v>0.26000000000000001</v>
      </c>
      <c r="BK219" s="95">
        <f>IFERROR(AVERAGEIFS(RdTRABYVals!Z$2:Z$999,RdTRABYVals!$B$2:$B$999,"="&amp;$E219,RdTRABYVals!$C$2:$C$999,"="&amp;INS_EFF!$B219),"")</f>
        <v>0.26000000000000001</v>
      </c>
      <c r="BL219" s="95">
        <f>IFERROR(AVERAGEIFS(RdTRABYVals!AA$2:AA$999,RdTRABYVals!$B$2:$B$999,"="&amp;$E219,RdTRABYVals!$C$2:$C$999,"="&amp;INS_EFF!$B219),"")</f>
        <v>0.28000000000000003</v>
      </c>
      <c r="BM219" s="95">
        <f>IFERROR(AVERAGEIFS(RdTRABYVals!AB$2:AB$999,RdTRABYVals!$B$2:$B$999,"="&amp;$E219,RdTRABYVals!$C$2:$C$999,"="&amp;INS_EFF!$B219),"")</f>
        <v>0.28999999999999998</v>
      </c>
      <c r="BN219" s="95">
        <f>IFERROR(AVERAGEIFS(RdTRABYVals!AC$2:AC$999,RdTRABYVals!$B$2:$B$999,"="&amp;$E219,RdTRABYVals!$C$2:$C$999,"="&amp;INS_EFF!$B219),"")</f>
        <v>0.23999999999999999</v>
      </c>
      <c r="BO219" s="95">
        <f>IFERROR(AVERAGEIFS(RdTRABYVals!AD$2:AD$999,RdTRABYVals!$B$2:$B$999,"="&amp;$E219,RdTRABYVals!$C$2:$C$999,"="&amp;INS_EFF!$B219),"")</f>
        <v>0.25</v>
      </c>
      <c r="BP219" s="95">
        <f>IFERROR(AVERAGEIFS(RdTRABYVals!AE$2:AE$999,RdTRABYVals!$B$2:$B$999,"="&amp;$E219,RdTRABYVals!$C$2:$C$999,"="&amp;INS_EFF!$B219),"")</f>
        <v>0.23000000000000001</v>
      </c>
      <c r="BQ219" s="95">
        <f>IFERROR(AVERAGEIFS(RdTRABYVals!AF$2:AF$999,RdTRABYVals!$B$2:$B$999,"="&amp;$E219,RdTRABYVals!$C$2:$C$999,"="&amp;INS_EFF!$B219),"")</f>
        <v>0.28000000000000003</v>
      </c>
      <c r="BR219" s="95">
        <f>IFERROR(AVERAGEIFS(RdTRABYVals!AG$2:AG$999,RdTRABYVals!$B$2:$B$999,"="&amp;$E219,RdTRABYVals!$C$2:$C$999,"="&amp;INS_EFF!$B219),"")</f>
        <v>0.28000000000000003</v>
      </c>
      <c r="BS219" s="95">
        <f>IFERROR(AVERAGEIFS(RdTRABYVals!AH$2:AH$999,RdTRABYVals!$B$2:$B$999,"="&amp;$E219,RdTRABYVals!$C$2:$C$999,"="&amp;INS_EFF!$B219),"")</f>
        <v>0.26000000000000001</v>
      </c>
      <c r="BT219" s="95">
        <f>IFERROR(AVERAGEIFS(RdTRABYVals!AI$2:AI$999,RdTRABYVals!$B$2:$B$999,"="&amp;$E219,RdTRABYVals!$C$2:$C$999,"="&amp;INS_EFF!$B219),"")</f>
        <v>0.28000000000000003</v>
      </c>
      <c r="BU219" s="95">
        <f>IFERROR(AVERAGEIFS(RdTRABYVals!AJ$2:AJ$999,RdTRABYVals!$B$2:$B$999,"="&amp;$E219,RdTRABYVals!$C$2:$C$999,"="&amp;INS_EFF!$B219),"")</f>
        <v>0.23000000000000001</v>
      </c>
      <c r="BV219" s="95">
        <f>IFERROR(AVERAGEIFS(RdTRABYVals!AK$2:AK$999,RdTRABYVals!$B$2:$B$999,"="&amp;$E219,RdTRABYVals!$C$2:$C$999,"="&amp;INS_EFF!$B219),"")</f>
        <v>0.26000000000000001</v>
      </c>
      <c r="BW219" s="95">
        <f>IFERROR(AVERAGEIFS(RdTRABYVals!AL$2:AL$999,RdTRABYVals!$B$2:$B$999,"="&amp;$E219,RdTRABYVals!$C$2:$C$999,"="&amp;INS_EFF!$B219),"")</f>
        <v>0.28000000000000003</v>
      </c>
      <c r="BX219" s="95">
        <f>IFERROR(AVERAGEIFS(RdTRABYVals!AM$2:AM$999,RdTRABYVals!$B$2:$B$999,"="&amp;$E219,RdTRABYVals!$C$2:$C$999,"="&amp;INS_EFF!$B219),"")</f>
        <v>0.25</v>
      </c>
      <c r="BY219" s="95">
        <f>IFERROR(AVERAGEIFS(RdTRABYVals!AN$2:AN$999,RdTRABYVals!$B$2:$B$999,"="&amp;$E219,RdTRABYVals!$C$2:$C$999,"="&amp;INS_EFF!$B219),"")</f>
        <v>0.27000000000000002</v>
      </c>
      <c r="BZ219" s="95">
        <f>IFERROR(AVERAGEIFS(RdTRABYVals!AO$2:AO$999,RdTRABYVals!$B$2:$B$999,"="&amp;$E219,RdTRABYVals!$C$2:$C$999,"="&amp;INS_EFF!$B219),"")</f>
        <v>0.28000000000000003</v>
      </c>
      <c r="CA219" s="95">
        <f>IFERROR(AVERAGEIFS(RdTRABYVals!AP$2:AP$999,RdTRABYVals!$B$2:$B$999,"="&amp;$E219,RdTRABYVals!$C$2:$C$999,"="&amp;INS_EFF!$B219),"")</f>
        <v>0.27000000000000002</v>
      </c>
      <c r="CB219" s="95">
        <f>IFERROR(AVERAGEIFS(RdTRABYVals!AQ$2:AQ$999,RdTRABYVals!$B$2:$B$999,"="&amp;$E219,RdTRABYVals!$C$2:$C$999,"="&amp;INS_EFF!$B219),"")</f>
        <v>0.20999999999999999</v>
      </c>
      <c r="CC219" s="95">
        <f>IFERROR(AVERAGEIFS(RdTRABYVals!AR$2:AR$999,RdTRABYVals!$B$2:$B$999,"="&amp;$E219,RdTRABYVals!$C$2:$C$999,"="&amp;INS_EFF!$B219),"")</f>
        <v>0.28000000000000003</v>
      </c>
      <c r="CD219" s="95">
        <f>IFERROR(AVERAGEIFS(RdTRABYVals!AS$2:AS$999,RdTRABYVals!$B$2:$B$999,"="&amp;$E219,RdTRABYVals!$C$2:$C$999,"="&amp;INS_EFF!$B219),"")</f>
        <v>0.28000000000000003</v>
      </c>
      <c r="CE219" s="95">
        <f>IFERROR(AVERAGEIFS(RdTRABYVals!AT$2:AT$999,RdTRABYVals!$B$2:$B$999,"="&amp;$E219,RdTRABYVals!$C$2:$C$999,"="&amp;INS_EFF!$B219),"")</f>
        <v>0.28000000000000003</v>
      </c>
      <c r="CF219" s="95">
        <f>IFERROR(AVERAGEIFS(RdTRABYVals!AU$2:AU$999,RdTRABYVals!$B$2:$B$999,"="&amp;$E219,RdTRABYVals!$C$2:$C$999,"="&amp;INS_EFF!$B219),"")</f>
        <v>0.28000000000000003</v>
      </c>
      <c r="CG219" s="95">
        <f>IFERROR(AVERAGEIFS(RdTRABYVals!AV$2:AV$999,RdTRABYVals!$B$2:$B$999,"="&amp;$E219,RdTRABYVals!$C$2:$C$999,"="&amp;INS_EFF!$B219),"")</f>
        <v>0.26000000000000001</v>
      </c>
    </row>
    <row r="220" spans="2:85" ht="15">
      <c r="B220" s="24" t="s">
        <v>119</v>
      </c>
      <c r="C220" s="24"/>
      <c r="E220" s="18" t="s">
        <v>29</v>
      </c>
      <c r="F220" s="71"/>
      <c r="G220" t="s">
        <v>139</v>
      </c>
      <c r="I220" t="str">
        <f t="shared" si="12" ref="I220:X240">IF(AV220&lt;&gt;"","*"&amp;AV220,"")</f>
        <v>*0.43027027027027</v>
      </c>
      <c r="J220" t="str">
        <f t="shared" si="10"/>
        <v>*0.4</v>
      </c>
      <c r="K220" t="str">
        <f t="shared" si="10"/>
        <v>*0.44</v>
      </c>
      <c r="L220" t="str">
        <f t="shared" si="10"/>
        <v>*0.43</v>
      </c>
      <c r="M220" t="str">
        <f t="shared" si="10"/>
        <v>*0.42</v>
      </c>
      <c r="N220" t="str">
        <f t="shared" si="10"/>
        <v>*0.38</v>
      </c>
      <c r="O220" t="str">
        <f t="shared" si="10"/>
        <v>*0.42</v>
      </c>
      <c r="P220" t="str">
        <f t="shared" si="10"/>
        <v>*0.4</v>
      </c>
      <c r="Q220" t="str">
        <f t="shared" si="10"/>
        <v>*0.43</v>
      </c>
      <c r="R220" t="str">
        <f t="shared" si="10"/>
        <v>*0.43</v>
      </c>
      <c r="S220" t="str">
        <f t="shared" si="10"/>
        <v>*0.45</v>
      </c>
      <c r="T220" t="str">
        <f t="shared" si="10"/>
        <v>*0.46</v>
      </c>
      <c r="U220" t="str">
        <f t="shared" si="10"/>
        <v>*0.4</v>
      </c>
      <c r="V220" t="str">
        <f t="shared" si="10"/>
        <v>*0.44</v>
      </c>
      <c r="W220" s="20" t="str">
        <f t="shared" si="10"/>
        <v>*0.42</v>
      </c>
      <c r="X220" t="str">
        <f t="shared" si="10"/>
        <v>*0.46</v>
      </c>
      <c r="Y220" t="str">
        <f t="shared" si="10"/>
        <v>*0.43</v>
      </c>
      <c r="Z220" t="str">
        <f t="shared" si="13" ref="Z220:AL239">IF(BM220&lt;&gt;"","*"&amp;BM220,"")</f>
        <v>*0.46</v>
      </c>
      <c r="AA220" t="str">
        <f t="shared" si="13"/>
        <v>*0.44</v>
      </c>
      <c r="AB220" t="str">
        <f t="shared" si="13"/>
        <v>*0.42</v>
      </c>
      <c r="AC220" t="str">
        <f t="shared" si="13"/>
        <v>*0.44</v>
      </c>
      <c r="AD220" t="str">
        <f t="shared" si="13"/>
        <v>*0.43</v>
      </c>
      <c r="AE220" t="str">
        <f t="shared" si="13"/>
        <v>*0.44</v>
      </c>
      <c r="AF220" t="str">
        <f t="shared" si="13"/>
        <v>*0.43</v>
      </c>
      <c r="AG220" t="str">
        <f t="shared" si="13"/>
        <v>*0.45</v>
      </c>
      <c r="AH220" t="str">
        <f t="shared" si="13"/>
        <v>*0.4</v>
      </c>
      <c r="AI220" t="str">
        <f t="shared" si="13"/>
        <v>*0.43</v>
      </c>
      <c r="AJ220" t="str">
        <f t="shared" si="13"/>
        <v>*0.44</v>
      </c>
      <c r="AK220" t="str">
        <f t="shared" si="13"/>
        <v>*0.4</v>
      </c>
      <c r="AL220" t="str">
        <f t="shared" si="13"/>
        <v>*0.42</v>
      </c>
      <c r="AM220" t="str">
        <f t="shared" si="11"/>
        <v>*0.43</v>
      </c>
      <c r="AN220" t="str">
        <f t="shared" si="11"/>
        <v>*0.45</v>
      </c>
      <c r="AO220" t="str">
        <f t="shared" si="9"/>
        <v>*0.39</v>
      </c>
      <c r="AP220" t="str">
        <f t="shared" si="9"/>
        <v>*0.43</v>
      </c>
      <c r="AQ220" t="str">
        <f t="shared" si="9"/>
        <v>*0.46</v>
      </c>
      <c r="AR220" t="str">
        <f t="shared" si="9"/>
        <v>*0.44</v>
      </c>
      <c r="AS220" t="str">
        <f t="shared" si="9"/>
        <v>*0.45</v>
      </c>
      <c r="AT220" t="str">
        <f t="shared" si="9"/>
        <v>*0.46</v>
      </c>
      <c r="AV220" s="95">
        <f t="shared" si="7"/>
        <v>0.43027027027027026</v>
      </c>
      <c r="AW220" s="95">
        <f>IFERROR(AVERAGEIFS(RdTRABYVals!L$2:L$999,RdTRABYVals!$B$2:$B$999,"="&amp;$E220,RdTRABYVals!$C$2:$C$999,"="&amp;INS_EFF!$B220),"")</f>
        <v>0.40000000000000002</v>
      </c>
      <c r="AX220" s="95">
        <f>IFERROR(AVERAGEIFS(RdTRABYVals!M$2:M$999,RdTRABYVals!$B$2:$B$999,"="&amp;$E220,RdTRABYVals!$C$2:$C$999,"="&amp;INS_EFF!$B220),"")</f>
        <v>0.44</v>
      </c>
      <c r="AY220" s="95">
        <f>IFERROR(AVERAGEIFS(RdTRABYVals!N$2:N$999,RdTRABYVals!$B$2:$B$999,"="&amp;$E220,RdTRABYVals!$C$2:$C$999,"="&amp;INS_EFF!$B220),"")</f>
        <v>0.42999999999999999</v>
      </c>
      <c r="AZ220" s="95">
        <f>IFERROR(AVERAGEIFS(RdTRABYVals!O$2:O$999,RdTRABYVals!$B$2:$B$999,"="&amp;$E220,RdTRABYVals!$C$2:$C$999,"="&amp;INS_EFF!$B220),"")</f>
        <v>0.41999999999999998</v>
      </c>
      <c r="BA220" s="95">
        <f>IFERROR(AVERAGEIFS(RdTRABYVals!P$2:P$999,RdTRABYVals!$B$2:$B$999,"="&amp;$E220,RdTRABYVals!$C$2:$C$999,"="&amp;INS_EFF!$B220),"")</f>
        <v>0.38</v>
      </c>
      <c r="BB220" s="95">
        <f>IFERROR(AVERAGEIFS(RdTRABYVals!Q$2:Q$999,RdTRABYVals!$B$2:$B$999,"="&amp;$E220,RdTRABYVals!$C$2:$C$999,"="&amp;INS_EFF!$B220),"")</f>
        <v>0.41999999999999998</v>
      </c>
      <c r="BC220" s="95">
        <f>IFERROR(AVERAGEIFS(RdTRABYVals!R$2:R$999,RdTRABYVals!$B$2:$B$999,"="&amp;$E220,RdTRABYVals!$C$2:$C$999,"="&amp;INS_EFF!$B220),"")</f>
        <v>0.40000000000000002</v>
      </c>
      <c r="BD220" s="95">
        <f>IFERROR(AVERAGEIFS(RdTRABYVals!S$2:S$999,RdTRABYVals!$B$2:$B$999,"="&amp;$E220,RdTRABYVals!$C$2:$C$999,"="&amp;INS_EFF!$B220),"")</f>
        <v>0.42999999999999999</v>
      </c>
      <c r="BE220" s="95">
        <f>IFERROR(AVERAGEIFS(RdTRABYVals!T$2:T$999,RdTRABYVals!$B$2:$B$999,"="&amp;$E220,RdTRABYVals!$C$2:$C$999,"="&amp;INS_EFF!$B220),"")</f>
        <v>0.42999999999999999</v>
      </c>
      <c r="BF220" s="95">
        <f>IFERROR(AVERAGEIFS(RdTRABYVals!U$2:U$999,RdTRABYVals!$B$2:$B$999,"="&amp;$E220,RdTRABYVals!$C$2:$C$999,"="&amp;INS_EFF!$B220),"")</f>
        <v>0.45000000000000001</v>
      </c>
      <c r="BG220" s="95">
        <f>IFERROR(AVERAGEIFS(RdTRABYVals!V$2:V$999,RdTRABYVals!$B$2:$B$999,"="&amp;$E220,RdTRABYVals!$C$2:$C$999,"="&amp;INS_EFF!$B220),"")</f>
        <v>0.46000000000000002</v>
      </c>
      <c r="BH220" s="95">
        <f>IFERROR(AVERAGEIFS(RdTRABYVals!W$2:W$999,RdTRABYVals!$B$2:$B$999,"="&amp;$E220,RdTRABYVals!$C$2:$C$999,"="&amp;INS_EFF!$B220),"")</f>
        <v>0.40000000000000002</v>
      </c>
      <c r="BI220" s="95">
        <f>IFERROR(AVERAGEIFS(RdTRABYVals!X$2:X$999,RdTRABYVals!$B$2:$B$999,"="&amp;$E220,RdTRABYVals!$C$2:$C$999,"="&amp;INS_EFF!$B220),"")</f>
        <v>0.44</v>
      </c>
      <c r="BJ220" s="95">
        <f>IFERROR(AVERAGEIFS(RdTRABYVals!Y$2:Y$999,RdTRABYVals!$B$2:$B$999,"="&amp;$E220,RdTRABYVals!$C$2:$C$999,"="&amp;INS_EFF!$B220),"")</f>
        <v>0.41999999999999998</v>
      </c>
      <c r="BK220" s="95">
        <f>IFERROR(AVERAGEIFS(RdTRABYVals!Z$2:Z$999,RdTRABYVals!$B$2:$B$999,"="&amp;$E220,RdTRABYVals!$C$2:$C$999,"="&amp;INS_EFF!$B220),"")</f>
        <v>0.46000000000000002</v>
      </c>
      <c r="BL220" s="95">
        <f>IFERROR(AVERAGEIFS(RdTRABYVals!AA$2:AA$999,RdTRABYVals!$B$2:$B$999,"="&amp;$E220,RdTRABYVals!$C$2:$C$999,"="&amp;INS_EFF!$B220),"")</f>
        <v>0.42999999999999999</v>
      </c>
      <c r="BM220" s="95">
        <f>IFERROR(AVERAGEIFS(RdTRABYVals!AB$2:AB$999,RdTRABYVals!$B$2:$B$999,"="&amp;$E220,RdTRABYVals!$C$2:$C$999,"="&amp;INS_EFF!$B220),"")</f>
        <v>0.46000000000000002</v>
      </c>
      <c r="BN220" s="95">
        <f>IFERROR(AVERAGEIFS(RdTRABYVals!AC$2:AC$999,RdTRABYVals!$B$2:$B$999,"="&amp;$E220,RdTRABYVals!$C$2:$C$999,"="&amp;INS_EFF!$B220),"")</f>
        <v>0.44</v>
      </c>
      <c r="BO220" s="95">
        <f>IFERROR(AVERAGEIFS(RdTRABYVals!AD$2:AD$999,RdTRABYVals!$B$2:$B$999,"="&amp;$E220,RdTRABYVals!$C$2:$C$999,"="&amp;INS_EFF!$B220),"")</f>
        <v>0.41999999999999998</v>
      </c>
      <c r="BP220" s="95">
        <f>IFERROR(AVERAGEIFS(RdTRABYVals!AE$2:AE$999,RdTRABYVals!$B$2:$B$999,"="&amp;$E220,RdTRABYVals!$C$2:$C$999,"="&amp;INS_EFF!$B220),"")</f>
        <v>0.44</v>
      </c>
      <c r="BQ220" s="95">
        <f>IFERROR(AVERAGEIFS(RdTRABYVals!AF$2:AF$999,RdTRABYVals!$B$2:$B$999,"="&amp;$E220,RdTRABYVals!$C$2:$C$999,"="&amp;INS_EFF!$B220),"")</f>
        <v>0.42999999999999999</v>
      </c>
      <c r="BR220" s="95">
        <f>IFERROR(AVERAGEIFS(RdTRABYVals!AG$2:AG$999,RdTRABYVals!$B$2:$B$999,"="&amp;$E220,RdTRABYVals!$C$2:$C$999,"="&amp;INS_EFF!$B220),"")</f>
        <v>0.44</v>
      </c>
      <c r="BS220" s="95">
        <f>IFERROR(AVERAGEIFS(RdTRABYVals!AH$2:AH$999,RdTRABYVals!$B$2:$B$999,"="&amp;$E220,RdTRABYVals!$C$2:$C$999,"="&amp;INS_EFF!$B220),"")</f>
        <v>0.42999999999999999</v>
      </c>
      <c r="BT220" s="95">
        <f>IFERROR(AVERAGEIFS(RdTRABYVals!AI$2:AI$999,RdTRABYVals!$B$2:$B$999,"="&amp;$E220,RdTRABYVals!$C$2:$C$999,"="&amp;INS_EFF!$B220),"")</f>
        <v>0.45000000000000001</v>
      </c>
      <c r="BU220" s="95">
        <f>IFERROR(AVERAGEIFS(RdTRABYVals!AJ$2:AJ$999,RdTRABYVals!$B$2:$B$999,"="&amp;$E220,RdTRABYVals!$C$2:$C$999,"="&amp;INS_EFF!$B220),"")</f>
        <v>0.40000000000000002</v>
      </c>
      <c r="BV220" s="95">
        <f>IFERROR(AVERAGEIFS(RdTRABYVals!AK$2:AK$999,RdTRABYVals!$B$2:$B$999,"="&amp;$E220,RdTRABYVals!$C$2:$C$999,"="&amp;INS_EFF!$B220),"")</f>
        <v>0.42999999999999999</v>
      </c>
      <c r="BW220" s="95">
        <f>IFERROR(AVERAGEIFS(RdTRABYVals!AL$2:AL$999,RdTRABYVals!$B$2:$B$999,"="&amp;$E220,RdTRABYVals!$C$2:$C$999,"="&amp;INS_EFF!$B220),"")</f>
        <v>0.44</v>
      </c>
      <c r="BX220" s="95">
        <f>IFERROR(AVERAGEIFS(RdTRABYVals!AM$2:AM$999,RdTRABYVals!$B$2:$B$999,"="&amp;$E220,RdTRABYVals!$C$2:$C$999,"="&amp;INS_EFF!$B220),"")</f>
        <v>0.40000000000000002</v>
      </c>
      <c r="BY220" s="95">
        <f>IFERROR(AVERAGEIFS(RdTRABYVals!AN$2:AN$999,RdTRABYVals!$B$2:$B$999,"="&amp;$E220,RdTRABYVals!$C$2:$C$999,"="&amp;INS_EFF!$B220),"")</f>
        <v>0.41999999999999998</v>
      </c>
      <c r="BZ220" s="95">
        <f>IFERROR(AVERAGEIFS(RdTRABYVals!AO$2:AO$999,RdTRABYVals!$B$2:$B$999,"="&amp;$E220,RdTRABYVals!$C$2:$C$999,"="&amp;INS_EFF!$B220),"")</f>
        <v>0.42999999999999999</v>
      </c>
      <c r="CA220" s="95">
        <f>IFERROR(AVERAGEIFS(RdTRABYVals!AP$2:AP$999,RdTRABYVals!$B$2:$B$999,"="&amp;$E220,RdTRABYVals!$C$2:$C$999,"="&amp;INS_EFF!$B220),"")</f>
        <v>0.45000000000000001</v>
      </c>
      <c r="CB220" s="95">
        <f>IFERROR(AVERAGEIFS(RdTRABYVals!AQ$2:AQ$999,RdTRABYVals!$B$2:$B$999,"="&amp;$E220,RdTRABYVals!$C$2:$C$999,"="&amp;INS_EFF!$B220),"")</f>
        <v>0.39000000000000001</v>
      </c>
      <c r="CC220" s="95">
        <f>IFERROR(AVERAGEIFS(RdTRABYVals!AR$2:AR$999,RdTRABYVals!$B$2:$B$999,"="&amp;$E220,RdTRABYVals!$C$2:$C$999,"="&amp;INS_EFF!$B220),"")</f>
        <v>0.42999999999999999</v>
      </c>
      <c r="CD220" s="95">
        <f>IFERROR(AVERAGEIFS(RdTRABYVals!AS$2:AS$999,RdTRABYVals!$B$2:$B$999,"="&amp;$E220,RdTRABYVals!$C$2:$C$999,"="&amp;INS_EFF!$B220),"")</f>
        <v>0.46000000000000002</v>
      </c>
      <c r="CE220" s="95">
        <f>IFERROR(AVERAGEIFS(RdTRABYVals!AT$2:AT$999,RdTRABYVals!$B$2:$B$999,"="&amp;$E220,RdTRABYVals!$C$2:$C$999,"="&amp;INS_EFF!$B220),"")</f>
        <v>0.44</v>
      </c>
      <c r="CF220" s="95">
        <f>IFERROR(AVERAGEIFS(RdTRABYVals!AU$2:AU$999,RdTRABYVals!$B$2:$B$999,"="&amp;$E220,RdTRABYVals!$C$2:$C$999,"="&amp;INS_EFF!$B220),"")</f>
        <v>0.45000000000000001</v>
      </c>
      <c r="CG220" s="95">
        <f>IFERROR(AVERAGEIFS(RdTRABYVals!AV$2:AV$999,RdTRABYVals!$B$2:$B$999,"="&amp;$E220,RdTRABYVals!$C$2:$C$999,"="&amp;INS_EFF!$B220),"")</f>
        <v>0.46000000000000002</v>
      </c>
    </row>
    <row r="221" spans="2:85" ht="15">
      <c r="B221" s="24" t="s">
        <v>120</v>
      </c>
      <c r="C221" s="24"/>
      <c r="E221" s="18" t="s">
        <v>29</v>
      </c>
      <c r="F221" s="71"/>
      <c r="G221" t="s">
        <v>140</v>
      </c>
      <c r="I221" t="str">
        <f t="shared" si="12"/>
        <v>*0.442702702702703</v>
      </c>
      <c r="J221" t="str">
        <f t="shared" si="10"/>
        <v>*0.41</v>
      </c>
      <c r="K221" t="str">
        <f t="shared" si="10"/>
        <v>*0.45</v>
      </c>
      <c r="L221" t="str">
        <f t="shared" si="10"/>
        <v>*0.44</v>
      </c>
      <c r="M221" t="str">
        <f t="shared" si="10"/>
        <v>*0.43</v>
      </c>
      <c r="N221" t="str">
        <f t="shared" si="10"/>
        <v>*0.38</v>
      </c>
      <c r="O221" t="str">
        <f t="shared" si="10"/>
        <v>*0.44</v>
      </c>
      <c r="P221" t="str">
        <f t="shared" si="10"/>
        <v>*0.41</v>
      </c>
      <c r="Q221" t="str">
        <f t="shared" si="10"/>
        <v>*0.44</v>
      </c>
      <c r="R221" t="str">
        <f t="shared" si="10"/>
        <v>*0.44</v>
      </c>
      <c r="S221" t="str">
        <f t="shared" si="10"/>
        <v>*0.49</v>
      </c>
      <c r="T221" t="str">
        <f t="shared" si="10"/>
        <v>*0.47</v>
      </c>
      <c r="U221" t="str">
        <f t="shared" si="10"/>
        <v>*0.41</v>
      </c>
      <c r="V221" t="str">
        <f t="shared" si="10"/>
        <v>*0.45</v>
      </c>
      <c r="W221" s="20" t="str">
        <f t="shared" si="10"/>
        <v>*0.43</v>
      </c>
      <c r="X221" t="str">
        <f t="shared" si="10"/>
        <v>*0.47</v>
      </c>
      <c r="Y221" t="str">
        <f t="shared" si="10"/>
        <v>*0.44</v>
      </c>
      <c r="Z221" t="str">
        <f t="shared" si="13"/>
        <v>*0.46</v>
      </c>
      <c r="AA221" t="str">
        <f t="shared" si="13"/>
        <v>*0.46</v>
      </c>
      <c r="AB221" t="str">
        <f t="shared" si="13"/>
        <v>*0.45</v>
      </c>
      <c r="AC221" t="str">
        <f t="shared" si="13"/>
        <v>*0.45</v>
      </c>
      <c r="AD221" t="str">
        <f t="shared" si="13"/>
        <v>*0.44</v>
      </c>
      <c r="AE221" t="str">
        <f t="shared" si="13"/>
        <v>*0.44</v>
      </c>
      <c r="AF221" t="str">
        <f t="shared" si="13"/>
        <v>*0.48</v>
      </c>
      <c r="AG221" t="str">
        <f t="shared" si="13"/>
        <v>*0.45</v>
      </c>
      <c r="AH221" t="str">
        <f t="shared" si="13"/>
        <v>*0.41</v>
      </c>
      <c r="AI221" t="str">
        <f t="shared" si="13"/>
        <v>*0.44</v>
      </c>
      <c r="AJ221" t="str">
        <f t="shared" si="13"/>
        <v>*0.46</v>
      </c>
      <c r="AK221" t="str">
        <f t="shared" si="13"/>
        <v>*0.43</v>
      </c>
      <c r="AL221" t="str">
        <f t="shared" si="13"/>
        <v>*0.42</v>
      </c>
      <c r="AM221" t="str">
        <f t="shared" si="11"/>
        <v>*0.43</v>
      </c>
      <c r="AN221" t="str">
        <f t="shared" si="11"/>
        <v>*0.47</v>
      </c>
      <c r="AO221" t="str">
        <f t="shared" si="9"/>
        <v>*0.39</v>
      </c>
      <c r="AP221" t="str">
        <f t="shared" si="9"/>
        <v>*0.44</v>
      </c>
      <c r="AQ221" t="str">
        <f t="shared" si="9"/>
        <v>*0.48</v>
      </c>
      <c r="AR221" t="str">
        <f t="shared" si="9"/>
        <v>*0.44</v>
      </c>
      <c r="AS221" t="str">
        <f t="shared" si="9"/>
        <v>*0.46</v>
      </c>
      <c r="AT221" t="str">
        <f t="shared" si="9"/>
        <v>*0.48</v>
      </c>
      <c r="AV221" s="95">
        <f t="shared" si="7"/>
        <v>0.44270270270270262</v>
      </c>
      <c r="AW221" s="95">
        <f>IFERROR(AVERAGEIFS(RdTRABYVals!L$2:L$999,RdTRABYVals!$B$2:$B$999,"="&amp;$E221,RdTRABYVals!$C$2:$C$999,"="&amp;INS_EFF!$B221),"")</f>
        <v>0.40999999999999998</v>
      </c>
      <c r="AX221" s="95">
        <f>IFERROR(AVERAGEIFS(RdTRABYVals!M$2:M$999,RdTRABYVals!$B$2:$B$999,"="&amp;$E221,RdTRABYVals!$C$2:$C$999,"="&amp;INS_EFF!$B221),"")</f>
        <v>0.45000000000000001</v>
      </c>
      <c r="AY221" s="95">
        <f>IFERROR(AVERAGEIFS(RdTRABYVals!N$2:N$999,RdTRABYVals!$B$2:$B$999,"="&amp;$E221,RdTRABYVals!$C$2:$C$999,"="&amp;INS_EFF!$B221),"")</f>
        <v>0.44</v>
      </c>
      <c r="AZ221" s="95">
        <f>IFERROR(AVERAGEIFS(RdTRABYVals!O$2:O$999,RdTRABYVals!$B$2:$B$999,"="&amp;$E221,RdTRABYVals!$C$2:$C$999,"="&amp;INS_EFF!$B221),"")</f>
        <v>0.42999999999999999</v>
      </c>
      <c r="BA221" s="95">
        <f>IFERROR(AVERAGEIFS(RdTRABYVals!P$2:P$999,RdTRABYVals!$B$2:$B$999,"="&amp;$E221,RdTRABYVals!$C$2:$C$999,"="&amp;INS_EFF!$B221),"")</f>
        <v>0.38</v>
      </c>
      <c r="BB221" s="95">
        <f>IFERROR(AVERAGEIFS(RdTRABYVals!Q$2:Q$999,RdTRABYVals!$B$2:$B$999,"="&amp;$E221,RdTRABYVals!$C$2:$C$999,"="&amp;INS_EFF!$B221),"")</f>
        <v>0.44</v>
      </c>
      <c r="BC221" s="95">
        <f>IFERROR(AVERAGEIFS(RdTRABYVals!R$2:R$999,RdTRABYVals!$B$2:$B$999,"="&amp;$E221,RdTRABYVals!$C$2:$C$999,"="&amp;INS_EFF!$B221),"")</f>
        <v>0.40999999999999998</v>
      </c>
      <c r="BD221" s="95">
        <f>IFERROR(AVERAGEIFS(RdTRABYVals!S$2:S$999,RdTRABYVals!$B$2:$B$999,"="&amp;$E221,RdTRABYVals!$C$2:$C$999,"="&amp;INS_EFF!$B221),"")</f>
        <v>0.44</v>
      </c>
      <c r="BE221" s="95">
        <f>IFERROR(AVERAGEIFS(RdTRABYVals!T$2:T$999,RdTRABYVals!$B$2:$B$999,"="&amp;$E221,RdTRABYVals!$C$2:$C$999,"="&amp;INS_EFF!$B221),"")</f>
        <v>0.44</v>
      </c>
      <c r="BF221" s="95">
        <f>IFERROR(AVERAGEIFS(RdTRABYVals!U$2:U$999,RdTRABYVals!$B$2:$B$999,"="&amp;$E221,RdTRABYVals!$C$2:$C$999,"="&amp;INS_EFF!$B221),"")</f>
        <v>0.48999999999999999</v>
      </c>
      <c r="BG221" s="95">
        <f>IFERROR(AVERAGEIFS(RdTRABYVals!V$2:V$999,RdTRABYVals!$B$2:$B$999,"="&amp;$E221,RdTRABYVals!$C$2:$C$999,"="&amp;INS_EFF!$B221),"")</f>
        <v>0.46999999999999997</v>
      </c>
      <c r="BH221" s="95">
        <f>IFERROR(AVERAGEIFS(RdTRABYVals!W$2:W$999,RdTRABYVals!$B$2:$B$999,"="&amp;$E221,RdTRABYVals!$C$2:$C$999,"="&amp;INS_EFF!$B221),"")</f>
        <v>0.40999999999999998</v>
      </c>
      <c r="BI221" s="95">
        <f>IFERROR(AVERAGEIFS(RdTRABYVals!X$2:X$999,RdTRABYVals!$B$2:$B$999,"="&amp;$E221,RdTRABYVals!$C$2:$C$999,"="&amp;INS_EFF!$B221),"")</f>
        <v>0.45000000000000001</v>
      </c>
      <c r="BJ221" s="95">
        <f>IFERROR(AVERAGEIFS(RdTRABYVals!Y$2:Y$999,RdTRABYVals!$B$2:$B$999,"="&amp;$E221,RdTRABYVals!$C$2:$C$999,"="&amp;INS_EFF!$B221),"")</f>
        <v>0.42999999999999999</v>
      </c>
      <c r="BK221" s="95">
        <f>IFERROR(AVERAGEIFS(RdTRABYVals!Z$2:Z$999,RdTRABYVals!$B$2:$B$999,"="&amp;$E221,RdTRABYVals!$C$2:$C$999,"="&amp;INS_EFF!$B221),"")</f>
        <v>0.46999999999999997</v>
      </c>
      <c r="BL221" s="95">
        <f>IFERROR(AVERAGEIFS(RdTRABYVals!AA$2:AA$999,RdTRABYVals!$B$2:$B$999,"="&amp;$E221,RdTRABYVals!$C$2:$C$999,"="&amp;INS_EFF!$B221),"")</f>
        <v>0.44</v>
      </c>
      <c r="BM221" s="95">
        <f>IFERROR(AVERAGEIFS(RdTRABYVals!AB$2:AB$999,RdTRABYVals!$B$2:$B$999,"="&amp;$E221,RdTRABYVals!$C$2:$C$999,"="&amp;INS_EFF!$B221),"")</f>
        <v>0.46000000000000002</v>
      </c>
      <c r="BN221" s="95">
        <f>IFERROR(AVERAGEIFS(RdTRABYVals!AC$2:AC$999,RdTRABYVals!$B$2:$B$999,"="&amp;$E221,RdTRABYVals!$C$2:$C$999,"="&amp;INS_EFF!$B221),"")</f>
        <v>0.46000000000000002</v>
      </c>
      <c r="BO221" s="95">
        <f>IFERROR(AVERAGEIFS(RdTRABYVals!AD$2:AD$999,RdTRABYVals!$B$2:$B$999,"="&amp;$E221,RdTRABYVals!$C$2:$C$999,"="&amp;INS_EFF!$B221),"")</f>
        <v>0.45000000000000001</v>
      </c>
      <c r="BP221" s="95">
        <f>IFERROR(AVERAGEIFS(RdTRABYVals!AE$2:AE$999,RdTRABYVals!$B$2:$B$999,"="&amp;$E221,RdTRABYVals!$C$2:$C$999,"="&amp;INS_EFF!$B221),"")</f>
        <v>0.45000000000000001</v>
      </c>
      <c r="BQ221" s="95">
        <f>IFERROR(AVERAGEIFS(RdTRABYVals!AF$2:AF$999,RdTRABYVals!$B$2:$B$999,"="&amp;$E221,RdTRABYVals!$C$2:$C$999,"="&amp;INS_EFF!$B221),"")</f>
        <v>0.44</v>
      </c>
      <c r="BR221" s="95">
        <f>IFERROR(AVERAGEIFS(RdTRABYVals!AG$2:AG$999,RdTRABYVals!$B$2:$B$999,"="&amp;$E221,RdTRABYVals!$C$2:$C$999,"="&amp;INS_EFF!$B221),"")</f>
        <v>0.44</v>
      </c>
      <c r="BS221" s="95">
        <f>IFERROR(AVERAGEIFS(RdTRABYVals!AH$2:AH$999,RdTRABYVals!$B$2:$B$999,"="&amp;$E221,RdTRABYVals!$C$2:$C$999,"="&amp;INS_EFF!$B221),"")</f>
        <v>0.47999999999999998</v>
      </c>
      <c r="BT221" s="95">
        <f>IFERROR(AVERAGEIFS(RdTRABYVals!AI$2:AI$999,RdTRABYVals!$B$2:$B$999,"="&amp;$E221,RdTRABYVals!$C$2:$C$999,"="&amp;INS_EFF!$B221),"")</f>
        <v>0.45000000000000001</v>
      </c>
      <c r="BU221" s="95">
        <f>IFERROR(AVERAGEIFS(RdTRABYVals!AJ$2:AJ$999,RdTRABYVals!$B$2:$B$999,"="&amp;$E221,RdTRABYVals!$C$2:$C$999,"="&amp;INS_EFF!$B221),"")</f>
        <v>0.40999999999999998</v>
      </c>
      <c r="BV221" s="95">
        <f>IFERROR(AVERAGEIFS(RdTRABYVals!AK$2:AK$999,RdTRABYVals!$B$2:$B$999,"="&amp;$E221,RdTRABYVals!$C$2:$C$999,"="&amp;INS_EFF!$B221),"")</f>
        <v>0.44</v>
      </c>
      <c r="BW221" s="95">
        <f>IFERROR(AVERAGEIFS(RdTRABYVals!AL$2:AL$999,RdTRABYVals!$B$2:$B$999,"="&amp;$E221,RdTRABYVals!$C$2:$C$999,"="&amp;INS_EFF!$B221),"")</f>
        <v>0.46000000000000002</v>
      </c>
      <c r="BX221" s="95">
        <f>IFERROR(AVERAGEIFS(RdTRABYVals!AM$2:AM$999,RdTRABYVals!$B$2:$B$999,"="&amp;$E221,RdTRABYVals!$C$2:$C$999,"="&amp;INS_EFF!$B221),"")</f>
        <v>0.42999999999999999</v>
      </c>
      <c r="BY221" s="95">
        <f>IFERROR(AVERAGEIFS(RdTRABYVals!AN$2:AN$999,RdTRABYVals!$B$2:$B$999,"="&amp;$E221,RdTRABYVals!$C$2:$C$999,"="&amp;INS_EFF!$B221),"")</f>
        <v>0.41999999999999998</v>
      </c>
      <c r="BZ221" s="95">
        <f>IFERROR(AVERAGEIFS(RdTRABYVals!AO$2:AO$999,RdTRABYVals!$B$2:$B$999,"="&amp;$E221,RdTRABYVals!$C$2:$C$999,"="&amp;INS_EFF!$B221),"")</f>
        <v>0.42999999999999999</v>
      </c>
      <c r="CA221" s="95">
        <f>IFERROR(AVERAGEIFS(RdTRABYVals!AP$2:AP$999,RdTRABYVals!$B$2:$B$999,"="&amp;$E221,RdTRABYVals!$C$2:$C$999,"="&amp;INS_EFF!$B221),"")</f>
        <v>0.46999999999999997</v>
      </c>
      <c r="CB221" s="95">
        <f>IFERROR(AVERAGEIFS(RdTRABYVals!AQ$2:AQ$999,RdTRABYVals!$B$2:$B$999,"="&amp;$E221,RdTRABYVals!$C$2:$C$999,"="&amp;INS_EFF!$B221),"")</f>
        <v>0.39000000000000001</v>
      </c>
      <c r="CC221" s="95">
        <f>IFERROR(AVERAGEIFS(RdTRABYVals!AR$2:AR$999,RdTRABYVals!$B$2:$B$999,"="&amp;$E221,RdTRABYVals!$C$2:$C$999,"="&amp;INS_EFF!$B221),"")</f>
        <v>0.44</v>
      </c>
      <c r="CD221" s="95">
        <f>IFERROR(AVERAGEIFS(RdTRABYVals!AS$2:AS$999,RdTRABYVals!$B$2:$B$999,"="&amp;$E221,RdTRABYVals!$C$2:$C$999,"="&amp;INS_EFF!$B221),"")</f>
        <v>0.47999999999999998</v>
      </c>
      <c r="CE221" s="95">
        <f>IFERROR(AVERAGEIFS(RdTRABYVals!AT$2:AT$999,RdTRABYVals!$B$2:$B$999,"="&amp;$E221,RdTRABYVals!$C$2:$C$999,"="&amp;INS_EFF!$B221),"")</f>
        <v>0.44</v>
      </c>
      <c r="CF221" s="95">
        <f>IFERROR(AVERAGEIFS(RdTRABYVals!AU$2:AU$999,RdTRABYVals!$B$2:$B$999,"="&amp;$E221,RdTRABYVals!$C$2:$C$999,"="&amp;INS_EFF!$B221),"")</f>
        <v>0.46000000000000002</v>
      </c>
      <c r="CG221" s="95">
        <f>IFERROR(AVERAGEIFS(RdTRABYVals!AV$2:AV$999,RdTRABYVals!$B$2:$B$999,"="&amp;$E221,RdTRABYVals!$C$2:$C$999,"="&amp;INS_EFF!$B221),"")</f>
        <v>0.47999999999999998</v>
      </c>
    </row>
    <row r="222" spans="2:85" ht="15">
      <c r="B222" s="24" t="s">
        <v>121</v>
      </c>
      <c r="C222" s="24"/>
      <c r="E222" s="18" t="s">
        <v>29</v>
      </c>
      <c r="F222" s="71"/>
      <c r="G222" t="s">
        <v>141</v>
      </c>
      <c r="I222" t="str">
        <f t="shared" si="12"/>
        <v>*0.364054054054054</v>
      </c>
      <c r="J222" t="str">
        <f t="shared" si="10"/>
        <v>*0.34</v>
      </c>
      <c r="K222" t="str">
        <f t="shared" si="10"/>
        <v>*0.37</v>
      </c>
      <c r="L222" t="str">
        <f t="shared" si="10"/>
        <v>*0.36</v>
      </c>
      <c r="M222" t="str">
        <f t="shared" si="10"/>
        <v>*0.36</v>
      </c>
      <c r="N222" t="str">
        <f t="shared" si="10"/>
        <v>*0.32</v>
      </c>
      <c r="O222" t="str">
        <f t="shared" si="10"/>
        <v>*0.36</v>
      </c>
      <c r="P222" t="str">
        <f t="shared" si="10"/>
        <v>*0.33</v>
      </c>
      <c r="Q222" t="str">
        <f t="shared" si="10"/>
        <v>*0.37</v>
      </c>
      <c r="R222" t="str">
        <f t="shared" si="10"/>
        <v>*0.37</v>
      </c>
      <c r="S222" t="str">
        <f t="shared" si="10"/>
        <v>*0.38</v>
      </c>
      <c r="T222" t="str">
        <f t="shared" si="10"/>
        <v>*0.4</v>
      </c>
      <c r="U222" t="str">
        <f t="shared" si="10"/>
        <v>*0.34</v>
      </c>
      <c r="V222" t="str">
        <f t="shared" si="10"/>
        <v>*0.38</v>
      </c>
      <c r="W222" s="20" t="str">
        <f t="shared" si="10"/>
        <v>*0.36</v>
      </c>
      <c r="X222" t="str">
        <f t="shared" si="10"/>
        <v>*0.38</v>
      </c>
      <c r="Y222" t="str">
        <f t="shared" si="10"/>
        <v>*0.36</v>
      </c>
      <c r="Z222" t="str">
        <f t="shared" si="13"/>
        <v>*0.39</v>
      </c>
      <c r="AA222" t="str">
        <f t="shared" si="13"/>
        <v>*0.37</v>
      </c>
      <c r="AB222" t="str">
        <f t="shared" si="13"/>
        <v>*0.35</v>
      </c>
      <c r="AC222" t="str">
        <f t="shared" si="13"/>
        <v>*0.37</v>
      </c>
      <c r="AD222" t="str">
        <f t="shared" si="13"/>
        <v>*0.36</v>
      </c>
      <c r="AE222" t="str">
        <f t="shared" si="13"/>
        <v>*0.36</v>
      </c>
      <c r="AF222" t="str">
        <f t="shared" si="13"/>
        <v>*0.36</v>
      </c>
      <c r="AG222" t="str">
        <f t="shared" si="13"/>
        <v>*0.38</v>
      </c>
      <c r="AH222" t="str">
        <f t="shared" si="13"/>
        <v>*0.34</v>
      </c>
      <c r="AI222" t="str">
        <f t="shared" si="13"/>
        <v>*0.36</v>
      </c>
      <c r="AJ222" t="str">
        <f t="shared" si="13"/>
        <v>*0.37</v>
      </c>
      <c r="AK222" t="str">
        <f t="shared" si="13"/>
        <v>*0.34</v>
      </c>
      <c r="AL222" t="str">
        <f t="shared" si="13"/>
        <v>*0.36</v>
      </c>
      <c r="AM222" t="str">
        <f t="shared" si="11"/>
        <v>*0.37</v>
      </c>
      <c r="AN222" t="str">
        <f t="shared" si="11"/>
        <v>*0.39</v>
      </c>
      <c r="AO222" t="str">
        <f t="shared" si="9"/>
        <v>*0.33</v>
      </c>
      <c r="AP222" t="str">
        <f t="shared" si="9"/>
        <v>*0.36</v>
      </c>
      <c r="AQ222" t="str">
        <f t="shared" si="9"/>
        <v>*0.38</v>
      </c>
      <c r="AR222" t="str">
        <f t="shared" si="9"/>
        <v>*0.37</v>
      </c>
      <c r="AS222" t="str">
        <f t="shared" si="9"/>
        <v>*0.39</v>
      </c>
      <c r="AT222" t="str">
        <f t="shared" si="9"/>
        <v>*0.39</v>
      </c>
      <c r="AV222" s="95">
        <f>AVERAGE(AW222:CG222)</f>
        <v>0.364054054054054</v>
      </c>
      <c r="AW222" s="95">
        <f>IFERROR(AVERAGEIFS(RdTRABYVals!L$2:L$999,RdTRABYVals!$B$2:$B$999,"="&amp;$E222,RdTRABYVals!$C$2:$C$999,"="&amp;INS_EFF!$B222),"")</f>
        <v>0.34000000000000002</v>
      </c>
      <c r="AX222" s="95">
        <f>IFERROR(AVERAGEIFS(RdTRABYVals!M$2:M$999,RdTRABYVals!$B$2:$B$999,"="&amp;$E222,RdTRABYVals!$C$2:$C$999,"="&amp;INS_EFF!$B222),"")</f>
        <v>0.37</v>
      </c>
      <c r="AY222" s="95">
        <f>IFERROR(AVERAGEIFS(RdTRABYVals!N$2:N$999,RdTRABYVals!$B$2:$B$999,"="&amp;$E222,RdTRABYVals!$C$2:$C$999,"="&amp;INS_EFF!$B222),"")</f>
        <v>0.35999999999999999</v>
      </c>
      <c r="AZ222" s="95">
        <f>IFERROR(AVERAGEIFS(RdTRABYVals!O$2:O$999,RdTRABYVals!$B$2:$B$999,"="&amp;$E222,RdTRABYVals!$C$2:$C$999,"="&amp;INS_EFF!$B222),"")</f>
        <v>0.35999999999999999</v>
      </c>
      <c r="BA222" s="95">
        <f>IFERROR(AVERAGEIFS(RdTRABYVals!P$2:P$999,RdTRABYVals!$B$2:$B$999,"="&amp;$E222,RdTRABYVals!$C$2:$C$999,"="&amp;INS_EFF!$B222),"")</f>
        <v>0.32000000000000001</v>
      </c>
      <c r="BB222" s="95">
        <f>IFERROR(AVERAGEIFS(RdTRABYVals!Q$2:Q$999,RdTRABYVals!$B$2:$B$999,"="&amp;$E222,RdTRABYVals!$C$2:$C$999,"="&amp;INS_EFF!$B222),"")</f>
        <v>0.35999999999999999</v>
      </c>
      <c r="BC222" s="95">
        <f>IFERROR(AVERAGEIFS(RdTRABYVals!R$2:R$999,RdTRABYVals!$B$2:$B$999,"="&amp;$E222,RdTRABYVals!$C$2:$C$999,"="&amp;INS_EFF!$B222),"")</f>
        <v>0.33000000000000002</v>
      </c>
      <c r="BD222" s="95">
        <f>IFERROR(AVERAGEIFS(RdTRABYVals!S$2:S$999,RdTRABYVals!$B$2:$B$999,"="&amp;$E222,RdTRABYVals!$C$2:$C$999,"="&amp;INS_EFF!$B222),"")</f>
        <v>0.37</v>
      </c>
      <c r="BE222" s="95">
        <f>IFERROR(AVERAGEIFS(RdTRABYVals!T$2:T$999,RdTRABYVals!$B$2:$B$999,"="&amp;$E222,RdTRABYVals!$C$2:$C$999,"="&amp;INS_EFF!$B222),"")</f>
        <v>0.37</v>
      </c>
      <c r="BF222" s="95">
        <f>IFERROR(AVERAGEIFS(RdTRABYVals!U$2:U$999,RdTRABYVals!$B$2:$B$999,"="&amp;$E222,RdTRABYVals!$C$2:$C$999,"="&amp;INS_EFF!$B222),"")</f>
        <v>0.38</v>
      </c>
      <c r="BG222" s="95">
        <f>IFERROR(AVERAGEIFS(RdTRABYVals!V$2:V$999,RdTRABYVals!$B$2:$B$999,"="&amp;$E222,RdTRABYVals!$C$2:$C$999,"="&amp;INS_EFF!$B222),"")</f>
        <v>0.40000000000000002</v>
      </c>
      <c r="BH222" s="95">
        <f>IFERROR(AVERAGEIFS(RdTRABYVals!W$2:W$999,RdTRABYVals!$B$2:$B$999,"="&amp;$E222,RdTRABYVals!$C$2:$C$999,"="&amp;INS_EFF!$B222),"")</f>
        <v>0.34000000000000002</v>
      </c>
      <c r="BI222" s="95">
        <f>IFERROR(AVERAGEIFS(RdTRABYVals!X$2:X$999,RdTRABYVals!$B$2:$B$999,"="&amp;$E222,RdTRABYVals!$C$2:$C$999,"="&amp;INS_EFF!$B222),"")</f>
        <v>0.38</v>
      </c>
      <c r="BJ222" s="95">
        <f>IFERROR(AVERAGEIFS(RdTRABYVals!Y$2:Y$999,RdTRABYVals!$B$2:$B$999,"="&amp;$E222,RdTRABYVals!$C$2:$C$999,"="&amp;INS_EFF!$B222),"")</f>
        <v>0.35999999999999999</v>
      </c>
      <c r="BK222" s="95">
        <f>IFERROR(AVERAGEIFS(RdTRABYVals!Z$2:Z$999,RdTRABYVals!$B$2:$B$999,"="&amp;$E222,RdTRABYVals!$C$2:$C$999,"="&amp;INS_EFF!$B222),"")</f>
        <v>0.38</v>
      </c>
      <c r="BL222" s="95">
        <f>IFERROR(AVERAGEIFS(RdTRABYVals!AA$2:AA$999,RdTRABYVals!$B$2:$B$999,"="&amp;$E222,RdTRABYVals!$C$2:$C$999,"="&amp;INS_EFF!$B222),"")</f>
        <v>0.35999999999999999</v>
      </c>
      <c r="BM222" s="95">
        <f>IFERROR(AVERAGEIFS(RdTRABYVals!AB$2:AB$999,RdTRABYVals!$B$2:$B$999,"="&amp;$E222,RdTRABYVals!$C$2:$C$999,"="&amp;INS_EFF!$B222),"")</f>
        <v>0.39000000000000001</v>
      </c>
      <c r="BN222" s="95">
        <f>IFERROR(AVERAGEIFS(RdTRABYVals!AC$2:AC$999,RdTRABYVals!$B$2:$B$999,"="&amp;$E222,RdTRABYVals!$C$2:$C$999,"="&amp;INS_EFF!$B222),"")</f>
        <v>0.37</v>
      </c>
      <c r="BO222" s="95">
        <f>IFERROR(AVERAGEIFS(RdTRABYVals!AD$2:AD$999,RdTRABYVals!$B$2:$B$999,"="&amp;$E222,RdTRABYVals!$C$2:$C$999,"="&amp;INS_EFF!$B222),"")</f>
        <v>0.34999999999999998</v>
      </c>
      <c r="BP222" s="95">
        <f>IFERROR(AVERAGEIFS(RdTRABYVals!AE$2:AE$999,RdTRABYVals!$B$2:$B$999,"="&amp;$E222,RdTRABYVals!$C$2:$C$999,"="&amp;INS_EFF!$B222),"")</f>
        <v>0.37</v>
      </c>
      <c r="BQ222" s="95">
        <f>IFERROR(AVERAGEIFS(RdTRABYVals!AF$2:AF$999,RdTRABYVals!$B$2:$B$999,"="&amp;$E222,RdTRABYVals!$C$2:$C$999,"="&amp;INS_EFF!$B222),"")</f>
        <v>0.35999999999999999</v>
      </c>
      <c r="BR222" s="95">
        <f>IFERROR(AVERAGEIFS(RdTRABYVals!AG$2:AG$999,RdTRABYVals!$B$2:$B$999,"="&amp;$E222,RdTRABYVals!$C$2:$C$999,"="&amp;INS_EFF!$B222),"")</f>
        <v>0.35999999999999999</v>
      </c>
      <c r="BS222" s="95">
        <f>IFERROR(AVERAGEIFS(RdTRABYVals!AH$2:AH$999,RdTRABYVals!$B$2:$B$999,"="&amp;$E222,RdTRABYVals!$C$2:$C$999,"="&amp;INS_EFF!$B222),"")</f>
        <v>0.35999999999999999</v>
      </c>
      <c r="BT222" s="95">
        <f>IFERROR(AVERAGEIFS(RdTRABYVals!AI$2:AI$999,RdTRABYVals!$B$2:$B$999,"="&amp;$E222,RdTRABYVals!$C$2:$C$999,"="&amp;INS_EFF!$B222),"")</f>
        <v>0.38</v>
      </c>
      <c r="BU222" s="95">
        <f>IFERROR(AVERAGEIFS(RdTRABYVals!AJ$2:AJ$999,RdTRABYVals!$B$2:$B$999,"="&amp;$E222,RdTRABYVals!$C$2:$C$999,"="&amp;INS_EFF!$B222),"")</f>
        <v>0.34000000000000002</v>
      </c>
      <c r="BV222" s="95">
        <f>IFERROR(AVERAGEIFS(RdTRABYVals!AK$2:AK$999,RdTRABYVals!$B$2:$B$999,"="&amp;$E222,RdTRABYVals!$C$2:$C$999,"="&amp;INS_EFF!$B222),"")</f>
        <v>0.35999999999999999</v>
      </c>
      <c r="BW222" s="95">
        <f>IFERROR(AVERAGEIFS(RdTRABYVals!AL$2:AL$999,RdTRABYVals!$B$2:$B$999,"="&amp;$E222,RdTRABYVals!$C$2:$C$999,"="&amp;INS_EFF!$B222),"")</f>
        <v>0.37</v>
      </c>
      <c r="BX222" s="95">
        <f>IFERROR(AVERAGEIFS(RdTRABYVals!AM$2:AM$999,RdTRABYVals!$B$2:$B$999,"="&amp;$E222,RdTRABYVals!$C$2:$C$999,"="&amp;INS_EFF!$B222),"")</f>
        <v>0.34000000000000002</v>
      </c>
      <c r="BY222" s="95">
        <f>IFERROR(AVERAGEIFS(RdTRABYVals!AN$2:AN$999,RdTRABYVals!$B$2:$B$999,"="&amp;$E222,RdTRABYVals!$C$2:$C$999,"="&amp;INS_EFF!$B222),"")</f>
        <v>0.35999999999999999</v>
      </c>
      <c r="BZ222" s="95">
        <f>IFERROR(AVERAGEIFS(RdTRABYVals!AO$2:AO$999,RdTRABYVals!$B$2:$B$999,"="&amp;$E222,RdTRABYVals!$C$2:$C$999,"="&amp;INS_EFF!$B222),"")</f>
        <v>0.37</v>
      </c>
      <c r="CA222" s="95">
        <f>IFERROR(AVERAGEIFS(RdTRABYVals!AP$2:AP$999,RdTRABYVals!$B$2:$B$999,"="&amp;$E222,RdTRABYVals!$C$2:$C$999,"="&amp;INS_EFF!$B222),"")</f>
        <v>0.39000000000000001</v>
      </c>
      <c r="CB222" s="95">
        <f>IFERROR(AVERAGEIFS(RdTRABYVals!AQ$2:AQ$999,RdTRABYVals!$B$2:$B$999,"="&amp;$E222,RdTRABYVals!$C$2:$C$999,"="&amp;INS_EFF!$B222),"")</f>
        <v>0.33000000000000002</v>
      </c>
      <c r="CC222" s="95">
        <f>IFERROR(AVERAGEIFS(RdTRABYVals!AR$2:AR$999,RdTRABYVals!$B$2:$B$999,"="&amp;$E222,RdTRABYVals!$C$2:$C$999,"="&amp;INS_EFF!$B222),"")</f>
        <v>0.35999999999999999</v>
      </c>
      <c r="CD222" s="95">
        <f>IFERROR(AVERAGEIFS(RdTRABYVals!AS$2:AS$999,RdTRABYVals!$B$2:$B$999,"="&amp;$E222,RdTRABYVals!$C$2:$C$999,"="&amp;INS_EFF!$B222),"")</f>
        <v>0.38</v>
      </c>
      <c r="CE222" s="95">
        <f>IFERROR(AVERAGEIFS(RdTRABYVals!AT$2:AT$999,RdTRABYVals!$B$2:$B$999,"="&amp;$E222,RdTRABYVals!$C$2:$C$999,"="&amp;INS_EFF!$B222),"")</f>
        <v>0.37</v>
      </c>
      <c r="CF222" s="95">
        <f>IFERROR(AVERAGEIFS(RdTRABYVals!AU$2:AU$999,RdTRABYVals!$B$2:$B$999,"="&amp;$E222,RdTRABYVals!$C$2:$C$999,"="&amp;INS_EFF!$B222),"")</f>
        <v>0.39000000000000001</v>
      </c>
      <c r="CG222" s="95">
        <f>IFERROR(AVERAGEIFS(RdTRABYVals!AV$2:AV$999,RdTRABYVals!$B$2:$B$999,"="&amp;$E222,RdTRABYVals!$C$2:$C$999,"="&amp;INS_EFF!$B222),"")</f>
        <v>0.39000000000000001</v>
      </c>
    </row>
    <row r="223" spans="2:85" ht="15">
      <c r="B223" s="24" t="s">
        <v>118</v>
      </c>
      <c r="C223" s="24"/>
      <c r="E223" s="18" t="s">
        <v>29</v>
      </c>
      <c r="F223" s="71"/>
      <c r="G223" t="s">
        <v>150</v>
      </c>
      <c r="I223" t="str">
        <f t="shared" si="12"/>
        <v>*0.261891891891892</v>
      </c>
      <c r="J223" t="str">
        <f t="shared" si="10"/>
        <v>*0.23</v>
      </c>
      <c r="K223" t="str">
        <f t="shared" si="10"/>
        <v>*0.24</v>
      </c>
      <c r="L223" t="str">
        <f t="shared" si="10"/>
        <v>*0.28</v>
      </c>
      <c r="M223" t="str">
        <f t="shared" si="10"/>
        <v>*0.25</v>
      </c>
      <c r="N223" t="str">
        <f t="shared" si="10"/>
        <v>*0.22</v>
      </c>
      <c r="O223" t="str">
        <f t="shared" si="10"/>
        <v>*0.25</v>
      </c>
      <c r="P223" t="str">
        <f t="shared" si="10"/>
        <v>*0.24</v>
      </c>
      <c r="Q223" t="str">
        <f t="shared" si="10"/>
        <v>*0.27</v>
      </c>
      <c r="R223" t="str">
        <f t="shared" si="10"/>
        <v>*0.25</v>
      </c>
      <c r="S223" t="str">
        <f t="shared" si="10"/>
        <v>*0.29</v>
      </c>
      <c r="T223" t="str">
        <f t="shared" si="10"/>
        <v>*0.31</v>
      </c>
      <c r="U223" t="str">
        <f t="shared" si="10"/>
        <v>*0.23</v>
      </c>
      <c r="V223" t="str">
        <f t="shared" si="10"/>
        <v>*0.29</v>
      </c>
      <c r="W223" s="20" t="str">
        <f t="shared" si="10"/>
        <v>*0.26</v>
      </c>
      <c r="X223" t="str">
        <f t="shared" si="10"/>
        <v>*0.26</v>
      </c>
      <c r="Y223" t="str">
        <f t="shared" si="10"/>
        <v>*0.28</v>
      </c>
      <c r="Z223" t="str">
        <f t="shared" si="13"/>
        <v>*0.29</v>
      </c>
      <c r="AA223" t="str">
        <f t="shared" si="13"/>
        <v>*0.24</v>
      </c>
      <c r="AB223" t="str">
        <f t="shared" si="13"/>
        <v>*0.25</v>
      </c>
      <c r="AC223" t="str">
        <f t="shared" si="13"/>
        <v>*0.23</v>
      </c>
      <c r="AD223" t="str">
        <f t="shared" si="13"/>
        <v>*0.28</v>
      </c>
      <c r="AE223" t="str">
        <f t="shared" si="13"/>
        <v>*0.28</v>
      </c>
      <c r="AF223" t="str">
        <f t="shared" si="13"/>
        <v>*0.26</v>
      </c>
      <c r="AG223" t="str">
        <f t="shared" si="13"/>
        <v>*0.28</v>
      </c>
      <c r="AH223" t="str">
        <f t="shared" si="13"/>
        <v>*0.23</v>
      </c>
      <c r="AI223" t="str">
        <f t="shared" si="13"/>
        <v>*0.26</v>
      </c>
      <c r="AJ223" t="str">
        <f t="shared" si="13"/>
        <v>*0.28</v>
      </c>
      <c r="AK223" t="str">
        <f t="shared" si="13"/>
        <v>*0.25</v>
      </c>
      <c r="AL223" t="str">
        <f t="shared" si="13"/>
        <v>*0.27</v>
      </c>
      <c r="AM223" t="str">
        <f t="shared" si="11"/>
        <v>*0.28</v>
      </c>
      <c r="AN223" t="str">
        <f t="shared" si="11"/>
        <v>*0.27</v>
      </c>
      <c r="AO223" t="str">
        <f t="shared" si="9"/>
        <v>*0.21</v>
      </c>
      <c r="AP223" t="str">
        <f t="shared" si="9"/>
        <v>*0.28</v>
      </c>
      <c r="AQ223" t="str">
        <f t="shared" si="9"/>
        <v>*0.28</v>
      </c>
      <c r="AR223" t="str">
        <f t="shared" si="9"/>
        <v>*0.28</v>
      </c>
      <c r="AS223" t="str">
        <f t="shared" si="9"/>
        <v>*0.28</v>
      </c>
      <c r="AT223" t="str">
        <f t="shared" si="9"/>
        <v>*0.26</v>
      </c>
      <c r="AV223" s="95">
        <f>AVERAGE(AW223:CG223)</f>
        <v>0.26189189189189194</v>
      </c>
      <c r="AW223" s="95">
        <f>IFERROR(AVERAGEIFS(RdTRABYVals!L$2:L$999,RdTRABYVals!$B$2:$B$999,"="&amp;$E223,RdTRABYVals!$C$2:$C$999,"="&amp;INS_EFF!$B223),"")</f>
        <v>0.23000000000000001</v>
      </c>
      <c r="AX223" s="95">
        <f>IFERROR(AVERAGEIFS(RdTRABYVals!M$2:M$999,RdTRABYVals!$B$2:$B$999,"="&amp;$E223,RdTRABYVals!$C$2:$C$999,"="&amp;INS_EFF!$B223),"")</f>
        <v>0.23999999999999999</v>
      </c>
      <c r="AY223" s="95">
        <f>IFERROR(AVERAGEIFS(RdTRABYVals!N$2:N$999,RdTRABYVals!$B$2:$B$999,"="&amp;$E223,RdTRABYVals!$C$2:$C$999,"="&amp;INS_EFF!$B223),"")</f>
        <v>0.28000000000000003</v>
      </c>
      <c r="AZ223" s="95">
        <f>IFERROR(AVERAGEIFS(RdTRABYVals!O$2:O$999,RdTRABYVals!$B$2:$B$999,"="&amp;$E223,RdTRABYVals!$C$2:$C$999,"="&amp;INS_EFF!$B223),"")</f>
        <v>0.25</v>
      </c>
      <c r="BA223" s="95">
        <f>IFERROR(AVERAGEIFS(RdTRABYVals!P$2:P$999,RdTRABYVals!$B$2:$B$999,"="&amp;$E223,RdTRABYVals!$C$2:$C$999,"="&amp;INS_EFF!$B223),"")</f>
        <v>0.22</v>
      </c>
      <c r="BB223" s="95">
        <f>IFERROR(AVERAGEIFS(RdTRABYVals!Q$2:Q$999,RdTRABYVals!$B$2:$B$999,"="&amp;$E223,RdTRABYVals!$C$2:$C$999,"="&amp;INS_EFF!$B223),"")</f>
        <v>0.25</v>
      </c>
      <c r="BC223" s="95">
        <f>IFERROR(AVERAGEIFS(RdTRABYVals!R$2:R$999,RdTRABYVals!$B$2:$B$999,"="&amp;$E223,RdTRABYVals!$C$2:$C$999,"="&amp;INS_EFF!$B223),"")</f>
        <v>0.23999999999999999</v>
      </c>
      <c r="BD223" s="95">
        <f>IFERROR(AVERAGEIFS(RdTRABYVals!S$2:S$999,RdTRABYVals!$B$2:$B$999,"="&amp;$E223,RdTRABYVals!$C$2:$C$999,"="&amp;INS_EFF!$B223),"")</f>
        <v>0.27000000000000002</v>
      </c>
      <c r="BE223" s="95">
        <f>IFERROR(AVERAGEIFS(RdTRABYVals!T$2:T$999,RdTRABYVals!$B$2:$B$999,"="&amp;$E223,RdTRABYVals!$C$2:$C$999,"="&amp;INS_EFF!$B223),"")</f>
        <v>0.25</v>
      </c>
      <c r="BF223" s="95">
        <f>IFERROR(AVERAGEIFS(RdTRABYVals!U$2:U$999,RdTRABYVals!$B$2:$B$999,"="&amp;$E223,RdTRABYVals!$C$2:$C$999,"="&amp;INS_EFF!$B223),"")</f>
        <v>0.28999999999999998</v>
      </c>
      <c r="BG223" s="95">
        <f>IFERROR(AVERAGEIFS(RdTRABYVals!V$2:V$999,RdTRABYVals!$B$2:$B$999,"="&amp;$E223,RdTRABYVals!$C$2:$C$999,"="&amp;INS_EFF!$B223),"")</f>
        <v>0.31</v>
      </c>
      <c r="BH223" s="95">
        <f>IFERROR(AVERAGEIFS(RdTRABYVals!W$2:W$999,RdTRABYVals!$B$2:$B$999,"="&amp;$E223,RdTRABYVals!$C$2:$C$999,"="&amp;INS_EFF!$B223),"")</f>
        <v>0.23000000000000001</v>
      </c>
      <c r="BI223" s="95">
        <f>IFERROR(AVERAGEIFS(RdTRABYVals!X$2:X$999,RdTRABYVals!$B$2:$B$999,"="&amp;$E223,RdTRABYVals!$C$2:$C$999,"="&amp;INS_EFF!$B223),"")</f>
        <v>0.28999999999999998</v>
      </c>
      <c r="BJ223" s="95">
        <f>IFERROR(AVERAGEIFS(RdTRABYVals!Y$2:Y$999,RdTRABYVals!$B$2:$B$999,"="&amp;$E223,RdTRABYVals!$C$2:$C$999,"="&amp;INS_EFF!$B223),"")</f>
        <v>0.26000000000000001</v>
      </c>
      <c r="BK223" s="95">
        <f>IFERROR(AVERAGEIFS(RdTRABYVals!Z$2:Z$999,RdTRABYVals!$B$2:$B$999,"="&amp;$E223,RdTRABYVals!$C$2:$C$999,"="&amp;INS_EFF!$B223),"")</f>
        <v>0.26000000000000001</v>
      </c>
      <c r="BL223" s="95">
        <f>IFERROR(AVERAGEIFS(RdTRABYVals!AA$2:AA$999,RdTRABYVals!$B$2:$B$999,"="&amp;$E223,RdTRABYVals!$C$2:$C$999,"="&amp;INS_EFF!$B223),"")</f>
        <v>0.28000000000000003</v>
      </c>
      <c r="BM223" s="95">
        <f>IFERROR(AVERAGEIFS(RdTRABYVals!AB$2:AB$999,RdTRABYVals!$B$2:$B$999,"="&amp;$E223,RdTRABYVals!$C$2:$C$999,"="&amp;INS_EFF!$B223),"")</f>
        <v>0.28999999999999998</v>
      </c>
      <c r="BN223" s="95">
        <f>IFERROR(AVERAGEIFS(RdTRABYVals!AC$2:AC$999,RdTRABYVals!$B$2:$B$999,"="&amp;$E223,RdTRABYVals!$C$2:$C$999,"="&amp;INS_EFF!$B223),"")</f>
        <v>0.23999999999999999</v>
      </c>
      <c r="BO223" s="95">
        <f>IFERROR(AVERAGEIFS(RdTRABYVals!AD$2:AD$999,RdTRABYVals!$B$2:$B$999,"="&amp;$E223,RdTRABYVals!$C$2:$C$999,"="&amp;INS_EFF!$B223),"")</f>
        <v>0.25</v>
      </c>
      <c r="BP223" s="95">
        <f>IFERROR(AVERAGEIFS(RdTRABYVals!AE$2:AE$999,RdTRABYVals!$B$2:$B$999,"="&amp;$E223,RdTRABYVals!$C$2:$C$999,"="&amp;INS_EFF!$B223),"")</f>
        <v>0.23000000000000001</v>
      </c>
      <c r="BQ223" s="95">
        <f>IFERROR(AVERAGEIFS(RdTRABYVals!AF$2:AF$999,RdTRABYVals!$B$2:$B$999,"="&amp;$E223,RdTRABYVals!$C$2:$C$999,"="&amp;INS_EFF!$B223),"")</f>
        <v>0.28000000000000003</v>
      </c>
      <c r="BR223" s="95">
        <f>IFERROR(AVERAGEIFS(RdTRABYVals!AG$2:AG$999,RdTRABYVals!$B$2:$B$999,"="&amp;$E223,RdTRABYVals!$C$2:$C$999,"="&amp;INS_EFF!$B223),"")</f>
        <v>0.28000000000000003</v>
      </c>
      <c r="BS223" s="95">
        <f>IFERROR(AVERAGEIFS(RdTRABYVals!AH$2:AH$999,RdTRABYVals!$B$2:$B$999,"="&amp;$E223,RdTRABYVals!$C$2:$C$999,"="&amp;INS_EFF!$B223),"")</f>
        <v>0.26000000000000001</v>
      </c>
      <c r="BT223" s="95">
        <f>IFERROR(AVERAGEIFS(RdTRABYVals!AI$2:AI$999,RdTRABYVals!$B$2:$B$999,"="&amp;$E223,RdTRABYVals!$C$2:$C$999,"="&amp;INS_EFF!$B223),"")</f>
        <v>0.28000000000000003</v>
      </c>
      <c r="BU223" s="95">
        <f>IFERROR(AVERAGEIFS(RdTRABYVals!AJ$2:AJ$999,RdTRABYVals!$B$2:$B$999,"="&amp;$E223,RdTRABYVals!$C$2:$C$999,"="&amp;INS_EFF!$B223),"")</f>
        <v>0.23000000000000001</v>
      </c>
      <c r="BV223" s="95">
        <f>IFERROR(AVERAGEIFS(RdTRABYVals!AK$2:AK$999,RdTRABYVals!$B$2:$B$999,"="&amp;$E223,RdTRABYVals!$C$2:$C$999,"="&amp;INS_EFF!$B223),"")</f>
        <v>0.26000000000000001</v>
      </c>
      <c r="BW223" s="95">
        <f>IFERROR(AVERAGEIFS(RdTRABYVals!AL$2:AL$999,RdTRABYVals!$B$2:$B$999,"="&amp;$E223,RdTRABYVals!$C$2:$C$999,"="&amp;INS_EFF!$B223),"")</f>
        <v>0.28000000000000003</v>
      </c>
      <c r="BX223" s="95">
        <f>IFERROR(AVERAGEIFS(RdTRABYVals!AM$2:AM$999,RdTRABYVals!$B$2:$B$999,"="&amp;$E223,RdTRABYVals!$C$2:$C$999,"="&amp;INS_EFF!$B223),"")</f>
        <v>0.25</v>
      </c>
      <c r="BY223" s="95">
        <f>IFERROR(AVERAGEIFS(RdTRABYVals!AN$2:AN$999,RdTRABYVals!$B$2:$B$999,"="&amp;$E223,RdTRABYVals!$C$2:$C$999,"="&amp;INS_EFF!$B223),"")</f>
        <v>0.27000000000000002</v>
      </c>
      <c r="BZ223" s="95">
        <f>IFERROR(AVERAGEIFS(RdTRABYVals!AO$2:AO$999,RdTRABYVals!$B$2:$B$999,"="&amp;$E223,RdTRABYVals!$C$2:$C$999,"="&amp;INS_EFF!$B223),"")</f>
        <v>0.28000000000000003</v>
      </c>
      <c r="CA223" s="95">
        <f>IFERROR(AVERAGEIFS(RdTRABYVals!AP$2:AP$999,RdTRABYVals!$B$2:$B$999,"="&amp;$E223,RdTRABYVals!$C$2:$C$999,"="&amp;INS_EFF!$B223),"")</f>
        <v>0.27000000000000002</v>
      </c>
      <c r="CB223" s="95">
        <f>IFERROR(AVERAGEIFS(RdTRABYVals!AQ$2:AQ$999,RdTRABYVals!$B$2:$B$999,"="&amp;$E223,RdTRABYVals!$C$2:$C$999,"="&amp;INS_EFF!$B223),"")</f>
        <v>0.20999999999999999</v>
      </c>
      <c r="CC223" s="95">
        <f>IFERROR(AVERAGEIFS(RdTRABYVals!AR$2:AR$999,RdTRABYVals!$B$2:$B$999,"="&amp;$E223,RdTRABYVals!$C$2:$C$999,"="&amp;INS_EFF!$B223),"")</f>
        <v>0.28000000000000003</v>
      </c>
      <c r="CD223" s="95">
        <f>IFERROR(AVERAGEIFS(RdTRABYVals!AS$2:AS$999,RdTRABYVals!$B$2:$B$999,"="&amp;$E223,RdTRABYVals!$C$2:$C$999,"="&amp;INS_EFF!$B223),"")</f>
        <v>0.28000000000000003</v>
      </c>
      <c r="CE223" s="95">
        <f>IFERROR(AVERAGEIFS(RdTRABYVals!AT$2:AT$999,RdTRABYVals!$B$2:$B$999,"="&amp;$E223,RdTRABYVals!$C$2:$C$999,"="&amp;INS_EFF!$B223),"")</f>
        <v>0.28000000000000003</v>
      </c>
      <c r="CF223" s="95">
        <f>IFERROR(AVERAGEIFS(RdTRABYVals!AU$2:AU$999,RdTRABYVals!$B$2:$B$999,"="&amp;$E223,RdTRABYVals!$C$2:$C$999,"="&amp;INS_EFF!$B223),"")</f>
        <v>0.28000000000000003</v>
      </c>
      <c r="CG223" s="95">
        <f>IFERROR(AVERAGEIFS(RdTRABYVals!AV$2:AV$999,RdTRABYVals!$B$2:$B$999,"="&amp;$E223,RdTRABYVals!$C$2:$C$999,"="&amp;INS_EFF!$B223),"")</f>
        <v>0.26000000000000001</v>
      </c>
    </row>
    <row r="224" spans="2:85" ht="15">
      <c r="B224" s="24" t="s">
        <v>119</v>
      </c>
      <c r="C224" s="24"/>
      <c r="E224" s="18" t="s">
        <v>29</v>
      </c>
      <c r="F224" s="71"/>
      <c r="G224" t="s">
        <v>151</v>
      </c>
      <c r="I224" t="str">
        <f t="shared" si="12"/>
        <v>*0.43027027027027</v>
      </c>
      <c r="J224" t="str">
        <f t="shared" si="10"/>
        <v>*0.4</v>
      </c>
      <c r="K224" t="str">
        <f t="shared" si="10"/>
        <v>*0.44</v>
      </c>
      <c r="L224" t="str">
        <f t="shared" si="10"/>
        <v>*0.43</v>
      </c>
      <c r="M224" t="str">
        <f t="shared" si="10"/>
        <v>*0.42</v>
      </c>
      <c r="N224" t="str">
        <f t="shared" si="10"/>
        <v>*0.38</v>
      </c>
      <c r="O224" t="str">
        <f t="shared" si="10"/>
        <v>*0.42</v>
      </c>
      <c r="P224" t="str">
        <f t="shared" si="10"/>
        <v>*0.4</v>
      </c>
      <c r="Q224" t="str">
        <f t="shared" si="10"/>
        <v>*0.43</v>
      </c>
      <c r="R224" t="str">
        <f t="shared" si="10"/>
        <v>*0.43</v>
      </c>
      <c r="S224" t="str">
        <f t="shared" si="10"/>
        <v>*0.45</v>
      </c>
      <c r="T224" t="str">
        <f t="shared" si="10"/>
        <v>*0.46</v>
      </c>
      <c r="U224" t="str">
        <f t="shared" si="10"/>
        <v>*0.4</v>
      </c>
      <c r="V224" t="str">
        <f t="shared" si="10"/>
        <v>*0.44</v>
      </c>
      <c r="W224" s="20" t="str">
        <f t="shared" si="10"/>
        <v>*0.42</v>
      </c>
      <c r="X224" t="str">
        <f t="shared" si="10"/>
        <v>*0.46</v>
      </c>
      <c r="Y224" t="str">
        <f t="shared" si="10"/>
        <v>*0.43</v>
      </c>
      <c r="Z224" t="str">
        <f t="shared" si="13"/>
        <v>*0.46</v>
      </c>
      <c r="AA224" t="str">
        <f t="shared" si="13"/>
        <v>*0.44</v>
      </c>
      <c r="AB224" t="str">
        <f t="shared" si="13"/>
        <v>*0.42</v>
      </c>
      <c r="AC224" t="str">
        <f t="shared" si="13"/>
        <v>*0.44</v>
      </c>
      <c r="AD224" t="str">
        <f t="shared" si="13"/>
        <v>*0.43</v>
      </c>
      <c r="AE224" t="str">
        <f t="shared" si="13"/>
        <v>*0.44</v>
      </c>
      <c r="AF224" t="str">
        <f t="shared" si="13"/>
        <v>*0.43</v>
      </c>
      <c r="AG224" t="str">
        <f t="shared" si="13"/>
        <v>*0.45</v>
      </c>
      <c r="AH224" t="str">
        <f t="shared" si="13"/>
        <v>*0.4</v>
      </c>
      <c r="AI224" t="str">
        <f t="shared" si="13"/>
        <v>*0.43</v>
      </c>
      <c r="AJ224" t="str">
        <f t="shared" si="13"/>
        <v>*0.44</v>
      </c>
      <c r="AK224" t="str">
        <f t="shared" si="13"/>
        <v>*0.4</v>
      </c>
      <c r="AL224" t="str">
        <f t="shared" si="13"/>
        <v>*0.42</v>
      </c>
      <c r="AM224" t="str">
        <f t="shared" si="11"/>
        <v>*0.43</v>
      </c>
      <c r="AN224" t="str">
        <f t="shared" si="11"/>
        <v>*0.45</v>
      </c>
      <c r="AO224" t="str">
        <f t="shared" si="9"/>
        <v>*0.39</v>
      </c>
      <c r="AP224" t="str">
        <f t="shared" si="9"/>
        <v>*0.43</v>
      </c>
      <c r="AQ224" t="str">
        <f t="shared" si="9"/>
        <v>*0.46</v>
      </c>
      <c r="AR224" t="str">
        <f t="shared" si="9"/>
        <v>*0.44</v>
      </c>
      <c r="AS224" t="str">
        <f t="shared" si="9"/>
        <v>*0.45</v>
      </c>
      <c r="AT224" t="str">
        <f t="shared" si="9"/>
        <v>*0.46</v>
      </c>
      <c r="AV224" s="95">
        <f t="shared" si="7"/>
        <v>0.43027027027027026</v>
      </c>
      <c r="AW224" s="95">
        <f>IFERROR(AVERAGEIFS(RdTRABYVals!L$2:L$999,RdTRABYVals!$B$2:$B$999,"="&amp;$E224,RdTRABYVals!$C$2:$C$999,"="&amp;INS_EFF!$B224),"")</f>
        <v>0.40000000000000002</v>
      </c>
      <c r="AX224" s="95">
        <f>IFERROR(AVERAGEIFS(RdTRABYVals!M$2:M$999,RdTRABYVals!$B$2:$B$999,"="&amp;$E224,RdTRABYVals!$C$2:$C$999,"="&amp;INS_EFF!$B224),"")</f>
        <v>0.44</v>
      </c>
      <c r="AY224" s="95">
        <f>IFERROR(AVERAGEIFS(RdTRABYVals!N$2:N$999,RdTRABYVals!$B$2:$B$999,"="&amp;$E224,RdTRABYVals!$C$2:$C$999,"="&amp;INS_EFF!$B224),"")</f>
        <v>0.42999999999999999</v>
      </c>
      <c r="AZ224" s="95">
        <f>IFERROR(AVERAGEIFS(RdTRABYVals!O$2:O$999,RdTRABYVals!$B$2:$B$999,"="&amp;$E224,RdTRABYVals!$C$2:$C$999,"="&amp;INS_EFF!$B224),"")</f>
        <v>0.41999999999999998</v>
      </c>
      <c r="BA224" s="95">
        <f>IFERROR(AVERAGEIFS(RdTRABYVals!P$2:P$999,RdTRABYVals!$B$2:$B$999,"="&amp;$E224,RdTRABYVals!$C$2:$C$999,"="&amp;INS_EFF!$B224),"")</f>
        <v>0.38</v>
      </c>
      <c r="BB224" s="95">
        <f>IFERROR(AVERAGEIFS(RdTRABYVals!Q$2:Q$999,RdTRABYVals!$B$2:$B$999,"="&amp;$E224,RdTRABYVals!$C$2:$C$999,"="&amp;INS_EFF!$B224),"")</f>
        <v>0.41999999999999998</v>
      </c>
      <c r="BC224" s="95">
        <f>IFERROR(AVERAGEIFS(RdTRABYVals!R$2:R$999,RdTRABYVals!$B$2:$B$999,"="&amp;$E224,RdTRABYVals!$C$2:$C$999,"="&amp;INS_EFF!$B224),"")</f>
        <v>0.40000000000000002</v>
      </c>
      <c r="BD224" s="95">
        <f>IFERROR(AVERAGEIFS(RdTRABYVals!S$2:S$999,RdTRABYVals!$B$2:$B$999,"="&amp;$E224,RdTRABYVals!$C$2:$C$999,"="&amp;INS_EFF!$B224),"")</f>
        <v>0.42999999999999999</v>
      </c>
      <c r="BE224" s="95">
        <f>IFERROR(AVERAGEIFS(RdTRABYVals!T$2:T$999,RdTRABYVals!$B$2:$B$999,"="&amp;$E224,RdTRABYVals!$C$2:$C$999,"="&amp;INS_EFF!$B224),"")</f>
        <v>0.42999999999999999</v>
      </c>
      <c r="BF224" s="95">
        <f>IFERROR(AVERAGEIFS(RdTRABYVals!U$2:U$999,RdTRABYVals!$B$2:$B$999,"="&amp;$E224,RdTRABYVals!$C$2:$C$999,"="&amp;INS_EFF!$B224),"")</f>
        <v>0.45000000000000001</v>
      </c>
      <c r="BG224" s="95">
        <f>IFERROR(AVERAGEIFS(RdTRABYVals!V$2:V$999,RdTRABYVals!$B$2:$B$999,"="&amp;$E224,RdTRABYVals!$C$2:$C$999,"="&amp;INS_EFF!$B224),"")</f>
        <v>0.46000000000000002</v>
      </c>
      <c r="BH224" s="95">
        <f>IFERROR(AVERAGEIFS(RdTRABYVals!W$2:W$999,RdTRABYVals!$B$2:$B$999,"="&amp;$E224,RdTRABYVals!$C$2:$C$999,"="&amp;INS_EFF!$B224),"")</f>
        <v>0.40000000000000002</v>
      </c>
      <c r="BI224" s="95">
        <f>IFERROR(AVERAGEIFS(RdTRABYVals!X$2:X$999,RdTRABYVals!$B$2:$B$999,"="&amp;$E224,RdTRABYVals!$C$2:$C$999,"="&amp;INS_EFF!$B224),"")</f>
        <v>0.44</v>
      </c>
      <c r="BJ224" s="95">
        <f>IFERROR(AVERAGEIFS(RdTRABYVals!Y$2:Y$999,RdTRABYVals!$B$2:$B$999,"="&amp;$E224,RdTRABYVals!$C$2:$C$999,"="&amp;INS_EFF!$B224),"")</f>
        <v>0.41999999999999998</v>
      </c>
      <c r="BK224" s="95">
        <f>IFERROR(AVERAGEIFS(RdTRABYVals!Z$2:Z$999,RdTRABYVals!$B$2:$B$999,"="&amp;$E224,RdTRABYVals!$C$2:$C$999,"="&amp;INS_EFF!$B224),"")</f>
        <v>0.46000000000000002</v>
      </c>
      <c r="BL224" s="95">
        <f>IFERROR(AVERAGEIFS(RdTRABYVals!AA$2:AA$999,RdTRABYVals!$B$2:$B$999,"="&amp;$E224,RdTRABYVals!$C$2:$C$999,"="&amp;INS_EFF!$B224),"")</f>
        <v>0.42999999999999999</v>
      </c>
      <c r="BM224" s="95">
        <f>IFERROR(AVERAGEIFS(RdTRABYVals!AB$2:AB$999,RdTRABYVals!$B$2:$B$999,"="&amp;$E224,RdTRABYVals!$C$2:$C$999,"="&amp;INS_EFF!$B224),"")</f>
        <v>0.46000000000000002</v>
      </c>
      <c r="BN224" s="95">
        <f>IFERROR(AVERAGEIFS(RdTRABYVals!AC$2:AC$999,RdTRABYVals!$B$2:$B$999,"="&amp;$E224,RdTRABYVals!$C$2:$C$999,"="&amp;INS_EFF!$B224),"")</f>
        <v>0.44</v>
      </c>
      <c r="BO224" s="95">
        <f>IFERROR(AVERAGEIFS(RdTRABYVals!AD$2:AD$999,RdTRABYVals!$B$2:$B$999,"="&amp;$E224,RdTRABYVals!$C$2:$C$999,"="&amp;INS_EFF!$B224),"")</f>
        <v>0.41999999999999998</v>
      </c>
      <c r="BP224" s="95">
        <f>IFERROR(AVERAGEIFS(RdTRABYVals!AE$2:AE$999,RdTRABYVals!$B$2:$B$999,"="&amp;$E224,RdTRABYVals!$C$2:$C$999,"="&amp;INS_EFF!$B224),"")</f>
        <v>0.44</v>
      </c>
      <c r="BQ224" s="95">
        <f>IFERROR(AVERAGEIFS(RdTRABYVals!AF$2:AF$999,RdTRABYVals!$B$2:$B$999,"="&amp;$E224,RdTRABYVals!$C$2:$C$999,"="&amp;INS_EFF!$B224),"")</f>
        <v>0.42999999999999999</v>
      </c>
      <c r="BR224" s="95">
        <f>IFERROR(AVERAGEIFS(RdTRABYVals!AG$2:AG$999,RdTRABYVals!$B$2:$B$999,"="&amp;$E224,RdTRABYVals!$C$2:$C$999,"="&amp;INS_EFF!$B224),"")</f>
        <v>0.44</v>
      </c>
      <c r="BS224" s="95">
        <f>IFERROR(AVERAGEIFS(RdTRABYVals!AH$2:AH$999,RdTRABYVals!$B$2:$B$999,"="&amp;$E224,RdTRABYVals!$C$2:$C$999,"="&amp;INS_EFF!$B224),"")</f>
        <v>0.42999999999999999</v>
      </c>
      <c r="BT224" s="95">
        <f>IFERROR(AVERAGEIFS(RdTRABYVals!AI$2:AI$999,RdTRABYVals!$B$2:$B$999,"="&amp;$E224,RdTRABYVals!$C$2:$C$999,"="&amp;INS_EFF!$B224),"")</f>
        <v>0.45000000000000001</v>
      </c>
      <c r="BU224" s="95">
        <f>IFERROR(AVERAGEIFS(RdTRABYVals!AJ$2:AJ$999,RdTRABYVals!$B$2:$B$999,"="&amp;$E224,RdTRABYVals!$C$2:$C$999,"="&amp;INS_EFF!$B224),"")</f>
        <v>0.40000000000000002</v>
      </c>
      <c r="BV224" s="95">
        <f>IFERROR(AVERAGEIFS(RdTRABYVals!AK$2:AK$999,RdTRABYVals!$B$2:$B$999,"="&amp;$E224,RdTRABYVals!$C$2:$C$999,"="&amp;INS_EFF!$B224),"")</f>
        <v>0.42999999999999999</v>
      </c>
      <c r="BW224" s="95">
        <f>IFERROR(AVERAGEIFS(RdTRABYVals!AL$2:AL$999,RdTRABYVals!$B$2:$B$999,"="&amp;$E224,RdTRABYVals!$C$2:$C$999,"="&amp;INS_EFF!$B224),"")</f>
        <v>0.44</v>
      </c>
      <c r="BX224" s="95">
        <f>IFERROR(AVERAGEIFS(RdTRABYVals!AM$2:AM$999,RdTRABYVals!$B$2:$B$999,"="&amp;$E224,RdTRABYVals!$C$2:$C$999,"="&amp;INS_EFF!$B224),"")</f>
        <v>0.40000000000000002</v>
      </c>
      <c r="BY224" s="95">
        <f>IFERROR(AVERAGEIFS(RdTRABYVals!AN$2:AN$999,RdTRABYVals!$B$2:$B$999,"="&amp;$E224,RdTRABYVals!$C$2:$C$999,"="&amp;INS_EFF!$B224),"")</f>
        <v>0.41999999999999998</v>
      </c>
      <c r="BZ224" s="95">
        <f>IFERROR(AVERAGEIFS(RdTRABYVals!AO$2:AO$999,RdTRABYVals!$B$2:$B$999,"="&amp;$E224,RdTRABYVals!$C$2:$C$999,"="&amp;INS_EFF!$B224),"")</f>
        <v>0.42999999999999999</v>
      </c>
      <c r="CA224" s="95">
        <f>IFERROR(AVERAGEIFS(RdTRABYVals!AP$2:AP$999,RdTRABYVals!$B$2:$B$999,"="&amp;$E224,RdTRABYVals!$C$2:$C$999,"="&amp;INS_EFF!$B224),"")</f>
        <v>0.45000000000000001</v>
      </c>
      <c r="CB224" s="95">
        <f>IFERROR(AVERAGEIFS(RdTRABYVals!AQ$2:AQ$999,RdTRABYVals!$B$2:$B$999,"="&amp;$E224,RdTRABYVals!$C$2:$C$999,"="&amp;INS_EFF!$B224),"")</f>
        <v>0.39000000000000001</v>
      </c>
      <c r="CC224" s="95">
        <f>IFERROR(AVERAGEIFS(RdTRABYVals!AR$2:AR$999,RdTRABYVals!$B$2:$B$999,"="&amp;$E224,RdTRABYVals!$C$2:$C$999,"="&amp;INS_EFF!$B224),"")</f>
        <v>0.42999999999999999</v>
      </c>
      <c r="CD224" s="95">
        <f>IFERROR(AVERAGEIFS(RdTRABYVals!AS$2:AS$999,RdTRABYVals!$B$2:$B$999,"="&amp;$E224,RdTRABYVals!$C$2:$C$999,"="&amp;INS_EFF!$B224),"")</f>
        <v>0.46000000000000002</v>
      </c>
      <c r="CE224" s="95">
        <f>IFERROR(AVERAGEIFS(RdTRABYVals!AT$2:AT$999,RdTRABYVals!$B$2:$B$999,"="&amp;$E224,RdTRABYVals!$C$2:$C$999,"="&amp;INS_EFF!$B224),"")</f>
        <v>0.44</v>
      </c>
      <c r="CF224" s="95">
        <f>IFERROR(AVERAGEIFS(RdTRABYVals!AU$2:AU$999,RdTRABYVals!$B$2:$B$999,"="&amp;$E224,RdTRABYVals!$C$2:$C$999,"="&amp;INS_EFF!$B224),"")</f>
        <v>0.45000000000000001</v>
      </c>
      <c r="CG224" s="95">
        <f>IFERROR(AVERAGEIFS(RdTRABYVals!AV$2:AV$999,RdTRABYVals!$B$2:$B$999,"="&amp;$E224,RdTRABYVals!$C$2:$C$999,"="&amp;INS_EFF!$B224),"")</f>
        <v>0.46000000000000002</v>
      </c>
    </row>
    <row r="225" spans="2:85" ht="15">
      <c r="B225" s="24" t="s">
        <v>120</v>
      </c>
      <c r="C225" s="24"/>
      <c r="E225" s="18" t="s">
        <v>29</v>
      </c>
      <c r="F225" s="71"/>
      <c r="G225" t="s">
        <v>152</v>
      </c>
      <c r="I225" t="str">
        <f t="shared" si="12"/>
        <v>*0.442702702702703</v>
      </c>
      <c r="J225" t="str">
        <f t="shared" si="10"/>
        <v>*0.41</v>
      </c>
      <c r="K225" t="str">
        <f t="shared" si="10"/>
        <v>*0.45</v>
      </c>
      <c r="L225" t="str">
        <f t="shared" si="10"/>
        <v>*0.44</v>
      </c>
      <c r="M225" t="str">
        <f t="shared" si="10"/>
        <v>*0.43</v>
      </c>
      <c r="N225" t="str">
        <f t="shared" si="10"/>
        <v>*0.38</v>
      </c>
      <c r="O225" t="str">
        <f t="shared" si="10"/>
        <v>*0.44</v>
      </c>
      <c r="P225" t="str">
        <f t="shared" si="10"/>
        <v>*0.41</v>
      </c>
      <c r="Q225" t="str">
        <f t="shared" si="10"/>
        <v>*0.44</v>
      </c>
      <c r="R225" t="str">
        <f t="shared" si="10"/>
        <v>*0.44</v>
      </c>
      <c r="S225" t="str">
        <f t="shared" si="10"/>
        <v>*0.49</v>
      </c>
      <c r="T225" t="str">
        <f t="shared" si="10"/>
        <v>*0.47</v>
      </c>
      <c r="U225" t="str">
        <f t="shared" si="10"/>
        <v>*0.41</v>
      </c>
      <c r="V225" t="str">
        <f t="shared" si="10"/>
        <v>*0.45</v>
      </c>
      <c r="W225" s="20" t="str">
        <f t="shared" si="10"/>
        <v>*0.43</v>
      </c>
      <c r="X225" t="str">
        <f t="shared" si="10"/>
        <v>*0.47</v>
      </c>
      <c r="Y225" t="str">
        <f t="shared" si="10"/>
        <v>*0.44</v>
      </c>
      <c r="Z225" t="str">
        <f t="shared" si="13"/>
        <v>*0.46</v>
      </c>
      <c r="AA225" t="str">
        <f t="shared" si="13"/>
        <v>*0.46</v>
      </c>
      <c r="AB225" t="str">
        <f t="shared" si="13"/>
        <v>*0.45</v>
      </c>
      <c r="AC225" t="str">
        <f t="shared" si="13"/>
        <v>*0.45</v>
      </c>
      <c r="AD225" t="str">
        <f t="shared" si="13"/>
        <v>*0.44</v>
      </c>
      <c r="AE225" t="str">
        <f t="shared" si="13"/>
        <v>*0.44</v>
      </c>
      <c r="AF225" t="str">
        <f t="shared" si="13"/>
        <v>*0.48</v>
      </c>
      <c r="AG225" t="str">
        <f t="shared" si="13"/>
        <v>*0.45</v>
      </c>
      <c r="AH225" t="str">
        <f t="shared" si="13"/>
        <v>*0.41</v>
      </c>
      <c r="AI225" t="str">
        <f t="shared" si="13"/>
        <v>*0.44</v>
      </c>
      <c r="AJ225" t="str">
        <f t="shared" si="13"/>
        <v>*0.46</v>
      </c>
      <c r="AK225" t="str">
        <f t="shared" si="13"/>
        <v>*0.43</v>
      </c>
      <c r="AL225" t="str">
        <f t="shared" si="13"/>
        <v>*0.42</v>
      </c>
      <c r="AM225" t="str">
        <f t="shared" si="11"/>
        <v>*0.43</v>
      </c>
      <c r="AN225" t="str">
        <f t="shared" si="11"/>
        <v>*0.47</v>
      </c>
      <c r="AO225" t="str">
        <f t="shared" si="9"/>
        <v>*0.39</v>
      </c>
      <c r="AP225" t="str">
        <f t="shared" si="9"/>
        <v>*0.44</v>
      </c>
      <c r="AQ225" t="str">
        <f t="shared" si="9"/>
        <v>*0.48</v>
      </c>
      <c r="AR225" t="str">
        <f t="shared" si="9"/>
        <v>*0.44</v>
      </c>
      <c r="AS225" t="str">
        <f t="shared" si="9"/>
        <v>*0.46</v>
      </c>
      <c r="AT225" t="str">
        <f t="shared" si="9"/>
        <v>*0.48</v>
      </c>
      <c r="AV225" s="95">
        <f t="shared" si="7"/>
        <v>0.44270270270270262</v>
      </c>
      <c r="AW225" s="95">
        <f>IFERROR(AVERAGEIFS(RdTRABYVals!L$2:L$999,RdTRABYVals!$B$2:$B$999,"="&amp;$E225,RdTRABYVals!$C$2:$C$999,"="&amp;INS_EFF!$B225),"")</f>
        <v>0.40999999999999998</v>
      </c>
      <c r="AX225" s="95">
        <f>IFERROR(AVERAGEIFS(RdTRABYVals!M$2:M$999,RdTRABYVals!$B$2:$B$999,"="&amp;$E225,RdTRABYVals!$C$2:$C$999,"="&amp;INS_EFF!$B225),"")</f>
        <v>0.45000000000000001</v>
      </c>
      <c r="AY225" s="95">
        <f>IFERROR(AVERAGEIFS(RdTRABYVals!N$2:N$999,RdTRABYVals!$B$2:$B$999,"="&amp;$E225,RdTRABYVals!$C$2:$C$999,"="&amp;INS_EFF!$B225),"")</f>
        <v>0.44</v>
      </c>
      <c r="AZ225" s="95">
        <f>IFERROR(AVERAGEIFS(RdTRABYVals!O$2:O$999,RdTRABYVals!$B$2:$B$999,"="&amp;$E225,RdTRABYVals!$C$2:$C$999,"="&amp;INS_EFF!$B225),"")</f>
        <v>0.42999999999999999</v>
      </c>
      <c r="BA225" s="95">
        <f>IFERROR(AVERAGEIFS(RdTRABYVals!P$2:P$999,RdTRABYVals!$B$2:$B$999,"="&amp;$E225,RdTRABYVals!$C$2:$C$999,"="&amp;INS_EFF!$B225),"")</f>
        <v>0.38</v>
      </c>
      <c r="BB225" s="95">
        <f>IFERROR(AVERAGEIFS(RdTRABYVals!Q$2:Q$999,RdTRABYVals!$B$2:$B$999,"="&amp;$E225,RdTRABYVals!$C$2:$C$999,"="&amp;INS_EFF!$B225),"")</f>
        <v>0.44</v>
      </c>
      <c r="BC225" s="95">
        <f>IFERROR(AVERAGEIFS(RdTRABYVals!R$2:R$999,RdTRABYVals!$B$2:$B$999,"="&amp;$E225,RdTRABYVals!$C$2:$C$999,"="&amp;INS_EFF!$B225),"")</f>
        <v>0.40999999999999998</v>
      </c>
      <c r="BD225" s="95">
        <f>IFERROR(AVERAGEIFS(RdTRABYVals!S$2:S$999,RdTRABYVals!$B$2:$B$999,"="&amp;$E225,RdTRABYVals!$C$2:$C$999,"="&amp;INS_EFF!$B225),"")</f>
        <v>0.44</v>
      </c>
      <c r="BE225" s="95">
        <f>IFERROR(AVERAGEIFS(RdTRABYVals!T$2:T$999,RdTRABYVals!$B$2:$B$999,"="&amp;$E225,RdTRABYVals!$C$2:$C$999,"="&amp;INS_EFF!$B225),"")</f>
        <v>0.44</v>
      </c>
      <c r="BF225" s="95">
        <f>IFERROR(AVERAGEIFS(RdTRABYVals!U$2:U$999,RdTRABYVals!$B$2:$B$999,"="&amp;$E225,RdTRABYVals!$C$2:$C$999,"="&amp;INS_EFF!$B225),"")</f>
        <v>0.48999999999999999</v>
      </c>
      <c r="BG225" s="95">
        <f>IFERROR(AVERAGEIFS(RdTRABYVals!V$2:V$999,RdTRABYVals!$B$2:$B$999,"="&amp;$E225,RdTRABYVals!$C$2:$C$999,"="&amp;INS_EFF!$B225),"")</f>
        <v>0.46999999999999997</v>
      </c>
      <c r="BH225" s="95">
        <f>IFERROR(AVERAGEIFS(RdTRABYVals!W$2:W$999,RdTRABYVals!$B$2:$B$999,"="&amp;$E225,RdTRABYVals!$C$2:$C$999,"="&amp;INS_EFF!$B225),"")</f>
        <v>0.40999999999999998</v>
      </c>
      <c r="BI225" s="95">
        <f>IFERROR(AVERAGEIFS(RdTRABYVals!X$2:X$999,RdTRABYVals!$B$2:$B$999,"="&amp;$E225,RdTRABYVals!$C$2:$C$999,"="&amp;INS_EFF!$B225),"")</f>
        <v>0.45000000000000001</v>
      </c>
      <c r="BJ225" s="95">
        <f>IFERROR(AVERAGEIFS(RdTRABYVals!Y$2:Y$999,RdTRABYVals!$B$2:$B$999,"="&amp;$E225,RdTRABYVals!$C$2:$C$999,"="&amp;INS_EFF!$B225),"")</f>
        <v>0.42999999999999999</v>
      </c>
      <c r="BK225" s="95">
        <f>IFERROR(AVERAGEIFS(RdTRABYVals!Z$2:Z$999,RdTRABYVals!$B$2:$B$999,"="&amp;$E225,RdTRABYVals!$C$2:$C$999,"="&amp;INS_EFF!$B225),"")</f>
        <v>0.46999999999999997</v>
      </c>
      <c r="BL225" s="95">
        <f>IFERROR(AVERAGEIFS(RdTRABYVals!AA$2:AA$999,RdTRABYVals!$B$2:$B$999,"="&amp;$E225,RdTRABYVals!$C$2:$C$999,"="&amp;INS_EFF!$B225),"")</f>
        <v>0.44</v>
      </c>
      <c r="BM225" s="95">
        <f>IFERROR(AVERAGEIFS(RdTRABYVals!AB$2:AB$999,RdTRABYVals!$B$2:$B$999,"="&amp;$E225,RdTRABYVals!$C$2:$C$999,"="&amp;INS_EFF!$B225),"")</f>
        <v>0.46000000000000002</v>
      </c>
      <c r="BN225" s="95">
        <f>IFERROR(AVERAGEIFS(RdTRABYVals!AC$2:AC$999,RdTRABYVals!$B$2:$B$999,"="&amp;$E225,RdTRABYVals!$C$2:$C$999,"="&amp;INS_EFF!$B225),"")</f>
        <v>0.46000000000000002</v>
      </c>
      <c r="BO225" s="95">
        <f>IFERROR(AVERAGEIFS(RdTRABYVals!AD$2:AD$999,RdTRABYVals!$B$2:$B$999,"="&amp;$E225,RdTRABYVals!$C$2:$C$999,"="&amp;INS_EFF!$B225),"")</f>
        <v>0.45000000000000001</v>
      </c>
      <c r="BP225" s="95">
        <f>IFERROR(AVERAGEIFS(RdTRABYVals!AE$2:AE$999,RdTRABYVals!$B$2:$B$999,"="&amp;$E225,RdTRABYVals!$C$2:$C$999,"="&amp;INS_EFF!$B225),"")</f>
        <v>0.45000000000000001</v>
      </c>
      <c r="BQ225" s="95">
        <f>IFERROR(AVERAGEIFS(RdTRABYVals!AF$2:AF$999,RdTRABYVals!$B$2:$B$999,"="&amp;$E225,RdTRABYVals!$C$2:$C$999,"="&amp;INS_EFF!$B225),"")</f>
        <v>0.44</v>
      </c>
      <c r="BR225" s="95">
        <f>IFERROR(AVERAGEIFS(RdTRABYVals!AG$2:AG$999,RdTRABYVals!$B$2:$B$999,"="&amp;$E225,RdTRABYVals!$C$2:$C$999,"="&amp;INS_EFF!$B225),"")</f>
        <v>0.44</v>
      </c>
      <c r="BS225" s="95">
        <f>IFERROR(AVERAGEIFS(RdTRABYVals!AH$2:AH$999,RdTRABYVals!$B$2:$B$999,"="&amp;$E225,RdTRABYVals!$C$2:$C$999,"="&amp;INS_EFF!$B225),"")</f>
        <v>0.47999999999999998</v>
      </c>
      <c r="BT225" s="95">
        <f>IFERROR(AVERAGEIFS(RdTRABYVals!AI$2:AI$999,RdTRABYVals!$B$2:$B$999,"="&amp;$E225,RdTRABYVals!$C$2:$C$999,"="&amp;INS_EFF!$B225),"")</f>
        <v>0.45000000000000001</v>
      </c>
      <c r="BU225" s="95">
        <f>IFERROR(AVERAGEIFS(RdTRABYVals!AJ$2:AJ$999,RdTRABYVals!$B$2:$B$999,"="&amp;$E225,RdTRABYVals!$C$2:$C$999,"="&amp;INS_EFF!$B225),"")</f>
        <v>0.40999999999999998</v>
      </c>
      <c r="BV225" s="95">
        <f>IFERROR(AVERAGEIFS(RdTRABYVals!AK$2:AK$999,RdTRABYVals!$B$2:$B$999,"="&amp;$E225,RdTRABYVals!$C$2:$C$999,"="&amp;INS_EFF!$B225),"")</f>
        <v>0.44</v>
      </c>
      <c r="BW225" s="95">
        <f>IFERROR(AVERAGEIFS(RdTRABYVals!AL$2:AL$999,RdTRABYVals!$B$2:$B$999,"="&amp;$E225,RdTRABYVals!$C$2:$C$999,"="&amp;INS_EFF!$B225),"")</f>
        <v>0.46000000000000002</v>
      </c>
      <c r="BX225" s="95">
        <f>IFERROR(AVERAGEIFS(RdTRABYVals!AM$2:AM$999,RdTRABYVals!$B$2:$B$999,"="&amp;$E225,RdTRABYVals!$C$2:$C$999,"="&amp;INS_EFF!$B225),"")</f>
        <v>0.42999999999999999</v>
      </c>
      <c r="BY225" s="95">
        <f>IFERROR(AVERAGEIFS(RdTRABYVals!AN$2:AN$999,RdTRABYVals!$B$2:$B$999,"="&amp;$E225,RdTRABYVals!$C$2:$C$999,"="&amp;INS_EFF!$B225),"")</f>
        <v>0.41999999999999998</v>
      </c>
      <c r="BZ225" s="95">
        <f>IFERROR(AVERAGEIFS(RdTRABYVals!AO$2:AO$999,RdTRABYVals!$B$2:$B$999,"="&amp;$E225,RdTRABYVals!$C$2:$C$999,"="&amp;INS_EFF!$B225),"")</f>
        <v>0.42999999999999999</v>
      </c>
      <c r="CA225" s="95">
        <f>IFERROR(AVERAGEIFS(RdTRABYVals!AP$2:AP$999,RdTRABYVals!$B$2:$B$999,"="&amp;$E225,RdTRABYVals!$C$2:$C$999,"="&amp;INS_EFF!$B225),"")</f>
        <v>0.46999999999999997</v>
      </c>
      <c r="CB225" s="95">
        <f>IFERROR(AVERAGEIFS(RdTRABYVals!AQ$2:AQ$999,RdTRABYVals!$B$2:$B$999,"="&amp;$E225,RdTRABYVals!$C$2:$C$999,"="&amp;INS_EFF!$B225),"")</f>
        <v>0.39000000000000001</v>
      </c>
      <c r="CC225" s="95">
        <f>IFERROR(AVERAGEIFS(RdTRABYVals!AR$2:AR$999,RdTRABYVals!$B$2:$B$999,"="&amp;$E225,RdTRABYVals!$C$2:$C$999,"="&amp;INS_EFF!$B225),"")</f>
        <v>0.44</v>
      </c>
      <c r="CD225" s="95">
        <f>IFERROR(AVERAGEIFS(RdTRABYVals!AS$2:AS$999,RdTRABYVals!$B$2:$B$999,"="&amp;$E225,RdTRABYVals!$C$2:$C$999,"="&amp;INS_EFF!$B225),"")</f>
        <v>0.47999999999999998</v>
      </c>
      <c r="CE225" s="95">
        <f>IFERROR(AVERAGEIFS(RdTRABYVals!AT$2:AT$999,RdTRABYVals!$B$2:$B$999,"="&amp;$E225,RdTRABYVals!$C$2:$C$999,"="&amp;INS_EFF!$B225),"")</f>
        <v>0.44</v>
      </c>
      <c r="CF225" s="95">
        <f>IFERROR(AVERAGEIFS(RdTRABYVals!AU$2:AU$999,RdTRABYVals!$B$2:$B$999,"="&amp;$E225,RdTRABYVals!$C$2:$C$999,"="&amp;INS_EFF!$B225),"")</f>
        <v>0.46000000000000002</v>
      </c>
      <c r="CG225" s="95">
        <f>IFERROR(AVERAGEIFS(RdTRABYVals!AV$2:AV$999,RdTRABYVals!$B$2:$B$999,"="&amp;$E225,RdTRABYVals!$C$2:$C$999,"="&amp;INS_EFF!$B225),"")</f>
        <v>0.47999999999999998</v>
      </c>
    </row>
    <row r="226" spans="2:85" ht="15">
      <c r="B226" s="24" t="s">
        <v>121</v>
      </c>
      <c r="C226" s="24"/>
      <c r="E226" s="18" t="s">
        <v>29</v>
      </c>
      <c r="F226" s="71"/>
      <c r="G226" t="s">
        <v>153</v>
      </c>
      <c r="I226" t="str">
        <f t="shared" si="12"/>
        <v>*0.364054054054054</v>
      </c>
      <c r="J226" t="str">
        <f t="shared" si="10"/>
        <v>*0.34</v>
      </c>
      <c r="K226" t="str">
        <f t="shared" si="10"/>
        <v>*0.37</v>
      </c>
      <c r="L226" t="str">
        <f t="shared" si="10"/>
        <v>*0.36</v>
      </c>
      <c r="M226" t="str">
        <f t="shared" si="10"/>
        <v>*0.36</v>
      </c>
      <c r="N226" t="str">
        <f t="shared" si="10"/>
        <v>*0.32</v>
      </c>
      <c r="O226" t="str">
        <f t="shared" si="10"/>
        <v>*0.36</v>
      </c>
      <c r="P226" t="str">
        <f t="shared" si="10"/>
        <v>*0.33</v>
      </c>
      <c r="Q226" t="str">
        <f t="shared" si="10"/>
        <v>*0.37</v>
      </c>
      <c r="R226" t="str">
        <f t="shared" si="10"/>
        <v>*0.37</v>
      </c>
      <c r="S226" t="str">
        <f t="shared" si="10"/>
        <v>*0.38</v>
      </c>
      <c r="T226" t="str">
        <f t="shared" si="10"/>
        <v>*0.4</v>
      </c>
      <c r="U226" t="str">
        <f t="shared" si="10"/>
        <v>*0.34</v>
      </c>
      <c r="V226" t="str">
        <f t="shared" si="10"/>
        <v>*0.38</v>
      </c>
      <c r="W226" s="20" t="str">
        <f t="shared" si="10"/>
        <v>*0.36</v>
      </c>
      <c r="X226" t="str">
        <f t="shared" si="10"/>
        <v>*0.38</v>
      </c>
      <c r="Y226" t="str">
        <f t="shared" si="10"/>
        <v>*0.36</v>
      </c>
      <c r="Z226" t="str">
        <f t="shared" si="13"/>
        <v>*0.39</v>
      </c>
      <c r="AA226" t="str">
        <f t="shared" si="13"/>
        <v>*0.37</v>
      </c>
      <c r="AB226" t="str">
        <f t="shared" si="13"/>
        <v>*0.35</v>
      </c>
      <c r="AC226" t="str">
        <f t="shared" si="13"/>
        <v>*0.37</v>
      </c>
      <c r="AD226" t="str">
        <f t="shared" si="13"/>
        <v>*0.36</v>
      </c>
      <c r="AE226" t="str">
        <f t="shared" si="13"/>
        <v>*0.36</v>
      </c>
      <c r="AF226" t="str">
        <f t="shared" si="13"/>
        <v>*0.36</v>
      </c>
      <c r="AG226" t="str">
        <f t="shared" si="13"/>
        <v>*0.38</v>
      </c>
      <c r="AH226" t="str">
        <f t="shared" si="13"/>
        <v>*0.34</v>
      </c>
      <c r="AI226" t="str">
        <f t="shared" si="13"/>
        <v>*0.36</v>
      </c>
      <c r="AJ226" t="str">
        <f t="shared" si="13"/>
        <v>*0.37</v>
      </c>
      <c r="AK226" t="str">
        <f t="shared" si="13"/>
        <v>*0.34</v>
      </c>
      <c r="AL226" t="str">
        <f t="shared" si="13"/>
        <v>*0.36</v>
      </c>
      <c r="AM226" t="str">
        <f t="shared" si="11"/>
        <v>*0.37</v>
      </c>
      <c r="AN226" t="str">
        <f t="shared" si="11"/>
        <v>*0.39</v>
      </c>
      <c r="AO226" t="str">
        <f t="shared" si="9"/>
        <v>*0.33</v>
      </c>
      <c r="AP226" t="str">
        <f t="shared" si="9"/>
        <v>*0.36</v>
      </c>
      <c r="AQ226" t="str">
        <f t="shared" si="9"/>
        <v>*0.38</v>
      </c>
      <c r="AR226" t="str">
        <f t="shared" si="9"/>
        <v>*0.37</v>
      </c>
      <c r="AS226" t="str">
        <f t="shared" si="9"/>
        <v>*0.39</v>
      </c>
      <c r="AT226" t="str">
        <f t="shared" si="9"/>
        <v>*0.39</v>
      </c>
      <c r="AV226" s="95">
        <f t="shared" si="7"/>
        <v>0.364054054054054</v>
      </c>
      <c r="AW226" s="95">
        <f>IFERROR(AVERAGEIFS(RdTRABYVals!L$2:L$999,RdTRABYVals!$B$2:$B$999,"="&amp;$E226,RdTRABYVals!$C$2:$C$999,"="&amp;INS_EFF!$B226),"")</f>
        <v>0.34000000000000002</v>
      </c>
      <c r="AX226" s="95">
        <f>IFERROR(AVERAGEIFS(RdTRABYVals!M$2:M$999,RdTRABYVals!$B$2:$B$999,"="&amp;$E226,RdTRABYVals!$C$2:$C$999,"="&amp;INS_EFF!$B226),"")</f>
        <v>0.37</v>
      </c>
      <c r="AY226" s="95">
        <f>IFERROR(AVERAGEIFS(RdTRABYVals!N$2:N$999,RdTRABYVals!$B$2:$B$999,"="&amp;$E226,RdTRABYVals!$C$2:$C$999,"="&amp;INS_EFF!$B226),"")</f>
        <v>0.35999999999999999</v>
      </c>
      <c r="AZ226" s="95">
        <f>IFERROR(AVERAGEIFS(RdTRABYVals!O$2:O$999,RdTRABYVals!$B$2:$B$999,"="&amp;$E226,RdTRABYVals!$C$2:$C$999,"="&amp;INS_EFF!$B226),"")</f>
        <v>0.35999999999999999</v>
      </c>
      <c r="BA226" s="95">
        <f>IFERROR(AVERAGEIFS(RdTRABYVals!P$2:P$999,RdTRABYVals!$B$2:$B$999,"="&amp;$E226,RdTRABYVals!$C$2:$C$999,"="&amp;INS_EFF!$B226),"")</f>
        <v>0.32000000000000001</v>
      </c>
      <c r="BB226" s="95">
        <f>IFERROR(AVERAGEIFS(RdTRABYVals!Q$2:Q$999,RdTRABYVals!$B$2:$B$999,"="&amp;$E226,RdTRABYVals!$C$2:$C$999,"="&amp;INS_EFF!$B226),"")</f>
        <v>0.35999999999999999</v>
      </c>
      <c r="BC226" s="95">
        <f>IFERROR(AVERAGEIFS(RdTRABYVals!R$2:R$999,RdTRABYVals!$B$2:$B$999,"="&amp;$E226,RdTRABYVals!$C$2:$C$999,"="&amp;INS_EFF!$B226),"")</f>
        <v>0.33000000000000002</v>
      </c>
      <c r="BD226" s="95">
        <f>IFERROR(AVERAGEIFS(RdTRABYVals!S$2:S$999,RdTRABYVals!$B$2:$B$999,"="&amp;$E226,RdTRABYVals!$C$2:$C$999,"="&amp;INS_EFF!$B226),"")</f>
        <v>0.37</v>
      </c>
      <c r="BE226" s="95">
        <f>IFERROR(AVERAGEIFS(RdTRABYVals!T$2:T$999,RdTRABYVals!$B$2:$B$999,"="&amp;$E226,RdTRABYVals!$C$2:$C$999,"="&amp;INS_EFF!$B226),"")</f>
        <v>0.37</v>
      </c>
      <c r="BF226" s="95">
        <f>IFERROR(AVERAGEIFS(RdTRABYVals!U$2:U$999,RdTRABYVals!$B$2:$B$999,"="&amp;$E226,RdTRABYVals!$C$2:$C$999,"="&amp;INS_EFF!$B226),"")</f>
        <v>0.38</v>
      </c>
      <c r="BG226" s="95">
        <f>IFERROR(AVERAGEIFS(RdTRABYVals!V$2:V$999,RdTRABYVals!$B$2:$B$999,"="&amp;$E226,RdTRABYVals!$C$2:$C$999,"="&amp;INS_EFF!$B226),"")</f>
        <v>0.40000000000000002</v>
      </c>
      <c r="BH226" s="95">
        <f>IFERROR(AVERAGEIFS(RdTRABYVals!W$2:W$999,RdTRABYVals!$B$2:$B$999,"="&amp;$E226,RdTRABYVals!$C$2:$C$999,"="&amp;INS_EFF!$B226),"")</f>
        <v>0.34000000000000002</v>
      </c>
      <c r="BI226" s="95">
        <f>IFERROR(AVERAGEIFS(RdTRABYVals!X$2:X$999,RdTRABYVals!$B$2:$B$999,"="&amp;$E226,RdTRABYVals!$C$2:$C$999,"="&amp;INS_EFF!$B226),"")</f>
        <v>0.38</v>
      </c>
      <c r="BJ226" s="95">
        <f>IFERROR(AVERAGEIFS(RdTRABYVals!Y$2:Y$999,RdTRABYVals!$B$2:$B$999,"="&amp;$E226,RdTRABYVals!$C$2:$C$999,"="&amp;INS_EFF!$B226),"")</f>
        <v>0.35999999999999999</v>
      </c>
      <c r="BK226" s="95">
        <f>IFERROR(AVERAGEIFS(RdTRABYVals!Z$2:Z$999,RdTRABYVals!$B$2:$B$999,"="&amp;$E226,RdTRABYVals!$C$2:$C$999,"="&amp;INS_EFF!$B226),"")</f>
        <v>0.38</v>
      </c>
      <c r="BL226" s="95">
        <f>IFERROR(AVERAGEIFS(RdTRABYVals!AA$2:AA$999,RdTRABYVals!$B$2:$B$999,"="&amp;$E226,RdTRABYVals!$C$2:$C$999,"="&amp;INS_EFF!$B226),"")</f>
        <v>0.35999999999999999</v>
      </c>
      <c r="BM226" s="95">
        <f>IFERROR(AVERAGEIFS(RdTRABYVals!AB$2:AB$999,RdTRABYVals!$B$2:$B$999,"="&amp;$E226,RdTRABYVals!$C$2:$C$999,"="&amp;INS_EFF!$B226),"")</f>
        <v>0.39000000000000001</v>
      </c>
      <c r="BN226" s="95">
        <f>IFERROR(AVERAGEIFS(RdTRABYVals!AC$2:AC$999,RdTRABYVals!$B$2:$B$999,"="&amp;$E226,RdTRABYVals!$C$2:$C$999,"="&amp;INS_EFF!$B226),"")</f>
        <v>0.37</v>
      </c>
      <c r="BO226" s="95">
        <f>IFERROR(AVERAGEIFS(RdTRABYVals!AD$2:AD$999,RdTRABYVals!$B$2:$B$999,"="&amp;$E226,RdTRABYVals!$C$2:$C$999,"="&amp;INS_EFF!$B226),"")</f>
        <v>0.34999999999999998</v>
      </c>
      <c r="BP226" s="95">
        <f>IFERROR(AVERAGEIFS(RdTRABYVals!AE$2:AE$999,RdTRABYVals!$B$2:$B$999,"="&amp;$E226,RdTRABYVals!$C$2:$C$999,"="&amp;INS_EFF!$B226),"")</f>
        <v>0.37</v>
      </c>
      <c r="BQ226" s="95">
        <f>IFERROR(AVERAGEIFS(RdTRABYVals!AF$2:AF$999,RdTRABYVals!$B$2:$B$999,"="&amp;$E226,RdTRABYVals!$C$2:$C$999,"="&amp;INS_EFF!$B226),"")</f>
        <v>0.35999999999999999</v>
      </c>
      <c r="BR226" s="95">
        <f>IFERROR(AVERAGEIFS(RdTRABYVals!AG$2:AG$999,RdTRABYVals!$B$2:$B$999,"="&amp;$E226,RdTRABYVals!$C$2:$C$999,"="&amp;INS_EFF!$B226),"")</f>
        <v>0.35999999999999999</v>
      </c>
      <c r="BS226" s="95">
        <f>IFERROR(AVERAGEIFS(RdTRABYVals!AH$2:AH$999,RdTRABYVals!$B$2:$B$999,"="&amp;$E226,RdTRABYVals!$C$2:$C$999,"="&amp;INS_EFF!$B226),"")</f>
        <v>0.35999999999999999</v>
      </c>
      <c r="BT226" s="95">
        <f>IFERROR(AVERAGEIFS(RdTRABYVals!AI$2:AI$999,RdTRABYVals!$B$2:$B$999,"="&amp;$E226,RdTRABYVals!$C$2:$C$999,"="&amp;INS_EFF!$B226),"")</f>
        <v>0.38</v>
      </c>
      <c r="BU226" s="95">
        <f>IFERROR(AVERAGEIFS(RdTRABYVals!AJ$2:AJ$999,RdTRABYVals!$B$2:$B$999,"="&amp;$E226,RdTRABYVals!$C$2:$C$999,"="&amp;INS_EFF!$B226),"")</f>
        <v>0.34000000000000002</v>
      </c>
      <c r="BV226" s="95">
        <f>IFERROR(AVERAGEIFS(RdTRABYVals!AK$2:AK$999,RdTRABYVals!$B$2:$B$999,"="&amp;$E226,RdTRABYVals!$C$2:$C$999,"="&amp;INS_EFF!$B226),"")</f>
        <v>0.35999999999999999</v>
      </c>
      <c r="BW226" s="95">
        <f>IFERROR(AVERAGEIFS(RdTRABYVals!AL$2:AL$999,RdTRABYVals!$B$2:$B$999,"="&amp;$E226,RdTRABYVals!$C$2:$C$999,"="&amp;INS_EFF!$B226),"")</f>
        <v>0.37</v>
      </c>
      <c r="BX226" s="95">
        <f>IFERROR(AVERAGEIFS(RdTRABYVals!AM$2:AM$999,RdTRABYVals!$B$2:$B$999,"="&amp;$E226,RdTRABYVals!$C$2:$C$999,"="&amp;INS_EFF!$B226),"")</f>
        <v>0.34000000000000002</v>
      </c>
      <c r="BY226" s="95">
        <f>IFERROR(AVERAGEIFS(RdTRABYVals!AN$2:AN$999,RdTRABYVals!$B$2:$B$999,"="&amp;$E226,RdTRABYVals!$C$2:$C$999,"="&amp;INS_EFF!$B226),"")</f>
        <v>0.35999999999999999</v>
      </c>
      <c r="BZ226" s="95">
        <f>IFERROR(AVERAGEIFS(RdTRABYVals!AO$2:AO$999,RdTRABYVals!$B$2:$B$999,"="&amp;$E226,RdTRABYVals!$C$2:$C$999,"="&amp;INS_EFF!$B226),"")</f>
        <v>0.37</v>
      </c>
      <c r="CA226" s="95">
        <f>IFERROR(AVERAGEIFS(RdTRABYVals!AP$2:AP$999,RdTRABYVals!$B$2:$B$999,"="&amp;$E226,RdTRABYVals!$C$2:$C$999,"="&amp;INS_EFF!$B226),"")</f>
        <v>0.39000000000000001</v>
      </c>
      <c r="CB226" s="95">
        <f>IFERROR(AVERAGEIFS(RdTRABYVals!AQ$2:AQ$999,RdTRABYVals!$B$2:$B$999,"="&amp;$E226,RdTRABYVals!$C$2:$C$999,"="&amp;INS_EFF!$B226),"")</f>
        <v>0.33000000000000002</v>
      </c>
      <c r="CC226" s="95">
        <f>IFERROR(AVERAGEIFS(RdTRABYVals!AR$2:AR$999,RdTRABYVals!$B$2:$B$999,"="&amp;$E226,RdTRABYVals!$C$2:$C$999,"="&amp;INS_EFF!$B226),"")</f>
        <v>0.35999999999999999</v>
      </c>
      <c r="CD226" s="95">
        <f>IFERROR(AVERAGEIFS(RdTRABYVals!AS$2:AS$999,RdTRABYVals!$B$2:$B$999,"="&amp;$E226,RdTRABYVals!$C$2:$C$999,"="&amp;INS_EFF!$B226),"")</f>
        <v>0.38</v>
      </c>
      <c r="CE226" s="95">
        <f>IFERROR(AVERAGEIFS(RdTRABYVals!AT$2:AT$999,RdTRABYVals!$B$2:$B$999,"="&amp;$E226,RdTRABYVals!$C$2:$C$999,"="&amp;INS_EFF!$B226),"")</f>
        <v>0.37</v>
      </c>
      <c r="CF226" s="95">
        <f>IFERROR(AVERAGEIFS(RdTRABYVals!AU$2:AU$999,RdTRABYVals!$B$2:$B$999,"="&amp;$E226,RdTRABYVals!$C$2:$C$999,"="&amp;INS_EFF!$B226),"")</f>
        <v>0.39000000000000001</v>
      </c>
      <c r="CG226" s="95">
        <f>IFERROR(AVERAGEIFS(RdTRABYVals!AV$2:AV$999,RdTRABYVals!$B$2:$B$999,"="&amp;$E226,RdTRABYVals!$C$2:$C$999,"="&amp;INS_EFF!$B226),"")</f>
        <v>0.39000000000000001</v>
      </c>
    </row>
    <row r="227" spans="2:85" ht="15">
      <c r="B227" s="24" t="s">
        <v>118</v>
      </c>
      <c r="C227" s="24"/>
      <c r="E227" s="18" t="s">
        <v>29</v>
      </c>
      <c r="F227" s="71"/>
      <c r="G227" t="s">
        <v>142</v>
      </c>
      <c r="I227" t="str">
        <f t="shared" si="12"/>
        <v>*0.261891891891892</v>
      </c>
      <c r="J227" t="str">
        <f t="shared" si="10"/>
        <v>*0.23</v>
      </c>
      <c r="K227" t="str">
        <f t="shared" si="10"/>
        <v>*0.24</v>
      </c>
      <c r="L227" t="str">
        <f t="shared" si="10"/>
        <v>*0.28</v>
      </c>
      <c r="M227" t="str">
        <f t="shared" si="10"/>
        <v>*0.25</v>
      </c>
      <c r="N227" t="str">
        <f t="shared" si="10"/>
        <v>*0.22</v>
      </c>
      <c r="O227" t="str">
        <f t="shared" si="10"/>
        <v>*0.25</v>
      </c>
      <c r="P227" t="str">
        <f t="shared" si="10"/>
        <v>*0.24</v>
      </c>
      <c r="Q227" t="str">
        <f t="shared" si="10"/>
        <v>*0.27</v>
      </c>
      <c r="R227" t="str">
        <f t="shared" si="10"/>
        <v>*0.25</v>
      </c>
      <c r="S227" t="str">
        <f t="shared" si="10"/>
        <v>*0.29</v>
      </c>
      <c r="T227" t="str">
        <f t="shared" si="10"/>
        <v>*0.31</v>
      </c>
      <c r="U227" t="str">
        <f t="shared" si="10"/>
        <v>*0.23</v>
      </c>
      <c r="V227" t="str">
        <f t="shared" si="10"/>
        <v>*0.29</v>
      </c>
      <c r="W227" s="20" t="str">
        <f t="shared" si="10"/>
        <v>*0.26</v>
      </c>
      <c r="X227" t="str">
        <f t="shared" si="10"/>
        <v>*0.26</v>
      </c>
      <c r="Y227" t="str">
        <f t="shared" si="10"/>
        <v>*0.28</v>
      </c>
      <c r="Z227" t="str">
        <f t="shared" si="13"/>
        <v>*0.29</v>
      </c>
      <c r="AA227" t="str">
        <f t="shared" si="13"/>
        <v>*0.24</v>
      </c>
      <c r="AB227" t="str">
        <f t="shared" si="13"/>
        <v>*0.25</v>
      </c>
      <c r="AC227" t="str">
        <f t="shared" si="13"/>
        <v>*0.23</v>
      </c>
      <c r="AD227" t="str">
        <f t="shared" si="13"/>
        <v>*0.28</v>
      </c>
      <c r="AE227" t="str">
        <f t="shared" si="13"/>
        <v>*0.28</v>
      </c>
      <c r="AF227" t="str">
        <f t="shared" si="13"/>
        <v>*0.26</v>
      </c>
      <c r="AG227" t="str">
        <f t="shared" si="13"/>
        <v>*0.28</v>
      </c>
      <c r="AH227" t="str">
        <f t="shared" si="13"/>
        <v>*0.23</v>
      </c>
      <c r="AI227" t="str">
        <f t="shared" si="13"/>
        <v>*0.26</v>
      </c>
      <c r="AJ227" t="str">
        <f t="shared" si="13"/>
        <v>*0.28</v>
      </c>
      <c r="AK227" t="str">
        <f t="shared" si="13"/>
        <v>*0.25</v>
      </c>
      <c r="AL227" t="str">
        <f t="shared" si="13"/>
        <v>*0.27</v>
      </c>
      <c r="AM227" t="str">
        <f t="shared" si="11"/>
        <v>*0.28</v>
      </c>
      <c r="AN227" t="str">
        <f t="shared" si="11"/>
        <v>*0.27</v>
      </c>
      <c r="AO227" t="str">
        <f t="shared" si="9"/>
        <v>*0.21</v>
      </c>
      <c r="AP227" t="str">
        <f t="shared" si="9"/>
        <v>*0.28</v>
      </c>
      <c r="AQ227" t="str">
        <f t="shared" si="9"/>
        <v>*0.28</v>
      </c>
      <c r="AR227" t="str">
        <f t="shared" si="9"/>
        <v>*0.28</v>
      </c>
      <c r="AS227" t="str">
        <f t="shared" si="9"/>
        <v>*0.28</v>
      </c>
      <c r="AT227" t="str">
        <f t="shared" si="9"/>
        <v>*0.26</v>
      </c>
      <c r="AV227" s="95">
        <f t="shared" si="7"/>
        <v>0.26189189189189194</v>
      </c>
      <c r="AW227" s="95">
        <f>IFERROR(AVERAGEIFS(RdTRABYVals!L$2:L$999,RdTRABYVals!$B$2:$B$999,"="&amp;$E227,RdTRABYVals!$C$2:$C$999,"="&amp;INS_EFF!$B227),"")</f>
        <v>0.23000000000000001</v>
      </c>
      <c r="AX227" s="95">
        <f>IFERROR(AVERAGEIFS(RdTRABYVals!M$2:M$999,RdTRABYVals!$B$2:$B$999,"="&amp;$E227,RdTRABYVals!$C$2:$C$999,"="&amp;INS_EFF!$B227),"")</f>
        <v>0.23999999999999999</v>
      </c>
      <c r="AY227" s="95">
        <f>IFERROR(AVERAGEIFS(RdTRABYVals!N$2:N$999,RdTRABYVals!$B$2:$B$999,"="&amp;$E227,RdTRABYVals!$C$2:$C$999,"="&amp;INS_EFF!$B227),"")</f>
        <v>0.28000000000000003</v>
      </c>
      <c r="AZ227" s="95">
        <f>IFERROR(AVERAGEIFS(RdTRABYVals!O$2:O$999,RdTRABYVals!$B$2:$B$999,"="&amp;$E227,RdTRABYVals!$C$2:$C$999,"="&amp;INS_EFF!$B227),"")</f>
        <v>0.25</v>
      </c>
      <c r="BA227" s="95">
        <f>IFERROR(AVERAGEIFS(RdTRABYVals!P$2:P$999,RdTRABYVals!$B$2:$B$999,"="&amp;$E227,RdTRABYVals!$C$2:$C$999,"="&amp;INS_EFF!$B227),"")</f>
        <v>0.22</v>
      </c>
      <c r="BB227" s="95">
        <f>IFERROR(AVERAGEIFS(RdTRABYVals!Q$2:Q$999,RdTRABYVals!$B$2:$B$999,"="&amp;$E227,RdTRABYVals!$C$2:$C$999,"="&amp;INS_EFF!$B227),"")</f>
        <v>0.25</v>
      </c>
      <c r="BC227" s="95">
        <f>IFERROR(AVERAGEIFS(RdTRABYVals!R$2:R$999,RdTRABYVals!$B$2:$B$999,"="&amp;$E227,RdTRABYVals!$C$2:$C$999,"="&amp;INS_EFF!$B227),"")</f>
        <v>0.23999999999999999</v>
      </c>
      <c r="BD227" s="95">
        <f>IFERROR(AVERAGEIFS(RdTRABYVals!S$2:S$999,RdTRABYVals!$B$2:$B$999,"="&amp;$E227,RdTRABYVals!$C$2:$C$999,"="&amp;INS_EFF!$B227),"")</f>
        <v>0.27000000000000002</v>
      </c>
      <c r="BE227" s="95">
        <f>IFERROR(AVERAGEIFS(RdTRABYVals!T$2:T$999,RdTRABYVals!$B$2:$B$999,"="&amp;$E227,RdTRABYVals!$C$2:$C$999,"="&amp;INS_EFF!$B227),"")</f>
        <v>0.25</v>
      </c>
      <c r="BF227" s="95">
        <f>IFERROR(AVERAGEIFS(RdTRABYVals!U$2:U$999,RdTRABYVals!$B$2:$B$999,"="&amp;$E227,RdTRABYVals!$C$2:$C$999,"="&amp;INS_EFF!$B227),"")</f>
        <v>0.28999999999999998</v>
      </c>
      <c r="BG227" s="95">
        <f>IFERROR(AVERAGEIFS(RdTRABYVals!V$2:V$999,RdTRABYVals!$B$2:$B$999,"="&amp;$E227,RdTRABYVals!$C$2:$C$999,"="&amp;INS_EFF!$B227),"")</f>
        <v>0.31</v>
      </c>
      <c r="BH227" s="95">
        <f>IFERROR(AVERAGEIFS(RdTRABYVals!W$2:W$999,RdTRABYVals!$B$2:$B$999,"="&amp;$E227,RdTRABYVals!$C$2:$C$999,"="&amp;INS_EFF!$B227),"")</f>
        <v>0.23000000000000001</v>
      </c>
      <c r="BI227" s="95">
        <f>IFERROR(AVERAGEIFS(RdTRABYVals!X$2:X$999,RdTRABYVals!$B$2:$B$999,"="&amp;$E227,RdTRABYVals!$C$2:$C$999,"="&amp;INS_EFF!$B227),"")</f>
        <v>0.28999999999999998</v>
      </c>
      <c r="BJ227" s="95">
        <f>IFERROR(AVERAGEIFS(RdTRABYVals!Y$2:Y$999,RdTRABYVals!$B$2:$B$999,"="&amp;$E227,RdTRABYVals!$C$2:$C$999,"="&amp;INS_EFF!$B227),"")</f>
        <v>0.26000000000000001</v>
      </c>
      <c r="BK227" s="95">
        <f>IFERROR(AVERAGEIFS(RdTRABYVals!Z$2:Z$999,RdTRABYVals!$B$2:$B$999,"="&amp;$E227,RdTRABYVals!$C$2:$C$999,"="&amp;INS_EFF!$B227),"")</f>
        <v>0.26000000000000001</v>
      </c>
      <c r="BL227" s="95">
        <f>IFERROR(AVERAGEIFS(RdTRABYVals!AA$2:AA$999,RdTRABYVals!$B$2:$B$999,"="&amp;$E227,RdTRABYVals!$C$2:$C$999,"="&amp;INS_EFF!$B227),"")</f>
        <v>0.28000000000000003</v>
      </c>
      <c r="BM227" s="95">
        <f>IFERROR(AVERAGEIFS(RdTRABYVals!AB$2:AB$999,RdTRABYVals!$B$2:$B$999,"="&amp;$E227,RdTRABYVals!$C$2:$C$999,"="&amp;INS_EFF!$B227),"")</f>
        <v>0.28999999999999998</v>
      </c>
      <c r="BN227" s="95">
        <f>IFERROR(AVERAGEIFS(RdTRABYVals!AC$2:AC$999,RdTRABYVals!$B$2:$B$999,"="&amp;$E227,RdTRABYVals!$C$2:$C$999,"="&amp;INS_EFF!$B227),"")</f>
        <v>0.23999999999999999</v>
      </c>
      <c r="BO227" s="95">
        <f>IFERROR(AVERAGEIFS(RdTRABYVals!AD$2:AD$999,RdTRABYVals!$B$2:$B$999,"="&amp;$E227,RdTRABYVals!$C$2:$C$999,"="&amp;INS_EFF!$B227),"")</f>
        <v>0.25</v>
      </c>
      <c r="BP227" s="95">
        <f>IFERROR(AVERAGEIFS(RdTRABYVals!AE$2:AE$999,RdTRABYVals!$B$2:$B$999,"="&amp;$E227,RdTRABYVals!$C$2:$C$999,"="&amp;INS_EFF!$B227),"")</f>
        <v>0.23000000000000001</v>
      </c>
      <c r="BQ227" s="95">
        <f>IFERROR(AVERAGEIFS(RdTRABYVals!AF$2:AF$999,RdTRABYVals!$B$2:$B$999,"="&amp;$E227,RdTRABYVals!$C$2:$C$999,"="&amp;INS_EFF!$B227),"")</f>
        <v>0.28000000000000003</v>
      </c>
      <c r="BR227" s="95">
        <f>IFERROR(AVERAGEIFS(RdTRABYVals!AG$2:AG$999,RdTRABYVals!$B$2:$B$999,"="&amp;$E227,RdTRABYVals!$C$2:$C$999,"="&amp;INS_EFF!$B227),"")</f>
        <v>0.28000000000000003</v>
      </c>
      <c r="BS227" s="95">
        <f>IFERROR(AVERAGEIFS(RdTRABYVals!AH$2:AH$999,RdTRABYVals!$B$2:$B$999,"="&amp;$E227,RdTRABYVals!$C$2:$C$999,"="&amp;INS_EFF!$B227),"")</f>
        <v>0.26000000000000001</v>
      </c>
      <c r="BT227" s="95">
        <f>IFERROR(AVERAGEIFS(RdTRABYVals!AI$2:AI$999,RdTRABYVals!$B$2:$B$999,"="&amp;$E227,RdTRABYVals!$C$2:$C$999,"="&amp;INS_EFF!$B227),"")</f>
        <v>0.28000000000000003</v>
      </c>
      <c r="BU227" s="95">
        <f>IFERROR(AVERAGEIFS(RdTRABYVals!AJ$2:AJ$999,RdTRABYVals!$B$2:$B$999,"="&amp;$E227,RdTRABYVals!$C$2:$C$999,"="&amp;INS_EFF!$B227),"")</f>
        <v>0.23000000000000001</v>
      </c>
      <c r="BV227" s="95">
        <f>IFERROR(AVERAGEIFS(RdTRABYVals!AK$2:AK$999,RdTRABYVals!$B$2:$B$999,"="&amp;$E227,RdTRABYVals!$C$2:$C$999,"="&amp;INS_EFF!$B227),"")</f>
        <v>0.26000000000000001</v>
      </c>
      <c r="BW227" s="95">
        <f>IFERROR(AVERAGEIFS(RdTRABYVals!AL$2:AL$999,RdTRABYVals!$B$2:$B$999,"="&amp;$E227,RdTRABYVals!$C$2:$C$999,"="&amp;INS_EFF!$B227),"")</f>
        <v>0.28000000000000003</v>
      </c>
      <c r="BX227" s="95">
        <f>IFERROR(AVERAGEIFS(RdTRABYVals!AM$2:AM$999,RdTRABYVals!$B$2:$B$999,"="&amp;$E227,RdTRABYVals!$C$2:$C$999,"="&amp;INS_EFF!$B227),"")</f>
        <v>0.25</v>
      </c>
      <c r="BY227" s="95">
        <f>IFERROR(AVERAGEIFS(RdTRABYVals!AN$2:AN$999,RdTRABYVals!$B$2:$B$999,"="&amp;$E227,RdTRABYVals!$C$2:$C$999,"="&amp;INS_EFF!$B227),"")</f>
        <v>0.27000000000000002</v>
      </c>
      <c r="BZ227" s="95">
        <f>IFERROR(AVERAGEIFS(RdTRABYVals!AO$2:AO$999,RdTRABYVals!$B$2:$B$999,"="&amp;$E227,RdTRABYVals!$C$2:$C$999,"="&amp;INS_EFF!$B227),"")</f>
        <v>0.28000000000000003</v>
      </c>
      <c r="CA227" s="95">
        <f>IFERROR(AVERAGEIFS(RdTRABYVals!AP$2:AP$999,RdTRABYVals!$B$2:$B$999,"="&amp;$E227,RdTRABYVals!$C$2:$C$999,"="&amp;INS_EFF!$B227),"")</f>
        <v>0.27000000000000002</v>
      </c>
      <c r="CB227" s="95">
        <f>IFERROR(AVERAGEIFS(RdTRABYVals!AQ$2:AQ$999,RdTRABYVals!$B$2:$B$999,"="&amp;$E227,RdTRABYVals!$C$2:$C$999,"="&amp;INS_EFF!$B227),"")</f>
        <v>0.20999999999999999</v>
      </c>
      <c r="CC227" s="95">
        <f>IFERROR(AVERAGEIFS(RdTRABYVals!AR$2:AR$999,RdTRABYVals!$B$2:$B$999,"="&amp;$E227,RdTRABYVals!$C$2:$C$999,"="&amp;INS_EFF!$B227),"")</f>
        <v>0.28000000000000003</v>
      </c>
      <c r="CD227" s="95">
        <f>IFERROR(AVERAGEIFS(RdTRABYVals!AS$2:AS$999,RdTRABYVals!$B$2:$B$999,"="&amp;$E227,RdTRABYVals!$C$2:$C$999,"="&amp;INS_EFF!$B227),"")</f>
        <v>0.28000000000000003</v>
      </c>
      <c r="CE227" s="95">
        <f>IFERROR(AVERAGEIFS(RdTRABYVals!AT$2:AT$999,RdTRABYVals!$B$2:$B$999,"="&amp;$E227,RdTRABYVals!$C$2:$C$999,"="&amp;INS_EFF!$B227),"")</f>
        <v>0.28000000000000003</v>
      </c>
      <c r="CF227" s="95">
        <f>IFERROR(AVERAGEIFS(RdTRABYVals!AU$2:AU$999,RdTRABYVals!$B$2:$B$999,"="&amp;$E227,RdTRABYVals!$C$2:$C$999,"="&amp;INS_EFF!$B227),"")</f>
        <v>0.28000000000000003</v>
      </c>
      <c r="CG227" s="95">
        <f>IFERROR(AVERAGEIFS(RdTRABYVals!AV$2:AV$999,RdTRABYVals!$B$2:$B$999,"="&amp;$E227,RdTRABYVals!$C$2:$C$999,"="&amp;INS_EFF!$B227),"")</f>
        <v>0.26000000000000001</v>
      </c>
    </row>
    <row r="228" spans="2:85" ht="15">
      <c r="B228" s="24" t="s">
        <v>119</v>
      </c>
      <c r="C228" s="24"/>
      <c r="E228" s="18" t="s">
        <v>29</v>
      </c>
      <c r="F228" s="71"/>
      <c r="G228" t="s">
        <v>143</v>
      </c>
      <c r="I228" t="str">
        <f t="shared" si="12"/>
        <v>*0.43027027027027</v>
      </c>
      <c r="J228" t="str">
        <f t="shared" si="10"/>
        <v>*0.4</v>
      </c>
      <c r="K228" t="str">
        <f t="shared" si="10"/>
        <v>*0.44</v>
      </c>
      <c r="L228" t="str">
        <f t="shared" si="10"/>
        <v>*0.43</v>
      </c>
      <c r="M228" t="str">
        <f t="shared" si="10"/>
        <v>*0.42</v>
      </c>
      <c r="N228" t="str">
        <f t="shared" si="10"/>
        <v>*0.38</v>
      </c>
      <c r="O228" t="str">
        <f t="shared" si="10"/>
        <v>*0.42</v>
      </c>
      <c r="P228" t="str">
        <f t="shared" si="10"/>
        <v>*0.4</v>
      </c>
      <c r="Q228" t="str">
        <f t="shared" si="10"/>
        <v>*0.43</v>
      </c>
      <c r="R228" t="str">
        <f t="shared" si="10"/>
        <v>*0.43</v>
      </c>
      <c r="S228" t="str">
        <f t="shared" si="10"/>
        <v>*0.45</v>
      </c>
      <c r="T228" t="str">
        <f t="shared" si="10"/>
        <v>*0.46</v>
      </c>
      <c r="U228" t="str">
        <f t="shared" si="10"/>
        <v>*0.4</v>
      </c>
      <c r="V228" t="str">
        <f t="shared" si="10"/>
        <v>*0.44</v>
      </c>
      <c r="W228" s="20" t="str">
        <f t="shared" si="10"/>
        <v>*0.42</v>
      </c>
      <c r="X228" t="str">
        <f t="shared" si="10"/>
        <v>*0.46</v>
      </c>
      <c r="Y228" t="str">
        <f t="shared" si="10"/>
        <v>*0.43</v>
      </c>
      <c r="Z228" t="str">
        <f t="shared" si="13"/>
        <v>*0.46</v>
      </c>
      <c r="AA228" t="str">
        <f t="shared" si="13"/>
        <v>*0.44</v>
      </c>
      <c r="AB228" t="str">
        <f t="shared" si="13"/>
        <v>*0.42</v>
      </c>
      <c r="AC228" t="str">
        <f t="shared" si="13"/>
        <v>*0.44</v>
      </c>
      <c r="AD228" t="str">
        <f t="shared" si="13"/>
        <v>*0.43</v>
      </c>
      <c r="AE228" t="str">
        <f t="shared" si="13"/>
        <v>*0.44</v>
      </c>
      <c r="AF228" t="str">
        <f t="shared" si="13"/>
        <v>*0.43</v>
      </c>
      <c r="AG228" t="str">
        <f t="shared" si="13"/>
        <v>*0.45</v>
      </c>
      <c r="AH228" t="str">
        <f t="shared" si="13"/>
        <v>*0.4</v>
      </c>
      <c r="AI228" t="str">
        <f t="shared" si="13"/>
        <v>*0.43</v>
      </c>
      <c r="AJ228" t="str">
        <f t="shared" si="13"/>
        <v>*0.44</v>
      </c>
      <c r="AK228" t="str">
        <f t="shared" si="13"/>
        <v>*0.4</v>
      </c>
      <c r="AL228" t="str">
        <f t="shared" si="13"/>
        <v>*0.42</v>
      </c>
      <c r="AM228" t="str">
        <f t="shared" si="11"/>
        <v>*0.43</v>
      </c>
      <c r="AN228" t="str">
        <f t="shared" si="11"/>
        <v>*0.45</v>
      </c>
      <c r="AO228" t="str">
        <f t="shared" si="9"/>
        <v>*0.39</v>
      </c>
      <c r="AP228" t="str">
        <f t="shared" si="9"/>
        <v>*0.43</v>
      </c>
      <c r="AQ228" t="str">
        <f t="shared" si="9"/>
        <v>*0.46</v>
      </c>
      <c r="AR228" t="str">
        <f t="shared" si="9"/>
        <v>*0.44</v>
      </c>
      <c r="AS228" t="str">
        <f t="shared" si="9"/>
        <v>*0.45</v>
      </c>
      <c r="AT228" t="str">
        <f t="shared" si="9"/>
        <v>*0.46</v>
      </c>
      <c r="AV228" s="95">
        <f>AVERAGE(AW228:CG228)</f>
        <v>0.43027027027027026</v>
      </c>
      <c r="AW228" s="95">
        <f>IFERROR(AVERAGEIFS(RdTRABYVals!L$2:L$999,RdTRABYVals!$B$2:$B$999,"="&amp;$E228,RdTRABYVals!$C$2:$C$999,"="&amp;INS_EFF!$B228),"")</f>
        <v>0.40000000000000002</v>
      </c>
      <c r="AX228" s="95">
        <f>IFERROR(AVERAGEIFS(RdTRABYVals!M$2:M$999,RdTRABYVals!$B$2:$B$999,"="&amp;$E228,RdTRABYVals!$C$2:$C$999,"="&amp;INS_EFF!$B228),"")</f>
        <v>0.44</v>
      </c>
      <c r="AY228" s="95">
        <f>IFERROR(AVERAGEIFS(RdTRABYVals!N$2:N$999,RdTRABYVals!$B$2:$B$999,"="&amp;$E228,RdTRABYVals!$C$2:$C$999,"="&amp;INS_EFF!$B228),"")</f>
        <v>0.42999999999999999</v>
      </c>
      <c r="AZ228" s="95">
        <f>IFERROR(AVERAGEIFS(RdTRABYVals!O$2:O$999,RdTRABYVals!$B$2:$B$999,"="&amp;$E228,RdTRABYVals!$C$2:$C$999,"="&amp;INS_EFF!$B228),"")</f>
        <v>0.41999999999999998</v>
      </c>
      <c r="BA228" s="95">
        <f>IFERROR(AVERAGEIFS(RdTRABYVals!P$2:P$999,RdTRABYVals!$B$2:$B$999,"="&amp;$E228,RdTRABYVals!$C$2:$C$999,"="&amp;INS_EFF!$B228),"")</f>
        <v>0.38</v>
      </c>
      <c r="BB228" s="95">
        <f>IFERROR(AVERAGEIFS(RdTRABYVals!Q$2:Q$999,RdTRABYVals!$B$2:$B$999,"="&amp;$E228,RdTRABYVals!$C$2:$C$999,"="&amp;INS_EFF!$B228),"")</f>
        <v>0.41999999999999998</v>
      </c>
      <c r="BC228" s="95">
        <f>IFERROR(AVERAGEIFS(RdTRABYVals!R$2:R$999,RdTRABYVals!$B$2:$B$999,"="&amp;$E228,RdTRABYVals!$C$2:$C$999,"="&amp;INS_EFF!$B228),"")</f>
        <v>0.40000000000000002</v>
      </c>
      <c r="BD228" s="95">
        <f>IFERROR(AVERAGEIFS(RdTRABYVals!S$2:S$999,RdTRABYVals!$B$2:$B$999,"="&amp;$E228,RdTRABYVals!$C$2:$C$999,"="&amp;INS_EFF!$B228),"")</f>
        <v>0.42999999999999999</v>
      </c>
      <c r="BE228" s="95">
        <f>IFERROR(AVERAGEIFS(RdTRABYVals!T$2:T$999,RdTRABYVals!$B$2:$B$999,"="&amp;$E228,RdTRABYVals!$C$2:$C$999,"="&amp;INS_EFF!$B228),"")</f>
        <v>0.42999999999999999</v>
      </c>
      <c r="BF228" s="95">
        <f>IFERROR(AVERAGEIFS(RdTRABYVals!U$2:U$999,RdTRABYVals!$B$2:$B$999,"="&amp;$E228,RdTRABYVals!$C$2:$C$999,"="&amp;INS_EFF!$B228),"")</f>
        <v>0.45000000000000001</v>
      </c>
      <c r="BG228" s="95">
        <f>IFERROR(AVERAGEIFS(RdTRABYVals!V$2:V$999,RdTRABYVals!$B$2:$B$999,"="&amp;$E228,RdTRABYVals!$C$2:$C$999,"="&amp;INS_EFF!$B228),"")</f>
        <v>0.46000000000000002</v>
      </c>
      <c r="BH228" s="95">
        <f>IFERROR(AVERAGEIFS(RdTRABYVals!W$2:W$999,RdTRABYVals!$B$2:$B$999,"="&amp;$E228,RdTRABYVals!$C$2:$C$999,"="&amp;INS_EFF!$B228),"")</f>
        <v>0.40000000000000002</v>
      </c>
      <c r="BI228" s="95">
        <f>IFERROR(AVERAGEIFS(RdTRABYVals!X$2:X$999,RdTRABYVals!$B$2:$B$999,"="&amp;$E228,RdTRABYVals!$C$2:$C$999,"="&amp;INS_EFF!$B228),"")</f>
        <v>0.44</v>
      </c>
      <c r="BJ228" s="95">
        <f>IFERROR(AVERAGEIFS(RdTRABYVals!Y$2:Y$999,RdTRABYVals!$B$2:$B$999,"="&amp;$E228,RdTRABYVals!$C$2:$C$999,"="&amp;INS_EFF!$B228),"")</f>
        <v>0.41999999999999998</v>
      </c>
      <c r="BK228" s="95">
        <f>IFERROR(AVERAGEIFS(RdTRABYVals!Z$2:Z$999,RdTRABYVals!$B$2:$B$999,"="&amp;$E228,RdTRABYVals!$C$2:$C$999,"="&amp;INS_EFF!$B228),"")</f>
        <v>0.46000000000000002</v>
      </c>
      <c r="BL228" s="95">
        <f>IFERROR(AVERAGEIFS(RdTRABYVals!AA$2:AA$999,RdTRABYVals!$B$2:$B$999,"="&amp;$E228,RdTRABYVals!$C$2:$C$999,"="&amp;INS_EFF!$B228),"")</f>
        <v>0.42999999999999999</v>
      </c>
      <c r="BM228" s="95">
        <f>IFERROR(AVERAGEIFS(RdTRABYVals!AB$2:AB$999,RdTRABYVals!$B$2:$B$999,"="&amp;$E228,RdTRABYVals!$C$2:$C$999,"="&amp;INS_EFF!$B228),"")</f>
        <v>0.46000000000000002</v>
      </c>
      <c r="BN228" s="95">
        <f>IFERROR(AVERAGEIFS(RdTRABYVals!AC$2:AC$999,RdTRABYVals!$B$2:$B$999,"="&amp;$E228,RdTRABYVals!$C$2:$C$999,"="&amp;INS_EFF!$B228),"")</f>
        <v>0.44</v>
      </c>
      <c r="BO228" s="95">
        <f>IFERROR(AVERAGEIFS(RdTRABYVals!AD$2:AD$999,RdTRABYVals!$B$2:$B$999,"="&amp;$E228,RdTRABYVals!$C$2:$C$999,"="&amp;INS_EFF!$B228),"")</f>
        <v>0.41999999999999998</v>
      </c>
      <c r="BP228" s="95">
        <f>IFERROR(AVERAGEIFS(RdTRABYVals!AE$2:AE$999,RdTRABYVals!$B$2:$B$999,"="&amp;$E228,RdTRABYVals!$C$2:$C$999,"="&amp;INS_EFF!$B228),"")</f>
        <v>0.44</v>
      </c>
      <c r="BQ228" s="95">
        <f>IFERROR(AVERAGEIFS(RdTRABYVals!AF$2:AF$999,RdTRABYVals!$B$2:$B$999,"="&amp;$E228,RdTRABYVals!$C$2:$C$999,"="&amp;INS_EFF!$B228),"")</f>
        <v>0.42999999999999999</v>
      </c>
      <c r="BR228" s="95">
        <f>IFERROR(AVERAGEIFS(RdTRABYVals!AG$2:AG$999,RdTRABYVals!$B$2:$B$999,"="&amp;$E228,RdTRABYVals!$C$2:$C$999,"="&amp;INS_EFF!$B228),"")</f>
        <v>0.44</v>
      </c>
      <c r="BS228" s="95">
        <f>IFERROR(AVERAGEIFS(RdTRABYVals!AH$2:AH$999,RdTRABYVals!$B$2:$B$999,"="&amp;$E228,RdTRABYVals!$C$2:$C$999,"="&amp;INS_EFF!$B228),"")</f>
        <v>0.42999999999999999</v>
      </c>
      <c r="BT228" s="95">
        <f>IFERROR(AVERAGEIFS(RdTRABYVals!AI$2:AI$999,RdTRABYVals!$B$2:$B$999,"="&amp;$E228,RdTRABYVals!$C$2:$C$999,"="&amp;INS_EFF!$B228),"")</f>
        <v>0.45000000000000001</v>
      </c>
      <c r="BU228" s="95">
        <f>IFERROR(AVERAGEIFS(RdTRABYVals!AJ$2:AJ$999,RdTRABYVals!$B$2:$B$999,"="&amp;$E228,RdTRABYVals!$C$2:$C$999,"="&amp;INS_EFF!$B228),"")</f>
        <v>0.40000000000000002</v>
      </c>
      <c r="BV228" s="95">
        <f>IFERROR(AVERAGEIFS(RdTRABYVals!AK$2:AK$999,RdTRABYVals!$B$2:$B$999,"="&amp;$E228,RdTRABYVals!$C$2:$C$999,"="&amp;INS_EFF!$B228),"")</f>
        <v>0.42999999999999999</v>
      </c>
      <c r="BW228" s="95">
        <f>IFERROR(AVERAGEIFS(RdTRABYVals!AL$2:AL$999,RdTRABYVals!$B$2:$B$999,"="&amp;$E228,RdTRABYVals!$C$2:$C$999,"="&amp;INS_EFF!$B228),"")</f>
        <v>0.44</v>
      </c>
      <c r="BX228" s="95">
        <f>IFERROR(AVERAGEIFS(RdTRABYVals!AM$2:AM$999,RdTRABYVals!$B$2:$B$999,"="&amp;$E228,RdTRABYVals!$C$2:$C$999,"="&amp;INS_EFF!$B228),"")</f>
        <v>0.40000000000000002</v>
      </c>
      <c r="BY228" s="95">
        <f>IFERROR(AVERAGEIFS(RdTRABYVals!AN$2:AN$999,RdTRABYVals!$B$2:$B$999,"="&amp;$E228,RdTRABYVals!$C$2:$C$999,"="&amp;INS_EFF!$B228),"")</f>
        <v>0.41999999999999998</v>
      </c>
      <c r="BZ228" s="95">
        <f>IFERROR(AVERAGEIFS(RdTRABYVals!AO$2:AO$999,RdTRABYVals!$B$2:$B$999,"="&amp;$E228,RdTRABYVals!$C$2:$C$999,"="&amp;INS_EFF!$B228),"")</f>
        <v>0.42999999999999999</v>
      </c>
      <c r="CA228" s="95">
        <f>IFERROR(AVERAGEIFS(RdTRABYVals!AP$2:AP$999,RdTRABYVals!$B$2:$B$999,"="&amp;$E228,RdTRABYVals!$C$2:$C$999,"="&amp;INS_EFF!$B228),"")</f>
        <v>0.45000000000000001</v>
      </c>
      <c r="CB228" s="95">
        <f>IFERROR(AVERAGEIFS(RdTRABYVals!AQ$2:AQ$999,RdTRABYVals!$B$2:$B$999,"="&amp;$E228,RdTRABYVals!$C$2:$C$999,"="&amp;INS_EFF!$B228),"")</f>
        <v>0.39000000000000001</v>
      </c>
      <c r="CC228" s="95">
        <f>IFERROR(AVERAGEIFS(RdTRABYVals!AR$2:AR$999,RdTRABYVals!$B$2:$B$999,"="&amp;$E228,RdTRABYVals!$C$2:$C$999,"="&amp;INS_EFF!$B228),"")</f>
        <v>0.42999999999999999</v>
      </c>
      <c r="CD228" s="95">
        <f>IFERROR(AVERAGEIFS(RdTRABYVals!AS$2:AS$999,RdTRABYVals!$B$2:$B$999,"="&amp;$E228,RdTRABYVals!$C$2:$C$999,"="&amp;INS_EFF!$B228),"")</f>
        <v>0.46000000000000002</v>
      </c>
      <c r="CE228" s="95">
        <f>IFERROR(AVERAGEIFS(RdTRABYVals!AT$2:AT$999,RdTRABYVals!$B$2:$B$999,"="&amp;$E228,RdTRABYVals!$C$2:$C$999,"="&amp;INS_EFF!$B228),"")</f>
        <v>0.44</v>
      </c>
      <c r="CF228" s="95">
        <f>IFERROR(AVERAGEIFS(RdTRABYVals!AU$2:AU$999,RdTRABYVals!$B$2:$B$999,"="&amp;$E228,RdTRABYVals!$C$2:$C$999,"="&amp;INS_EFF!$B228),"")</f>
        <v>0.45000000000000001</v>
      </c>
      <c r="CG228" s="95">
        <f>IFERROR(AVERAGEIFS(RdTRABYVals!AV$2:AV$999,RdTRABYVals!$B$2:$B$999,"="&amp;$E228,RdTRABYVals!$C$2:$C$999,"="&amp;INS_EFF!$B228),"")</f>
        <v>0.46000000000000002</v>
      </c>
    </row>
    <row r="229" spans="2:85" ht="15">
      <c r="B229" s="24" t="s">
        <v>120</v>
      </c>
      <c r="C229" s="24"/>
      <c r="E229" s="18" t="s">
        <v>29</v>
      </c>
      <c r="F229" s="71"/>
      <c r="G229" t="s">
        <v>144</v>
      </c>
      <c r="I229" t="str">
        <f t="shared" si="12"/>
        <v>*0.442702702702703</v>
      </c>
      <c r="J229" t="str">
        <f t="shared" si="10"/>
        <v>*0.41</v>
      </c>
      <c r="K229" t="str">
        <f t="shared" si="10"/>
        <v>*0.45</v>
      </c>
      <c r="L229" t="str">
        <f t="shared" si="10"/>
        <v>*0.44</v>
      </c>
      <c r="M229" t="str">
        <f t="shared" si="10"/>
        <v>*0.43</v>
      </c>
      <c r="N229" t="str">
        <f t="shared" si="10"/>
        <v>*0.38</v>
      </c>
      <c r="O229" t="str">
        <f t="shared" si="10"/>
        <v>*0.44</v>
      </c>
      <c r="P229" t="str">
        <f t="shared" si="10"/>
        <v>*0.41</v>
      </c>
      <c r="Q229" t="str">
        <f t="shared" si="10"/>
        <v>*0.44</v>
      </c>
      <c r="R229" t="str">
        <f t="shared" si="10"/>
        <v>*0.44</v>
      </c>
      <c r="S229" t="str">
        <f t="shared" si="10"/>
        <v>*0.49</v>
      </c>
      <c r="T229" t="str">
        <f t="shared" si="10"/>
        <v>*0.47</v>
      </c>
      <c r="U229" t="str">
        <f t="shared" si="10"/>
        <v>*0.41</v>
      </c>
      <c r="V229" t="str">
        <f t="shared" si="10"/>
        <v>*0.45</v>
      </c>
      <c r="W229" s="20" t="str">
        <f t="shared" si="10"/>
        <v>*0.43</v>
      </c>
      <c r="X229" t="str">
        <f t="shared" si="10"/>
        <v>*0.47</v>
      </c>
      <c r="Y229" t="str">
        <f t="shared" si="10"/>
        <v>*0.44</v>
      </c>
      <c r="Z229" t="str">
        <f t="shared" si="13"/>
        <v>*0.46</v>
      </c>
      <c r="AA229" t="str">
        <f t="shared" si="13"/>
        <v>*0.46</v>
      </c>
      <c r="AB229" t="str">
        <f t="shared" si="13"/>
        <v>*0.45</v>
      </c>
      <c r="AC229" t="str">
        <f t="shared" si="13"/>
        <v>*0.45</v>
      </c>
      <c r="AD229" t="str">
        <f t="shared" si="13"/>
        <v>*0.44</v>
      </c>
      <c r="AE229" t="str">
        <f t="shared" si="13"/>
        <v>*0.44</v>
      </c>
      <c r="AF229" t="str">
        <f t="shared" si="13"/>
        <v>*0.48</v>
      </c>
      <c r="AG229" t="str">
        <f t="shared" si="13"/>
        <v>*0.45</v>
      </c>
      <c r="AH229" t="str">
        <f t="shared" si="13"/>
        <v>*0.41</v>
      </c>
      <c r="AI229" t="str">
        <f t="shared" si="13"/>
        <v>*0.44</v>
      </c>
      <c r="AJ229" t="str">
        <f t="shared" si="13"/>
        <v>*0.46</v>
      </c>
      <c r="AK229" t="str">
        <f t="shared" si="13"/>
        <v>*0.43</v>
      </c>
      <c r="AL229" t="str">
        <f t="shared" si="13"/>
        <v>*0.42</v>
      </c>
      <c r="AM229" t="str">
        <f t="shared" si="11"/>
        <v>*0.43</v>
      </c>
      <c r="AN229" t="str">
        <f t="shared" si="11"/>
        <v>*0.47</v>
      </c>
      <c r="AO229" t="str">
        <f t="shared" si="9"/>
        <v>*0.39</v>
      </c>
      <c r="AP229" t="str">
        <f t="shared" si="9"/>
        <v>*0.44</v>
      </c>
      <c r="AQ229" t="str">
        <f t="shared" si="9"/>
        <v>*0.48</v>
      </c>
      <c r="AR229" t="str">
        <f t="shared" si="9"/>
        <v>*0.44</v>
      </c>
      <c r="AS229" t="str">
        <f t="shared" si="9"/>
        <v>*0.46</v>
      </c>
      <c r="AT229" t="str">
        <f t="shared" si="9"/>
        <v>*0.48</v>
      </c>
      <c r="AV229" s="95">
        <f>AVERAGE(AW229:CG229)</f>
        <v>0.44270270270270262</v>
      </c>
      <c r="AW229" s="95">
        <f>IFERROR(AVERAGEIFS(RdTRABYVals!L$2:L$999,RdTRABYVals!$B$2:$B$999,"="&amp;$E229,RdTRABYVals!$C$2:$C$999,"="&amp;INS_EFF!$B229),"")</f>
        <v>0.40999999999999998</v>
      </c>
      <c r="AX229" s="95">
        <f>IFERROR(AVERAGEIFS(RdTRABYVals!M$2:M$999,RdTRABYVals!$B$2:$B$999,"="&amp;$E229,RdTRABYVals!$C$2:$C$999,"="&amp;INS_EFF!$B229),"")</f>
        <v>0.45000000000000001</v>
      </c>
      <c r="AY229" s="95">
        <f>IFERROR(AVERAGEIFS(RdTRABYVals!N$2:N$999,RdTRABYVals!$B$2:$B$999,"="&amp;$E229,RdTRABYVals!$C$2:$C$999,"="&amp;INS_EFF!$B229),"")</f>
        <v>0.44</v>
      </c>
      <c r="AZ229" s="95">
        <f>IFERROR(AVERAGEIFS(RdTRABYVals!O$2:O$999,RdTRABYVals!$B$2:$B$999,"="&amp;$E229,RdTRABYVals!$C$2:$C$999,"="&amp;INS_EFF!$B229),"")</f>
        <v>0.42999999999999999</v>
      </c>
      <c r="BA229" s="95">
        <f>IFERROR(AVERAGEIFS(RdTRABYVals!P$2:P$999,RdTRABYVals!$B$2:$B$999,"="&amp;$E229,RdTRABYVals!$C$2:$C$999,"="&amp;INS_EFF!$B229),"")</f>
        <v>0.38</v>
      </c>
      <c r="BB229" s="95">
        <f>IFERROR(AVERAGEIFS(RdTRABYVals!Q$2:Q$999,RdTRABYVals!$B$2:$B$999,"="&amp;$E229,RdTRABYVals!$C$2:$C$999,"="&amp;INS_EFF!$B229),"")</f>
        <v>0.44</v>
      </c>
      <c r="BC229" s="95">
        <f>IFERROR(AVERAGEIFS(RdTRABYVals!R$2:R$999,RdTRABYVals!$B$2:$B$999,"="&amp;$E229,RdTRABYVals!$C$2:$C$999,"="&amp;INS_EFF!$B229),"")</f>
        <v>0.40999999999999998</v>
      </c>
      <c r="BD229" s="95">
        <f>IFERROR(AVERAGEIFS(RdTRABYVals!S$2:S$999,RdTRABYVals!$B$2:$B$999,"="&amp;$E229,RdTRABYVals!$C$2:$C$999,"="&amp;INS_EFF!$B229),"")</f>
        <v>0.44</v>
      </c>
      <c r="BE229" s="95">
        <f>IFERROR(AVERAGEIFS(RdTRABYVals!T$2:T$999,RdTRABYVals!$B$2:$B$999,"="&amp;$E229,RdTRABYVals!$C$2:$C$999,"="&amp;INS_EFF!$B229),"")</f>
        <v>0.44</v>
      </c>
      <c r="BF229" s="95">
        <f>IFERROR(AVERAGEIFS(RdTRABYVals!U$2:U$999,RdTRABYVals!$B$2:$B$999,"="&amp;$E229,RdTRABYVals!$C$2:$C$999,"="&amp;INS_EFF!$B229),"")</f>
        <v>0.48999999999999999</v>
      </c>
      <c r="BG229" s="95">
        <f>IFERROR(AVERAGEIFS(RdTRABYVals!V$2:V$999,RdTRABYVals!$B$2:$B$999,"="&amp;$E229,RdTRABYVals!$C$2:$C$999,"="&amp;INS_EFF!$B229),"")</f>
        <v>0.46999999999999997</v>
      </c>
      <c r="BH229" s="95">
        <f>IFERROR(AVERAGEIFS(RdTRABYVals!W$2:W$999,RdTRABYVals!$B$2:$B$999,"="&amp;$E229,RdTRABYVals!$C$2:$C$999,"="&amp;INS_EFF!$B229),"")</f>
        <v>0.40999999999999998</v>
      </c>
      <c r="BI229" s="95">
        <f>IFERROR(AVERAGEIFS(RdTRABYVals!X$2:X$999,RdTRABYVals!$B$2:$B$999,"="&amp;$E229,RdTRABYVals!$C$2:$C$999,"="&amp;INS_EFF!$B229),"")</f>
        <v>0.45000000000000001</v>
      </c>
      <c r="BJ229" s="95">
        <f>IFERROR(AVERAGEIFS(RdTRABYVals!Y$2:Y$999,RdTRABYVals!$B$2:$B$999,"="&amp;$E229,RdTRABYVals!$C$2:$C$999,"="&amp;INS_EFF!$B229),"")</f>
        <v>0.42999999999999999</v>
      </c>
      <c r="BK229" s="95">
        <f>IFERROR(AVERAGEIFS(RdTRABYVals!Z$2:Z$999,RdTRABYVals!$B$2:$B$999,"="&amp;$E229,RdTRABYVals!$C$2:$C$999,"="&amp;INS_EFF!$B229),"")</f>
        <v>0.46999999999999997</v>
      </c>
      <c r="BL229" s="95">
        <f>IFERROR(AVERAGEIFS(RdTRABYVals!AA$2:AA$999,RdTRABYVals!$B$2:$B$999,"="&amp;$E229,RdTRABYVals!$C$2:$C$999,"="&amp;INS_EFF!$B229),"")</f>
        <v>0.44</v>
      </c>
      <c r="BM229" s="95">
        <f>IFERROR(AVERAGEIFS(RdTRABYVals!AB$2:AB$999,RdTRABYVals!$B$2:$B$999,"="&amp;$E229,RdTRABYVals!$C$2:$C$999,"="&amp;INS_EFF!$B229),"")</f>
        <v>0.46000000000000002</v>
      </c>
      <c r="BN229" s="95">
        <f>IFERROR(AVERAGEIFS(RdTRABYVals!AC$2:AC$999,RdTRABYVals!$B$2:$B$999,"="&amp;$E229,RdTRABYVals!$C$2:$C$999,"="&amp;INS_EFF!$B229),"")</f>
        <v>0.46000000000000002</v>
      </c>
      <c r="BO229" s="95">
        <f>IFERROR(AVERAGEIFS(RdTRABYVals!AD$2:AD$999,RdTRABYVals!$B$2:$B$999,"="&amp;$E229,RdTRABYVals!$C$2:$C$999,"="&amp;INS_EFF!$B229),"")</f>
        <v>0.45000000000000001</v>
      </c>
      <c r="BP229" s="95">
        <f>IFERROR(AVERAGEIFS(RdTRABYVals!AE$2:AE$999,RdTRABYVals!$B$2:$B$999,"="&amp;$E229,RdTRABYVals!$C$2:$C$999,"="&amp;INS_EFF!$B229),"")</f>
        <v>0.45000000000000001</v>
      </c>
      <c r="BQ229" s="95">
        <f>IFERROR(AVERAGEIFS(RdTRABYVals!AF$2:AF$999,RdTRABYVals!$B$2:$B$999,"="&amp;$E229,RdTRABYVals!$C$2:$C$999,"="&amp;INS_EFF!$B229),"")</f>
        <v>0.44</v>
      </c>
      <c r="BR229" s="95">
        <f>IFERROR(AVERAGEIFS(RdTRABYVals!AG$2:AG$999,RdTRABYVals!$B$2:$B$999,"="&amp;$E229,RdTRABYVals!$C$2:$C$999,"="&amp;INS_EFF!$B229),"")</f>
        <v>0.44</v>
      </c>
      <c r="BS229" s="95">
        <f>IFERROR(AVERAGEIFS(RdTRABYVals!AH$2:AH$999,RdTRABYVals!$B$2:$B$999,"="&amp;$E229,RdTRABYVals!$C$2:$C$999,"="&amp;INS_EFF!$B229),"")</f>
        <v>0.47999999999999998</v>
      </c>
      <c r="BT229" s="95">
        <f>IFERROR(AVERAGEIFS(RdTRABYVals!AI$2:AI$999,RdTRABYVals!$B$2:$B$999,"="&amp;$E229,RdTRABYVals!$C$2:$C$999,"="&amp;INS_EFF!$B229),"")</f>
        <v>0.45000000000000001</v>
      </c>
      <c r="BU229" s="95">
        <f>IFERROR(AVERAGEIFS(RdTRABYVals!AJ$2:AJ$999,RdTRABYVals!$B$2:$B$999,"="&amp;$E229,RdTRABYVals!$C$2:$C$999,"="&amp;INS_EFF!$B229),"")</f>
        <v>0.40999999999999998</v>
      </c>
      <c r="BV229" s="95">
        <f>IFERROR(AVERAGEIFS(RdTRABYVals!AK$2:AK$999,RdTRABYVals!$B$2:$B$999,"="&amp;$E229,RdTRABYVals!$C$2:$C$999,"="&amp;INS_EFF!$B229),"")</f>
        <v>0.44</v>
      </c>
      <c r="BW229" s="95">
        <f>IFERROR(AVERAGEIFS(RdTRABYVals!AL$2:AL$999,RdTRABYVals!$B$2:$B$999,"="&amp;$E229,RdTRABYVals!$C$2:$C$999,"="&amp;INS_EFF!$B229),"")</f>
        <v>0.46000000000000002</v>
      </c>
      <c r="BX229" s="95">
        <f>IFERROR(AVERAGEIFS(RdTRABYVals!AM$2:AM$999,RdTRABYVals!$B$2:$B$999,"="&amp;$E229,RdTRABYVals!$C$2:$C$999,"="&amp;INS_EFF!$B229),"")</f>
        <v>0.42999999999999999</v>
      </c>
      <c r="BY229" s="95">
        <f>IFERROR(AVERAGEIFS(RdTRABYVals!AN$2:AN$999,RdTRABYVals!$B$2:$B$999,"="&amp;$E229,RdTRABYVals!$C$2:$C$999,"="&amp;INS_EFF!$B229),"")</f>
        <v>0.41999999999999998</v>
      </c>
      <c r="BZ229" s="95">
        <f>IFERROR(AVERAGEIFS(RdTRABYVals!AO$2:AO$999,RdTRABYVals!$B$2:$B$999,"="&amp;$E229,RdTRABYVals!$C$2:$C$999,"="&amp;INS_EFF!$B229),"")</f>
        <v>0.42999999999999999</v>
      </c>
      <c r="CA229" s="95">
        <f>IFERROR(AVERAGEIFS(RdTRABYVals!AP$2:AP$999,RdTRABYVals!$B$2:$B$999,"="&amp;$E229,RdTRABYVals!$C$2:$C$999,"="&amp;INS_EFF!$B229),"")</f>
        <v>0.46999999999999997</v>
      </c>
      <c r="CB229" s="95">
        <f>IFERROR(AVERAGEIFS(RdTRABYVals!AQ$2:AQ$999,RdTRABYVals!$B$2:$B$999,"="&amp;$E229,RdTRABYVals!$C$2:$C$999,"="&amp;INS_EFF!$B229),"")</f>
        <v>0.39000000000000001</v>
      </c>
      <c r="CC229" s="95">
        <f>IFERROR(AVERAGEIFS(RdTRABYVals!AR$2:AR$999,RdTRABYVals!$B$2:$B$999,"="&amp;$E229,RdTRABYVals!$C$2:$C$999,"="&amp;INS_EFF!$B229),"")</f>
        <v>0.44</v>
      </c>
      <c r="CD229" s="95">
        <f>IFERROR(AVERAGEIFS(RdTRABYVals!AS$2:AS$999,RdTRABYVals!$B$2:$B$999,"="&amp;$E229,RdTRABYVals!$C$2:$C$999,"="&amp;INS_EFF!$B229),"")</f>
        <v>0.47999999999999998</v>
      </c>
      <c r="CE229" s="95">
        <f>IFERROR(AVERAGEIFS(RdTRABYVals!AT$2:AT$999,RdTRABYVals!$B$2:$B$999,"="&amp;$E229,RdTRABYVals!$C$2:$C$999,"="&amp;INS_EFF!$B229),"")</f>
        <v>0.44</v>
      </c>
      <c r="CF229" s="95">
        <f>IFERROR(AVERAGEIFS(RdTRABYVals!AU$2:AU$999,RdTRABYVals!$B$2:$B$999,"="&amp;$E229,RdTRABYVals!$C$2:$C$999,"="&amp;INS_EFF!$B229),"")</f>
        <v>0.46000000000000002</v>
      </c>
      <c r="CG229" s="95">
        <f>IFERROR(AVERAGEIFS(RdTRABYVals!AV$2:AV$999,RdTRABYVals!$B$2:$B$999,"="&amp;$E229,RdTRABYVals!$C$2:$C$999,"="&amp;INS_EFF!$B229),"")</f>
        <v>0.47999999999999998</v>
      </c>
    </row>
    <row r="230" spans="2:85" ht="15">
      <c r="B230" s="24" t="s">
        <v>121</v>
      </c>
      <c r="C230" s="24"/>
      <c r="E230" s="18" t="s">
        <v>29</v>
      </c>
      <c r="F230" s="71"/>
      <c r="G230" t="s">
        <v>145</v>
      </c>
      <c r="I230" t="str">
        <f t="shared" si="12"/>
        <v>*0.364054054054054</v>
      </c>
      <c r="J230" t="str">
        <f t="shared" si="10"/>
        <v>*0.34</v>
      </c>
      <c r="K230" t="str">
        <f t="shared" si="10"/>
        <v>*0.37</v>
      </c>
      <c r="L230" t="str">
        <f t="shared" si="10"/>
        <v>*0.36</v>
      </c>
      <c r="M230" t="str">
        <f t="shared" si="10"/>
        <v>*0.36</v>
      </c>
      <c r="N230" t="str">
        <f t="shared" si="10"/>
        <v>*0.32</v>
      </c>
      <c r="O230" t="str">
        <f t="shared" si="10"/>
        <v>*0.36</v>
      </c>
      <c r="P230" t="str">
        <f t="shared" si="10"/>
        <v>*0.33</v>
      </c>
      <c r="Q230" t="str">
        <f t="shared" si="10"/>
        <v>*0.37</v>
      </c>
      <c r="R230" t="str">
        <f t="shared" si="10"/>
        <v>*0.37</v>
      </c>
      <c r="S230" t="str">
        <f t="shared" si="10"/>
        <v>*0.38</v>
      </c>
      <c r="T230" t="str">
        <f t="shared" si="10"/>
        <v>*0.4</v>
      </c>
      <c r="U230" t="str">
        <f t="shared" si="10"/>
        <v>*0.34</v>
      </c>
      <c r="V230" t="str">
        <f t="shared" si="10"/>
        <v>*0.38</v>
      </c>
      <c r="W230" s="20" t="str">
        <f t="shared" si="10"/>
        <v>*0.36</v>
      </c>
      <c r="X230" t="str">
        <f t="shared" si="10"/>
        <v>*0.38</v>
      </c>
      <c r="Y230" t="str">
        <f t="shared" si="10"/>
        <v>*0.36</v>
      </c>
      <c r="Z230" t="str">
        <f t="shared" si="13"/>
        <v>*0.39</v>
      </c>
      <c r="AA230" t="str">
        <f t="shared" si="13"/>
        <v>*0.37</v>
      </c>
      <c r="AB230" t="str">
        <f t="shared" si="13"/>
        <v>*0.35</v>
      </c>
      <c r="AC230" t="str">
        <f t="shared" si="13"/>
        <v>*0.37</v>
      </c>
      <c r="AD230" t="str">
        <f t="shared" si="13"/>
        <v>*0.36</v>
      </c>
      <c r="AE230" t="str">
        <f t="shared" si="13"/>
        <v>*0.36</v>
      </c>
      <c r="AF230" t="str">
        <f t="shared" si="13"/>
        <v>*0.36</v>
      </c>
      <c r="AG230" t="str">
        <f t="shared" si="13"/>
        <v>*0.38</v>
      </c>
      <c r="AH230" t="str">
        <f t="shared" si="13"/>
        <v>*0.34</v>
      </c>
      <c r="AI230" t="str">
        <f t="shared" si="13"/>
        <v>*0.36</v>
      </c>
      <c r="AJ230" t="str">
        <f t="shared" si="13"/>
        <v>*0.37</v>
      </c>
      <c r="AK230" t="str">
        <f t="shared" si="13"/>
        <v>*0.34</v>
      </c>
      <c r="AL230" t="str">
        <f t="shared" si="13"/>
        <v>*0.36</v>
      </c>
      <c r="AM230" t="str">
        <f t="shared" si="11"/>
        <v>*0.37</v>
      </c>
      <c r="AN230" t="str">
        <f t="shared" si="11"/>
        <v>*0.39</v>
      </c>
      <c r="AO230" t="str">
        <f t="shared" si="9"/>
        <v>*0.33</v>
      </c>
      <c r="AP230" t="str">
        <f t="shared" si="9"/>
        <v>*0.36</v>
      </c>
      <c r="AQ230" t="str">
        <f t="shared" si="9"/>
        <v>*0.38</v>
      </c>
      <c r="AR230" t="str">
        <f t="shared" si="9"/>
        <v>*0.37</v>
      </c>
      <c r="AS230" t="str">
        <f t="shared" si="9"/>
        <v>*0.39</v>
      </c>
      <c r="AT230" t="str">
        <f t="shared" si="9"/>
        <v>*0.39</v>
      </c>
      <c r="AV230" s="95">
        <f>AVERAGE(AW230:CG230)</f>
        <v>0.364054054054054</v>
      </c>
      <c r="AW230" s="95">
        <f>IFERROR(AVERAGEIFS(RdTRABYVals!L$2:L$999,RdTRABYVals!$B$2:$B$999,"="&amp;$E230,RdTRABYVals!$C$2:$C$999,"="&amp;INS_EFF!$B230),"")</f>
        <v>0.34000000000000002</v>
      </c>
      <c r="AX230" s="95">
        <f>IFERROR(AVERAGEIFS(RdTRABYVals!M$2:M$999,RdTRABYVals!$B$2:$B$999,"="&amp;$E230,RdTRABYVals!$C$2:$C$999,"="&amp;INS_EFF!$B230),"")</f>
        <v>0.37</v>
      </c>
      <c r="AY230" s="95">
        <f>IFERROR(AVERAGEIFS(RdTRABYVals!N$2:N$999,RdTRABYVals!$B$2:$B$999,"="&amp;$E230,RdTRABYVals!$C$2:$C$999,"="&amp;INS_EFF!$B230),"")</f>
        <v>0.35999999999999999</v>
      </c>
      <c r="AZ230" s="95">
        <f>IFERROR(AVERAGEIFS(RdTRABYVals!O$2:O$999,RdTRABYVals!$B$2:$B$999,"="&amp;$E230,RdTRABYVals!$C$2:$C$999,"="&amp;INS_EFF!$B230),"")</f>
        <v>0.35999999999999999</v>
      </c>
      <c r="BA230" s="95">
        <f>IFERROR(AVERAGEIFS(RdTRABYVals!P$2:P$999,RdTRABYVals!$B$2:$B$999,"="&amp;$E230,RdTRABYVals!$C$2:$C$999,"="&amp;INS_EFF!$B230),"")</f>
        <v>0.32000000000000001</v>
      </c>
      <c r="BB230" s="95">
        <f>IFERROR(AVERAGEIFS(RdTRABYVals!Q$2:Q$999,RdTRABYVals!$B$2:$B$999,"="&amp;$E230,RdTRABYVals!$C$2:$C$999,"="&amp;INS_EFF!$B230),"")</f>
        <v>0.35999999999999999</v>
      </c>
      <c r="BC230" s="95">
        <f>IFERROR(AVERAGEIFS(RdTRABYVals!R$2:R$999,RdTRABYVals!$B$2:$B$999,"="&amp;$E230,RdTRABYVals!$C$2:$C$999,"="&amp;INS_EFF!$B230),"")</f>
        <v>0.33000000000000002</v>
      </c>
      <c r="BD230" s="95">
        <f>IFERROR(AVERAGEIFS(RdTRABYVals!S$2:S$999,RdTRABYVals!$B$2:$B$999,"="&amp;$E230,RdTRABYVals!$C$2:$C$999,"="&amp;INS_EFF!$B230),"")</f>
        <v>0.37</v>
      </c>
      <c r="BE230" s="95">
        <f>IFERROR(AVERAGEIFS(RdTRABYVals!T$2:T$999,RdTRABYVals!$B$2:$B$999,"="&amp;$E230,RdTRABYVals!$C$2:$C$999,"="&amp;INS_EFF!$B230),"")</f>
        <v>0.37</v>
      </c>
      <c r="BF230" s="95">
        <f>IFERROR(AVERAGEIFS(RdTRABYVals!U$2:U$999,RdTRABYVals!$B$2:$B$999,"="&amp;$E230,RdTRABYVals!$C$2:$C$999,"="&amp;INS_EFF!$B230),"")</f>
        <v>0.38</v>
      </c>
      <c r="BG230" s="95">
        <f>IFERROR(AVERAGEIFS(RdTRABYVals!V$2:V$999,RdTRABYVals!$B$2:$B$999,"="&amp;$E230,RdTRABYVals!$C$2:$C$999,"="&amp;INS_EFF!$B230),"")</f>
        <v>0.40000000000000002</v>
      </c>
      <c r="BH230" s="95">
        <f>IFERROR(AVERAGEIFS(RdTRABYVals!W$2:W$999,RdTRABYVals!$B$2:$B$999,"="&amp;$E230,RdTRABYVals!$C$2:$C$999,"="&amp;INS_EFF!$B230),"")</f>
        <v>0.34000000000000002</v>
      </c>
      <c r="BI230" s="95">
        <f>IFERROR(AVERAGEIFS(RdTRABYVals!X$2:X$999,RdTRABYVals!$B$2:$B$999,"="&amp;$E230,RdTRABYVals!$C$2:$C$999,"="&amp;INS_EFF!$B230),"")</f>
        <v>0.38</v>
      </c>
      <c r="BJ230" s="95">
        <f>IFERROR(AVERAGEIFS(RdTRABYVals!Y$2:Y$999,RdTRABYVals!$B$2:$B$999,"="&amp;$E230,RdTRABYVals!$C$2:$C$999,"="&amp;INS_EFF!$B230),"")</f>
        <v>0.35999999999999999</v>
      </c>
      <c r="BK230" s="95">
        <f>IFERROR(AVERAGEIFS(RdTRABYVals!Z$2:Z$999,RdTRABYVals!$B$2:$B$999,"="&amp;$E230,RdTRABYVals!$C$2:$C$999,"="&amp;INS_EFF!$B230),"")</f>
        <v>0.38</v>
      </c>
      <c r="BL230" s="95">
        <f>IFERROR(AVERAGEIFS(RdTRABYVals!AA$2:AA$999,RdTRABYVals!$B$2:$B$999,"="&amp;$E230,RdTRABYVals!$C$2:$C$999,"="&amp;INS_EFF!$B230),"")</f>
        <v>0.35999999999999999</v>
      </c>
      <c r="BM230" s="95">
        <f>IFERROR(AVERAGEIFS(RdTRABYVals!AB$2:AB$999,RdTRABYVals!$B$2:$B$999,"="&amp;$E230,RdTRABYVals!$C$2:$C$999,"="&amp;INS_EFF!$B230),"")</f>
        <v>0.39000000000000001</v>
      </c>
      <c r="BN230" s="95">
        <f>IFERROR(AVERAGEIFS(RdTRABYVals!AC$2:AC$999,RdTRABYVals!$B$2:$B$999,"="&amp;$E230,RdTRABYVals!$C$2:$C$999,"="&amp;INS_EFF!$B230),"")</f>
        <v>0.37</v>
      </c>
      <c r="BO230" s="95">
        <f>IFERROR(AVERAGEIFS(RdTRABYVals!AD$2:AD$999,RdTRABYVals!$B$2:$B$999,"="&amp;$E230,RdTRABYVals!$C$2:$C$999,"="&amp;INS_EFF!$B230),"")</f>
        <v>0.34999999999999998</v>
      </c>
      <c r="BP230" s="95">
        <f>IFERROR(AVERAGEIFS(RdTRABYVals!AE$2:AE$999,RdTRABYVals!$B$2:$B$999,"="&amp;$E230,RdTRABYVals!$C$2:$C$999,"="&amp;INS_EFF!$B230),"")</f>
        <v>0.37</v>
      </c>
      <c r="BQ230" s="95">
        <f>IFERROR(AVERAGEIFS(RdTRABYVals!AF$2:AF$999,RdTRABYVals!$B$2:$B$999,"="&amp;$E230,RdTRABYVals!$C$2:$C$999,"="&amp;INS_EFF!$B230),"")</f>
        <v>0.35999999999999999</v>
      </c>
      <c r="BR230" s="95">
        <f>IFERROR(AVERAGEIFS(RdTRABYVals!AG$2:AG$999,RdTRABYVals!$B$2:$B$999,"="&amp;$E230,RdTRABYVals!$C$2:$C$999,"="&amp;INS_EFF!$B230),"")</f>
        <v>0.35999999999999999</v>
      </c>
      <c r="BS230" s="95">
        <f>IFERROR(AVERAGEIFS(RdTRABYVals!AH$2:AH$999,RdTRABYVals!$B$2:$B$999,"="&amp;$E230,RdTRABYVals!$C$2:$C$999,"="&amp;INS_EFF!$B230),"")</f>
        <v>0.35999999999999999</v>
      </c>
      <c r="BT230" s="95">
        <f>IFERROR(AVERAGEIFS(RdTRABYVals!AI$2:AI$999,RdTRABYVals!$B$2:$B$999,"="&amp;$E230,RdTRABYVals!$C$2:$C$999,"="&amp;INS_EFF!$B230),"")</f>
        <v>0.38</v>
      </c>
      <c r="BU230" s="95">
        <f>IFERROR(AVERAGEIFS(RdTRABYVals!AJ$2:AJ$999,RdTRABYVals!$B$2:$B$999,"="&amp;$E230,RdTRABYVals!$C$2:$C$999,"="&amp;INS_EFF!$B230),"")</f>
        <v>0.34000000000000002</v>
      </c>
      <c r="BV230" s="95">
        <f>IFERROR(AVERAGEIFS(RdTRABYVals!AK$2:AK$999,RdTRABYVals!$B$2:$B$999,"="&amp;$E230,RdTRABYVals!$C$2:$C$999,"="&amp;INS_EFF!$B230),"")</f>
        <v>0.35999999999999999</v>
      </c>
      <c r="BW230" s="95">
        <f>IFERROR(AVERAGEIFS(RdTRABYVals!AL$2:AL$999,RdTRABYVals!$B$2:$B$999,"="&amp;$E230,RdTRABYVals!$C$2:$C$999,"="&amp;INS_EFF!$B230),"")</f>
        <v>0.37</v>
      </c>
      <c r="BX230" s="95">
        <f>IFERROR(AVERAGEIFS(RdTRABYVals!AM$2:AM$999,RdTRABYVals!$B$2:$B$999,"="&amp;$E230,RdTRABYVals!$C$2:$C$999,"="&amp;INS_EFF!$B230),"")</f>
        <v>0.34000000000000002</v>
      </c>
      <c r="BY230" s="95">
        <f>IFERROR(AVERAGEIFS(RdTRABYVals!AN$2:AN$999,RdTRABYVals!$B$2:$B$999,"="&amp;$E230,RdTRABYVals!$C$2:$C$999,"="&amp;INS_EFF!$B230),"")</f>
        <v>0.35999999999999999</v>
      </c>
      <c r="BZ230" s="95">
        <f>IFERROR(AVERAGEIFS(RdTRABYVals!AO$2:AO$999,RdTRABYVals!$B$2:$B$999,"="&amp;$E230,RdTRABYVals!$C$2:$C$999,"="&amp;INS_EFF!$B230),"")</f>
        <v>0.37</v>
      </c>
      <c r="CA230" s="95">
        <f>IFERROR(AVERAGEIFS(RdTRABYVals!AP$2:AP$999,RdTRABYVals!$B$2:$B$999,"="&amp;$E230,RdTRABYVals!$C$2:$C$999,"="&amp;INS_EFF!$B230),"")</f>
        <v>0.39000000000000001</v>
      </c>
      <c r="CB230" s="95">
        <f>IFERROR(AVERAGEIFS(RdTRABYVals!AQ$2:AQ$999,RdTRABYVals!$B$2:$B$999,"="&amp;$E230,RdTRABYVals!$C$2:$C$999,"="&amp;INS_EFF!$B230),"")</f>
        <v>0.33000000000000002</v>
      </c>
      <c r="CC230" s="95">
        <f>IFERROR(AVERAGEIFS(RdTRABYVals!AR$2:AR$999,RdTRABYVals!$B$2:$B$999,"="&amp;$E230,RdTRABYVals!$C$2:$C$999,"="&amp;INS_EFF!$B230),"")</f>
        <v>0.35999999999999999</v>
      </c>
      <c r="CD230" s="95">
        <f>IFERROR(AVERAGEIFS(RdTRABYVals!AS$2:AS$999,RdTRABYVals!$B$2:$B$999,"="&amp;$E230,RdTRABYVals!$C$2:$C$999,"="&amp;INS_EFF!$B230),"")</f>
        <v>0.38</v>
      </c>
      <c r="CE230" s="95">
        <f>IFERROR(AVERAGEIFS(RdTRABYVals!AT$2:AT$999,RdTRABYVals!$B$2:$B$999,"="&amp;$E230,RdTRABYVals!$C$2:$C$999,"="&amp;INS_EFF!$B230),"")</f>
        <v>0.37</v>
      </c>
      <c r="CF230" s="95">
        <f>IFERROR(AVERAGEIFS(RdTRABYVals!AU$2:AU$999,RdTRABYVals!$B$2:$B$999,"="&amp;$E230,RdTRABYVals!$C$2:$C$999,"="&amp;INS_EFF!$B230),"")</f>
        <v>0.39000000000000001</v>
      </c>
      <c r="CG230" s="95">
        <f>IFERROR(AVERAGEIFS(RdTRABYVals!AV$2:AV$999,RdTRABYVals!$B$2:$B$999,"="&amp;$E230,RdTRABYVals!$C$2:$C$999,"="&amp;INS_EFF!$B230),"")</f>
        <v>0.39000000000000001</v>
      </c>
    </row>
    <row r="231" spans="2:85" ht="15">
      <c r="B231" s="24" t="s">
        <v>118</v>
      </c>
      <c r="C231" s="24"/>
      <c r="E231" s="18" t="s">
        <v>29</v>
      </c>
      <c r="F231" s="71"/>
      <c r="G231" t="s">
        <v>154</v>
      </c>
      <c r="I231" t="str">
        <f t="shared" si="12"/>
        <v>*0.261891891891892</v>
      </c>
      <c r="J231" t="str">
        <f t="shared" si="10"/>
        <v>*0.23</v>
      </c>
      <c r="K231" t="str">
        <f t="shared" si="10"/>
        <v>*0.24</v>
      </c>
      <c r="L231" t="str">
        <f t="shared" si="10"/>
        <v>*0.28</v>
      </c>
      <c r="M231" t="str">
        <f t="shared" si="10"/>
        <v>*0.25</v>
      </c>
      <c r="N231" t="str">
        <f t="shared" si="10"/>
        <v>*0.22</v>
      </c>
      <c r="O231" t="str">
        <f t="shared" si="10"/>
        <v>*0.25</v>
      </c>
      <c r="P231" t="str">
        <f t="shared" si="10"/>
        <v>*0.24</v>
      </c>
      <c r="Q231" t="str">
        <f t="shared" si="10"/>
        <v>*0.27</v>
      </c>
      <c r="R231" t="str">
        <f t="shared" si="10"/>
        <v>*0.25</v>
      </c>
      <c r="S231" t="str">
        <f t="shared" si="10"/>
        <v>*0.29</v>
      </c>
      <c r="T231" t="str">
        <f t="shared" si="10"/>
        <v>*0.31</v>
      </c>
      <c r="U231" t="str">
        <f t="shared" si="10"/>
        <v>*0.23</v>
      </c>
      <c r="V231" t="str">
        <f t="shared" si="10"/>
        <v>*0.29</v>
      </c>
      <c r="W231" s="20" t="str">
        <f t="shared" si="10"/>
        <v>*0.26</v>
      </c>
      <c r="X231" t="str">
        <f t="shared" si="10"/>
        <v>*0.26</v>
      </c>
      <c r="Y231" t="str">
        <f t="shared" si="10"/>
        <v>*0.28</v>
      </c>
      <c r="Z231" t="str">
        <f t="shared" si="13"/>
        <v>*0.29</v>
      </c>
      <c r="AA231" t="str">
        <f t="shared" si="13"/>
        <v>*0.24</v>
      </c>
      <c r="AB231" t="str">
        <f t="shared" si="13"/>
        <v>*0.25</v>
      </c>
      <c r="AC231" t="str">
        <f t="shared" si="13"/>
        <v>*0.23</v>
      </c>
      <c r="AD231" t="str">
        <f t="shared" si="13"/>
        <v>*0.28</v>
      </c>
      <c r="AE231" t="str">
        <f t="shared" si="13"/>
        <v>*0.28</v>
      </c>
      <c r="AF231" t="str">
        <f t="shared" si="13"/>
        <v>*0.26</v>
      </c>
      <c r="AG231" t="str">
        <f t="shared" si="13"/>
        <v>*0.28</v>
      </c>
      <c r="AH231" t="str">
        <f t="shared" si="13"/>
        <v>*0.23</v>
      </c>
      <c r="AI231" t="str">
        <f t="shared" si="13"/>
        <v>*0.26</v>
      </c>
      <c r="AJ231" t="str">
        <f t="shared" si="13"/>
        <v>*0.28</v>
      </c>
      <c r="AK231" t="str">
        <f t="shared" si="13"/>
        <v>*0.25</v>
      </c>
      <c r="AL231" t="str">
        <f t="shared" si="13"/>
        <v>*0.27</v>
      </c>
      <c r="AM231" t="str">
        <f t="shared" si="11"/>
        <v>*0.28</v>
      </c>
      <c r="AN231" t="str">
        <f t="shared" si="11"/>
        <v>*0.27</v>
      </c>
      <c r="AO231" t="str">
        <f t="shared" si="9"/>
        <v>*0.21</v>
      </c>
      <c r="AP231" t="str">
        <f t="shared" si="9"/>
        <v>*0.28</v>
      </c>
      <c r="AQ231" t="str">
        <f t="shared" si="9"/>
        <v>*0.28</v>
      </c>
      <c r="AR231" t="str">
        <f t="shared" si="9"/>
        <v>*0.28</v>
      </c>
      <c r="AS231" t="str">
        <f t="shared" si="9"/>
        <v>*0.28</v>
      </c>
      <c r="AT231" t="str">
        <f t="shared" si="9"/>
        <v>*0.26</v>
      </c>
      <c r="AV231" s="95">
        <f t="shared" si="7"/>
        <v>0.26189189189189194</v>
      </c>
      <c r="AW231" s="95">
        <f>IFERROR(AVERAGEIFS(RdTRABYVals!L$2:L$999,RdTRABYVals!$B$2:$B$999,"="&amp;$E231,RdTRABYVals!$C$2:$C$999,"="&amp;INS_EFF!$B231),"")</f>
        <v>0.23000000000000001</v>
      </c>
      <c r="AX231" s="95">
        <f>IFERROR(AVERAGEIFS(RdTRABYVals!M$2:M$999,RdTRABYVals!$B$2:$B$999,"="&amp;$E231,RdTRABYVals!$C$2:$C$999,"="&amp;INS_EFF!$B231),"")</f>
        <v>0.23999999999999999</v>
      </c>
      <c r="AY231" s="95">
        <f>IFERROR(AVERAGEIFS(RdTRABYVals!N$2:N$999,RdTRABYVals!$B$2:$B$999,"="&amp;$E231,RdTRABYVals!$C$2:$C$999,"="&amp;INS_EFF!$B231),"")</f>
        <v>0.28000000000000003</v>
      </c>
      <c r="AZ231" s="95">
        <f>IFERROR(AVERAGEIFS(RdTRABYVals!O$2:O$999,RdTRABYVals!$B$2:$B$999,"="&amp;$E231,RdTRABYVals!$C$2:$C$999,"="&amp;INS_EFF!$B231),"")</f>
        <v>0.25</v>
      </c>
      <c r="BA231" s="95">
        <f>IFERROR(AVERAGEIFS(RdTRABYVals!P$2:P$999,RdTRABYVals!$B$2:$B$999,"="&amp;$E231,RdTRABYVals!$C$2:$C$999,"="&amp;INS_EFF!$B231),"")</f>
        <v>0.22</v>
      </c>
      <c r="BB231" s="95">
        <f>IFERROR(AVERAGEIFS(RdTRABYVals!Q$2:Q$999,RdTRABYVals!$B$2:$B$999,"="&amp;$E231,RdTRABYVals!$C$2:$C$999,"="&amp;INS_EFF!$B231),"")</f>
        <v>0.25</v>
      </c>
      <c r="BC231" s="95">
        <f>IFERROR(AVERAGEIFS(RdTRABYVals!R$2:R$999,RdTRABYVals!$B$2:$B$999,"="&amp;$E231,RdTRABYVals!$C$2:$C$999,"="&amp;INS_EFF!$B231),"")</f>
        <v>0.23999999999999999</v>
      </c>
      <c r="BD231" s="95">
        <f>IFERROR(AVERAGEIFS(RdTRABYVals!S$2:S$999,RdTRABYVals!$B$2:$B$999,"="&amp;$E231,RdTRABYVals!$C$2:$C$999,"="&amp;INS_EFF!$B231),"")</f>
        <v>0.27000000000000002</v>
      </c>
      <c r="BE231" s="95">
        <f>IFERROR(AVERAGEIFS(RdTRABYVals!T$2:T$999,RdTRABYVals!$B$2:$B$999,"="&amp;$E231,RdTRABYVals!$C$2:$C$999,"="&amp;INS_EFF!$B231),"")</f>
        <v>0.25</v>
      </c>
      <c r="BF231" s="95">
        <f>IFERROR(AVERAGEIFS(RdTRABYVals!U$2:U$999,RdTRABYVals!$B$2:$B$999,"="&amp;$E231,RdTRABYVals!$C$2:$C$999,"="&amp;INS_EFF!$B231),"")</f>
        <v>0.28999999999999998</v>
      </c>
      <c r="BG231" s="95">
        <f>IFERROR(AVERAGEIFS(RdTRABYVals!V$2:V$999,RdTRABYVals!$B$2:$B$999,"="&amp;$E231,RdTRABYVals!$C$2:$C$999,"="&amp;INS_EFF!$B231),"")</f>
        <v>0.31</v>
      </c>
      <c r="BH231" s="95">
        <f>IFERROR(AVERAGEIFS(RdTRABYVals!W$2:W$999,RdTRABYVals!$B$2:$B$999,"="&amp;$E231,RdTRABYVals!$C$2:$C$999,"="&amp;INS_EFF!$B231),"")</f>
        <v>0.23000000000000001</v>
      </c>
      <c r="BI231" s="95">
        <f>IFERROR(AVERAGEIFS(RdTRABYVals!X$2:X$999,RdTRABYVals!$B$2:$B$999,"="&amp;$E231,RdTRABYVals!$C$2:$C$999,"="&amp;INS_EFF!$B231),"")</f>
        <v>0.28999999999999998</v>
      </c>
      <c r="BJ231" s="95">
        <f>IFERROR(AVERAGEIFS(RdTRABYVals!Y$2:Y$999,RdTRABYVals!$B$2:$B$999,"="&amp;$E231,RdTRABYVals!$C$2:$C$999,"="&amp;INS_EFF!$B231),"")</f>
        <v>0.26000000000000001</v>
      </c>
      <c r="BK231" s="95">
        <f>IFERROR(AVERAGEIFS(RdTRABYVals!Z$2:Z$999,RdTRABYVals!$B$2:$B$999,"="&amp;$E231,RdTRABYVals!$C$2:$C$999,"="&amp;INS_EFF!$B231),"")</f>
        <v>0.26000000000000001</v>
      </c>
      <c r="BL231" s="95">
        <f>IFERROR(AVERAGEIFS(RdTRABYVals!AA$2:AA$999,RdTRABYVals!$B$2:$B$999,"="&amp;$E231,RdTRABYVals!$C$2:$C$999,"="&amp;INS_EFF!$B231),"")</f>
        <v>0.28000000000000003</v>
      </c>
      <c r="BM231" s="95">
        <f>IFERROR(AVERAGEIFS(RdTRABYVals!AB$2:AB$999,RdTRABYVals!$B$2:$B$999,"="&amp;$E231,RdTRABYVals!$C$2:$C$999,"="&amp;INS_EFF!$B231),"")</f>
        <v>0.28999999999999998</v>
      </c>
      <c r="BN231" s="95">
        <f>IFERROR(AVERAGEIFS(RdTRABYVals!AC$2:AC$999,RdTRABYVals!$B$2:$B$999,"="&amp;$E231,RdTRABYVals!$C$2:$C$999,"="&amp;INS_EFF!$B231),"")</f>
        <v>0.23999999999999999</v>
      </c>
      <c r="BO231" s="95">
        <f>IFERROR(AVERAGEIFS(RdTRABYVals!AD$2:AD$999,RdTRABYVals!$B$2:$B$999,"="&amp;$E231,RdTRABYVals!$C$2:$C$999,"="&amp;INS_EFF!$B231),"")</f>
        <v>0.25</v>
      </c>
      <c r="BP231" s="95">
        <f>IFERROR(AVERAGEIFS(RdTRABYVals!AE$2:AE$999,RdTRABYVals!$B$2:$B$999,"="&amp;$E231,RdTRABYVals!$C$2:$C$999,"="&amp;INS_EFF!$B231),"")</f>
        <v>0.23000000000000001</v>
      </c>
      <c r="BQ231" s="95">
        <f>IFERROR(AVERAGEIFS(RdTRABYVals!AF$2:AF$999,RdTRABYVals!$B$2:$B$999,"="&amp;$E231,RdTRABYVals!$C$2:$C$999,"="&amp;INS_EFF!$B231),"")</f>
        <v>0.28000000000000003</v>
      </c>
      <c r="BR231" s="95">
        <f>IFERROR(AVERAGEIFS(RdTRABYVals!AG$2:AG$999,RdTRABYVals!$B$2:$B$999,"="&amp;$E231,RdTRABYVals!$C$2:$C$999,"="&amp;INS_EFF!$B231),"")</f>
        <v>0.28000000000000003</v>
      </c>
      <c r="BS231" s="95">
        <f>IFERROR(AVERAGEIFS(RdTRABYVals!AH$2:AH$999,RdTRABYVals!$B$2:$B$999,"="&amp;$E231,RdTRABYVals!$C$2:$C$999,"="&amp;INS_EFF!$B231),"")</f>
        <v>0.26000000000000001</v>
      </c>
      <c r="BT231" s="95">
        <f>IFERROR(AVERAGEIFS(RdTRABYVals!AI$2:AI$999,RdTRABYVals!$B$2:$B$999,"="&amp;$E231,RdTRABYVals!$C$2:$C$999,"="&amp;INS_EFF!$B231),"")</f>
        <v>0.28000000000000003</v>
      </c>
      <c r="BU231" s="95">
        <f>IFERROR(AVERAGEIFS(RdTRABYVals!AJ$2:AJ$999,RdTRABYVals!$B$2:$B$999,"="&amp;$E231,RdTRABYVals!$C$2:$C$999,"="&amp;INS_EFF!$B231),"")</f>
        <v>0.23000000000000001</v>
      </c>
      <c r="BV231" s="95">
        <f>IFERROR(AVERAGEIFS(RdTRABYVals!AK$2:AK$999,RdTRABYVals!$B$2:$B$999,"="&amp;$E231,RdTRABYVals!$C$2:$C$999,"="&amp;INS_EFF!$B231),"")</f>
        <v>0.26000000000000001</v>
      </c>
      <c r="BW231" s="95">
        <f>IFERROR(AVERAGEIFS(RdTRABYVals!AL$2:AL$999,RdTRABYVals!$B$2:$B$999,"="&amp;$E231,RdTRABYVals!$C$2:$C$999,"="&amp;INS_EFF!$B231),"")</f>
        <v>0.28000000000000003</v>
      </c>
      <c r="BX231" s="95">
        <f>IFERROR(AVERAGEIFS(RdTRABYVals!AM$2:AM$999,RdTRABYVals!$B$2:$B$999,"="&amp;$E231,RdTRABYVals!$C$2:$C$999,"="&amp;INS_EFF!$B231),"")</f>
        <v>0.25</v>
      </c>
      <c r="BY231" s="95">
        <f>IFERROR(AVERAGEIFS(RdTRABYVals!AN$2:AN$999,RdTRABYVals!$B$2:$B$999,"="&amp;$E231,RdTRABYVals!$C$2:$C$999,"="&amp;INS_EFF!$B231),"")</f>
        <v>0.27000000000000002</v>
      </c>
      <c r="BZ231" s="95">
        <f>IFERROR(AVERAGEIFS(RdTRABYVals!AO$2:AO$999,RdTRABYVals!$B$2:$B$999,"="&amp;$E231,RdTRABYVals!$C$2:$C$999,"="&amp;INS_EFF!$B231),"")</f>
        <v>0.28000000000000003</v>
      </c>
      <c r="CA231" s="95">
        <f>IFERROR(AVERAGEIFS(RdTRABYVals!AP$2:AP$999,RdTRABYVals!$B$2:$B$999,"="&amp;$E231,RdTRABYVals!$C$2:$C$999,"="&amp;INS_EFF!$B231),"")</f>
        <v>0.27000000000000002</v>
      </c>
      <c r="CB231" s="95">
        <f>IFERROR(AVERAGEIFS(RdTRABYVals!AQ$2:AQ$999,RdTRABYVals!$B$2:$B$999,"="&amp;$E231,RdTRABYVals!$C$2:$C$999,"="&amp;INS_EFF!$B231),"")</f>
        <v>0.20999999999999999</v>
      </c>
      <c r="CC231" s="95">
        <f>IFERROR(AVERAGEIFS(RdTRABYVals!AR$2:AR$999,RdTRABYVals!$B$2:$B$999,"="&amp;$E231,RdTRABYVals!$C$2:$C$999,"="&amp;INS_EFF!$B231),"")</f>
        <v>0.28000000000000003</v>
      </c>
      <c r="CD231" s="95">
        <f>IFERROR(AVERAGEIFS(RdTRABYVals!AS$2:AS$999,RdTRABYVals!$B$2:$B$999,"="&amp;$E231,RdTRABYVals!$C$2:$C$999,"="&amp;INS_EFF!$B231),"")</f>
        <v>0.28000000000000003</v>
      </c>
      <c r="CE231" s="95">
        <f>IFERROR(AVERAGEIFS(RdTRABYVals!AT$2:AT$999,RdTRABYVals!$B$2:$B$999,"="&amp;$E231,RdTRABYVals!$C$2:$C$999,"="&amp;INS_EFF!$B231),"")</f>
        <v>0.28000000000000003</v>
      </c>
      <c r="CF231" s="95">
        <f>IFERROR(AVERAGEIFS(RdTRABYVals!AU$2:AU$999,RdTRABYVals!$B$2:$B$999,"="&amp;$E231,RdTRABYVals!$C$2:$C$999,"="&amp;INS_EFF!$B231),"")</f>
        <v>0.28000000000000003</v>
      </c>
      <c r="CG231" s="95">
        <f>IFERROR(AVERAGEIFS(RdTRABYVals!AV$2:AV$999,RdTRABYVals!$B$2:$B$999,"="&amp;$E231,RdTRABYVals!$C$2:$C$999,"="&amp;INS_EFF!$B231),"")</f>
        <v>0.26000000000000001</v>
      </c>
    </row>
    <row r="232" spans="2:85" ht="15">
      <c r="B232" s="24" t="s">
        <v>119</v>
      </c>
      <c r="C232" s="24"/>
      <c r="E232" s="18" t="s">
        <v>29</v>
      </c>
      <c r="F232" s="71"/>
      <c r="G232" t="s">
        <v>155</v>
      </c>
      <c r="I232" t="str">
        <f t="shared" si="12"/>
        <v>*0.43027027027027</v>
      </c>
      <c r="J232" t="str">
        <f t="shared" si="10"/>
        <v>*0.4</v>
      </c>
      <c r="K232" t="str">
        <f t="shared" si="10"/>
        <v>*0.44</v>
      </c>
      <c r="L232" t="str">
        <f t="shared" si="10"/>
        <v>*0.43</v>
      </c>
      <c r="M232" t="str">
        <f t="shared" si="10"/>
        <v>*0.42</v>
      </c>
      <c r="N232" t="str">
        <f t="shared" si="10"/>
        <v>*0.38</v>
      </c>
      <c r="O232" t="str">
        <f t="shared" si="10"/>
        <v>*0.42</v>
      </c>
      <c r="P232" t="str">
        <f t="shared" si="10"/>
        <v>*0.4</v>
      </c>
      <c r="Q232" t="str">
        <f t="shared" si="10"/>
        <v>*0.43</v>
      </c>
      <c r="R232" t="str">
        <f t="shared" si="10"/>
        <v>*0.43</v>
      </c>
      <c r="S232" t="str">
        <f t="shared" si="10"/>
        <v>*0.45</v>
      </c>
      <c r="T232" t="str">
        <f t="shared" si="10"/>
        <v>*0.46</v>
      </c>
      <c r="U232" t="str">
        <f t="shared" si="10"/>
        <v>*0.4</v>
      </c>
      <c r="V232" t="str">
        <f t="shared" si="10"/>
        <v>*0.44</v>
      </c>
      <c r="W232" s="20" t="str">
        <f t="shared" si="10"/>
        <v>*0.42</v>
      </c>
      <c r="X232" t="str">
        <f t="shared" si="10"/>
        <v>*0.46</v>
      </c>
      <c r="Y232" t="str">
        <f t="shared" si="10"/>
        <v>*0.43</v>
      </c>
      <c r="Z232" t="str">
        <f t="shared" si="13"/>
        <v>*0.46</v>
      </c>
      <c r="AA232" t="str">
        <f t="shared" si="13"/>
        <v>*0.44</v>
      </c>
      <c r="AB232" t="str">
        <f t="shared" si="13"/>
        <v>*0.42</v>
      </c>
      <c r="AC232" t="str">
        <f t="shared" si="13"/>
        <v>*0.44</v>
      </c>
      <c r="AD232" t="str">
        <f t="shared" si="13"/>
        <v>*0.43</v>
      </c>
      <c r="AE232" t="str">
        <f t="shared" si="13"/>
        <v>*0.44</v>
      </c>
      <c r="AF232" t="str">
        <f t="shared" si="13"/>
        <v>*0.43</v>
      </c>
      <c r="AG232" t="str">
        <f t="shared" si="13"/>
        <v>*0.45</v>
      </c>
      <c r="AH232" t="str">
        <f t="shared" si="13"/>
        <v>*0.4</v>
      </c>
      <c r="AI232" t="str">
        <f t="shared" si="13"/>
        <v>*0.43</v>
      </c>
      <c r="AJ232" t="str">
        <f t="shared" si="13"/>
        <v>*0.44</v>
      </c>
      <c r="AK232" t="str">
        <f t="shared" si="13"/>
        <v>*0.4</v>
      </c>
      <c r="AL232" t="str">
        <f t="shared" si="13"/>
        <v>*0.42</v>
      </c>
      <c r="AM232" t="str">
        <f t="shared" si="11"/>
        <v>*0.43</v>
      </c>
      <c r="AN232" t="str">
        <f t="shared" si="11"/>
        <v>*0.45</v>
      </c>
      <c r="AO232" t="str">
        <f t="shared" si="9"/>
        <v>*0.39</v>
      </c>
      <c r="AP232" t="str">
        <f t="shared" si="9"/>
        <v>*0.43</v>
      </c>
      <c r="AQ232" t="str">
        <f t="shared" si="9"/>
        <v>*0.46</v>
      </c>
      <c r="AR232" t="str">
        <f t="shared" si="9"/>
        <v>*0.44</v>
      </c>
      <c r="AS232" t="str">
        <f t="shared" si="9"/>
        <v>*0.45</v>
      </c>
      <c r="AT232" t="str">
        <f t="shared" si="9"/>
        <v>*0.46</v>
      </c>
      <c r="AV232" s="96">
        <f t="shared" si="7"/>
        <v>0.43027027027027026</v>
      </c>
      <c r="AW232" s="95">
        <f>IFERROR(AVERAGEIFS(RdTRABYVals!L$2:L$999,RdTRABYVals!$B$2:$B$999,"="&amp;$E232,RdTRABYVals!$C$2:$C$999,"="&amp;INS_EFF!$B232),"")</f>
        <v>0.40000000000000002</v>
      </c>
      <c r="AX232" s="95">
        <f>IFERROR(AVERAGEIFS(RdTRABYVals!M$2:M$999,RdTRABYVals!$B$2:$B$999,"="&amp;$E232,RdTRABYVals!$C$2:$C$999,"="&amp;INS_EFF!$B232),"")</f>
        <v>0.44</v>
      </c>
      <c r="AY232" s="95">
        <f>IFERROR(AVERAGEIFS(RdTRABYVals!N$2:N$999,RdTRABYVals!$B$2:$B$999,"="&amp;$E232,RdTRABYVals!$C$2:$C$999,"="&amp;INS_EFF!$B232),"")</f>
        <v>0.42999999999999999</v>
      </c>
      <c r="AZ232" s="95">
        <f>IFERROR(AVERAGEIFS(RdTRABYVals!O$2:O$999,RdTRABYVals!$B$2:$B$999,"="&amp;$E232,RdTRABYVals!$C$2:$C$999,"="&amp;INS_EFF!$B232),"")</f>
        <v>0.41999999999999998</v>
      </c>
      <c r="BA232" s="95">
        <f>IFERROR(AVERAGEIFS(RdTRABYVals!P$2:P$999,RdTRABYVals!$B$2:$B$999,"="&amp;$E232,RdTRABYVals!$C$2:$C$999,"="&amp;INS_EFF!$B232),"")</f>
        <v>0.38</v>
      </c>
      <c r="BB232" s="95">
        <f>IFERROR(AVERAGEIFS(RdTRABYVals!Q$2:Q$999,RdTRABYVals!$B$2:$B$999,"="&amp;$E232,RdTRABYVals!$C$2:$C$999,"="&amp;INS_EFF!$B232),"")</f>
        <v>0.41999999999999998</v>
      </c>
      <c r="BC232" s="95">
        <f>IFERROR(AVERAGEIFS(RdTRABYVals!R$2:R$999,RdTRABYVals!$B$2:$B$999,"="&amp;$E232,RdTRABYVals!$C$2:$C$999,"="&amp;INS_EFF!$B232),"")</f>
        <v>0.40000000000000002</v>
      </c>
      <c r="BD232" s="95">
        <f>IFERROR(AVERAGEIFS(RdTRABYVals!S$2:S$999,RdTRABYVals!$B$2:$B$999,"="&amp;$E232,RdTRABYVals!$C$2:$C$999,"="&amp;INS_EFF!$B232),"")</f>
        <v>0.42999999999999999</v>
      </c>
      <c r="BE232" s="95">
        <f>IFERROR(AVERAGEIFS(RdTRABYVals!T$2:T$999,RdTRABYVals!$B$2:$B$999,"="&amp;$E232,RdTRABYVals!$C$2:$C$999,"="&amp;INS_EFF!$B232),"")</f>
        <v>0.42999999999999999</v>
      </c>
      <c r="BF232" s="95">
        <f>IFERROR(AVERAGEIFS(RdTRABYVals!U$2:U$999,RdTRABYVals!$B$2:$B$999,"="&amp;$E232,RdTRABYVals!$C$2:$C$999,"="&amp;INS_EFF!$B232),"")</f>
        <v>0.45000000000000001</v>
      </c>
      <c r="BG232" s="95">
        <f>IFERROR(AVERAGEIFS(RdTRABYVals!V$2:V$999,RdTRABYVals!$B$2:$B$999,"="&amp;$E232,RdTRABYVals!$C$2:$C$999,"="&amp;INS_EFF!$B232),"")</f>
        <v>0.46000000000000002</v>
      </c>
      <c r="BH232" s="95">
        <f>IFERROR(AVERAGEIFS(RdTRABYVals!W$2:W$999,RdTRABYVals!$B$2:$B$999,"="&amp;$E232,RdTRABYVals!$C$2:$C$999,"="&amp;INS_EFF!$B232),"")</f>
        <v>0.40000000000000002</v>
      </c>
      <c r="BI232" s="95">
        <f>IFERROR(AVERAGEIFS(RdTRABYVals!X$2:X$999,RdTRABYVals!$B$2:$B$999,"="&amp;$E232,RdTRABYVals!$C$2:$C$999,"="&amp;INS_EFF!$B232),"")</f>
        <v>0.44</v>
      </c>
      <c r="BJ232" s="95">
        <f>IFERROR(AVERAGEIFS(RdTRABYVals!Y$2:Y$999,RdTRABYVals!$B$2:$B$999,"="&amp;$E232,RdTRABYVals!$C$2:$C$999,"="&amp;INS_EFF!$B232),"")</f>
        <v>0.41999999999999998</v>
      </c>
      <c r="BK232" s="95">
        <f>IFERROR(AVERAGEIFS(RdTRABYVals!Z$2:Z$999,RdTRABYVals!$B$2:$B$999,"="&amp;$E232,RdTRABYVals!$C$2:$C$999,"="&amp;INS_EFF!$B232),"")</f>
        <v>0.46000000000000002</v>
      </c>
      <c r="BL232" s="95">
        <f>IFERROR(AVERAGEIFS(RdTRABYVals!AA$2:AA$999,RdTRABYVals!$B$2:$B$999,"="&amp;$E232,RdTRABYVals!$C$2:$C$999,"="&amp;INS_EFF!$B232),"")</f>
        <v>0.42999999999999999</v>
      </c>
      <c r="BM232" s="95">
        <f>IFERROR(AVERAGEIFS(RdTRABYVals!AB$2:AB$999,RdTRABYVals!$B$2:$B$999,"="&amp;$E232,RdTRABYVals!$C$2:$C$999,"="&amp;INS_EFF!$B232),"")</f>
        <v>0.46000000000000002</v>
      </c>
      <c r="BN232" s="95">
        <f>IFERROR(AVERAGEIFS(RdTRABYVals!AC$2:AC$999,RdTRABYVals!$B$2:$B$999,"="&amp;$E232,RdTRABYVals!$C$2:$C$999,"="&amp;INS_EFF!$B232),"")</f>
        <v>0.44</v>
      </c>
      <c r="BO232" s="95">
        <f>IFERROR(AVERAGEIFS(RdTRABYVals!AD$2:AD$999,RdTRABYVals!$B$2:$B$999,"="&amp;$E232,RdTRABYVals!$C$2:$C$999,"="&amp;INS_EFF!$B232),"")</f>
        <v>0.41999999999999998</v>
      </c>
      <c r="BP232" s="95">
        <f>IFERROR(AVERAGEIFS(RdTRABYVals!AE$2:AE$999,RdTRABYVals!$B$2:$B$999,"="&amp;$E232,RdTRABYVals!$C$2:$C$999,"="&amp;INS_EFF!$B232),"")</f>
        <v>0.44</v>
      </c>
      <c r="BQ232" s="95">
        <f>IFERROR(AVERAGEIFS(RdTRABYVals!AF$2:AF$999,RdTRABYVals!$B$2:$B$999,"="&amp;$E232,RdTRABYVals!$C$2:$C$999,"="&amp;INS_EFF!$B232),"")</f>
        <v>0.42999999999999999</v>
      </c>
      <c r="BR232" s="95">
        <f>IFERROR(AVERAGEIFS(RdTRABYVals!AG$2:AG$999,RdTRABYVals!$B$2:$B$999,"="&amp;$E232,RdTRABYVals!$C$2:$C$999,"="&amp;INS_EFF!$B232),"")</f>
        <v>0.44</v>
      </c>
      <c r="BS232" s="95">
        <f>IFERROR(AVERAGEIFS(RdTRABYVals!AH$2:AH$999,RdTRABYVals!$B$2:$B$999,"="&amp;$E232,RdTRABYVals!$C$2:$C$999,"="&amp;INS_EFF!$B232),"")</f>
        <v>0.42999999999999999</v>
      </c>
      <c r="BT232" s="95">
        <f>IFERROR(AVERAGEIFS(RdTRABYVals!AI$2:AI$999,RdTRABYVals!$B$2:$B$999,"="&amp;$E232,RdTRABYVals!$C$2:$C$999,"="&amp;INS_EFF!$B232),"")</f>
        <v>0.45000000000000001</v>
      </c>
      <c r="BU232" s="95">
        <f>IFERROR(AVERAGEIFS(RdTRABYVals!AJ$2:AJ$999,RdTRABYVals!$B$2:$B$999,"="&amp;$E232,RdTRABYVals!$C$2:$C$999,"="&amp;INS_EFF!$B232),"")</f>
        <v>0.40000000000000002</v>
      </c>
      <c r="BV232" s="95">
        <f>IFERROR(AVERAGEIFS(RdTRABYVals!AK$2:AK$999,RdTRABYVals!$B$2:$B$999,"="&amp;$E232,RdTRABYVals!$C$2:$C$999,"="&amp;INS_EFF!$B232),"")</f>
        <v>0.42999999999999999</v>
      </c>
      <c r="BW232" s="95">
        <f>IFERROR(AVERAGEIFS(RdTRABYVals!AL$2:AL$999,RdTRABYVals!$B$2:$B$999,"="&amp;$E232,RdTRABYVals!$C$2:$C$999,"="&amp;INS_EFF!$B232),"")</f>
        <v>0.44</v>
      </c>
      <c r="BX232" s="95">
        <f>IFERROR(AVERAGEIFS(RdTRABYVals!AM$2:AM$999,RdTRABYVals!$B$2:$B$999,"="&amp;$E232,RdTRABYVals!$C$2:$C$999,"="&amp;INS_EFF!$B232),"")</f>
        <v>0.40000000000000002</v>
      </c>
      <c r="BY232" s="95">
        <f>IFERROR(AVERAGEIFS(RdTRABYVals!AN$2:AN$999,RdTRABYVals!$B$2:$B$999,"="&amp;$E232,RdTRABYVals!$C$2:$C$999,"="&amp;INS_EFF!$B232),"")</f>
        <v>0.41999999999999998</v>
      </c>
      <c r="BZ232" s="95">
        <f>IFERROR(AVERAGEIFS(RdTRABYVals!AO$2:AO$999,RdTRABYVals!$B$2:$B$999,"="&amp;$E232,RdTRABYVals!$C$2:$C$999,"="&amp;INS_EFF!$B232),"")</f>
        <v>0.42999999999999999</v>
      </c>
      <c r="CA232" s="95">
        <f>IFERROR(AVERAGEIFS(RdTRABYVals!AP$2:AP$999,RdTRABYVals!$B$2:$B$999,"="&amp;$E232,RdTRABYVals!$C$2:$C$999,"="&amp;INS_EFF!$B232),"")</f>
        <v>0.45000000000000001</v>
      </c>
      <c r="CB232" s="95">
        <f>IFERROR(AVERAGEIFS(RdTRABYVals!AQ$2:AQ$999,RdTRABYVals!$B$2:$B$999,"="&amp;$E232,RdTRABYVals!$C$2:$C$999,"="&amp;INS_EFF!$B232),"")</f>
        <v>0.39000000000000001</v>
      </c>
      <c r="CC232" s="95">
        <f>IFERROR(AVERAGEIFS(RdTRABYVals!AR$2:AR$999,RdTRABYVals!$B$2:$B$999,"="&amp;$E232,RdTRABYVals!$C$2:$C$999,"="&amp;INS_EFF!$B232),"")</f>
        <v>0.42999999999999999</v>
      </c>
      <c r="CD232" s="95">
        <f>IFERROR(AVERAGEIFS(RdTRABYVals!AS$2:AS$999,RdTRABYVals!$B$2:$B$999,"="&amp;$E232,RdTRABYVals!$C$2:$C$999,"="&amp;INS_EFF!$B232),"")</f>
        <v>0.46000000000000002</v>
      </c>
      <c r="CE232" s="95">
        <f>IFERROR(AVERAGEIFS(RdTRABYVals!AT$2:AT$999,RdTRABYVals!$B$2:$B$999,"="&amp;$E232,RdTRABYVals!$C$2:$C$999,"="&amp;INS_EFF!$B232),"")</f>
        <v>0.44</v>
      </c>
      <c r="CF232" s="95">
        <f>IFERROR(AVERAGEIFS(RdTRABYVals!AU$2:AU$999,RdTRABYVals!$B$2:$B$999,"="&amp;$E232,RdTRABYVals!$C$2:$C$999,"="&amp;INS_EFF!$B232),"")</f>
        <v>0.45000000000000001</v>
      </c>
      <c r="CG232" s="95">
        <f>IFERROR(AVERAGEIFS(RdTRABYVals!AV$2:AV$999,RdTRABYVals!$B$2:$B$999,"="&amp;$E232,RdTRABYVals!$C$2:$C$999,"="&amp;INS_EFF!$B232),"")</f>
        <v>0.46000000000000002</v>
      </c>
    </row>
    <row r="233" spans="2:85" ht="15">
      <c r="B233" s="24" t="s">
        <v>120</v>
      </c>
      <c r="C233" s="24"/>
      <c r="E233" s="18" t="s">
        <v>29</v>
      </c>
      <c r="F233" s="71"/>
      <c r="G233" t="s">
        <v>156</v>
      </c>
      <c r="I233" t="str">
        <f t="shared" si="12"/>
        <v>*0.442702702702703</v>
      </c>
      <c r="J233" t="str">
        <f t="shared" si="10"/>
        <v>*0.41</v>
      </c>
      <c r="K233" t="str">
        <f t="shared" si="10"/>
        <v>*0.45</v>
      </c>
      <c r="L233" t="str">
        <f t="shared" si="10"/>
        <v>*0.44</v>
      </c>
      <c r="M233" t="str">
        <f t="shared" si="10"/>
        <v>*0.43</v>
      </c>
      <c r="N233" t="str">
        <f t="shared" si="10"/>
        <v>*0.38</v>
      </c>
      <c r="O233" t="str">
        <f t="shared" si="10"/>
        <v>*0.44</v>
      </c>
      <c r="P233" t="str">
        <f t="shared" si="10"/>
        <v>*0.41</v>
      </c>
      <c r="Q233" t="str">
        <f t="shared" si="10"/>
        <v>*0.44</v>
      </c>
      <c r="R233" t="str">
        <f t="shared" si="10"/>
        <v>*0.44</v>
      </c>
      <c r="S233" t="str">
        <f t="shared" si="10"/>
        <v>*0.49</v>
      </c>
      <c r="T233" t="str">
        <f t="shared" si="10"/>
        <v>*0.47</v>
      </c>
      <c r="U233" t="str">
        <f t="shared" si="10"/>
        <v>*0.41</v>
      </c>
      <c r="V233" t="str">
        <f t="shared" si="10"/>
        <v>*0.45</v>
      </c>
      <c r="W233" s="20" t="str">
        <f t="shared" si="10"/>
        <v>*0.43</v>
      </c>
      <c r="X233" t="str">
        <f t="shared" si="10"/>
        <v>*0.47</v>
      </c>
      <c r="Y233" t="str">
        <f t="shared" si="10"/>
        <v>*0.44</v>
      </c>
      <c r="Z233" t="str">
        <f t="shared" si="13"/>
        <v>*0.46</v>
      </c>
      <c r="AA233" t="str">
        <f t="shared" si="13"/>
        <v>*0.46</v>
      </c>
      <c r="AB233" t="str">
        <f t="shared" si="13"/>
        <v>*0.45</v>
      </c>
      <c r="AC233" t="str">
        <f t="shared" si="13"/>
        <v>*0.45</v>
      </c>
      <c r="AD233" t="str">
        <f t="shared" si="13"/>
        <v>*0.44</v>
      </c>
      <c r="AE233" t="str">
        <f t="shared" si="13"/>
        <v>*0.44</v>
      </c>
      <c r="AF233" t="str">
        <f t="shared" si="13"/>
        <v>*0.48</v>
      </c>
      <c r="AG233" t="str">
        <f t="shared" si="13"/>
        <v>*0.45</v>
      </c>
      <c r="AH233" t="str">
        <f t="shared" si="13"/>
        <v>*0.41</v>
      </c>
      <c r="AI233" t="str">
        <f t="shared" si="13"/>
        <v>*0.44</v>
      </c>
      <c r="AJ233" t="str">
        <f t="shared" si="13"/>
        <v>*0.46</v>
      </c>
      <c r="AK233" t="str">
        <f t="shared" si="13"/>
        <v>*0.43</v>
      </c>
      <c r="AL233" t="str">
        <f t="shared" si="13"/>
        <v>*0.42</v>
      </c>
      <c r="AM233" t="str">
        <f t="shared" si="11"/>
        <v>*0.43</v>
      </c>
      <c r="AN233" t="str">
        <f t="shared" si="11"/>
        <v>*0.47</v>
      </c>
      <c r="AO233" t="str">
        <f t="shared" si="9"/>
        <v>*0.39</v>
      </c>
      <c r="AP233" t="str">
        <f t="shared" si="9"/>
        <v>*0.44</v>
      </c>
      <c r="AQ233" t="str">
        <f t="shared" si="9"/>
        <v>*0.48</v>
      </c>
      <c r="AR233" t="str">
        <f t="shared" si="9"/>
        <v>*0.44</v>
      </c>
      <c r="AS233" t="str">
        <f t="shared" si="9"/>
        <v>*0.46</v>
      </c>
      <c r="AT233" t="str">
        <f t="shared" si="9"/>
        <v>*0.48</v>
      </c>
      <c r="AV233" s="96">
        <f>AVERAGE(AW233:CG233)</f>
        <v>0.44270270270270262</v>
      </c>
      <c r="AW233" s="95">
        <f>IFERROR(AVERAGEIFS(RdTRABYVals!L$2:L$999,RdTRABYVals!$B$2:$B$999,"="&amp;$E233,RdTRABYVals!$C$2:$C$999,"="&amp;INS_EFF!$B233),"")</f>
        <v>0.40999999999999998</v>
      </c>
      <c r="AX233" s="95">
        <f>IFERROR(AVERAGEIFS(RdTRABYVals!M$2:M$999,RdTRABYVals!$B$2:$B$999,"="&amp;$E233,RdTRABYVals!$C$2:$C$999,"="&amp;INS_EFF!$B233),"")</f>
        <v>0.45000000000000001</v>
      </c>
      <c r="AY233" s="95">
        <f>IFERROR(AVERAGEIFS(RdTRABYVals!N$2:N$999,RdTRABYVals!$B$2:$B$999,"="&amp;$E233,RdTRABYVals!$C$2:$C$999,"="&amp;INS_EFF!$B233),"")</f>
        <v>0.44</v>
      </c>
      <c r="AZ233" s="95">
        <f>IFERROR(AVERAGEIFS(RdTRABYVals!O$2:O$999,RdTRABYVals!$B$2:$B$999,"="&amp;$E233,RdTRABYVals!$C$2:$C$999,"="&amp;INS_EFF!$B233),"")</f>
        <v>0.42999999999999999</v>
      </c>
      <c r="BA233" s="95">
        <f>IFERROR(AVERAGEIFS(RdTRABYVals!P$2:P$999,RdTRABYVals!$B$2:$B$999,"="&amp;$E233,RdTRABYVals!$C$2:$C$999,"="&amp;INS_EFF!$B233),"")</f>
        <v>0.38</v>
      </c>
      <c r="BB233" s="95">
        <f>IFERROR(AVERAGEIFS(RdTRABYVals!Q$2:Q$999,RdTRABYVals!$B$2:$B$999,"="&amp;$E233,RdTRABYVals!$C$2:$C$999,"="&amp;INS_EFF!$B233),"")</f>
        <v>0.44</v>
      </c>
      <c r="BC233" s="95">
        <f>IFERROR(AVERAGEIFS(RdTRABYVals!R$2:R$999,RdTRABYVals!$B$2:$B$999,"="&amp;$E233,RdTRABYVals!$C$2:$C$999,"="&amp;INS_EFF!$B233),"")</f>
        <v>0.40999999999999998</v>
      </c>
      <c r="BD233" s="95">
        <f>IFERROR(AVERAGEIFS(RdTRABYVals!S$2:S$999,RdTRABYVals!$B$2:$B$999,"="&amp;$E233,RdTRABYVals!$C$2:$C$999,"="&amp;INS_EFF!$B233),"")</f>
        <v>0.44</v>
      </c>
      <c r="BE233" s="95">
        <f>IFERROR(AVERAGEIFS(RdTRABYVals!T$2:T$999,RdTRABYVals!$B$2:$B$999,"="&amp;$E233,RdTRABYVals!$C$2:$C$999,"="&amp;INS_EFF!$B233),"")</f>
        <v>0.44</v>
      </c>
      <c r="BF233" s="95">
        <f>IFERROR(AVERAGEIFS(RdTRABYVals!U$2:U$999,RdTRABYVals!$B$2:$B$999,"="&amp;$E233,RdTRABYVals!$C$2:$C$999,"="&amp;INS_EFF!$B233),"")</f>
        <v>0.48999999999999999</v>
      </c>
      <c r="BG233" s="95">
        <f>IFERROR(AVERAGEIFS(RdTRABYVals!V$2:V$999,RdTRABYVals!$B$2:$B$999,"="&amp;$E233,RdTRABYVals!$C$2:$C$999,"="&amp;INS_EFF!$B233),"")</f>
        <v>0.46999999999999997</v>
      </c>
      <c r="BH233" s="95">
        <f>IFERROR(AVERAGEIFS(RdTRABYVals!W$2:W$999,RdTRABYVals!$B$2:$B$999,"="&amp;$E233,RdTRABYVals!$C$2:$C$999,"="&amp;INS_EFF!$B233),"")</f>
        <v>0.40999999999999998</v>
      </c>
      <c r="BI233" s="95">
        <f>IFERROR(AVERAGEIFS(RdTRABYVals!X$2:X$999,RdTRABYVals!$B$2:$B$999,"="&amp;$E233,RdTRABYVals!$C$2:$C$999,"="&amp;INS_EFF!$B233),"")</f>
        <v>0.45000000000000001</v>
      </c>
      <c r="BJ233" s="95">
        <f>IFERROR(AVERAGEIFS(RdTRABYVals!Y$2:Y$999,RdTRABYVals!$B$2:$B$999,"="&amp;$E233,RdTRABYVals!$C$2:$C$999,"="&amp;INS_EFF!$B233),"")</f>
        <v>0.42999999999999999</v>
      </c>
      <c r="BK233" s="95">
        <f>IFERROR(AVERAGEIFS(RdTRABYVals!Z$2:Z$999,RdTRABYVals!$B$2:$B$999,"="&amp;$E233,RdTRABYVals!$C$2:$C$999,"="&amp;INS_EFF!$B233),"")</f>
        <v>0.46999999999999997</v>
      </c>
      <c r="BL233" s="95">
        <f>IFERROR(AVERAGEIFS(RdTRABYVals!AA$2:AA$999,RdTRABYVals!$B$2:$B$999,"="&amp;$E233,RdTRABYVals!$C$2:$C$999,"="&amp;INS_EFF!$B233),"")</f>
        <v>0.44</v>
      </c>
      <c r="BM233" s="95">
        <f>IFERROR(AVERAGEIFS(RdTRABYVals!AB$2:AB$999,RdTRABYVals!$B$2:$B$999,"="&amp;$E233,RdTRABYVals!$C$2:$C$999,"="&amp;INS_EFF!$B233),"")</f>
        <v>0.46000000000000002</v>
      </c>
      <c r="BN233" s="95">
        <f>IFERROR(AVERAGEIFS(RdTRABYVals!AC$2:AC$999,RdTRABYVals!$B$2:$B$999,"="&amp;$E233,RdTRABYVals!$C$2:$C$999,"="&amp;INS_EFF!$B233),"")</f>
        <v>0.46000000000000002</v>
      </c>
      <c r="BO233" s="95">
        <f>IFERROR(AVERAGEIFS(RdTRABYVals!AD$2:AD$999,RdTRABYVals!$B$2:$B$999,"="&amp;$E233,RdTRABYVals!$C$2:$C$999,"="&amp;INS_EFF!$B233),"")</f>
        <v>0.45000000000000001</v>
      </c>
      <c r="BP233" s="95">
        <f>IFERROR(AVERAGEIFS(RdTRABYVals!AE$2:AE$999,RdTRABYVals!$B$2:$B$999,"="&amp;$E233,RdTRABYVals!$C$2:$C$999,"="&amp;INS_EFF!$B233),"")</f>
        <v>0.45000000000000001</v>
      </c>
      <c r="BQ233" s="95">
        <f>IFERROR(AVERAGEIFS(RdTRABYVals!AF$2:AF$999,RdTRABYVals!$B$2:$B$999,"="&amp;$E233,RdTRABYVals!$C$2:$C$999,"="&amp;INS_EFF!$B233),"")</f>
        <v>0.44</v>
      </c>
      <c r="BR233" s="95">
        <f>IFERROR(AVERAGEIFS(RdTRABYVals!AG$2:AG$999,RdTRABYVals!$B$2:$B$999,"="&amp;$E233,RdTRABYVals!$C$2:$C$999,"="&amp;INS_EFF!$B233),"")</f>
        <v>0.44</v>
      </c>
      <c r="BS233" s="95">
        <f>IFERROR(AVERAGEIFS(RdTRABYVals!AH$2:AH$999,RdTRABYVals!$B$2:$B$999,"="&amp;$E233,RdTRABYVals!$C$2:$C$999,"="&amp;INS_EFF!$B233),"")</f>
        <v>0.47999999999999998</v>
      </c>
      <c r="BT233" s="95">
        <f>IFERROR(AVERAGEIFS(RdTRABYVals!AI$2:AI$999,RdTRABYVals!$B$2:$B$999,"="&amp;$E233,RdTRABYVals!$C$2:$C$999,"="&amp;INS_EFF!$B233),"")</f>
        <v>0.45000000000000001</v>
      </c>
      <c r="BU233" s="95">
        <f>IFERROR(AVERAGEIFS(RdTRABYVals!AJ$2:AJ$999,RdTRABYVals!$B$2:$B$999,"="&amp;$E233,RdTRABYVals!$C$2:$C$999,"="&amp;INS_EFF!$B233),"")</f>
        <v>0.40999999999999998</v>
      </c>
      <c r="BV233" s="95">
        <f>IFERROR(AVERAGEIFS(RdTRABYVals!AK$2:AK$999,RdTRABYVals!$B$2:$B$999,"="&amp;$E233,RdTRABYVals!$C$2:$C$999,"="&amp;INS_EFF!$B233),"")</f>
        <v>0.44</v>
      </c>
      <c r="BW233" s="95">
        <f>IFERROR(AVERAGEIFS(RdTRABYVals!AL$2:AL$999,RdTRABYVals!$B$2:$B$999,"="&amp;$E233,RdTRABYVals!$C$2:$C$999,"="&amp;INS_EFF!$B233),"")</f>
        <v>0.46000000000000002</v>
      </c>
      <c r="BX233" s="95">
        <f>IFERROR(AVERAGEIFS(RdTRABYVals!AM$2:AM$999,RdTRABYVals!$B$2:$B$999,"="&amp;$E233,RdTRABYVals!$C$2:$C$999,"="&amp;INS_EFF!$B233),"")</f>
        <v>0.42999999999999999</v>
      </c>
      <c r="BY233" s="95">
        <f>IFERROR(AVERAGEIFS(RdTRABYVals!AN$2:AN$999,RdTRABYVals!$B$2:$B$999,"="&amp;$E233,RdTRABYVals!$C$2:$C$999,"="&amp;INS_EFF!$B233),"")</f>
        <v>0.41999999999999998</v>
      </c>
      <c r="BZ233" s="95">
        <f>IFERROR(AVERAGEIFS(RdTRABYVals!AO$2:AO$999,RdTRABYVals!$B$2:$B$999,"="&amp;$E233,RdTRABYVals!$C$2:$C$999,"="&amp;INS_EFF!$B233),"")</f>
        <v>0.42999999999999999</v>
      </c>
      <c r="CA233" s="95">
        <f>IFERROR(AVERAGEIFS(RdTRABYVals!AP$2:AP$999,RdTRABYVals!$B$2:$B$999,"="&amp;$E233,RdTRABYVals!$C$2:$C$999,"="&amp;INS_EFF!$B233),"")</f>
        <v>0.46999999999999997</v>
      </c>
      <c r="CB233" s="95">
        <f>IFERROR(AVERAGEIFS(RdTRABYVals!AQ$2:AQ$999,RdTRABYVals!$B$2:$B$999,"="&amp;$E233,RdTRABYVals!$C$2:$C$999,"="&amp;INS_EFF!$B233),"")</f>
        <v>0.39000000000000001</v>
      </c>
      <c r="CC233" s="95">
        <f>IFERROR(AVERAGEIFS(RdTRABYVals!AR$2:AR$999,RdTRABYVals!$B$2:$B$999,"="&amp;$E233,RdTRABYVals!$C$2:$C$999,"="&amp;INS_EFF!$B233),"")</f>
        <v>0.44</v>
      </c>
      <c r="CD233" s="95">
        <f>IFERROR(AVERAGEIFS(RdTRABYVals!AS$2:AS$999,RdTRABYVals!$B$2:$B$999,"="&amp;$E233,RdTRABYVals!$C$2:$C$999,"="&amp;INS_EFF!$B233),"")</f>
        <v>0.47999999999999998</v>
      </c>
      <c r="CE233" s="95">
        <f>IFERROR(AVERAGEIFS(RdTRABYVals!AT$2:AT$999,RdTRABYVals!$B$2:$B$999,"="&amp;$E233,RdTRABYVals!$C$2:$C$999,"="&amp;INS_EFF!$B233),"")</f>
        <v>0.44</v>
      </c>
      <c r="CF233" s="95">
        <f>IFERROR(AVERAGEIFS(RdTRABYVals!AU$2:AU$999,RdTRABYVals!$B$2:$B$999,"="&amp;$E233,RdTRABYVals!$C$2:$C$999,"="&amp;INS_EFF!$B233),"")</f>
        <v>0.46000000000000002</v>
      </c>
      <c r="CG233" s="95">
        <f>IFERROR(AVERAGEIFS(RdTRABYVals!AV$2:AV$999,RdTRABYVals!$B$2:$B$999,"="&amp;$E233,RdTRABYVals!$C$2:$C$999,"="&amp;INS_EFF!$B233),"")</f>
        <v>0.47999999999999998</v>
      </c>
    </row>
    <row r="234" spans="2:85" ht="15">
      <c r="B234" s="26" t="s">
        <v>121</v>
      </c>
      <c r="C234" s="26"/>
      <c r="D234" s="4"/>
      <c r="E234" s="63" t="s">
        <v>29</v>
      </c>
      <c r="F234" s="71"/>
      <c r="G234" s="4" t="s">
        <v>157</v>
      </c>
      <c r="H234" s="4"/>
      <c r="I234" s="4" t="str">
        <f t="shared" si="12"/>
        <v>*0.364054054054054</v>
      </c>
      <c r="J234" s="4" t="str">
        <f t="shared" si="10"/>
        <v>*0.34</v>
      </c>
      <c r="K234" s="4" t="str">
        <f t="shared" si="10"/>
        <v>*0.37</v>
      </c>
      <c r="L234" s="4" t="str">
        <f t="shared" si="10"/>
        <v>*0.36</v>
      </c>
      <c r="M234" s="4" t="str">
        <f t="shared" si="10"/>
        <v>*0.36</v>
      </c>
      <c r="N234" s="4" t="str">
        <f t="shared" si="10"/>
        <v>*0.32</v>
      </c>
      <c r="O234" s="4" t="str">
        <f t="shared" si="10"/>
        <v>*0.36</v>
      </c>
      <c r="P234" s="4" t="str">
        <f t="shared" si="10"/>
        <v>*0.33</v>
      </c>
      <c r="Q234" s="4" t="str">
        <f t="shared" si="10"/>
        <v>*0.37</v>
      </c>
      <c r="R234" s="4" t="str">
        <f t="shared" si="10"/>
        <v>*0.37</v>
      </c>
      <c r="S234" s="4" t="str">
        <f t="shared" si="10"/>
        <v>*0.38</v>
      </c>
      <c r="T234" s="4" t="str">
        <f t="shared" si="10"/>
        <v>*0.4</v>
      </c>
      <c r="U234" s="4" t="str">
        <f t="shared" si="10"/>
        <v>*0.34</v>
      </c>
      <c r="V234" s="4" t="str">
        <f t="shared" si="10"/>
        <v>*0.38</v>
      </c>
      <c r="W234" s="21" t="str">
        <f t="shared" si="10"/>
        <v>*0.36</v>
      </c>
      <c r="X234" s="4" t="str">
        <f t="shared" si="10"/>
        <v>*0.38</v>
      </c>
      <c r="Y234" s="4" t="str">
        <f t="shared" si="10"/>
        <v>*0.36</v>
      </c>
      <c r="Z234" s="4" t="str">
        <f t="shared" si="13"/>
        <v>*0.39</v>
      </c>
      <c r="AA234" s="4" t="str">
        <f t="shared" si="13"/>
        <v>*0.37</v>
      </c>
      <c r="AB234" s="4" t="str">
        <f t="shared" si="13"/>
        <v>*0.35</v>
      </c>
      <c r="AC234" s="4" t="str">
        <f t="shared" si="13"/>
        <v>*0.37</v>
      </c>
      <c r="AD234" s="4" t="str">
        <f t="shared" si="13"/>
        <v>*0.36</v>
      </c>
      <c r="AE234" s="4" t="str">
        <f t="shared" si="13"/>
        <v>*0.36</v>
      </c>
      <c r="AF234" s="4" t="str">
        <f t="shared" si="13"/>
        <v>*0.36</v>
      </c>
      <c r="AG234" s="4" t="str">
        <f t="shared" si="13"/>
        <v>*0.38</v>
      </c>
      <c r="AH234" s="4" t="str">
        <f t="shared" si="13"/>
        <v>*0.34</v>
      </c>
      <c r="AI234" s="4" t="str">
        <f t="shared" si="13"/>
        <v>*0.36</v>
      </c>
      <c r="AJ234" s="4" t="str">
        <f t="shared" si="13"/>
        <v>*0.37</v>
      </c>
      <c r="AK234" s="4" t="str">
        <f t="shared" si="13"/>
        <v>*0.34</v>
      </c>
      <c r="AL234" s="4" t="str">
        <f t="shared" si="13"/>
        <v>*0.36</v>
      </c>
      <c r="AM234" s="4" t="str">
        <f t="shared" si="11"/>
        <v>*0.37</v>
      </c>
      <c r="AN234" s="4" t="str">
        <f t="shared" si="11"/>
        <v>*0.39</v>
      </c>
      <c r="AO234" s="4" t="str">
        <f t="shared" si="9"/>
        <v>*0.33</v>
      </c>
      <c r="AP234" s="4" t="str">
        <f t="shared" si="9"/>
        <v>*0.36</v>
      </c>
      <c r="AQ234" s="4" t="str">
        <f t="shared" si="9"/>
        <v>*0.38</v>
      </c>
      <c r="AR234" s="4" t="str">
        <f t="shared" si="9"/>
        <v>*0.37</v>
      </c>
      <c r="AS234" s="4" t="str">
        <f t="shared" si="9"/>
        <v>*0.39</v>
      </c>
      <c r="AT234" s="4" t="str">
        <f t="shared" si="9"/>
        <v>*0.39</v>
      </c>
      <c r="AU234" s="4"/>
      <c r="AV234" s="96">
        <f>AVERAGE(AW234:CG234)</f>
        <v>0.364054054054054</v>
      </c>
      <c r="AW234" s="95">
        <f>IFERROR(AVERAGEIFS(RdTRABYVals!L$2:L$999,RdTRABYVals!$B$2:$B$999,"="&amp;$E234,RdTRABYVals!$C$2:$C$999,"="&amp;INS_EFF!$B234),"")</f>
        <v>0.34000000000000002</v>
      </c>
      <c r="AX234" s="95">
        <f>IFERROR(AVERAGEIFS(RdTRABYVals!M$2:M$999,RdTRABYVals!$B$2:$B$999,"="&amp;$E234,RdTRABYVals!$C$2:$C$999,"="&amp;INS_EFF!$B234),"")</f>
        <v>0.37</v>
      </c>
      <c r="AY234" s="95">
        <f>IFERROR(AVERAGEIFS(RdTRABYVals!N$2:N$999,RdTRABYVals!$B$2:$B$999,"="&amp;$E234,RdTRABYVals!$C$2:$C$999,"="&amp;INS_EFF!$B234),"")</f>
        <v>0.35999999999999999</v>
      </c>
      <c r="AZ234" s="95">
        <f>IFERROR(AVERAGEIFS(RdTRABYVals!O$2:O$999,RdTRABYVals!$B$2:$B$999,"="&amp;$E234,RdTRABYVals!$C$2:$C$999,"="&amp;INS_EFF!$B234),"")</f>
        <v>0.35999999999999999</v>
      </c>
      <c r="BA234" s="95">
        <f>IFERROR(AVERAGEIFS(RdTRABYVals!P$2:P$999,RdTRABYVals!$B$2:$B$999,"="&amp;$E234,RdTRABYVals!$C$2:$C$999,"="&amp;INS_EFF!$B234),"")</f>
        <v>0.32000000000000001</v>
      </c>
      <c r="BB234" s="95">
        <f>IFERROR(AVERAGEIFS(RdTRABYVals!Q$2:Q$999,RdTRABYVals!$B$2:$B$999,"="&amp;$E234,RdTRABYVals!$C$2:$C$999,"="&amp;INS_EFF!$B234),"")</f>
        <v>0.35999999999999999</v>
      </c>
      <c r="BC234" s="95">
        <f>IFERROR(AVERAGEIFS(RdTRABYVals!R$2:R$999,RdTRABYVals!$B$2:$B$999,"="&amp;$E234,RdTRABYVals!$C$2:$C$999,"="&amp;INS_EFF!$B234),"")</f>
        <v>0.33000000000000002</v>
      </c>
      <c r="BD234" s="95">
        <f>IFERROR(AVERAGEIFS(RdTRABYVals!S$2:S$999,RdTRABYVals!$B$2:$B$999,"="&amp;$E234,RdTRABYVals!$C$2:$C$999,"="&amp;INS_EFF!$B234),"")</f>
        <v>0.37</v>
      </c>
      <c r="BE234" s="95">
        <f>IFERROR(AVERAGEIFS(RdTRABYVals!T$2:T$999,RdTRABYVals!$B$2:$B$999,"="&amp;$E234,RdTRABYVals!$C$2:$C$999,"="&amp;INS_EFF!$B234),"")</f>
        <v>0.37</v>
      </c>
      <c r="BF234" s="95">
        <f>IFERROR(AVERAGEIFS(RdTRABYVals!U$2:U$999,RdTRABYVals!$B$2:$B$999,"="&amp;$E234,RdTRABYVals!$C$2:$C$999,"="&amp;INS_EFF!$B234),"")</f>
        <v>0.38</v>
      </c>
      <c r="BG234" s="95">
        <f>IFERROR(AVERAGEIFS(RdTRABYVals!V$2:V$999,RdTRABYVals!$B$2:$B$999,"="&amp;$E234,RdTRABYVals!$C$2:$C$999,"="&amp;INS_EFF!$B234),"")</f>
        <v>0.40000000000000002</v>
      </c>
      <c r="BH234" s="95">
        <f>IFERROR(AVERAGEIFS(RdTRABYVals!W$2:W$999,RdTRABYVals!$B$2:$B$999,"="&amp;$E234,RdTRABYVals!$C$2:$C$999,"="&amp;INS_EFF!$B234),"")</f>
        <v>0.34000000000000002</v>
      </c>
      <c r="BI234" s="95">
        <f>IFERROR(AVERAGEIFS(RdTRABYVals!X$2:X$999,RdTRABYVals!$B$2:$B$999,"="&amp;$E234,RdTRABYVals!$C$2:$C$999,"="&amp;INS_EFF!$B234),"")</f>
        <v>0.38</v>
      </c>
      <c r="BJ234" s="95">
        <f>IFERROR(AVERAGEIFS(RdTRABYVals!Y$2:Y$999,RdTRABYVals!$B$2:$B$999,"="&amp;$E234,RdTRABYVals!$C$2:$C$999,"="&amp;INS_EFF!$B234),"")</f>
        <v>0.35999999999999999</v>
      </c>
      <c r="BK234" s="95">
        <f>IFERROR(AVERAGEIFS(RdTRABYVals!Z$2:Z$999,RdTRABYVals!$B$2:$B$999,"="&amp;$E234,RdTRABYVals!$C$2:$C$999,"="&amp;INS_EFF!$B234),"")</f>
        <v>0.38</v>
      </c>
      <c r="BL234" s="95">
        <f>IFERROR(AVERAGEIFS(RdTRABYVals!AA$2:AA$999,RdTRABYVals!$B$2:$B$999,"="&amp;$E234,RdTRABYVals!$C$2:$C$999,"="&amp;INS_EFF!$B234),"")</f>
        <v>0.35999999999999999</v>
      </c>
      <c r="BM234" s="95">
        <f>IFERROR(AVERAGEIFS(RdTRABYVals!AB$2:AB$999,RdTRABYVals!$B$2:$B$999,"="&amp;$E234,RdTRABYVals!$C$2:$C$999,"="&amp;INS_EFF!$B234),"")</f>
        <v>0.39000000000000001</v>
      </c>
      <c r="BN234" s="95">
        <f>IFERROR(AVERAGEIFS(RdTRABYVals!AC$2:AC$999,RdTRABYVals!$B$2:$B$999,"="&amp;$E234,RdTRABYVals!$C$2:$C$999,"="&amp;INS_EFF!$B234),"")</f>
        <v>0.37</v>
      </c>
      <c r="BO234" s="95">
        <f>IFERROR(AVERAGEIFS(RdTRABYVals!AD$2:AD$999,RdTRABYVals!$B$2:$B$999,"="&amp;$E234,RdTRABYVals!$C$2:$C$999,"="&amp;INS_EFF!$B234),"")</f>
        <v>0.34999999999999998</v>
      </c>
      <c r="BP234" s="95">
        <f>IFERROR(AVERAGEIFS(RdTRABYVals!AE$2:AE$999,RdTRABYVals!$B$2:$B$999,"="&amp;$E234,RdTRABYVals!$C$2:$C$999,"="&amp;INS_EFF!$B234),"")</f>
        <v>0.37</v>
      </c>
      <c r="BQ234" s="95">
        <f>IFERROR(AVERAGEIFS(RdTRABYVals!AF$2:AF$999,RdTRABYVals!$B$2:$B$999,"="&amp;$E234,RdTRABYVals!$C$2:$C$999,"="&amp;INS_EFF!$B234),"")</f>
        <v>0.35999999999999999</v>
      </c>
      <c r="BR234" s="95">
        <f>IFERROR(AVERAGEIFS(RdTRABYVals!AG$2:AG$999,RdTRABYVals!$B$2:$B$999,"="&amp;$E234,RdTRABYVals!$C$2:$C$999,"="&amp;INS_EFF!$B234),"")</f>
        <v>0.35999999999999999</v>
      </c>
      <c r="BS234" s="95">
        <f>IFERROR(AVERAGEIFS(RdTRABYVals!AH$2:AH$999,RdTRABYVals!$B$2:$B$999,"="&amp;$E234,RdTRABYVals!$C$2:$C$999,"="&amp;INS_EFF!$B234),"")</f>
        <v>0.35999999999999999</v>
      </c>
      <c r="BT234" s="95">
        <f>IFERROR(AVERAGEIFS(RdTRABYVals!AI$2:AI$999,RdTRABYVals!$B$2:$B$999,"="&amp;$E234,RdTRABYVals!$C$2:$C$999,"="&amp;INS_EFF!$B234),"")</f>
        <v>0.38</v>
      </c>
      <c r="BU234" s="95">
        <f>IFERROR(AVERAGEIFS(RdTRABYVals!AJ$2:AJ$999,RdTRABYVals!$B$2:$B$999,"="&amp;$E234,RdTRABYVals!$C$2:$C$999,"="&amp;INS_EFF!$B234),"")</f>
        <v>0.34000000000000002</v>
      </c>
      <c r="BV234" s="95">
        <f>IFERROR(AVERAGEIFS(RdTRABYVals!AK$2:AK$999,RdTRABYVals!$B$2:$B$999,"="&amp;$E234,RdTRABYVals!$C$2:$C$999,"="&amp;INS_EFF!$B234),"")</f>
        <v>0.35999999999999999</v>
      </c>
      <c r="BW234" s="95">
        <f>IFERROR(AVERAGEIFS(RdTRABYVals!AL$2:AL$999,RdTRABYVals!$B$2:$B$999,"="&amp;$E234,RdTRABYVals!$C$2:$C$999,"="&amp;INS_EFF!$B234),"")</f>
        <v>0.37</v>
      </c>
      <c r="BX234" s="95">
        <f>IFERROR(AVERAGEIFS(RdTRABYVals!AM$2:AM$999,RdTRABYVals!$B$2:$B$999,"="&amp;$E234,RdTRABYVals!$C$2:$C$999,"="&amp;INS_EFF!$B234),"")</f>
        <v>0.34000000000000002</v>
      </c>
      <c r="BY234" s="95">
        <f>IFERROR(AVERAGEIFS(RdTRABYVals!AN$2:AN$999,RdTRABYVals!$B$2:$B$999,"="&amp;$E234,RdTRABYVals!$C$2:$C$999,"="&amp;INS_EFF!$B234),"")</f>
        <v>0.35999999999999999</v>
      </c>
      <c r="BZ234" s="95">
        <f>IFERROR(AVERAGEIFS(RdTRABYVals!AO$2:AO$999,RdTRABYVals!$B$2:$B$999,"="&amp;$E234,RdTRABYVals!$C$2:$C$999,"="&amp;INS_EFF!$B234),"")</f>
        <v>0.37</v>
      </c>
      <c r="CA234" s="95">
        <f>IFERROR(AVERAGEIFS(RdTRABYVals!AP$2:AP$999,RdTRABYVals!$B$2:$B$999,"="&amp;$E234,RdTRABYVals!$C$2:$C$999,"="&amp;INS_EFF!$B234),"")</f>
        <v>0.39000000000000001</v>
      </c>
      <c r="CB234" s="95">
        <f>IFERROR(AVERAGEIFS(RdTRABYVals!AQ$2:AQ$999,RdTRABYVals!$B$2:$B$999,"="&amp;$E234,RdTRABYVals!$C$2:$C$999,"="&amp;INS_EFF!$B234),"")</f>
        <v>0.33000000000000002</v>
      </c>
      <c r="CC234" s="95">
        <f>IFERROR(AVERAGEIFS(RdTRABYVals!AR$2:AR$999,RdTRABYVals!$B$2:$B$999,"="&amp;$E234,RdTRABYVals!$C$2:$C$999,"="&amp;INS_EFF!$B234),"")</f>
        <v>0.35999999999999999</v>
      </c>
      <c r="CD234" s="95">
        <f>IFERROR(AVERAGEIFS(RdTRABYVals!AS$2:AS$999,RdTRABYVals!$B$2:$B$999,"="&amp;$E234,RdTRABYVals!$C$2:$C$999,"="&amp;INS_EFF!$B234),"")</f>
        <v>0.38</v>
      </c>
      <c r="CE234" s="95">
        <f>IFERROR(AVERAGEIFS(RdTRABYVals!AT$2:AT$999,RdTRABYVals!$B$2:$B$999,"="&amp;$E234,RdTRABYVals!$C$2:$C$999,"="&amp;INS_EFF!$B234),"")</f>
        <v>0.37</v>
      </c>
      <c r="CF234" s="95">
        <f>IFERROR(AVERAGEIFS(RdTRABYVals!AU$2:AU$999,RdTRABYVals!$B$2:$B$999,"="&amp;$E234,RdTRABYVals!$C$2:$C$999,"="&amp;INS_EFF!$B234),"")</f>
        <v>0.39000000000000001</v>
      </c>
      <c r="CG234" s="95">
        <f>IFERROR(AVERAGEIFS(RdTRABYVals!AV$2:AV$999,RdTRABYVals!$B$2:$B$999,"="&amp;$E234,RdTRABYVals!$C$2:$C$999,"="&amp;INS_EFF!$B234),"")</f>
        <v>0.39000000000000001</v>
      </c>
    </row>
    <row r="235" spans="2:85" ht="15">
      <c r="B235" s="24" t="s">
        <v>178</v>
      </c>
      <c r="C235" s="24"/>
      <c r="E235" s="18" t="s">
        <v>29</v>
      </c>
      <c r="F235" s="71"/>
      <c r="G235" s="18" t="s">
        <v>163</v>
      </c>
      <c r="I235" t="str">
        <f t="shared" si="12"/>
        <v>*2.96740861379321</v>
      </c>
      <c r="J235" t="str">
        <f t="shared" si="12"/>
        <v>*3.78465476610041</v>
      </c>
      <c r="K235" t="str">
        <f t="shared" si="12"/>
        <v>*1.6329350433318</v>
      </c>
      <c r="L235" t="str">
        <f t="shared" si="12"/>
        <v>*2.34135375931972</v>
      </c>
      <c r="M235" t="str">
        <f t="shared" si="12"/>
        <v>*2.88154915179878</v>
      </c>
      <c r="N235" t="str">
        <f t="shared" si="12"/>
        <v>*2.81197837520114</v>
      </c>
      <c r="O235" t="str">
        <f t="shared" si="12"/>
        <v>*2.12619055676942</v>
      </c>
      <c r="P235" t="str">
        <f t="shared" si="12"/>
        <v>*3.78465476610041</v>
      </c>
      <c r="Q235" t="str">
        <f t="shared" si="12"/>
        <v>*2.57555276776197</v>
      </c>
      <c r="R235" t="str">
        <f t="shared" si="12"/>
        <v>*2.12619055676942</v>
      </c>
      <c r="S235" t="str">
        <f t="shared" si="12"/>
        <v>*2.80700368057022</v>
      </c>
      <c r="T235" t="str">
        <f t="shared" si="12"/>
        <v>*4.83707105871357</v>
      </c>
      <c r="U235" t="str">
        <f t="shared" si="12"/>
        <v>*3.78465476610041</v>
      </c>
      <c r="V235" t="str">
        <f t="shared" si="12"/>
        <v>*1.19538079655248</v>
      </c>
      <c r="W235" s="20" t="str">
        <f t="shared" si="12"/>
        <v>*2.92893868404264</v>
      </c>
      <c r="X235" t="str">
        <f t="shared" si="12"/>
        <v>*1.79518626524491</v>
      </c>
      <c r="Y235" t="str">
        <f t="shared" si="14" ref="Y235:AG240">IF(BL235&lt;&gt;"","*"&amp;BL235,"")</f>
        <v>*2.34135375931972</v>
      </c>
      <c r="Z235" t="str">
        <f t="shared" si="13"/>
        <v>*3.10429577155703</v>
      </c>
      <c r="AA235" t="str">
        <f t="shared" si="13"/>
        <v>*2.67268223593195</v>
      </c>
      <c r="AB235" t="str">
        <f t="shared" si="13"/>
        <v>*2.92893868404264</v>
      </c>
      <c r="AC235" t="str">
        <f t="shared" si="13"/>
        <v>*1.47719711293057</v>
      </c>
      <c r="AD235" t="str">
        <f t="shared" si="13"/>
        <v>*2.34135375931972</v>
      </c>
      <c r="AE235" t="str">
        <f t="shared" si="13"/>
        <v>*5.08428296456748</v>
      </c>
      <c r="AF235" t="str">
        <f t="shared" si="13"/>
        <v>*1.37070805579523</v>
      </c>
      <c r="AG235" t="str">
        <f t="shared" si="13"/>
        <v>*6.44686053751459</v>
      </c>
      <c r="AH235" t="str">
        <f t="shared" si="13"/>
        <v>*3.78465476610041</v>
      </c>
      <c r="AI235" t="str">
        <f t="shared" si="13"/>
        <v>*2.34135375931972</v>
      </c>
      <c r="AJ235" t="str">
        <f t="shared" si="13"/>
        <v>*3.78465476610041</v>
      </c>
      <c r="AK235" t="str">
        <f t="shared" si="13"/>
        <v>*3.8628381968994</v>
      </c>
      <c r="AL235" t="str">
        <f t="shared" si="13"/>
        <v>*2.92893868404264</v>
      </c>
      <c r="AM235" t="str">
        <f t="shared" si="11"/>
        <v>*3.91284599986985</v>
      </c>
      <c r="AN235" t="str">
        <f t="shared" si="11"/>
        <v>*2.5353321968993</v>
      </c>
      <c r="AO235" t="str">
        <f t="shared" si="9"/>
        <v>*2.74673961869743</v>
      </c>
      <c r="AP235" t="str">
        <f t="shared" si="9"/>
        <v>*2.34135375931972</v>
      </c>
      <c r="AQ235" t="str">
        <f t="shared" si="9"/>
        <v>*2.85678010930833</v>
      </c>
      <c r="AR235" t="str">
        <f t="shared" si="9"/>
        <v>*2.52854798886666</v>
      </c>
      <c r="AS235" t="str">
        <f t="shared" si="9"/>
        <v>*2.96740861379322</v>
      </c>
      <c r="AT235" t="str">
        <f t="shared" si="9"/>
        <v>*4.02170237577564</v>
      </c>
      <c r="AV235" s="96">
        <f t="shared" si="15" ref="AV235:AV240">AVERAGE(AW235:CG235)</f>
        <v>2.9674086137932143</v>
      </c>
      <c r="AW235" s="95">
        <f>IFERROR(AVERAGEIFS(RdTRABYVals!L$2:L$999,RdTRABYVals!$B$2:$B$999,"="&amp;$E235,RdTRABYVals!$C$2:$C$999,"="&amp;INS_EFF!$B235),"")</f>
        <v>3.78465476610041</v>
      </c>
      <c r="AX235" s="95">
        <f>IFERROR(AVERAGEIFS(RdTRABYVals!M$2:M$999,RdTRABYVals!$B$2:$B$999,"="&amp;$E235,RdTRABYVals!$C$2:$C$999,"="&amp;INS_EFF!$B235),"")</f>
        <v>1.6329350433318</v>
      </c>
      <c r="AY235" s="95">
        <f>IFERROR(AVERAGEIFS(RdTRABYVals!N$2:N$999,RdTRABYVals!$B$2:$B$999,"="&amp;$E235,RdTRABYVals!$C$2:$C$999,"="&amp;INS_EFF!$B235),"")</f>
        <v>2.3413537593197198</v>
      </c>
      <c r="AZ235" s="95">
        <f>IFERROR(AVERAGEIFS(RdTRABYVals!O$2:O$999,RdTRABYVals!$B$2:$B$999,"="&amp;$E235,RdTRABYVals!$C$2:$C$999,"="&amp;INS_EFF!$B235),"")</f>
        <v>2.8815491517987799</v>
      </c>
      <c r="BA235" s="95">
        <f>IFERROR(AVERAGEIFS(RdTRABYVals!P$2:P$999,RdTRABYVals!$B$2:$B$999,"="&amp;$E235,RdTRABYVals!$C$2:$C$999,"="&amp;INS_EFF!$B235),"")</f>
        <v>2.8119783752011398</v>
      </c>
      <c r="BB235" s="95">
        <f>IFERROR(AVERAGEIFS(RdTRABYVals!Q$2:Q$999,RdTRABYVals!$B$2:$B$999,"="&amp;$E235,RdTRABYVals!$C$2:$C$999,"="&amp;INS_EFF!$B235),"")</f>
        <v>2.1261905567694201</v>
      </c>
      <c r="BC235" s="95">
        <f>IFERROR(AVERAGEIFS(RdTRABYVals!R$2:R$999,RdTRABYVals!$B$2:$B$999,"="&amp;$E235,RdTRABYVals!$C$2:$C$999,"="&amp;INS_EFF!$B235),"")</f>
        <v>3.78465476610041</v>
      </c>
      <c r="BD235" s="95">
        <f>IFERROR(AVERAGEIFS(RdTRABYVals!S$2:S$999,RdTRABYVals!$B$2:$B$999,"="&amp;$E235,RdTRABYVals!$C$2:$C$999,"="&amp;INS_EFF!$B235),"")</f>
        <v>2.5755527677619701</v>
      </c>
      <c r="BE235" s="95">
        <f>IFERROR(AVERAGEIFS(RdTRABYVals!T$2:T$999,RdTRABYVals!$B$2:$B$999,"="&amp;$E235,RdTRABYVals!$C$2:$C$999,"="&amp;INS_EFF!$B235),"")</f>
        <v>2.1261905567694201</v>
      </c>
      <c r="BF235" s="95">
        <f>IFERROR(AVERAGEIFS(RdTRABYVals!U$2:U$999,RdTRABYVals!$B$2:$B$999,"="&amp;$E235,RdTRABYVals!$C$2:$C$999,"="&amp;INS_EFF!$B235),"")</f>
        <v>2.8070036805702201</v>
      </c>
      <c r="BG235" s="95">
        <f>IFERROR(AVERAGEIFS(RdTRABYVals!V$2:V$999,RdTRABYVals!$B$2:$B$999,"="&amp;$E235,RdTRABYVals!$C$2:$C$999,"="&amp;INS_EFF!$B235),"")</f>
        <v>4.8370710587135699</v>
      </c>
      <c r="BH235" s="95">
        <f>IFERROR(AVERAGEIFS(RdTRABYVals!W$2:W$999,RdTRABYVals!$B$2:$B$999,"="&amp;$E235,RdTRABYVals!$C$2:$C$999,"="&amp;INS_EFF!$B235),"")</f>
        <v>3.78465476610041</v>
      </c>
      <c r="BI235" s="95">
        <f>IFERROR(AVERAGEIFS(RdTRABYVals!X$2:X$999,RdTRABYVals!$B$2:$B$999,"="&amp;$E235,RdTRABYVals!$C$2:$C$999,"="&amp;INS_EFF!$B235),"")</f>
        <v>1.1953807965524801</v>
      </c>
      <c r="BJ235" s="95">
        <f>IFERROR(AVERAGEIFS(RdTRABYVals!Y$2:Y$999,RdTRABYVals!$B$2:$B$999,"="&amp;$E235,RdTRABYVals!$C$2:$C$999,"="&amp;INS_EFF!$B235),"")</f>
        <v>2.9289386840426399</v>
      </c>
      <c r="BK235" s="95">
        <f>IFERROR(AVERAGEIFS(RdTRABYVals!Z$2:Z$999,RdTRABYVals!$B$2:$B$999,"="&amp;$E235,RdTRABYVals!$C$2:$C$999,"="&amp;INS_EFF!$B235),"")</f>
        <v>1.79518626524491</v>
      </c>
      <c r="BL235" s="95">
        <f>IFERROR(AVERAGEIFS(RdTRABYVals!AA$2:AA$999,RdTRABYVals!$B$2:$B$999,"="&amp;$E235,RdTRABYVals!$C$2:$C$999,"="&amp;INS_EFF!$B235),"")</f>
        <v>2.3413537593197198</v>
      </c>
      <c r="BM235" s="95">
        <f>IFERROR(AVERAGEIFS(RdTRABYVals!AB$2:AB$999,RdTRABYVals!$B$2:$B$999,"="&amp;$E235,RdTRABYVals!$C$2:$C$999,"="&amp;INS_EFF!$B235),"")</f>
        <v>3.1042957715570298</v>
      </c>
      <c r="BN235" s="95">
        <f>IFERROR(AVERAGEIFS(RdTRABYVals!AC$2:AC$999,RdTRABYVals!$B$2:$B$999,"="&amp;$E235,RdTRABYVals!$C$2:$C$999,"="&amp;INS_EFF!$B235),"")</f>
        <v>2.67268223593195</v>
      </c>
      <c r="BO235" s="95">
        <f>IFERROR(AVERAGEIFS(RdTRABYVals!AD$2:AD$999,RdTRABYVals!$B$2:$B$999,"="&amp;$E235,RdTRABYVals!$C$2:$C$999,"="&amp;INS_EFF!$B235),"")</f>
        <v>2.9289386840426399</v>
      </c>
      <c r="BP235" s="95">
        <f>IFERROR(AVERAGEIFS(RdTRABYVals!AE$2:AE$999,RdTRABYVals!$B$2:$B$999,"="&amp;$E235,RdTRABYVals!$C$2:$C$999,"="&amp;INS_EFF!$B235),"")</f>
        <v>1.4771971129305701</v>
      </c>
      <c r="BQ235" s="95">
        <f>IFERROR(AVERAGEIFS(RdTRABYVals!AF$2:AF$999,RdTRABYVals!$B$2:$B$999,"="&amp;$E235,RdTRABYVals!$C$2:$C$999,"="&amp;INS_EFF!$B235),"")</f>
        <v>2.3413537593197198</v>
      </c>
      <c r="BR235" s="95">
        <f>IFERROR(AVERAGEIFS(RdTRABYVals!AG$2:AG$999,RdTRABYVals!$B$2:$B$999,"="&amp;$E235,RdTRABYVals!$C$2:$C$999,"="&amp;INS_EFF!$B235),"")</f>
        <v>5.0842829645674801</v>
      </c>
      <c r="BS235" s="95">
        <f>IFERROR(AVERAGEIFS(RdTRABYVals!AH$2:AH$999,RdTRABYVals!$B$2:$B$999,"="&amp;$E235,RdTRABYVals!$C$2:$C$999,"="&amp;INS_EFF!$B235),"")</f>
        <v>1.37070805579523</v>
      </c>
      <c r="BT235" s="95">
        <f>IFERROR(AVERAGEIFS(RdTRABYVals!AI$2:AI$999,RdTRABYVals!$B$2:$B$999,"="&amp;$E235,RdTRABYVals!$C$2:$C$999,"="&amp;INS_EFF!$B235),"")</f>
        <v>6.4468605375145902</v>
      </c>
      <c r="BU235" s="95">
        <f>IFERROR(AVERAGEIFS(RdTRABYVals!AJ$2:AJ$999,RdTRABYVals!$B$2:$B$999,"="&amp;$E235,RdTRABYVals!$C$2:$C$999,"="&amp;INS_EFF!$B235),"")</f>
        <v>3.78465476610041</v>
      </c>
      <c r="BV235" s="95">
        <f>IFERROR(AVERAGEIFS(RdTRABYVals!AK$2:AK$999,RdTRABYVals!$B$2:$B$999,"="&amp;$E235,RdTRABYVals!$C$2:$C$999,"="&amp;INS_EFF!$B235),"")</f>
        <v>2.3413537593197198</v>
      </c>
      <c r="BW235" s="95">
        <f>IFERROR(AVERAGEIFS(RdTRABYVals!AL$2:AL$999,RdTRABYVals!$B$2:$B$999,"="&amp;$E235,RdTRABYVals!$C$2:$C$999,"="&amp;INS_EFF!$B235),"")</f>
        <v>3.78465476610041</v>
      </c>
      <c r="BX235" s="95">
        <f>IFERROR(AVERAGEIFS(RdTRABYVals!AM$2:AM$999,RdTRABYVals!$B$2:$B$999,"="&amp;$E235,RdTRABYVals!$C$2:$C$999,"="&amp;INS_EFF!$B235),"")</f>
        <v>3.8628381968993999</v>
      </c>
      <c r="BY235" s="95">
        <f>IFERROR(AVERAGEIFS(RdTRABYVals!AN$2:AN$999,RdTRABYVals!$B$2:$B$999,"="&amp;$E235,RdTRABYVals!$C$2:$C$999,"="&amp;INS_EFF!$B235),"")</f>
        <v>2.9289386840426399</v>
      </c>
      <c r="BZ235" s="95">
        <f>IFERROR(AVERAGEIFS(RdTRABYVals!AO$2:AO$999,RdTRABYVals!$B$2:$B$999,"="&amp;$E235,RdTRABYVals!$C$2:$C$999,"="&amp;INS_EFF!$B235),"")</f>
        <v>3.9128459998698499</v>
      </c>
      <c r="CA235" s="95">
        <f>IFERROR(AVERAGEIFS(RdTRABYVals!AP$2:AP$999,RdTRABYVals!$B$2:$B$999,"="&amp;$E235,RdTRABYVals!$C$2:$C$999,"="&amp;INS_EFF!$B235),"")</f>
        <v>2.5353321968992999</v>
      </c>
      <c r="CB235" s="95">
        <f>IFERROR(AVERAGEIFS(RdTRABYVals!AQ$2:AQ$999,RdTRABYVals!$B$2:$B$999,"="&amp;$E235,RdTRABYVals!$C$2:$C$999,"="&amp;INS_EFF!$B235),"")</f>
        <v>2.74673961869743</v>
      </c>
      <c r="CC235" s="95">
        <f>IFERROR(AVERAGEIFS(RdTRABYVals!AR$2:AR$999,RdTRABYVals!$B$2:$B$999,"="&amp;$E235,RdTRABYVals!$C$2:$C$999,"="&amp;INS_EFF!$B235),"")</f>
        <v>2.3413537593197198</v>
      </c>
      <c r="CD235" s="95">
        <f>IFERROR(AVERAGEIFS(RdTRABYVals!AS$2:AS$999,RdTRABYVals!$B$2:$B$999,"="&amp;$E235,RdTRABYVals!$C$2:$C$999,"="&amp;INS_EFF!$B235),"")</f>
        <v>2.85678010930833</v>
      </c>
      <c r="CE235" s="95">
        <f>IFERROR(AVERAGEIFS(RdTRABYVals!AT$2:AT$999,RdTRABYVals!$B$2:$B$999,"="&amp;$E235,RdTRABYVals!$C$2:$C$999,"="&amp;INS_EFF!$B235),"")</f>
        <v>2.5285479888666602</v>
      </c>
      <c r="CF235" s="95">
        <f>IFERROR(AVERAGEIFS(RdTRABYVals!AU$2:AU$999,RdTRABYVals!$B$2:$B$999,"="&amp;$E235,RdTRABYVals!$C$2:$C$999,"="&amp;INS_EFF!$B235),"")</f>
        <v>2.9674086137932201</v>
      </c>
      <c r="CG235" s="95">
        <f>IFERROR(AVERAGEIFS(RdTRABYVals!AV$2:AV$999,RdTRABYVals!$B$2:$B$999,"="&amp;$E235,RdTRABYVals!$C$2:$C$999,"="&amp;INS_EFF!$B235),"")</f>
        <v>4.0217023757756403</v>
      </c>
    </row>
    <row r="236" spans="2:85" ht="15">
      <c r="B236" s="24" t="s">
        <v>179</v>
      </c>
      <c r="C236" s="24"/>
      <c r="E236" s="18" t="s">
        <v>29</v>
      </c>
      <c r="F236" s="71"/>
      <c r="G236" s="18" t="s">
        <v>164</v>
      </c>
      <c r="I236" t="str">
        <f t="shared" si="12"/>
        <v>*7.43509990252581</v>
      </c>
      <c r="J236" t="str">
        <f t="shared" si="12"/>
        <v>*8.92665423656215</v>
      </c>
      <c r="K236" t="str">
        <f t="shared" si="12"/>
        <v>*4.0445924688402</v>
      </c>
      <c r="L236" t="str">
        <f t="shared" si="12"/>
        <v>*6.68627546545711</v>
      </c>
      <c r="M236" t="str">
        <f t="shared" si="12"/>
        <v>*7.58223250274475</v>
      </c>
      <c r="N236" t="str">
        <f t="shared" si="12"/>
        <v>*7.31970847104617</v>
      </c>
      <c r="O236" t="str">
        <f t="shared" si="12"/>
        <v>*5.72529696552562</v>
      </c>
      <c r="P236" t="str">
        <f t="shared" si="12"/>
        <v>*8.92665423656215</v>
      </c>
      <c r="Q236" t="str">
        <f t="shared" si="12"/>
        <v>*6.37255405023165</v>
      </c>
      <c r="R236" t="str">
        <f t="shared" si="12"/>
        <v>*5.72529696552562</v>
      </c>
      <c r="S236" t="str">
        <f t="shared" si="12"/>
        <v>*7.75903455166238</v>
      </c>
      <c r="T236" t="str">
        <f t="shared" si="12"/>
        <v>*7.43509990252581</v>
      </c>
      <c r="U236" t="str">
        <f t="shared" si="12"/>
        <v>*8.92665423656215</v>
      </c>
      <c r="V236" t="str">
        <f t="shared" si="12"/>
        <v>*3.09407815601376</v>
      </c>
      <c r="W236" s="20" t="str">
        <f t="shared" si="12"/>
        <v>*8.32841779654257</v>
      </c>
      <c r="X236" t="str">
        <f t="shared" si="12"/>
        <v>*4.91419948687786</v>
      </c>
      <c r="Y236" t="str">
        <f t="shared" si="14"/>
        <v>*6.68627546545711</v>
      </c>
      <c r="Z236" t="str">
        <f t="shared" si="13"/>
        <v>*7.88039699777905</v>
      </c>
      <c r="AA236" t="str">
        <f t="shared" si="13"/>
        <v>*7.43509990252581</v>
      </c>
      <c r="AB236" t="str">
        <f t="shared" si="13"/>
        <v>*8.32841779654257</v>
      </c>
      <c r="AC236" t="str">
        <f t="shared" si="13"/>
        <v>*3.69339779365603</v>
      </c>
      <c r="AD236" t="str">
        <f t="shared" si="13"/>
        <v>*6.68627546545711</v>
      </c>
      <c r="AE236" t="str">
        <f t="shared" si="13"/>
        <v>*7.43509990252581</v>
      </c>
      <c r="AF236" t="str">
        <f t="shared" si="13"/>
        <v>*3.46552398628294</v>
      </c>
      <c r="AG236" t="str">
        <f t="shared" si="13"/>
        <v>*7.43509990252581</v>
      </c>
      <c r="AH236" t="str">
        <f t="shared" si="13"/>
        <v>*8.92665423656215</v>
      </c>
      <c r="AI236" t="str">
        <f t="shared" si="13"/>
        <v>*6.68627546545711</v>
      </c>
      <c r="AJ236" t="str">
        <f t="shared" si="13"/>
        <v>*8.92665423656215</v>
      </c>
      <c r="AK236" t="str">
        <f t="shared" si="13"/>
        <v>*10.6567202460497</v>
      </c>
      <c r="AL236" t="str">
        <f t="shared" si="13"/>
        <v>*8.32841779654257</v>
      </c>
      <c r="AM236" t="str">
        <f t="shared" si="11"/>
        <v>*10.84317869095</v>
      </c>
      <c r="AN236" t="str">
        <f t="shared" si="11"/>
        <v>*7.46018473684822</v>
      </c>
      <c r="AO236" t="str">
        <f t="shared" si="9"/>
        <v>*7.92001364085701</v>
      </c>
      <c r="AP236" t="str">
        <f t="shared" si="9"/>
        <v>*6.68627546545711</v>
      </c>
      <c r="AQ236" t="str">
        <f t="shared" si="9"/>
        <v>*7.65218881841743</v>
      </c>
      <c r="AR236" t="str">
        <f t="shared" si="9"/>
        <v>*7.61420997423705</v>
      </c>
      <c r="AS236" t="str">
        <f t="shared" si="9"/>
        <v>*10.6531065814435</v>
      </c>
      <c r="AT236" t="str">
        <f t="shared" si="9"/>
        <v>*11.9324797986387</v>
      </c>
      <c r="AV236" s="96">
        <f t="shared" si="15"/>
        <v>7.4350999025258071</v>
      </c>
      <c r="AW236" s="95">
        <f>IFERROR(AVERAGEIFS(RdTRABYVals!L$2:L$999,RdTRABYVals!$B$2:$B$999,"="&amp;$E236,RdTRABYVals!$C$2:$C$999,"="&amp;INS_EFF!$B236),"")</f>
        <v>8.9266542365621504</v>
      </c>
      <c r="AX236" s="95">
        <f>IFERROR(AVERAGEIFS(RdTRABYVals!M$2:M$999,RdTRABYVals!$B$2:$B$999,"="&amp;$E236,RdTRABYVals!$C$2:$C$999,"="&amp;INS_EFF!$B236),"")</f>
        <v>4.0445924688402002</v>
      </c>
      <c r="AY236" s="95">
        <f>IFERROR(AVERAGEIFS(RdTRABYVals!N$2:N$999,RdTRABYVals!$B$2:$B$999,"="&amp;$E236,RdTRABYVals!$C$2:$C$999,"="&amp;INS_EFF!$B236),"")</f>
        <v>6.6862754654571104</v>
      </c>
      <c r="AZ236" s="95">
        <f>IFERROR(AVERAGEIFS(RdTRABYVals!O$2:O$999,RdTRABYVals!$B$2:$B$999,"="&amp;$E236,RdTRABYVals!$C$2:$C$999,"="&amp;INS_EFF!$B236),"")</f>
        <v>7.5822325027447501</v>
      </c>
      <c r="BA236" s="95">
        <f>IFERROR(AVERAGEIFS(RdTRABYVals!P$2:P$999,RdTRABYVals!$B$2:$B$999,"="&amp;$E236,RdTRABYVals!$C$2:$C$999,"="&amp;INS_EFF!$B236),"")</f>
        <v>7.3197084710461704</v>
      </c>
      <c r="BB236" s="95">
        <f>IFERROR(AVERAGEIFS(RdTRABYVals!Q$2:Q$999,RdTRABYVals!$B$2:$B$999,"="&amp;$E236,RdTRABYVals!$C$2:$C$999,"="&amp;INS_EFF!$B236),"")</f>
        <v>5.7252969655256196</v>
      </c>
      <c r="BC236" s="95">
        <f>IFERROR(AVERAGEIFS(RdTRABYVals!R$2:R$999,RdTRABYVals!$B$2:$B$999,"="&amp;$E236,RdTRABYVals!$C$2:$C$999,"="&amp;INS_EFF!$B236),"")</f>
        <v>8.9266542365621504</v>
      </c>
      <c r="BD236" s="95">
        <f>IFERROR(AVERAGEIFS(RdTRABYVals!S$2:S$999,RdTRABYVals!$B$2:$B$999,"="&amp;$E236,RdTRABYVals!$C$2:$C$999,"="&amp;INS_EFF!$B236),"")</f>
        <v>6.37255405023165</v>
      </c>
      <c r="BE236" s="95">
        <f>IFERROR(AVERAGEIFS(RdTRABYVals!T$2:T$999,RdTRABYVals!$B$2:$B$999,"="&amp;$E236,RdTRABYVals!$C$2:$C$999,"="&amp;INS_EFF!$B236),"")</f>
        <v>5.7252969655256196</v>
      </c>
      <c r="BF236" s="95">
        <f>IFERROR(AVERAGEIFS(RdTRABYVals!U$2:U$999,RdTRABYVals!$B$2:$B$999,"="&amp;$E236,RdTRABYVals!$C$2:$C$999,"="&amp;INS_EFF!$B236),"")</f>
        <v>7.7590345516623804</v>
      </c>
      <c r="BG236" s="95">
        <f>IFERROR(AVERAGEIFS(RdTRABYVals!V$2:V$999,RdTRABYVals!$B$2:$B$999,"="&amp;$E236,RdTRABYVals!$C$2:$C$999,"="&amp;INS_EFF!$B236),"")</f>
        <v>7.4350999025258098</v>
      </c>
      <c r="BH236" s="95">
        <f>IFERROR(AVERAGEIFS(RdTRABYVals!W$2:W$999,RdTRABYVals!$B$2:$B$999,"="&amp;$E236,RdTRABYVals!$C$2:$C$999,"="&amp;INS_EFF!$B236),"")</f>
        <v>8.9266542365621504</v>
      </c>
      <c r="BI236" s="95">
        <f>IFERROR(AVERAGEIFS(RdTRABYVals!X$2:X$999,RdTRABYVals!$B$2:$B$999,"="&amp;$E236,RdTRABYVals!$C$2:$C$999,"="&amp;INS_EFF!$B236),"")</f>
        <v>3.0940781560137598</v>
      </c>
      <c r="BJ236" s="95">
        <f>IFERROR(AVERAGEIFS(RdTRABYVals!Y$2:Y$999,RdTRABYVals!$B$2:$B$999,"="&amp;$E236,RdTRABYVals!$C$2:$C$999,"="&amp;INS_EFF!$B236),"")</f>
        <v>8.3284177965425705</v>
      </c>
      <c r="BK236" s="95">
        <f>IFERROR(AVERAGEIFS(RdTRABYVals!Z$2:Z$999,RdTRABYVals!$B$2:$B$999,"="&amp;$E236,RdTRABYVals!$C$2:$C$999,"="&amp;INS_EFF!$B236),"")</f>
        <v>4.9141994868778598</v>
      </c>
      <c r="BL236" s="95">
        <f>IFERROR(AVERAGEIFS(RdTRABYVals!AA$2:AA$999,RdTRABYVals!$B$2:$B$999,"="&amp;$E236,RdTRABYVals!$C$2:$C$999,"="&amp;INS_EFF!$B236),"")</f>
        <v>6.6862754654571104</v>
      </c>
      <c r="BM236" s="95">
        <f>IFERROR(AVERAGEIFS(RdTRABYVals!AB$2:AB$999,RdTRABYVals!$B$2:$B$999,"="&amp;$E236,RdTRABYVals!$C$2:$C$999,"="&amp;INS_EFF!$B236),"")</f>
        <v>7.8803969977790498</v>
      </c>
      <c r="BN236" s="95">
        <f>IFERROR(AVERAGEIFS(RdTRABYVals!AC$2:AC$999,RdTRABYVals!$B$2:$B$999,"="&amp;$E236,RdTRABYVals!$C$2:$C$999,"="&amp;INS_EFF!$B236),"")</f>
        <v>7.4350999025258098</v>
      </c>
      <c r="BO236" s="95">
        <f>IFERROR(AVERAGEIFS(RdTRABYVals!AD$2:AD$999,RdTRABYVals!$B$2:$B$999,"="&amp;$E236,RdTRABYVals!$C$2:$C$999,"="&amp;INS_EFF!$B236),"")</f>
        <v>8.3284177965425705</v>
      </c>
      <c r="BP236" s="95">
        <f>IFERROR(AVERAGEIFS(RdTRABYVals!AE$2:AE$999,RdTRABYVals!$B$2:$B$999,"="&amp;$E236,RdTRABYVals!$C$2:$C$999,"="&amp;INS_EFF!$B236),"")</f>
        <v>3.6933977936560298</v>
      </c>
      <c r="BQ236" s="95">
        <f>IFERROR(AVERAGEIFS(RdTRABYVals!AF$2:AF$999,RdTRABYVals!$B$2:$B$999,"="&amp;$E236,RdTRABYVals!$C$2:$C$999,"="&amp;INS_EFF!$B236),"")</f>
        <v>6.6862754654571104</v>
      </c>
      <c r="BR236" s="95">
        <f>IFERROR(AVERAGEIFS(RdTRABYVals!AG$2:AG$999,RdTRABYVals!$B$2:$B$999,"="&amp;$E236,RdTRABYVals!$C$2:$C$999,"="&amp;INS_EFF!$B236),"")</f>
        <v>7.4350999025258098</v>
      </c>
      <c r="BS236" s="95">
        <f>IFERROR(AVERAGEIFS(RdTRABYVals!AH$2:AH$999,RdTRABYVals!$B$2:$B$999,"="&amp;$E236,RdTRABYVals!$C$2:$C$999,"="&amp;INS_EFF!$B236),"")</f>
        <v>3.4655239862829399</v>
      </c>
      <c r="BT236" s="95">
        <f>IFERROR(AVERAGEIFS(RdTRABYVals!AI$2:AI$999,RdTRABYVals!$B$2:$B$999,"="&amp;$E236,RdTRABYVals!$C$2:$C$999,"="&amp;INS_EFF!$B236),"")</f>
        <v>7.4350999025258098</v>
      </c>
      <c r="BU236" s="95">
        <f>IFERROR(AVERAGEIFS(RdTRABYVals!AJ$2:AJ$999,RdTRABYVals!$B$2:$B$999,"="&amp;$E236,RdTRABYVals!$C$2:$C$999,"="&amp;INS_EFF!$B236),"")</f>
        <v>8.9266542365621504</v>
      </c>
      <c r="BV236" s="95">
        <f>IFERROR(AVERAGEIFS(RdTRABYVals!AK$2:AK$999,RdTRABYVals!$B$2:$B$999,"="&amp;$E236,RdTRABYVals!$C$2:$C$999,"="&amp;INS_EFF!$B236),"")</f>
        <v>6.6862754654571104</v>
      </c>
      <c r="BW236" s="95">
        <f>IFERROR(AVERAGEIFS(RdTRABYVals!AL$2:AL$999,RdTRABYVals!$B$2:$B$999,"="&amp;$E236,RdTRABYVals!$C$2:$C$999,"="&amp;INS_EFF!$B236),"")</f>
        <v>8.9266542365621504</v>
      </c>
      <c r="BX236" s="95">
        <f>IFERROR(AVERAGEIFS(RdTRABYVals!AM$2:AM$999,RdTRABYVals!$B$2:$B$999,"="&amp;$E236,RdTRABYVals!$C$2:$C$999,"="&amp;INS_EFF!$B236),"")</f>
        <v>10.6567202460497</v>
      </c>
      <c r="BY236" s="95">
        <f>IFERROR(AVERAGEIFS(RdTRABYVals!AN$2:AN$999,RdTRABYVals!$B$2:$B$999,"="&amp;$E236,RdTRABYVals!$C$2:$C$999,"="&amp;INS_EFF!$B236),"")</f>
        <v>8.3284177965425705</v>
      </c>
      <c r="BZ236" s="95">
        <f>IFERROR(AVERAGEIFS(RdTRABYVals!AO$2:AO$999,RdTRABYVals!$B$2:$B$999,"="&amp;$E236,RdTRABYVals!$C$2:$C$999,"="&amp;INS_EFF!$B236),"")</f>
        <v>10.843178690949999</v>
      </c>
      <c r="CA236" s="95">
        <f>IFERROR(AVERAGEIFS(RdTRABYVals!AP$2:AP$999,RdTRABYVals!$B$2:$B$999,"="&amp;$E236,RdTRABYVals!$C$2:$C$999,"="&amp;INS_EFF!$B236),"")</f>
        <v>7.4601847368482197</v>
      </c>
      <c r="CB236" s="95">
        <f>IFERROR(AVERAGEIFS(RdTRABYVals!AQ$2:AQ$999,RdTRABYVals!$B$2:$B$999,"="&amp;$E236,RdTRABYVals!$C$2:$C$999,"="&amp;INS_EFF!$B236),"")</f>
        <v>7.9200136408570101</v>
      </c>
      <c r="CC236" s="95">
        <f>IFERROR(AVERAGEIFS(RdTRABYVals!AR$2:AR$999,RdTRABYVals!$B$2:$B$999,"="&amp;$E236,RdTRABYVals!$C$2:$C$999,"="&amp;INS_EFF!$B236),"")</f>
        <v>6.6862754654571104</v>
      </c>
      <c r="CD236" s="95">
        <f>IFERROR(AVERAGEIFS(RdTRABYVals!AS$2:AS$999,RdTRABYVals!$B$2:$B$999,"="&amp;$E236,RdTRABYVals!$C$2:$C$999,"="&amp;INS_EFF!$B236),"")</f>
        <v>7.6521888184174296</v>
      </c>
      <c r="CE236" s="95">
        <f>IFERROR(AVERAGEIFS(RdTRABYVals!AT$2:AT$999,RdTRABYVals!$B$2:$B$999,"="&amp;$E236,RdTRABYVals!$C$2:$C$999,"="&amp;INS_EFF!$B236),"")</f>
        <v>7.6142099742370499</v>
      </c>
      <c r="CF236" s="95">
        <f>IFERROR(AVERAGEIFS(RdTRABYVals!AU$2:AU$999,RdTRABYVals!$B$2:$B$999,"="&amp;$E236,RdTRABYVals!$C$2:$C$999,"="&amp;INS_EFF!$B236),"")</f>
        <v>10.653106581443501</v>
      </c>
      <c r="CG236" s="95">
        <f>IFERROR(AVERAGEIFS(RdTRABYVals!AV$2:AV$999,RdTRABYVals!$B$2:$B$999,"="&amp;$E236,RdTRABYVals!$C$2:$C$999,"="&amp;INS_EFF!$B236),"")</f>
        <v>11.932479798638701</v>
      </c>
    </row>
    <row r="237" spans="2:85" ht="15">
      <c r="B237" s="24" t="s">
        <v>165</v>
      </c>
      <c r="C237" s="24"/>
      <c r="E237" s="18" t="s">
        <v>29</v>
      </c>
      <c r="F237" s="71"/>
      <c r="G237" s="18" t="s">
        <v>165</v>
      </c>
      <c r="I237" t="str">
        <f t="shared" si="12"/>
        <v>*5.30749370398552</v>
      </c>
      <c r="J237" t="str">
        <f t="shared" si="12"/>
        <v>*5.75186141570947</v>
      </c>
      <c r="K237" t="str">
        <f t="shared" si="12"/>
        <v>*4.21155848723695</v>
      </c>
      <c r="L237" t="str">
        <f t="shared" si="12"/>
        <v>*5.4278909733591</v>
      </c>
      <c r="M237" t="str">
        <f t="shared" si="12"/>
        <v>*4.58055345858254</v>
      </c>
      <c r="N237" t="str">
        <f t="shared" si="12"/>
        <v>*6.04042289275791</v>
      </c>
      <c r="O237" t="str">
        <f t="shared" si="12"/>
        <v>*4.69604338514518</v>
      </c>
      <c r="P237" t="str">
        <f t="shared" si="12"/>
        <v>*5.75186141570947</v>
      </c>
      <c r="Q237" t="str">
        <f t="shared" si="12"/>
        <v>*3.38803729063415</v>
      </c>
      <c r="R237" t="str">
        <f t="shared" si="12"/>
        <v>*4.69604338514518</v>
      </c>
      <c r="S237" t="str">
        <f t="shared" si="12"/>
        <v>*6.26337033081879</v>
      </c>
      <c r="T237" t="str">
        <f t="shared" si="12"/>
        <v>*3.24768028603007</v>
      </c>
      <c r="U237" t="str">
        <f t="shared" si="12"/>
        <v>*5.75186141570947</v>
      </c>
      <c r="V237" t="str">
        <f t="shared" si="12"/>
        <v>*3.52832959238045</v>
      </c>
      <c r="W237" s="20" t="str">
        <f t="shared" si="12"/>
        <v>*5.46924133039144</v>
      </c>
      <c r="X237" t="str">
        <f t="shared" si="12"/>
        <v>*6.11154300812002</v>
      </c>
      <c r="Y237" t="str">
        <f t="shared" si="14"/>
        <v>*5.4278909733591</v>
      </c>
      <c r="Z237" t="str">
        <f t="shared" si="13"/>
        <v>*6.27708269141914</v>
      </c>
      <c r="AA237" t="str">
        <f t="shared" si="13"/>
        <v>*4.30409798394431</v>
      </c>
      <c r="AB237" t="str">
        <f t="shared" si="13"/>
        <v>*5.46924133039144</v>
      </c>
      <c r="AC237" t="str">
        <f t="shared" si="13"/>
        <v>*4.24757859076656</v>
      </c>
      <c r="AD237" t="str">
        <f t="shared" si="13"/>
        <v>*5.4278909733591</v>
      </c>
      <c r="AE237" t="str">
        <f t="shared" si="13"/>
        <v>*5.30749370398552</v>
      </c>
      <c r="AF237" t="str">
        <f t="shared" si="13"/>
        <v>*5.30749370398552</v>
      </c>
      <c r="AG237" t="str">
        <f t="shared" si="13"/>
        <v>*4.8199605723276</v>
      </c>
      <c r="AH237" t="str">
        <f t="shared" si="13"/>
        <v>*5.75186141570947</v>
      </c>
      <c r="AI237" t="str">
        <f t="shared" si="13"/>
        <v>*5.4278909733591</v>
      </c>
      <c r="AJ237" t="str">
        <f t="shared" si="13"/>
        <v>*5.75186141570947</v>
      </c>
      <c r="AK237" t="str">
        <f t="shared" si="13"/>
        <v>*6.68665267928781</v>
      </c>
      <c r="AL237" t="str">
        <f t="shared" si="13"/>
        <v>*5.46924133039144</v>
      </c>
      <c r="AM237" t="str">
        <f t="shared" si="11"/>
        <v>*6.8302387992182</v>
      </c>
      <c r="AN237" t="str">
        <f t="shared" si="11"/>
        <v>*7.16248214945863</v>
      </c>
      <c r="AO237" t="str">
        <f t="shared" si="9"/>
        <v>*3.94261664060772</v>
      </c>
      <c r="AP237" t="str">
        <f t="shared" si="9"/>
        <v>*5.4278909733591</v>
      </c>
      <c r="AQ237" t="str">
        <f t="shared" si="9"/>
        <v>*4.98324162070553</v>
      </c>
      <c r="AR237" t="str">
        <f t="shared" si="9"/>
        <v>*5.30749370398552</v>
      </c>
      <c r="AS237" t="str">
        <f t="shared" si="9"/>
        <v>*5.95225805830895</v>
      </c>
      <c r="AT237" t="str">
        <f t="shared" si="9"/>
        <v>*6.17850809609472</v>
      </c>
      <c r="AV237" s="96">
        <f t="shared" si="15"/>
        <v>5.307493703985517</v>
      </c>
      <c r="AW237" s="95">
        <f>IFERROR(AVERAGEIFS(RdTRABYVals!L$2:L$999,RdTRABYVals!$B$2:$B$999,"="&amp;$E237,RdTRABYVals!$C$2:$C$999,"="&amp;INS_EFF!$B237),"")</f>
        <v>5.7518614157094703</v>
      </c>
      <c r="AX237" s="95">
        <f>IFERROR(AVERAGEIFS(RdTRABYVals!M$2:M$999,RdTRABYVals!$B$2:$B$999,"="&amp;$E237,RdTRABYVals!$C$2:$C$999,"="&amp;INS_EFF!$B237),"")</f>
        <v>4.2115584872369496</v>
      </c>
      <c r="AY237" s="95">
        <f>IFERROR(AVERAGEIFS(RdTRABYVals!N$2:N$999,RdTRABYVals!$B$2:$B$999,"="&amp;$E237,RdTRABYVals!$C$2:$C$999,"="&amp;INS_EFF!$B237),"")</f>
        <v>5.4278909733590996</v>
      </c>
      <c r="AZ237" s="95">
        <f>IFERROR(AVERAGEIFS(RdTRABYVals!O$2:O$999,RdTRABYVals!$B$2:$B$999,"="&amp;$E237,RdTRABYVals!$C$2:$C$999,"="&amp;INS_EFF!$B237),"")</f>
        <v>4.58055345858254</v>
      </c>
      <c r="BA237" s="95">
        <f>IFERROR(AVERAGEIFS(RdTRABYVals!P$2:P$999,RdTRABYVals!$B$2:$B$999,"="&amp;$E237,RdTRABYVals!$C$2:$C$999,"="&amp;INS_EFF!$B237),"")</f>
        <v>6.0404228927579098</v>
      </c>
      <c r="BB237" s="95">
        <f>IFERROR(AVERAGEIFS(RdTRABYVals!Q$2:Q$999,RdTRABYVals!$B$2:$B$999,"="&amp;$E237,RdTRABYVals!$C$2:$C$999,"="&amp;INS_EFF!$B237),"")</f>
        <v>4.6960433851451802</v>
      </c>
      <c r="BC237" s="95">
        <f>IFERROR(AVERAGEIFS(RdTRABYVals!R$2:R$999,RdTRABYVals!$B$2:$B$999,"="&amp;$E237,RdTRABYVals!$C$2:$C$999,"="&amp;INS_EFF!$B237),"")</f>
        <v>5.7518614157094703</v>
      </c>
      <c r="BD237" s="95">
        <f>IFERROR(AVERAGEIFS(RdTRABYVals!S$2:S$999,RdTRABYVals!$B$2:$B$999,"="&amp;$E237,RdTRABYVals!$C$2:$C$999,"="&amp;INS_EFF!$B237),"")</f>
        <v>3.3880372906341498</v>
      </c>
      <c r="BE237" s="95">
        <f>IFERROR(AVERAGEIFS(RdTRABYVals!T$2:T$999,RdTRABYVals!$B$2:$B$999,"="&amp;$E237,RdTRABYVals!$C$2:$C$999,"="&amp;INS_EFF!$B237),"")</f>
        <v>4.6960433851451802</v>
      </c>
      <c r="BF237" s="95">
        <f>IFERROR(AVERAGEIFS(RdTRABYVals!U$2:U$999,RdTRABYVals!$B$2:$B$999,"="&amp;$E237,RdTRABYVals!$C$2:$C$999,"="&amp;INS_EFF!$B237),"")</f>
        <v>6.2633703308187902</v>
      </c>
      <c r="BG237" s="95">
        <f>IFERROR(AVERAGEIFS(RdTRABYVals!V$2:V$999,RdTRABYVals!$B$2:$B$999,"="&amp;$E237,RdTRABYVals!$C$2:$C$999,"="&amp;INS_EFF!$B237),"")</f>
        <v>3.2476802860300702</v>
      </c>
      <c r="BH237" s="95">
        <f>IFERROR(AVERAGEIFS(RdTRABYVals!W$2:W$999,RdTRABYVals!$B$2:$B$999,"="&amp;$E237,RdTRABYVals!$C$2:$C$999,"="&amp;INS_EFF!$B237),"")</f>
        <v>5.7518614157094703</v>
      </c>
      <c r="BI237" s="95">
        <f>IFERROR(AVERAGEIFS(RdTRABYVals!X$2:X$999,RdTRABYVals!$B$2:$B$999,"="&amp;$E237,RdTRABYVals!$C$2:$C$999,"="&amp;INS_EFF!$B237),"")</f>
        <v>3.5283295923804499</v>
      </c>
      <c r="BJ237" s="95">
        <f>IFERROR(AVERAGEIFS(RdTRABYVals!Y$2:Y$999,RdTRABYVals!$B$2:$B$999,"="&amp;$E237,RdTRABYVals!$C$2:$C$999,"="&amp;INS_EFF!$B237),"")</f>
        <v>5.4692413303914398</v>
      </c>
      <c r="BK237" s="95">
        <f>IFERROR(AVERAGEIFS(RdTRABYVals!Z$2:Z$999,RdTRABYVals!$B$2:$B$999,"="&amp;$E237,RdTRABYVals!$C$2:$C$999,"="&amp;INS_EFF!$B237),"")</f>
        <v>6.1115430081200204</v>
      </c>
      <c r="BL237" s="95">
        <f>IFERROR(AVERAGEIFS(RdTRABYVals!AA$2:AA$999,RdTRABYVals!$B$2:$B$999,"="&amp;$E237,RdTRABYVals!$C$2:$C$999,"="&amp;INS_EFF!$B237),"")</f>
        <v>5.4278909733590996</v>
      </c>
      <c r="BM237" s="95">
        <f>IFERROR(AVERAGEIFS(RdTRABYVals!AB$2:AB$999,RdTRABYVals!$B$2:$B$999,"="&amp;$E237,RdTRABYVals!$C$2:$C$999,"="&amp;INS_EFF!$B237),"")</f>
        <v>6.2770826914191398</v>
      </c>
      <c r="BN237" s="95">
        <f>IFERROR(AVERAGEIFS(RdTRABYVals!AC$2:AC$999,RdTRABYVals!$B$2:$B$999,"="&amp;$E237,RdTRABYVals!$C$2:$C$999,"="&amp;INS_EFF!$B237),"")</f>
        <v>4.3040979839443096</v>
      </c>
      <c r="BO237" s="95">
        <f>IFERROR(AVERAGEIFS(RdTRABYVals!AD$2:AD$999,RdTRABYVals!$B$2:$B$999,"="&amp;$E237,RdTRABYVals!$C$2:$C$999,"="&amp;INS_EFF!$B237),"")</f>
        <v>5.4692413303914398</v>
      </c>
      <c r="BP237" s="95">
        <f>IFERROR(AVERAGEIFS(RdTRABYVals!AE$2:AE$999,RdTRABYVals!$B$2:$B$999,"="&amp;$E237,RdTRABYVals!$C$2:$C$999,"="&amp;INS_EFF!$B237),"")</f>
        <v>4.24757859076656</v>
      </c>
      <c r="BQ237" s="95">
        <f>IFERROR(AVERAGEIFS(RdTRABYVals!AF$2:AF$999,RdTRABYVals!$B$2:$B$999,"="&amp;$E237,RdTRABYVals!$C$2:$C$999,"="&amp;INS_EFF!$B237),"")</f>
        <v>5.4278909733590996</v>
      </c>
      <c r="BR237" s="95">
        <f>IFERROR(AVERAGEIFS(RdTRABYVals!AG$2:AG$999,RdTRABYVals!$B$2:$B$999,"="&amp;$E237,RdTRABYVals!$C$2:$C$999,"="&amp;INS_EFF!$B237),"")</f>
        <v>5.3074937039855197</v>
      </c>
      <c r="BS237" s="95">
        <f>IFERROR(AVERAGEIFS(RdTRABYVals!AH$2:AH$999,RdTRABYVals!$B$2:$B$999,"="&amp;$E237,RdTRABYVals!$C$2:$C$999,"="&amp;INS_EFF!$B237),"")</f>
        <v>5.3074937039855197</v>
      </c>
      <c r="BT237" s="95">
        <f>IFERROR(AVERAGEIFS(RdTRABYVals!AI$2:AI$999,RdTRABYVals!$B$2:$B$999,"="&amp;$E237,RdTRABYVals!$C$2:$C$999,"="&amp;INS_EFF!$B237),"")</f>
        <v>4.8199605723275996</v>
      </c>
      <c r="BU237" s="95">
        <f>IFERROR(AVERAGEIFS(RdTRABYVals!AJ$2:AJ$999,RdTRABYVals!$B$2:$B$999,"="&amp;$E237,RdTRABYVals!$C$2:$C$999,"="&amp;INS_EFF!$B237),"")</f>
        <v>5.7518614157094703</v>
      </c>
      <c r="BV237" s="95">
        <f>IFERROR(AVERAGEIFS(RdTRABYVals!AK$2:AK$999,RdTRABYVals!$B$2:$B$999,"="&amp;$E237,RdTRABYVals!$C$2:$C$999,"="&amp;INS_EFF!$B237),"")</f>
        <v>5.4278909733590996</v>
      </c>
      <c r="BW237" s="95">
        <f>IFERROR(AVERAGEIFS(RdTRABYVals!AL$2:AL$999,RdTRABYVals!$B$2:$B$999,"="&amp;$E237,RdTRABYVals!$C$2:$C$999,"="&amp;INS_EFF!$B237),"")</f>
        <v>5.7518614157094703</v>
      </c>
      <c r="BX237" s="95">
        <f>IFERROR(AVERAGEIFS(RdTRABYVals!AM$2:AM$999,RdTRABYVals!$B$2:$B$999,"="&amp;$E237,RdTRABYVals!$C$2:$C$999,"="&amp;INS_EFF!$B237),"")</f>
        <v>6.6866526792878096</v>
      </c>
      <c r="BY237" s="95">
        <f>IFERROR(AVERAGEIFS(RdTRABYVals!AN$2:AN$999,RdTRABYVals!$B$2:$B$999,"="&amp;$E237,RdTRABYVals!$C$2:$C$999,"="&amp;INS_EFF!$B237),"")</f>
        <v>5.4692413303914398</v>
      </c>
      <c r="BZ237" s="95">
        <f>IFERROR(AVERAGEIFS(RdTRABYVals!AO$2:AO$999,RdTRABYVals!$B$2:$B$999,"="&amp;$E237,RdTRABYVals!$C$2:$C$999,"="&amp;INS_EFF!$B237),"")</f>
        <v>6.8302387992181997</v>
      </c>
      <c r="CA237" s="95">
        <f>IFERROR(AVERAGEIFS(RdTRABYVals!AP$2:AP$999,RdTRABYVals!$B$2:$B$999,"="&amp;$E237,RdTRABYVals!$C$2:$C$999,"="&amp;INS_EFF!$B237),"")</f>
        <v>7.1624821494586302</v>
      </c>
      <c r="CB237" s="95">
        <f>IFERROR(AVERAGEIFS(RdTRABYVals!AQ$2:AQ$999,RdTRABYVals!$B$2:$B$999,"="&amp;$E237,RdTRABYVals!$C$2:$C$999,"="&amp;INS_EFF!$B237),"")</f>
        <v>3.9426166406077199</v>
      </c>
      <c r="CC237" s="95">
        <f>IFERROR(AVERAGEIFS(RdTRABYVals!AR$2:AR$999,RdTRABYVals!$B$2:$B$999,"="&amp;$E237,RdTRABYVals!$C$2:$C$999,"="&amp;INS_EFF!$B237),"")</f>
        <v>5.4278909733590996</v>
      </c>
      <c r="CD237" s="95">
        <f>IFERROR(AVERAGEIFS(RdTRABYVals!AS$2:AS$999,RdTRABYVals!$B$2:$B$999,"="&amp;$E237,RdTRABYVals!$C$2:$C$999,"="&amp;INS_EFF!$B237),"")</f>
        <v>4.9832416207055301</v>
      </c>
      <c r="CE237" s="95">
        <f>IFERROR(AVERAGEIFS(RdTRABYVals!AT$2:AT$999,RdTRABYVals!$B$2:$B$999,"="&amp;$E237,RdTRABYVals!$C$2:$C$999,"="&amp;INS_EFF!$B237),"")</f>
        <v>5.3074937039855197</v>
      </c>
      <c r="CF237" s="95">
        <f>IFERROR(AVERAGEIFS(RdTRABYVals!AU$2:AU$999,RdTRABYVals!$B$2:$B$999,"="&amp;$E237,RdTRABYVals!$C$2:$C$999,"="&amp;INS_EFF!$B237),"")</f>
        <v>5.9522580583089502</v>
      </c>
      <c r="CG237" s="95">
        <f>IFERROR(AVERAGEIFS(RdTRABYVals!AV$2:AV$999,RdTRABYVals!$B$2:$B$999,"="&amp;$E237,RdTRABYVals!$C$2:$C$999,"="&amp;INS_EFF!$B237),"")</f>
        <v>6.1785080960947196</v>
      </c>
    </row>
    <row r="238" spans="2:85" ht="15">
      <c r="B238" s="24" t="s">
        <v>181</v>
      </c>
      <c r="C238" s="24"/>
      <c r="E238" s="18" t="s">
        <v>29</v>
      </c>
      <c r="F238" s="71"/>
      <c r="G238" s="18" t="s">
        <v>166</v>
      </c>
      <c r="I238" t="str">
        <f t="shared" si="12"/>
        <v>*0.930068650746568</v>
      </c>
      <c r="J238" t="str">
        <f t="shared" si="12"/>
        <v>*0.973559859892464</v>
      </c>
      <c r="K238" t="str">
        <f t="shared" si="12"/>
        <v>*0.811373625630562</v>
      </c>
      <c r="L238" t="str">
        <f t="shared" si="12"/>
        <v>*0.915337205388815</v>
      </c>
      <c r="M238" t="str">
        <f t="shared" si="12"/>
        <v>*1.0123218618433</v>
      </c>
      <c r="N238" t="str">
        <f t="shared" si="12"/>
        <v>*1.27346642048685</v>
      </c>
      <c r="O238" t="str">
        <f t="shared" si="12"/>
        <v>*0.780257481359993</v>
      </c>
      <c r="P238" t="str">
        <f t="shared" si="12"/>
        <v>*0.973559859892464</v>
      </c>
      <c r="Q238" t="str">
        <f t="shared" si="12"/>
        <v>*0.737698537356573</v>
      </c>
      <c r="R238" t="str">
        <f t="shared" si="12"/>
        <v>*0.780257481359993</v>
      </c>
      <c r="S238" t="str">
        <f t="shared" si="12"/>
        <v>*1.14629453110492</v>
      </c>
      <c r="T238" t="str">
        <f t="shared" si="12"/>
        <v>*0.573042976191662</v>
      </c>
      <c r="U238" t="str">
        <f t="shared" si="12"/>
        <v>*0.973559859892464</v>
      </c>
      <c r="V238" t="str">
        <f t="shared" si="12"/>
        <v>*0.429169522436576</v>
      </c>
      <c r="W238" s="20" t="str">
        <f t="shared" si="12"/>
        <v>*1.00036199998741</v>
      </c>
      <c r="X238" t="str">
        <f t="shared" si="12"/>
        <v>*0.792855124472865</v>
      </c>
      <c r="Y238" t="str">
        <f t="shared" si="14"/>
        <v>*0.915337205388815</v>
      </c>
      <c r="Z238" t="str">
        <f t="shared" si="13"/>
        <v>*1.13667696274644</v>
      </c>
      <c r="AA238" t="str">
        <f t="shared" si="13"/>
        <v>*0.863477232926517</v>
      </c>
      <c r="AB238" t="str">
        <f t="shared" si="13"/>
        <v>*1.00036199998741</v>
      </c>
      <c r="AC238" t="str">
        <f t="shared" si="13"/>
        <v>*0.819842260645274</v>
      </c>
      <c r="AD238" t="str">
        <f t="shared" si="13"/>
        <v>*0.915337205388815</v>
      </c>
      <c r="AE238" t="str">
        <f t="shared" si="13"/>
        <v>*0.603907354334835</v>
      </c>
      <c r="AF238" t="str">
        <f t="shared" si="13"/>
        <v>*0.608071860629824</v>
      </c>
      <c r="AG238" t="str">
        <f t="shared" si="13"/>
        <v>*0.904148956629167</v>
      </c>
      <c r="AH238" t="str">
        <f t="shared" si="13"/>
        <v>*0.973559859892464</v>
      </c>
      <c r="AI238" t="str">
        <f t="shared" si="13"/>
        <v>*0.915337205388815</v>
      </c>
      <c r="AJ238" t="str">
        <f t="shared" si="13"/>
        <v>*0.973559859892464</v>
      </c>
      <c r="AK238" t="str">
        <f t="shared" si="13"/>
        <v>*1.37401295407612</v>
      </c>
      <c r="AL238" t="str">
        <f t="shared" si="13"/>
        <v>*1.00036199998741</v>
      </c>
      <c r="AM238" t="str">
        <f t="shared" si="11"/>
        <v>*1.38852861321823</v>
      </c>
      <c r="AN238" t="str">
        <f t="shared" si="11"/>
        <v>*1.27793641197648</v>
      </c>
      <c r="AO238" t="str">
        <f t="shared" si="9"/>
        <v>*0.74863034153162</v>
      </c>
      <c r="AP238" t="str">
        <f t="shared" si="9"/>
        <v>*0.915337205388815</v>
      </c>
      <c r="AQ238" t="str">
        <f t="shared" si="9"/>
        <v>*0.930068650746569</v>
      </c>
      <c r="AR238" t="str">
        <f t="shared" si="9"/>
        <v>*0.859690987987936</v>
      </c>
      <c r="AS238" t="str">
        <f t="shared" si="9"/>
        <v>*0.930068650746569</v>
      </c>
      <c r="AT238" t="str">
        <f t="shared" si="9"/>
        <v>*1.18516995081553</v>
      </c>
      <c r="AV238" s="96">
        <f t="shared" si="15"/>
        <v>0.9300686507465683</v>
      </c>
      <c r="AW238" s="95">
        <f>IFERROR(AVERAGEIFS(RdTRABYVals!L$2:L$999,RdTRABYVals!$B$2:$B$999,"="&amp;$E238,RdTRABYVals!$C$2:$C$999,"="&amp;INS_EFF!$B238),"")</f>
        <v>0.97355985989246396</v>
      </c>
      <c r="AX238" s="95">
        <f>IFERROR(AVERAGEIFS(RdTRABYVals!M$2:M$999,RdTRABYVals!$B$2:$B$999,"="&amp;$E238,RdTRABYVals!$C$2:$C$999,"="&amp;INS_EFF!$B238),"")</f>
        <v>0.81137362563056203</v>
      </c>
      <c r="AY238" s="95">
        <f>IFERROR(AVERAGEIFS(RdTRABYVals!N$2:N$999,RdTRABYVals!$B$2:$B$999,"="&amp;$E238,RdTRABYVals!$C$2:$C$999,"="&amp;INS_EFF!$B238),"")</f>
        <v>0.91533720538881502</v>
      </c>
      <c r="AZ238" s="95">
        <f>IFERROR(AVERAGEIFS(RdTRABYVals!O$2:O$999,RdTRABYVals!$B$2:$B$999,"="&amp;$E238,RdTRABYVals!$C$2:$C$999,"="&amp;INS_EFF!$B238),"")</f>
        <v>1.0123218618433001</v>
      </c>
      <c r="BA238" s="95">
        <f>IFERROR(AVERAGEIFS(RdTRABYVals!P$2:P$999,RdTRABYVals!$B$2:$B$999,"="&amp;$E238,RdTRABYVals!$C$2:$C$999,"="&amp;INS_EFF!$B238),"")</f>
        <v>1.27346642048685</v>
      </c>
      <c r="BB238" s="95">
        <f>IFERROR(AVERAGEIFS(RdTRABYVals!Q$2:Q$999,RdTRABYVals!$B$2:$B$999,"="&amp;$E238,RdTRABYVals!$C$2:$C$999,"="&amp;INS_EFF!$B238),"")</f>
        <v>0.78025748135999295</v>
      </c>
      <c r="BC238" s="95">
        <f>IFERROR(AVERAGEIFS(RdTRABYVals!R$2:R$999,RdTRABYVals!$B$2:$B$999,"="&amp;$E238,RdTRABYVals!$C$2:$C$999,"="&amp;INS_EFF!$B238),"")</f>
        <v>0.97355985989246396</v>
      </c>
      <c r="BD238" s="95">
        <f>IFERROR(AVERAGEIFS(RdTRABYVals!S$2:S$999,RdTRABYVals!$B$2:$B$999,"="&amp;$E238,RdTRABYVals!$C$2:$C$999,"="&amp;INS_EFF!$B238),"")</f>
        <v>0.73769853735657298</v>
      </c>
      <c r="BE238" s="95">
        <f>IFERROR(AVERAGEIFS(RdTRABYVals!T$2:T$999,RdTRABYVals!$B$2:$B$999,"="&amp;$E238,RdTRABYVals!$C$2:$C$999,"="&amp;INS_EFF!$B238),"")</f>
        <v>0.78025748135999295</v>
      </c>
      <c r="BF238" s="95">
        <f>IFERROR(AVERAGEIFS(RdTRABYVals!U$2:U$999,RdTRABYVals!$B$2:$B$999,"="&amp;$E238,RdTRABYVals!$C$2:$C$999,"="&amp;INS_EFF!$B238),"")</f>
        <v>1.14629453110492</v>
      </c>
      <c r="BG238" s="95">
        <f>IFERROR(AVERAGEIFS(RdTRABYVals!V$2:V$999,RdTRABYVals!$B$2:$B$999,"="&amp;$E238,RdTRABYVals!$C$2:$C$999,"="&amp;INS_EFF!$B238),"")</f>
        <v>0.573042976191662</v>
      </c>
      <c r="BH238" s="95">
        <f>IFERROR(AVERAGEIFS(RdTRABYVals!W$2:W$999,RdTRABYVals!$B$2:$B$999,"="&amp;$E238,RdTRABYVals!$C$2:$C$999,"="&amp;INS_EFF!$B238),"")</f>
        <v>0.97355985989246396</v>
      </c>
      <c r="BI238" s="95">
        <f>IFERROR(AVERAGEIFS(RdTRABYVals!X$2:X$999,RdTRABYVals!$B$2:$B$999,"="&amp;$E238,RdTRABYVals!$C$2:$C$999,"="&amp;INS_EFF!$B238),"")</f>
        <v>0.42916952243657602</v>
      </c>
      <c r="BJ238" s="95">
        <f>IFERROR(AVERAGEIFS(RdTRABYVals!Y$2:Y$999,RdTRABYVals!$B$2:$B$999,"="&amp;$E238,RdTRABYVals!$C$2:$C$999,"="&amp;INS_EFF!$B238),"")</f>
        <v>1.00036199998741</v>
      </c>
      <c r="BK238" s="95">
        <f>IFERROR(AVERAGEIFS(RdTRABYVals!Z$2:Z$999,RdTRABYVals!$B$2:$B$999,"="&amp;$E238,RdTRABYVals!$C$2:$C$999,"="&amp;INS_EFF!$B238),"")</f>
        <v>0.79285512447286499</v>
      </c>
      <c r="BL238" s="95">
        <f>IFERROR(AVERAGEIFS(RdTRABYVals!AA$2:AA$999,RdTRABYVals!$B$2:$B$999,"="&amp;$E238,RdTRABYVals!$C$2:$C$999,"="&amp;INS_EFF!$B238),"")</f>
        <v>0.91533720538881502</v>
      </c>
      <c r="BM238" s="95">
        <f>IFERROR(AVERAGEIFS(RdTRABYVals!AB$2:AB$999,RdTRABYVals!$B$2:$B$999,"="&amp;$E238,RdTRABYVals!$C$2:$C$999,"="&amp;INS_EFF!$B238),"")</f>
        <v>1.1366769627464399</v>
      </c>
      <c r="BN238" s="95">
        <f>IFERROR(AVERAGEIFS(RdTRABYVals!AC$2:AC$999,RdTRABYVals!$B$2:$B$999,"="&amp;$E238,RdTRABYVals!$C$2:$C$999,"="&amp;INS_EFF!$B238),"")</f>
        <v>0.86347723292651701</v>
      </c>
      <c r="BO238" s="95">
        <f>IFERROR(AVERAGEIFS(RdTRABYVals!AD$2:AD$999,RdTRABYVals!$B$2:$B$999,"="&amp;$E238,RdTRABYVals!$C$2:$C$999,"="&amp;INS_EFF!$B238),"")</f>
        <v>1.00036199998741</v>
      </c>
      <c r="BP238" s="95">
        <f>IFERROR(AVERAGEIFS(RdTRABYVals!AE$2:AE$999,RdTRABYVals!$B$2:$B$999,"="&amp;$E238,RdTRABYVals!$C$2:$C$999,"="&amp;INS_EFF!$B238),"")</f>
        <v>0.81984226064527399</v>
      </c>
      <c r="BQ238" s="95">
        <f>IFERROR(AVERAGEIFS(RdTRABYVals!AF$2:AF$999,RdTRABYVals!$B$2:$B$999,"="&amp;$E238,RdTRABYVals!$C$2:$C$999,"="&amp;INS_EFF!$B238),"")</f>
        <v>0.91533720538881502</v>
      </c>
      <c r="BR238" s="95">
        <f>IFERROR(AVERAGEIFS(RdTRABYVals!AG$2:AG$999,RdTRABYVals!$B$2:$B$999,"="&amp;$E238,RdTRABYVals!$C$2:$C$999,"="&amp;INS_EFF!$B238),"")</f>
        <v>0.603907354334835</v>
      </c>
      <c r="BS238" s="95">
        <f>IFERROR(AVERAGEIFS(RdTRABYVals!AH$2:AH$999,RdTRABYVals!$B$2:$B$999,"="&amp;$E238,RdTRABYVals!$C$2:$C$999,"="&amp;INS_EFF!$B238),"")</f>
        <v>0.60807186062982399</v>
      </c>
      <c r="BT238" s="95">
        <f>IFERROR(AVERAGEIFS(RdTRABYVals!AI$2:AI$999,RdTRABYVals!$B$2:$B$999,"="&amp;$E238,RdTRABYVals!$C$2:$C$999,"="&amp;INS_EFF!$B238),"")</f>
        <v>0.90414895662916706</v>
      </c>
      <c r="BU238" s="95">
        <f>IFERROR(AVERAGEIFS(RdTRABYVals!AJ$2:AJ$999,RdTRABYVals!$B$2:$B$999,"="&amp;$E238,RdTRABYVals!$C$2:$C$999,"="&amp;INS_EFF!$B238),"")</f>
        <v>0.97355985989246396</v>
      </c>
      <c r="BV238" s="95">
        <f>IFERROR(AVERAGEIFS(RdTRABYVals!AK$2:AK$999,RdTRABYVals!$B$2:$B$999,"="&amp;$E238,RdTRABYVals!$C$2:$C$999,"="&amp;INS_EFF!$B238),"")</f>
        <v>0.91533720538881502</v>
      </c>
      <c r="BW238" s="95">
        <f>IFERROR(AVERAGEIFS(RdTRABYVals!AL$2:AL$999,RdTRABYVals!$B$2:$B$999,"="&amp;$E238,RdTRABYVals!$C$2:$C$999,"="&amp;INS_EFF!$B238),"")</f>
        <v>0.97355985989246396</v>
      </c>
      <c r="BX238" s="95">
        <f>IFERROR(AVERAGEIFS(RdTRABYVals!AM$2:AM$999,RdTRABYVals!$B$2:$B$999,"="&amp;$E238,RdTRABYVals!$C$2:$C$999,"="&amp;INS_EFF!$B238),"")</f>
        <v>1.3740129540761199</v>
      </c>
      <c r="BY238" s="95">
        <f>IFERROR(AVERAGEIFS(RdTRABYVals!AN$2:AN$999,RdTRABYVals!$B$2:$B$999,"="&amp;$E238,RdTRABYVals!$C$2:$C$999,"="&amp;INS_EFF!$B238),"")</f>
        <v>1.00036199998741</v>
      </c>
      <c r="BZ238" s="95">
        <f>IFERROR(AVERAGEIFS(RdTRABYVals!AO$2:AO$999,RdTRABYVals!$B$2:$B$999,"="&amp;$E238,RdTRABYVals!$C$2:$C$999,"="&amp;INS_EFF!$B238),"")</f>
        <v>1.38852861321823</v>
      </c>
      <c r="CA238" s="95">
        <f>IFERROR(AVERAGEIFS(RdTRABYVals!AP$2:AP$999,RdTRABYVals!$B$2:$B$999,"="&amp;$E238,RdTRABYVals!$C$2:$C$999,"="&amp;INS_EFF!$B238),"")</f>
        <v>1.27793641197648</v>
      </c>
      <c r="CB238" s="95">
        <f>IFERROR(AVERAGEIFS(RdTRABYVals!AQ$2:AQ$999,RdTRABYVals!$B$2:$B$999,"="&amp;$E238,RdTRABYVals!$C$2:$C$999,"="&amp;INS_EFF!$B238),"")</f>
        <v>0.74863034153162</v>
      </c>
      <c r="CC238" s="95">
        <f>IFERROR(AVERAGEIFS(RdTRABYVals!AR$2:AR$999,RdTRABYVals!$B$2:$B$999,"="&amp;$E238,RdTRABYVals!$C$2:$C$999,"="&amp;INS_EFF!$B238),"")</f>
        <v>0.91533720538881502</v>
      </c>
      <c r="CD238" s="95">
        <f>IFERROR(AVERAGEIFS(RdTRABYVals!AS$2:AS$999,RdTRABYVals!$B$2:$B$999,"="&amp;$E238,RdTRABYVals!$C$2:$C$999,"="&amp;INS_EFF!$B238),"")</f>
        <v>0.93006865074656897</v>
      </c>
      <c r="CE238" s="95">
        <f>IFERROR(AVERAGEIFS(RdTRABYVals!AT$2:AT$999,RdTRABYVals!$B$2:$B$999,"="&amp;$E238,RdTRABYVals!$C$2:$C$999,"="&amp;INS_EFF!$B238),"")</f>
        <v>0.85969098798793597</v>
      </c>
      <c r="CF238" s="95">
        <f>IFERROR(AVERAGEIFS(RdTRABYVals!AU$2:AU$999,RdTRABYVals!$B$2:$B$999,"="&amp;$E238,RdTRABYVals!$C$2:$C$999,"="&amp;INS_EFF!$B238),"")</f>
        <v>0.93006865074656897</v>
      </c>
      <c r="CG238" s="95">
        <f>IFERROR(AVERAGEIFS(RdTRABYVals!AV$2:AV$999,RdTRABYVals!$B$2:$B$999,"="&amp;$E238,RdTRABYVals!$C$2:$C$999,"="&amp;INS_EFF!$B238),"")</f>
        <v>1.18516995081553</v>
      </c>
    </row>
    <row r="239" spans="2:85" ht="15">
      <c r="B239" s="24" t="s">
        <v>180</v>
      </c>
      <c r="C239" s="24"/>
      <c r="E239" s="18" t="s">
        <v>29</v>
      </c>
      <c r="F239" s="71"/>
      <c r="G239" s="18" t="s">
        <v>167</v>
      </c>
      <c r="I239" t="str">
        <f t="shared" si="12"/>
        <v>*1.78462470960734</v>
      </c>
      <c r="J239" t="str">
        <f t="shared" si="12"/>
        <v>*1.73998237754697</v>
      </c>
      <c r="K239" t="str">
        <f t="shared" si="12"/>
        <v>*1.35989638200162</v>
      </c>
      <c r="L239" t="str">
        <f t="shared" si="12"/>
        <v>*1.87469109311297</v>
      </c>
      <c r="M239" t="str">
        <f t="shared" si="12"/>
        <v>*1.80149697409103</v>
      </c>
      <c r="N239" t="str">
        <f t="shared" si="12"/>
        <v>*2.32270460413711</v>
      </c>
      <c r="O239" t="str">
        <f t="shared" si="12"/>
        <v>*1.43120673995403</v>
      </c>
      <c r="P239" t="str">
        <f t="shared" si="12"/>
        <v>*1.73998237754697</v>
      </c>
      <c r="Q239" t="str">
        <f t="shared" si="12"/>
        <v>*1.2922833793589</v>
      </c>
      <c r="R239" t="str">
        <f t="shared" si="12"/>
        <v>*1.43120673995403</v>
      </c>
      <c r="S239" t="str">
        <f t="shared" si="12"/>
        <v>*2.34402293807797</v>
      </c>
      <c r="T239" t="str">
        <f t="shared" si="12"/>
        <v>*1.05752896784242</v>
      </c>
      <c r="U239" t="str">
        <f t="shared" si="12"/>
        <v>*1.73998237754697</v>
      </c>
      <c r="V239" t="str">
        <f t="shared" si="12"/>
        <v>*0.958318568850047</v>
      </c>
      <c r="W239" s="20" t="str">
        <f t="shared" si="12"/>
        <v>*1.84860683206827</v>
      </c>
      <c r="X239" t="str">
        <f t="shared" si="12"/>
        <v>*1.4623659611783</v>
      </c>
      <c r="Y239" t="str">
        <f t="shared" si="14"/>
        <v>*1.87469109311297</v>
      </c>
      <c r="Z239" t="str">
        <f t="shared" si="13"/>
        <v>*2.02854402404352</v>
      </c>
      <c r="AA239" t="str">
        <f t="shared" si="13"/>
        <v>*2.42415951153383</v>
      </c>
      <c r="AB239" t="str">
        <f t="shared" si="13"/>
        <v>*1.84860683206827</v>
      </c>
      <c r="AC239" t="str">
        <f t="shared" si="13"/>
        <v>*1.37564514461948</v>
      </c>
      <c r="AD239" t="str">
        <f t="shared" si="13"/>
        <v>*1.87469109311297</v>
      </c>
      <c r="AE239" t="str">
        <f t="shared" si="13"/>
        <v>*0.847185421395359</v>
      </c>
      <c r="AF239" t="str">
        <f t="shared" si="13"/>
        <v>*1.02963643380506</v>
      </c>
      <c r="AG239" t="str">
        <f t="shared" si="13"/>
        <v>*1.82810804407939</v>
      </c>
      <c r="AH239" t="str">
        <f t="shared" si="16" ref="AH239:AL240">IF(BU239&lt;&gt;"","*"&amp;BU239,"")</f>
        <v>*1.73998237754697</v>
      </c>
      <c r="AI239" t="str">
        <f t="shared" si="16"/>
        <v>*1.87469109311297</v>
      </c>
      <c r="AJ239" t="str">
        <f t="shared" si="16"/>
        <v>*1.73998237754697</v>
      </c>
      <c r="AK239" t="str">
        <f t="shared" si="16"/>
        <v>*2.49448897672972</v>
      </c>
      <c r="AL239" t="str">
        <f t="shared" si="16"/>
        <v>*1.84860683206827</v>
      </c>
      <c r="AM239" t="str">
        <f t="shared" si="11"/>
        <v>*2.5874255181935</v>
      </c>
      <c r="AN239" t="str">
        <f t="shared" si="11"/>
        <v>*2.52300226166405</v>
      </c>
      <c r="AO239" t="str">
        <f t="shared" si="9"/>
        <v>*1.58007398256926</v>
      </c>
      <c r="AP239" t="str">
        <f t="shared" si="9"/>
        <v>*1.87469109311297</v>
      </c>
      <c r="AQ239" t="str">
        <f t="shared" si="9"/>
        <v>*1.73442378937474</v>
      </c>
      <c r="AR239" t="str">
        <f t="shared" si="9"/>
        <v>*1.79878355915983</v>
      </c>
      <c r="AS239" t="str">
        <f t="shared" si="9"/>
        <v>*2.23209622710876</v>
      </c>
      <c r="AT239" t="str">
        <f t="shared" si="9"/>
        <v>*2.46732225624525</v>
      </c>
      <c r="AV239" s="96">
        <f t="shared" si="15"/>
        <v>1.7846247096073438</v>
      </c>
      <c r="AW239" s="95">
        <f>IFERROR(AVERAGEIFS(RdTRABYVals!L$2:L$999,RdTRABYVals!$B$2:$B$999,"="&amp;$E239,RdTRABYVals!$C$2:$C$999,"="&amp;INS_EFF!$B239),"")</f>
        <v>1.73998237754697</v>
      </c>
      <c r="AX239" s="95">
        <f>IFERROR(AVERAGEIFS(RdTRABYVals!M$2:M$999,RdTRABYVals!$B$2:$B$999,"="&amp;$E239,RdTRABYVals!$C$2:$C$999,"="&amp;INS_EFF!$B239),"")</f>
        <v>1.3598963820016201</v>
      </c>
      <c r="AY239" s="95">
        <f>IFERROR(AVERAGEIFS(RdTRABYVals!N$2:N$999,RdTRABYVals!$B$2:$B$999,"="&amp;$E239,RdTRABYVals!$C$2:$C$999,"="&amp;INS_EFF!$B239),"")</f>
        <v>1.8746910931129701</v>
      </c>
      <c r="AZ239" s="95">
        <f>IFERROR(AVERAGEIFS(RdTRABYVals!O$2:O$999,RdTRABYVals!$B$2:$B$999,"="&amp;$E239,RdTRABYVals!$C$2:$C$999,"="&amp;INS_EFF!$B239),"")</f>
        <v>1.80149697409103</v>
      </c>
      <c r="BA239" s="95">
        <f>IFERROR(AVERAGEIFS(RdTRABYVals!P$2:P$999,RdTRABYVals!$B$2:$B$999,"="&amp;$E239,RdTRABYVals!$C$2:$C$999,"="&amp;INS_EFF!$B239),"")</f>
        <v>2.32270460413711</v>
      </c>
      <c r="BB239" s="95">
        <f>IFERROR(AVERAGEIFS(RdTRABYVals!Q$2:Q$999,RdTRABYVals!$B$2:$B$999,"="&amp;$E239,RdTRABYVals!$C$2:$C$999,"="&amp;INS_EFF!$B239),"")</f>
        <v>1.43120673995403</v>
      </c>
      <c r="BC239" s="95">
        <f>IFERROR(AVERAGEIFS(RdTRABYVals!R$2:R$999,RdTRABYVals!$B$2:$B$999,"="&amp;$E239,RdTRABYVals!$C$2:$C$999,"="&amp;INS_EFF!$B239),"")</f>
        <v>1.73998237754697</v>
      </c>
      <c r="BD239" s="95">
        <f>IFERROR(AVERAGEIFS(RdTRABYVals!S$2:S$999,RdTRABYVals!$B$2:$B$999,"="&amp;$E239,RdTRABYVals!$C$2:$C$999,"="&amp;INS_EFF!$B239),"")</f>
        <v>1.2922833793588999</v>
      </c>
      <c r="BE239" s="95">
        <f>IFERROR(AVERAGEIFS(RdTRABYVals!T$2:T$999,RdTRABYVals!$B$2:$B$999,"="&amp;$E239,RdTRABYVals!$C$2:$C$999,"="&amp;INS_EFF!$B239),"")</f>
        <v>1.43120673995403</v>
      </c>
      <c r="BF239" s="95">
        <f>IFERROR(AVERAGEIFS(RdTRABYVals!U$2:U$999,RdTRABYVals!$B$2:$B$999,"="&amp;$E239,RdTRABYVals!$C$2:$C$999,"="&amp;INS_EFF!$B239),"")</f>
        <v>2.3440229380779698</v>
      </c>
      <c r="BG239" s="95">
        <f>IFERROR(AVERAGEIFS(RdTRABYVals!V$2:V$999,RdTRABYVals!$B$2:$B$999,"="&amp;$E239,RdTRABYVals!$C$2:$C$999,"="&amp;INS_EFF!$B239),"")</f>
        <v>1.05752896784242</v>
      </c>
      <c r="BH239" s="95">
        <f>IFERROR(AVERAGEIFS(RdTRABYVals!W$2:W$999,RdTRABYVals!$B$2:$B$999,"="&amp;$E239,RdTRABYVals!$C$2:$C$999,"="&amp;INS_EFF!$B239),"")</f>
        <v>1.73998237754697</v>
      </c>
      <c r="BI239" s="95">
        <f>IFERROR(AVERAGEIFS(RdTRABYVals!X$2:X$999,RdTRABYVals!$B$2:$B$999,"="&amp;$E239,RdTRABYVals!$C$2:$C$999,"="&amp;INS_EFF!$B239),"")</f>
        <v>0.95831856885004696</v>
      </c>
      <c r="BJ239" s="95">
        <f>IFERROR(AVERAGEIFS(RdTRABYVals!Y$2:Y$999,RdTRABYVals!$B$2:$B$999,"="&amp;$E239,RdTRABYVals!$C$2:$C$999,"="&amp;INS_EFF!$B239),"")</f>
        <v>1.84860683206827</v>
      </c>
      <c r="BK239" s="95">
        <f>IFERROR(AVERAGEIFS(RdTRABYVals!Z$2:Z$999,RdTRABYVals!$B$2:$B$999,"="&amp;$E239,RdTRABYVals!$C$2:$C$999,"="&amp;INS_EFF!$B239),"")</f>
        <v>1.4623659611783</v>
      </c>
      <c r="BL239" s="95">
        <f>IFERROR(AVERAGEIFS(RdTRABYVals!AA$2:AA$999,RdTRABYVals!$B$2:$B$999,"="&amp;$E239,RdTRABYVals!$C$2:$C$999,"="&amp;INS_EFF!$B239),"")</f>
        <v>1.8746910931129701</v>
      </c>
      <c r="BM239" s="95">
        <f>IFERROR(AVERAGEIFS(RdTRABYVals!AB$2:AB$999,RdTRABYVals!$B$2:$B$999,"="&amp;$E239,RdTRABYVals!$C$2:$C$999,"="&amp;INS_EFF!$B239),"")</f>
        <v>2.0285440240435202</v>
      </c>
      <c r="BN239" s="95">
        <f>IFERROR(AVERAGEIFS(RdTRABYVals!AC$2:AC$999,RdTRABYVals!$B$2:$B$999,"="&amp;$E239,RdTRABYVals!$C$2:$C$999,"="&amp;INS_EFF!$B239),"")</f>
        <v>2.4241595115338299</v>
      </c>
      <c r="BO239" s="95">
        <f>IFERROR(AVERAGEIFS(RdTRABYVals!AD$2:AD$999,RdTRABYVals!$B$2:$B$999,"="&amp;$E239,RdTRABYVals!$C$2:$C$999,"="&amp;INS_EFF!$B239),"")</f>
        <v>1.84860683206827</v>
      </c>
      <c r="BP239" s="95">
        <f>IFERROR(AVERAGEIFS(RdTRABYVals!AE$2:AE$999,RdTRABYVals!$B$2:$B$999,"="&amp;$E239,RdTRABYVals!$C$2:$C$999,"="&amp;INS_EFF!$B239),"")</f>
        <v>1.37564514461948</v>
      </c>
      <c r="BQ239" s="95">
        <f>IFERROR(AVERAGEIFS(RdTRABYVals!AF$2:AF$999,RdTRABYVals!$B$2:$B$999,"="&amp;$E239,RdTRABYVals!$C$2:$C$999,"="&amp;INS_EFF!$B239),"")</f>
        <v>1.8746910931129701</v>
      </c>
      <c r="BR239" s="95">
        <f>IFERROR(AVERAGEIFS(RdTRABYVals!AG$2:AG$999,RdTRABYVals!$B$2:$B$999,"="&amp;$E239,RdTRABYVals!$C$2:$C$999,"="&amp;INS_EFF!$B239),"")</f>
        <v>0.84718542139535902</v>
      </c>
      <c r="BS239" s="95">
        <f>IFERROR(AVERAGEIFS(RdTRABYVals!AH$2:AH$999,RdTRABYVals!$B$2:$B$999,"="&amp;$E239,RdTRABYVals!$C$2:$C$999,"="&amp;INS_EFF!$B239),"")</f>
        <v>1.0296364338050601</v>
      </c>
      <c r="BT239" s="95">
        <f>IFERROR(AVERAGEIFS(RdTRABYVals!AI$2:AI$999,RdTRABYVals!$B$2:$B$999,"="&amp;$E239,RdTRABYVals!$C$2:$C$999,"="&amp;INS_EFF!$B239),"")</f>
        <v>1.82810804407939</v>
      </c>
      <c r="BU239" s="95">
        <f>IFERROR(AVERAGEIFS(RdTRABYVals!AJ$2:AJ$999,RdTRABYVals!$B$2:$B$999,"="&amp;$E239,RdTRABYVals!$C$2:$C$999,"="&amp;INS_EFF!$B239),"")</f>
        <v>1.73998237754697</v>
      </c>
      <c r="BV239" s="95">
        <f>IFERROR(AVERAGEIFS(RdTRABYVals!AK$2:AK$999,RdTRABYVals!$B$2:$B$999,"="&amp;$E239,RdTRABYVals!$C$2:$C$999,"="&amp;INS_EFF!$B239),"")</f>
        <v>1.8746910931129701</v>
      </c>
      <c r="BW239" s="95">
        <f>IFERROR(AVERAGEIFS(RdTRABYVals!AL$2:AL$999,RdTRABYVals!$B$2:$B$999,"="&amp;$E239,RdTRABYVals!$C$2:$C$999,"="&amp;INS_EFF!$B239),"")</f>
        <v>1.73998237754697</v>
      </c>
      <c r="BX239" s="95">
        <f>IFERROR(AVERAGEIFS(RdTRABYVals!AM$2:AM$999,RdTRABYVals!$B$2:$B$999,"="&amp;$E239,RdTRABYVals!$C$2:$C$999,"="&amp;INS_EFF!$B239),"")</f>
        <v>2.4944889767297198</v>
      </c>
      <c r="BY239" s="95">
        <f>IFERROR(AVERAGEIFS(RdTRABYVals!AN$2:AN$999,RdTRABYVals!$B$2:$B$999,"="&amp;$E239,RdTRABYVals!$C$2:$C$999,"="&amp;INS_EFF!$B239),"")</f>
        <v>1.84860683206827</v>
      </c>
      <c r="BZ239" s="95">
        <f>IFERROR(AVERAGEIFS(RdTRABYVals!AO$2:AO$999,RdTRABYVals!$B$2:$B$999,"="&amp;$E239,RdTRABYVals!$C$2:$C$999,"="&amp;INS_EFF!$B239),"")</f>
        <v>2.5874255181935002</v>
      </c>
      <c r="CA239" s="95">
        <f>IFERROR(AVERAGEIFS(RdTRABYVals!AP$2:AP$999,RdTRABYVals!$B$2:$B$999,"="&amp;$E239,RdTRABYVals!$C$2:$C$999,"="&amp;INS_EFF!$B239),"")</f>
        <v>2.5230022616640499</v>
      </c>
      <c r="CB239" s="95">
        <f>IFERROR(AVERAGEIFS(RdTRABYVals!AQ$2:AQ$999,RdTRABYVals!$B$2:$B$999,"="&amp;$E239,RdTRABYVals!$C$2:$C$999,"="&amp;INS_EFF!$B239),"")</f>
        <v>1.58007398256926</v>
      </c>
      <c r="CC239" s="95">
        <f>IFERROR(AVERAGEIFS(RdTRABYVals!AR$2:AR$999,RdTRABYVals!$B$2:$B$999,"="&amp;$E239,RdTRABYVals!$C$2:$C$999,"="&amp;INS_EFF!$B239),"")</f>
        <v>1.8746910931129701</v>
      </c>
      <c r="CD239" s="95">
        <f>IFERROR(AVERAGEIFS(RdTRABYVals!AS$2:AS$999,RdTRABYVals!$B$2:$B$999,"="&amp;$E239,RdTRABYVals!$C$2:$C$999,"="&amp;INS_EFF!$B239),"")</f>
        <v>1.7344237893747401</v>
      </c>
      <c r="CE239" s="95">
        <f>IFERROR(AVERAGEIFS(RdTRABYVals!AT$2:AT$999,RdTRABYVals!$B$2:$B$999,"="&amp;$E239,RdTRABYVals!$C$2:$C$999,"="&amp;INS_EFF!$B239),"")</f>
        <v>1.79878355915983</v>
      </c>
      <c r="CF239" s="95">
        <f>IFERROR(AVERAGEIFS(RdTRABYVals!AU$2:AU$999,RdTRABYVals!$B$2:$B$999,"="&amp;$E239,RdTRABYVals!$C$2:$C$999,"="&amp;INS_EFF!$B239),"")</f>
        <v>2.2320962271087601</v>
      </c>
      <c r="CG239" s="95">
        <f>IFERROR(AVERAGEIFS(RdTRABYVals!AV$2:AV$999,RdTRABYVals!$B$2:$B$999,"="&amp;$E239,RdTRABYVals!$C$2:$C$999,"="&amp;INS_EFF!$B239),"")</f>
        <v>2.4673222562452501</v>
      </c>
    </row>
    <row r="240" spans="2:85" ht="15">
      <c r="B240" s="24" t="s">
        <v>168</v>
      </c>
      <c r="C240" s="24"/>
      <c r="E240" s="18" t="s">
        <v>29</v>
      </c>
      <c r="F240" s="71"/>
      <c r="G240" s="18" t="s">
        <v>168</v>
      </c>
      <c r="I240" t="str">
        <f t="shared" si="12"/>
        <v>*3.42128036960934</v>
      </c>
      <c r="J240" t="str">
        <f t="shared" si="12"/>
        <v>*3.42128036960934</v>
      </c>
      <c r="K240" t="str">
        <f t="shared" si="12"/>
        <v>*3.42128036960934</v>
      </c>
      <c r="L240" t="str">
        <f t="shared" si="12"/>
        <v>*3.42128036960934</v>
      </c>
      <c r="M240" t="str">
        <f t="shared" si="12"/>
        <v>*3.4575392165452</v>
      </c>
      <c r="N240" t="str">
        <f t="shared" si="12"/>
        <v>*3.42128036960934</v>
      </c>
      <c r="O240" t="str">
        <f t="shared" si="12"/>
        <v>*3.1446749389572</v>
      </c>
      <c r="P240" t="str">
        <f t="shared" si="12"/>
        <v>*3.42128036960934</v>
      </c>
      <c r="Q240" t="str">
        <f t="shared" si="12"/>
        <v>*2.92218335580342</v>
      </c>
      <c r="R240" t="str">
        <f t="shared" si="12"/>
        <v>*3.1446749389572</v>
      </c>
      <c r="S240" t="str">
        <f t="shared" si="12"/>
        <v>*3.42128036960934</v>
      </c>
      <c r="T240" t="str">
        <f t="shared" si="12"/>
        <v>*3.42128036960934</v>
      </c>
      <c r="U240" t="str">
        <f t="shared" si="12"/>
        <v>*3.42128036960934</v>
      </c>
      <c r="V240" t="str">
        <f t="shared" si="12"/>
        <v>*1.84588163669965</v>
      </c>
      <c r="W240" s="20" t="str">
        <f t="shared" si="12"/>
        <v>*3.77016283693289</v>
      </c>
      <c r="X240" t="str">
        <f t="shared" si="12"/>
        <v>*3.63781989162654</v>
      </c>
      <c r="Y240" t="str">
        <f t="shared" si="14"/>
        <v>*3.42128036960934</v>
      </c>
      <c r="Z240" t="str">
        <f t="shared" si="14"/>
        <v>*3.42128036960934</v>
      </c>
      <c r="AA240" t="str">
        <f t="shared" si="14"/>
        <v>*3.42128036960934</v>
      </c>
      <c r="AB240" t="str">
        <f t="shared" si="14"/>
        <v>*3.77016283693289</v>
      </c>
      <c r="AC240" t="str">
        <f t="shared" si="14"/>
        <v>*2.35977053913503</v>
      </c>
      <c r="AD240" t="str">
        <f t="shared" si="14"/>
        <v>*3.42128036960934</v>
      </c>
      <c r="AE240" t="str">
        <f t="shared" si="14"/>
        <v>*3.42128036960934</v>
      </c>
      <c r="AF240" t="str">
        <f t="shared" si="14"/>
        <v>*3.42128036960934</v>
      </c>
      <c r="AG240" t="str">
        <f t="shared" si="14"/>
        <v>*3.42128036960934</v>
      </c>
      <c r="AH240" t="str">
        <f t="shared" si="16"/>
        <v>*3.42128036960934</v>
      </c>
      <c r="AI240" t="str">
        <f t="shared" si="16"/>
        <v>*3.42128036960934</v>
      </c>
      <c r="AJ240" t="str">
        <f t="shared" si="16"/>
        <v>*3.42128036960934</v>
      </c>
      <c r="AK240" t="str">
        <f t="shared" si="16"/>
        <v>*4.4146101066077</v>
      </c>
      <c r="AL240" t="str">
        <f t="shared" si="16"/>
        <v>*3.77016283693289</v>
      </c>
      <c r="AM240" t="str">
        <f t="shared" si="11"/>
        <v>*3.42128036960934</v>
      </c>
      <c r="AN240" t="str">
        <f t="shared" si="11"/>
        <v>*4.01944799297696</v>
      </c>
      <c r="AO240" t="str">
        <f t="shared" si="9"/>
        <v>*3.42128036960934</v>
      </c>
      <c r="AP240" t="str">
        <f t="shared" si="9"/>
        <v>*3.42128036960934</v>
      </c>
      <c r="AQ240" t="str">
        <f t="shared" si="9"/>
        <v>*3.33700388088753</v>
      </c>
      <c r="AR240" t="str">
        <f t="shared" si="9"/>
        <v>*3.23807958257789</v>
      </c>
      <c r="AS240" t="str">
        <f t="shared" si="9"/>
        <v>*3.42128036960934</v>
      </c>
      <c r="AT240" t="str">
        <f t="shared" si="9"/>
        <v>*4.48703095256709</v>
      </c>
      <c r="AV240" s="96">
        <f t="shared" si="15"/>
        <v>3.4212803696093395</v>
      </c>
      <c r="AW240" s="95">
        <f>IFERROR(AVERAGEIFS(RdTRABYVals!L$2:L$999,RdTRABYVals!$B$2:$B$999,"="&amp;$E240,RdTRABYVals!$C$2:$C$999,"="&amp;INS_EFF!$B240),"")</f>
        <v>3.4212803696093399</v>
      </c>
      <c r="AX240" s="95">
        <f>IFERROR(AVERAGEIFS(RdTRABYVals!M$2:M$999,RdTRABYVals!$B$2:$B$999,"="&amp;$E240,RdTRABYVals!$C$2:$C$999,"="&amp;INS_EFF!$B240),"")</f>
        <v>3.4212803696093399</v>
      </c>
      <c r="AY240" s="95">
        <f>IFERROR(AVERAGEIFS(RdTRABYVals!N$2:N$999,RdTRABYVals!$B$2:$B$999,"="&amp;$E240,RdTRABYVals!$C$2:$C$999,"="&amp;INS_EFF!$B240),"")</f>
        <v>3.4212803696093399</v>
      </c>
      <c r="AZ240" s="95">
        <f>IFERROR(AVERAGEIFS(RdTRABYVals!O$2:O$999,RdTRABYVals!$B$2:$B$999,"="&amp;$E240,RdTRABYVals!$C$2:$C$999,"="&amp;INS_EFF!$B240),"")</f>
        <v>3.4575392165452001</v>
      </c>
      <c r="BA240" s="95">
        <f>IFERROR(AVERAGEIFS(RdTRABYVals!P$2:P$999,RdTRABYVals!$B$2:$B$999,"="&amp;$E240,RdTRABYVals!$C$2:$C$999,"="&amp;INS_EFF!$B240),"")</f>
        <v>3.4212803696093399</v>
      </c>
      <c r="BB240" s="95">
        <f>IFERROR(AVERAGEIFS(RdTRABYVals!Q$2:Q$999,RdTRABYVals!$B$2:$B$999,"="&amp;$E240,RdTRABYVals!$C$2:$C$999,"="&amp;INS_EFF!$B240),"")</f>
        <v>3.1446749389572002</v>
      </c>
      <c r="BC240" s="95">
        <f>IFERROR(AVERAGEIFS(RdTRABYVals!R$2:R$999,RdTRABYVals!$B$2:$B$999,"="&amp;$E240,RdTRABYVals!$C$2:$C$999,"="&amp;INS_EFF!$B240),"")</f>
        <v>3.4212803696093399</v>
      </c>
      <c r="BD240" s="95">
        <f>IFERROR(AVERAGEIFS(RdTRABYVals!S$2:S$999,RdTRABYVals!$B$2:$B$999,"="&amp;$E240,RdTRABYVals!$C$2:$C$999,"="&amp;INS_EFF!$B240),"")</f>
        <v>2.92218335580342</v>
      </c>
      <c r="BE240" s="95">
        <f>IFERROR(AVERAGEIFS(RdTRABYVals!T$2:T$999,RdTRABYVals!$B$2:$B$999,"="&amp;$E240,RdTRABYVals!$C$2:$C$999,"="&amp;INS_EFF!$B240),"")</f>
        <v>3.1446749389572002</v>
      </c>
      <c r="BF240" s="95">
        <f>IFERROR(AVERAGEIFS(RdTRABYVals!U$2:U$999,RdTRABYVals!$B$2:$B$999,"="&amp;$E240,RdTRABYVals!$C$2:$C$999,"="&amp;INS_EFF!$B240),"")</f>
        <v>3.4212803696093399</v>
      </c>
      <c r="BG240" s="95">
        <f>IFERROR(AVERAGEIFS(RdTRABYVals!V$2:V$999,RdTRABYVals!$B$2:$B$999,"="&amp;$E240,RdTRABYVals!$C$2:$C$999,"="&amp;INS_EFF!$B240),"")</f>
        <v>3.4212803696093399</v>
      </c>
      <c r="BH240" s="95">
        <f>IFERROR(AVERAGEIFS(RdTRABYVals!W$2:W$999,RdTRABYVals!$B$2:$B$999,"="&amp;$E240,RdTRABYVals!$C$2:$C$999,"="&amp;INS_EFF!$B240),"")</f>
        <v>3.4212803696093399</v>
      </c>
      <c r="BI240" s="95">
        <f>IFERROR(AVERAGEIFS(RdTRABYVals!X$2:X$999,RdTRABYVals!$B$2:$B$999,"="&amp;$E240,RdTRABYVals!$C$2:$C$999,"="&amp;INS_EFF!$B240),"")</f>
        <v>1.84588163669965</v>
      </c>
      <c r="BJ240" s="95">
        <f>IFERROR(AVERAGEIFS(RdTRABYVals!Y$2:Y$999,RdTRABYVals!$B$2:$B$999,"="&amp;$E240,RdTRABYVals!$C$2:$C$999,"="&amp;INS_EFF!$B240),"")</f>
        <v>3.7701628369328901</v>
      </c>
      <c r="BK240" s="95">
        <f>IFERROR(AVERAGEIFS(RdTRABYVals!Z$2:Z$999,RdTRABYVals!$B$2:$B$999,"="&amp;$E240,RdTRABYVals!$C$2:$C$999,"="&amp;INS_EFF!$B240),"")</f>
        <v>3.6378198916265401</v>
      </c>
      <c r="BL240" s="95">
        <f>IFERROR(AVERAGEIFS(RdTRABYVals!AA$2:AA$999,RdTRABYVals!$B$2:$B$999,"="&amp;$E240,RdTRABYVals!$C$2:$C$999,"="&amp;INS_EFF!$B240),"")</f>
        <v>3.4212803696093399</v>
      </c>
      <c r="BM240" s="95">
        <f>IFERROR(AVERAGEIFS(RdTRABYVals!AB$2:AB$999,RdTRABYVals!$B$2:$B$999,"="&amp;$E240,RdTRABYVals!$C$2:$C$999,"="&amp;INS_EFF!$B240),"")</f>
        <v>3.4212803696093399</v>
      </c>
      <c r="BN240" s="95">
        <f>IFERROR(AVERAGEIFS(RdTRABYVals!AC$2:AC$999,RdTRABYVals!$B$2:$B$999,"="&amp;$E240,RdTRABYVals!$C$2:$C$999,"="&amp;INS_EFF!$B240),"")</f>
        <v>3.4212803696093399</v>
      </c>
      <c r="BO240" s="95">
        <f>IFERROR(AVERAGEIFS(RdTRABYVals!AD$2:AD$999,RdTRABYVals!$B$2:$B$999,"="&amp;$E240,RdTRABYVals!$C$2:$C$999,"="&amp;INS_EFF!$B240),"")</f>
        <v>3.7701628369328901</v>
      </c>
      <c r="BP240" s="95">
        <f>IFERROR(AVERAGEIFS(RdTRABYVals!AE$2:AE$999,RdTRABYVals!$B$2:$B$999,"="&amp;$E240,RdTRABYVals!$C$2:$C$999,"="&amp;INS_EFF!$B240),"")</f>
        <v>2.3597705391350301</v>
      </c>
      <c r="BQ240" s="95">
        <f>IFERROR(AVERAGEIFS(RdTRABYVals!AF$2:AF$999,RdTRABYVals!$B$2:$B$999,"="&amp;$E240,RdTRABYVals!$C$2:$C$999,"="&amp;INS_EFF!$B240),"")</f>
        <v>3.4212803696093399</v>
      </c>
      <c r="BR240" s="95">
        <f>IFERROR(AVERAGEIFS(RdTRABYVals!AG$2:AG$999,RdTRABYVals!$B$2:$B$999,"="&amp;$E240,RdTRABYVals!$C$2:$C$999,"="&amp;INS_EFF!$B240),"")</f>
        <v>3.4212803696093399</v>
      </c>
      <c r="BS240" s="95">
        <f>IFERROR(AVERAGEIFS(RdTRABYVals!AH$2:AH$999,RdTRABYVals!$B$2:$B$999,"="&amp;$E240,RdTRABYVals!$C$2:$C$999,"="&amp;INS_EFF!$B240),"")</f>
        <v>3.4212803696093399</v>
      </c>
      <c r="BT240" s="95">
        <f>IFERROR(AVERAGEIFS(RdTRABYVals!AI$2:AI$999,RdTRABYVals!$B$2:$B$999,"="&amp;$E240,RdTRABYVals!$C$2:$C$999,"="&amp;INS_EFF!$B240),"")</f>
        <v>3.4212803696093399</v>
      </c>
      <c r="BU240" s="95">
        <f>IFERROR(AVERAGEIFS(RdTRABYVals!AJ$2:AJ$999,RdTRABYVals!$B$2:$B$999,"="&amp;$E240,RdTRABYVals!$C$2:$C$999,"="&amp;INS_EFF!$B240),"")</f>
        <v>3.4212803696093399</v>
      </c>
      <c r="BV240" s="95">
        <f>IFERROR(AVERAGEIFS(RdTRABYVals!AK$2:AK$999,RdTRABYVals!$B$2:$B$999,"="&amp;$E240,RdTRABYVals!$C$2:$C$999,"="&amp;INS_EFF!$B240),"")</f>
        <v>3.4212803696093399</v>
      </c>
      <c r="BW240" s="95">
        <f>IFERROR(AVERAGEIFS(RdTRABYVals!AL$2:AL$999,RdTRABYVals!$B$2:$B$999,"="&amp;$E240,RdTRABYVals!$C$2:$C$999,"="&amp;INS_EFF!$B240),"")</f>
        <v>3.4212803696093399</v>
      </c>
      <c r="BX240" s="95">
        <f>IFERROR(AVERAGEIFS(RdTRABYVals!AM$2:AM$999,RdTRABYVals!$B$2:$B$999,"="&amp;$E240,RdTRABYVals!$C$2:$C$999,"="&amp;INS_EFF!$B240),"")</f>
        <v>4.4146101066077001</v>
      </c>
      <c r="BY240" s="95">
        <f>IFERROR(AVERAGEIFS(RdTRABYVals!AN$2:AN$999,RdTRABYVals!$B$2:$B$999,"="&amp;$E240,RdTRABYVals!$C$2:$C$999,"="&amp;INS_EFF!$B240),"")</f>
        <v>3.7701628369328901</v>
      </c>
      <c r="BZ240" s="95">
        <f>IFERROR(AVERAGEIFS(RdTRABYVals!AO$2:AO$999,RdTRABYVals!$B$2:$B$999,"="&amp;$E240,RdTRABYVals!$C$2:$C$999,"="&amp;INS_EFF!$B240),"")</f>
        <v>3.4212803696093399</v>
      </c>
      <c r="CA240" s="95">
        <f>IFERROR(AVERAGEIFS(RdTRABYVals!AP$2:AP$999,RdTRABYVals!$B$2:$B$999,"="&amp;$E240,RdTRABYVals!$C$2:$C$999,"="&amp;INS_EFF!$B240),"")</f>
        <v>4.0194479929769598</v>
      </c>
      <c r="CB240" s="95">
        <f>IFERROR(AVERAGEIFS(RdTRABYVals!AQ$2:AQ$999,RdTRABYVals!$B$2:$B$999,"="&amp;$E240,RdTRABYVals!$C$2:$C$999,"="&amp;INS_EFF!$B240),"")</f>
        <v>3.4212803696093399</v>
      </c>
      <c r="CC240" s="95">
        <f>IFERROR(AVERAGEIFS(RdTRABYVals!AR$2:AR$999,RdTRABYVals!$B$2:$B$999,"="&amp;$E240,RdTRABYVals!$C$2:$C$999,"="&amp;INS_EFF!$B240),"")</f>
        <v>3.4212803696093399</v>
      </c>
      <c r="CD240" s="95">
        <f>IFERROR(AVERAGEIFS(RdTRABYVals!AS$2:AS$999,RdTRABYVals!$B$2:$B$999,"="&amp;$E240,RdTRABYVals!$C$2:$C$999,"="&amp;INS_EFF!$B240),"")</f>
        <v>3.3370038808875302</v>
      </c>
      <c r="CE240" s="95">
        <f>IFERROR(AVERAGEIFS(RdTRABYVals!AT$2:AT$999,RdTRABYVals!$B$2:$B$999,"="&amp;$E240,RdTRABYVals!$C$2:$C$999,"="&amp;INS_EFF!$B240),"")</f>
        <v>3.2380795825778899</v>
      </c>
      <c r="CF240" s="95">
        <f>IFERROR(AVERAGEIFS(RdTRABYVals!AU$2:AU$999,RdTRABYVals!$B$2:$B$999,"="&amp;$E240,RdTRABYVals!$C$2:$C$999,"="&amp;INS_EFF!$B240),"")</f>
        <v>3.4212803696093399</v>
      </c>
      <c r="CG240" s="95">
        <f>IFERROR(AVERAGEIFS(RdTRABYVals!AV$2:AV$999,RdTRABYVals!$B$2:$B$999,"="&amp;$E240,RdTRABYVals!$C$2:$C$999,"="&amp;INS_EFF!$B240),"")</f>
        <v>4.4870309525670899</v>
      </c>
    </row>
    <row r="241" spans="23:85" ht="15">
      <c r="W241" s="20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6"/>
      <c r="BI241" s="96"/>
      <c r="BJ241" s="96"/>
      <c r="BK241" s="96"/>
      <c r="BL241" s="96"/>
      <c r="BM241" s="96"/>
      <c r="BN241" s="96"/>
      <c r="BO241" s="96"/>
      <c r="BP241" s="96"/>
      <c r="BQ241" s="96"/>
      <c r="BR241" s="96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  <c r="CE241" s="96"/>
      <c r="CF241" s="96"/>
      <c r="CG241" s="96"/>
    </row>
    <row r="242" spans="19:19" ht="12.75">
      <c r="S242" s="20"/>
    </row>
  </sheetData>
  <pageMargins left="0.7" right="0.7" top="0.75" bottom="0.75" header="0.3" footer="0.3"/>
  <pageSetup orientation="portrait" paperSize="9"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210"/>
  <sheetViews>
    <sheetView zoomScale="70" zoomScaleNormal="70" workbookViewId="0" topLeftCell="A1">
      <selection pane="topLeft" activeCell="E3" sqref="E3"/>
    </sheetView>
  </sheetViews>
  <sheetFormatPr defaultColWidth="8.85428571428571" defaultRowHeight="12.75"/>
  <cols>
    <col min="1" max="1" width="12.7142857142857" style="18" customWidth="1"/>
    <col min="2" max="2" width="31.7142857142857" style="18" customWidth="1"/>
    <col min="3" max="3" width="11.7142857142857" style="18" customWidth="1"/>
    <col min="4" max="4" width="9.57142857142857" style="18" customWidth="1"/>
    <col min="5" max="6" width="8.85714285714286" style="18"/>
    <col min="7" max="7" width="27.8571428571429" style="18" customWidth="1"/>
    <col min="8" max="8" width="10.7142857142857" style="18" customWidth="1"/>
    <col min="9" max="16384" width="8.85714285714286" style="18"/>
  </cols>
  <sheetData>
    <row r="1" spans="1:1" ht="15.75">
      <c r="A1" s="22" t="s">
        <v>276</v>
      </c>
    </row>
    <row r="3" spans="5:6" ht="12.75">
      <c r="E3" s="3" t="s">
        <v>97</v>
      </c>
      <c r="F3" s="3"/>
    </row>
    <row r="4" spans="1:45" s="63" customFormat="1" ht="12.75">
      <c r="A4" s="50" t="s">
        <v>263</v>
      </c>
      <c r="B4" s="50" t="s">
        <v>264</v>
      </c>
      <c r="C4" s="50" t="s">
        <v>266</v>
      </c>
      <c r="E4" s="23" t="s">
        <v>36</v>
      </c>
      <c r="F4" s="23" t="s">
        <v>37</v>
      </c>
      <c r="G4" s="23" t="s">
        <v>94</v>
      </c>
      <c r="H4" s="23" t="s">
        <v>47</v>
      </c>
      <c r="I4" s="23" t="s">
        <v>41</v>
      </c>
      <c r="J4" s="23" t="s">
        <v>0</v>
      </c>
      <c r="K4" s="23" t="s">
        <v>45</v>
      </c>
      <c r="L4" s="23" t="s">
        <v>1</v>
      </c>
      <c r="M4" s="23" t="s">
        <v>31</v>
      </c>
      <c r="N4" s="23" t="s">
        <v>2</v>
      </c>
      <c r="O4" s="23" t="s">
        <v>3</v>
      </c>
      <c r="P4" s="23" t="s">
        <v>4</v>
      </c>
      <c r="Q4" s="23" t="s">
        <v>5</v>
      </c>
      <c r="R4" s="23" t="s">
        <v>6</v>
      </c>
      <c r="S4" s="23" t="s">
        <v>7</v>
      </c>
      <c r="T4" s="23" t="s">
        <v>48</v>
      </c>
      <c r="U4" s="23" t="s">
        <v>8</v>
      </c>
      <c r="V4" s="23" t="s">
        <v>9</v>
      </c>
      <c r="W4" s="23" t="s">
        <v>10</v>
      </c>
      <c r="X4" s="23" t="s">
        <v>32</v>
      </c>
      <c r="Y4" s="23" t="s">
        <v>11</v>
      </c>
      <c r="Z4" s="23" t="s">
        <v>12</v>
      </c>
      <c r="AA4" s="23" t="s">
        <v>13</v>
      </c>
      <c r="AB4" s="23" t="s">
        <v>27</v>
      </c>
      <c r="AC4" s="23" t="s">
        <v>46</v>
      </c>
      <c r="AD4" s="23" t="s">
        <v>14</v>
      </c>
      <c r="AE4" s="23" t="s">
        <v>15</v>
      </c>
      <c r="AF4" s="23" t="s">
        <v>16</v>
      </c>
      <c r="AG4" s="23" t="s">
        <v>42</v>
      </c>
      <c r="AH4" s="23" t="s">
        <v>33</v>
      </c>
      <c r="AI4" s="23" t="s">
        <v>17</v>
      </c>
      <c r="AJ4" s="23" t="s">
        <v>18</v>
      </c>
      <c r="AK4" s="23" t="s">
        <v>19</v>
      </c>
      <c r="AL4" s="23" t="s">
        <v>20</v>
      </c>
      <c r="AM4" s="23" t="s">
        <v>21</v>
      </c>
      <c r="AN4" s="23" t="s">
        <v>22</v>
      </c>
      <c r="AO4" s="23" t="s">
        <v>43</v>
      </c>
      <c r="AP4" s="23" t="s">
        <v>23</v>
      </c>
      <c r="AQ4" s="23" t="s">
        <v>24</v>
      </c>
      <c r="AR4" s="23" t="s">
        <v>25</v>
      </c>
      <c r="AS4" s="23" t="s">
        <v>26</v>
      </c>
    </row>
    <row r="5" spans="1:45" s="30" customFormat="1" ht="14.45" customHeight="1">
      <c r="A5" s="33" t="s">
        <v>248</v>
      </c>
      <c r="B5" s="33" t="s">
        <v>252</v>
      </c>
      <c r="C5" s="33" t="s">
        <v>265</v>
      </c>
      <c r="E5" s="31" t="s">
        <v>30</v>
      </c>
      <c r="F5" s="39">
        <v>2010</v>
      </c>
      <c r="G5" s="30" t="s">
        <v>100</v>
      </c>
      <c r="H5" s="30">
        <f t="shared" si="0" ref="H5:H68">AVERAGE(I5:AS5)</f>
        <v>66.756156756756766</v>
      </c>
      <c r="I5" s="30">
        <v>90.563299999999998</v>
      </c>
      <c r="J5" s="32">
        <v>137.91999999999999</v>
      </c>
      <c r="K5" s="30">
        <v>82.638000000000005</v>
      </c>
      <c r="L5" s="30">
        <v>61.850499999999997</v>
      </c>
      <c r="M5" s="30">
        <v>27.199200000000001</v>
      </c>
      <c r="N5" s="30">
        <v>55.678800000000003</v>
      </c>
      <c r="O5" s="30">
        <v>43.694899999999997</v>
      </c>
      <c r="P5" s="30">
        <v>50.453299999999999</v>
      </c>
      <c r="Q5" s="44">
        <v>80.075500000000005</v>
      </c>
      <c r="R5" s="30">
        <v>37.301299999999998</v>
      </c>
      <c r="S5" s="30">
        <v>45.694899999999997</v>
      </c>
      <c r="T5" s="30">
        <v>90.563299999999998</v>
      </c>
      <c r="U5" s="30">
        <v>79.589699999999993</v>
      </c>
      <c r="V5" s="30">
        <v>59.858400000000003</v>
      </c>
      <c r="W5" s="30">
        <v>44.487099999999998</v>
      </c>
      <c r="X5" s="30">
        <v>82.638000000000005</v>
      </c>
      <c r="Y5" s="30">
        <v>61.781700000000001</v>
      </c>
      <c r="Z5" s="30">
        <v>54.327599999999997</v>
      </c>
      <c r="AA5" s="30">
        <v>46.338999999999999</v>
      </c>
      <c r="AB5" s="30">
        <v>42.782899999999998</v>
      </c>
      <c r="AC5" s="30">
        <v>82.638000000000005</v>
      </c>
      <c r="AD5" s="30">
        <v>15.8658</v>
      </c>
      <c r="AE5" s="30">
        <v>192.143</v>
      </c>
      <c r="AF5" s="30">
        <v>89.929000000000002</v>
      </c>
      <c r="AG5" s="30">
        <v>90.563299999999998</v>
      </c>
      <c r="AH5" s="30">
        <v>21.8232</v>
      </c>
      <c r="AI5" s="30">
        <v>30.152699999999999</v>
      </c>
      <c r="AJ5" s="30">
        <v>65.260599999999997</v>
      </c>
      <c r="AK5" s="30">
        <v>63.827599999999997</v>
      </c>
      <c r="AL5" s="30">
        <v>33.9756</v>
      </c>
      <c r="AM5" s="30">
        <v>37.721600000000002</v>
      </c>
      <c r="AN5" s="30">
        <v>28.950700000000001</v>
      </c>
      <c r="AO5" s="30">
        <v>82.638000000000005</v>
      </c>
      <c r="AP5" s="30">
        <v>110.72</v>
      </c>
      <c r="AQ5" s="30">
        <v>115.751</v>
      </c>
      <c r="AR5" s="30">
        <v>67.526399999999995</v>
      </c>
      <c r="AS5" s="30">
        <v>65.053899999999999</v>
      </c>
    </row>
    <row r="6" spans="1:53" s="30" customFormat="1" ht="14.45" customHeight="1">
      <c r="A6" s="33" t="s">
        <v>248</v>
      </c>
      <c r="B6" s="33" t="s">
        <v>252</v>
      </c>
      <c r="C6" s="33" t="s">
        <v>265</v>
      </c>
      <c r="E6" s="31" t="s">
        <v>30</v>
      </c>
      <c r="F6" s="39">
        <v>2020</v>
      </c>
      <c r="G6" s="30" t="s">
        <v>100</v>
      </c>
      <c r="H6" s="30">
        <f t="shared" si="0"/>
        <v>66.756156756756766</v>
      </c>
      <c r="I6" s="30">
        <f>I5</f>
        <v>90.563299999999998</v>
      </c>
      <c r="J6" s="30">
        <f t="shared" si="1" ref="J6:AS11">J5</f>
        <v>137.91999999999999</v>
      </c>
      <c r="K6" s="30">
        <f t="shared" si="1"/>
        <v>82.638000000000005</v>
      </c>
      <c r="L6" s="30">
        <f t="shared" si="1"/>
        <v>61.850499999999997</v>
      </c>
      <c r="M6" s="30">
        <f t="shared" si="1"/>
        <v>27.199200000000001</v>
      </c>
      <c r="N6" s="30">
        <f t="shared" si="1"/>
        <v>55.678800000000003</v>
      </c>
      <c r="O6" s="30">
        <f t="shared" si="1"/>
        <v>43.694899999999997</v>
      </c>
      <c r="P6" s="30">
        <f t="shared" si="1"/>
        <v>50.453299999999999</v>
      </c>
      <c r="Q6" s="30">
        <f t="shared" si="1"/>
        <v>80.075500000000005</v>
      </c>
      <c r="R6" s="30">
        <f t="shared" si="1"/>
        <v>37.301299999999998</v>
      </c>
      <c r="S6" s="30">
        <f t="shared" si="1"/>
        <v>45.694899999999997</v>
      </c>
      <c r="T6" s="30">
        <f t="shared" si="1"/>
        <v>90.563299999999998</v>
      </c>
      <c r="U6" s="30">
        <f t="shared" si="1"/>
        <v>79.589699999999993</v>
      </c>
      <c r="V6" s="30">
        <f t="shared" si="1"/>
        <v>59.858400000000003</v>
      </c>
      <c r="W6" s="30">
        <f t="shared" si="1"/>
        <v>44.487099999999998</v>
      </c>
      <c r="X6" s="30">
        <f t="shared" si="1"/>
        <v>82.638000000000005</v>
      </c>
      <c r="Y6" s="30">
        <f t="shared" si="1"/>
        <v>61.781700000000001</v>
      </c>
      <c r="Z6" s="30">
        <f t="shared" si="1"/>
        <v>54.327599999999997</v>
      </c>
      <c r="AA6" s="30">
        <f t="shared" si="1"/>
        <v>46.338999999999999</v>
      </c>
      <c r="AB6" s="30">
        <f t="shared" si="1"/>
        <v>42.782899999999998</v>
      </c>
      <c r="AC6" s="30">
        <f t="shared" si="1"/>
        <v>82.638000000000005</v>
      </c>
      <c r="AD6" s="30">
        <f t="shared" si="1"/>
        <v>15.8658</v>
      </c>
      <c r="AE6" s="30">
        <f t="shared" si="1"/>
        <v>192.143</v>
      </c>
      <c r="AF6" s="30">
        <f t="shared" si="1"/>
        <v>89.929000000000002</v>
      </c>
      <c r="AG6" s="30">
        <f t="shared" si="1"/>
        <v>90.563299999999998</v>
      </c>
      <c r="AH6" s="30">
        <f t="shared" si="1"/>
        <v>21.8232</v>
      </c>
      <c r="AI6" s="30">
        <f t="shared" si="1"/>
        <v>30.152699999999999</v>
      </c>
      <c r="AJ6" s="30">
        <f t="shared" si="1"/>
        <v>65.260599999999997</v>
      </c>
      <c r="AK6" s="30">
        <f t="shared" si="1"/>
        <v>63.827599999999997</v>
      </c>
      <c r="AL6" s="30">
        <f t="shared" si="1"/>
        <v>33.9756</v>
      </c>
      <c r="AM6" s="30">
        <f t="shared" si="1"/>
        <v>37.721600000000002</v>
      </c>
      <c r="AN6" s="30">
        <f t="shared" si="1"/>
        <v>28.950700000000001</v>
      </c>
      <c r="AO6" s="30">
        <f t="shared" si="1"/>
        <v>82.638000000000005</v>
      </c>
      <c r="AP6" s="30">
        <f t="shared" si="1"/>
        <v>110.72</v>
      </c>
      <c r="AQ6" s="30">
        <f t="shared" si="1"/>
        <v>115.751</v>
      </c>
      <c r="AR6" s="30">
        <f t="shared" si="1"/>
        <v>67.526399999999995</v>
      </c>
      <c r="AS6" s="30">
        <f t="shared" si="1"/>
        <v>65.053899999999999</v>
      </c>
      <c r="BA6" s="32"/>
    </row>
    <row r="7" spans="1:54" s="30" customFormat="1" ht="14.45" customHeight="1">
      <c r="A7" s="33" t="s">
        <v>248</v>
      </c>
      <c r="B7" s="33" t="s">
        <v>252</v>
      </c>
      <c r="C7" s="33" t="s">
        <v>265</v>
      </c>
      <c r="E7" s="31" t="s">
        <v>30</v>
      </c>
      <c r="F7" s="39">
        <v>2025</v>
      </c>
      <c r="G7" s="30" t="s">
        <v>100</v>
      </c>
      <c r="H7" s="30">
        <f t="shared" si="0"/>
        <v>66.756156756756766</v>
      </c>
      <c r="I7" s="30">
        <f t="shared" si="2" ref="I7:I11">I6</f>
        <v>90.563299999999998</v>
      </c>
      <c r="J7" s="30">
        <f t="shared" si="1"/>
        <v>137.91999999999999</v>
      </c>
      <c r="K7" s="30">
        <f t="shared" si="1"/>
        <v>82.638000000000005</v>
      </c>
      <c r="L7" s="30">
        <f t="shared" si="1"/>
        <v>61.850499999999997</v>
      </c>
      <c r="M7" s="30">
        <f t="shared" si="1"/>
        <v>27.199200000000001</v>
      </c>
      <c r="N7" s="30">
        <f t="shared" si="1"/>
        <v>55.678800000000003</v>
      </c>
      <c r="O7" s="30">
        <f t="shared" si="1"/>
        <v>43.694899999999997</v>
      </c>
      <c r="P7" s="30">
        <f t="shared" si="1"/>
        <v>50.453299999999999</v>
      </c>
      <c r="Q7" s="30">
        <f t="shared" si="1"/>
        <v>80.075500000000005</v>
      </c>
      <c r="R7" s="30">
        <f t="shared" si="1"/>
        <v>37.301299999999998</v>
      </c>
      <c r="S7" s="30">
        <f t="shared" si="1"/>
        <v>45.694899999999997</v>
      </c>
      <c r="T7" s="30">
        <f t="shared" si="1"/>
        <v>90.563299999999998</v>
      </c>
      <c r="U7" s="30">
        <f t="shared" si="1"/>
        <v>79.589699999999993</v>
      </c>
      <c r="V7" s="30">
        <f t="shared" si="1"/>
        <v>59.858400000000003</v>
      </c>
      <c r="W7" s="30">
        <f t="shared" si="1"/>
        <v>44.487099999999998</v>
      </c>
      <c r="X7" s="30">
        <f t="shared" si="1"/>
        <v>82.638000000000005</v>
      </c>
      <c r="Y7" s="30">
        <f t="shared" si="1"/>
        <v>61.781700000000001</v>
      </c>
      <c r="Z7" s="30">
        <f t="shared" si="1"/>
        <v>54.327599999999997</v>
      </c>
      <c r="AA7" s="30">
        <f t="shared" si="1"/>
        <v>46.338999999999999</v>
      </c>
      <c r="AB7" s="30">
        <f t="shared" si="1"/>
        <v>42.782899999999998</v>
      </c>
      <c r="AC7" s="30">
        <f t="shared" si="1"/>
        <v>82.638000000000005</v>
      </c>
      <c r="AD7" s="30">
        <f t="shared" si="1"/>
        <v>15.8658</v>
      </c>
      <c r="AE7" s="30">
        <f t="shared" si="1"/>
        <v>192.143</v>
      </c>
      <c r="AF7" s="30">
        <f t="shared" si="1"/>
        <v>89.929000000000002</v>
      </c>
      <c r="AG7" s="30">
        <f t="shared" si="1"/>
        <v>90.563299999999998</v>
      </c>
      <c r="AH7" s="30">
        <f t="shared" si="1"/>
        <v>21.8232</v>
      </c>
      <c r="AI7" s="30">
        <f t="shared" si="1"/>
        <v>30.152699999999999</v>
      </c>
      <c r="AJ7" s="30">
        <f t="shared" si="1"/>
        <v>65.260599999999997</v>
      </c>
      <c r="AK7" s="30">
        <f t="shared" si="1"/>
        <v>63.827599999999997</v>
      </c>
      <c r="AL7" s="30">
        <f t="shared" si="1"/>
        <v>33.9756</v>
      </c>
      <c r="AM7" s="30">
        <f t="shared" si="1"/>
        <v>37.721600000000002</v>
      </c>
      <c r="AN7" s="30">
        <f t="shared" si="1"/>
        <v>28.950700000000001</v>
      </c>
      <c r="AO7" s="30">
        <f t="shared" si="1"/>
        <v>82.638000000000005</v>
      </c>
      <c r="AP7" s="30">
        <f t="shared" si="1"/>
        <v>110.72</v>
      </c>
      <c r="AQ7" s="30">
        <f t="shared" si="1"/>
        <v>115.751</v>
      </c>
      <c r="AR7" s="30">
        <f t="shared" si="1"/>
        <v>67.526399999999995</v>
      </c>
      <c r="AS7" s="30">
        <f t="shared" si="1"/>
        <v>65.053899999999999</v>
      </c>
      <c r="BB7" s="43"/>
    </row>
    <row r="8" spans="1:54" s="30" customFormat="1" ht="14.45" customHeight="1">
      <c r="A8" s="33" t="s">
        <v>248</v>
      </c>
      <c r="B8" s="33" t="s">
        <v>252</v>
      </c>
      <c r="C8" s="33" t="s">
        <v>265</v>
      </c>
      <c r="E8" s="31" t="s">
        <v>30</v>
      </c>
      <c r="F8" s="39">
        <v>2030</v>
      </c>
      <c r="G8" s="30" t="s">
        <v>100</v>
      </c>
      <c r="H8" s="30">
        <f t="shared" si="0"/>
        <v>66.756156756756766</v>
      </c>
      <c r="I8" s="30">
        <f t="shared" si="2"/>
        <v>90.563299999999998</v>
      </c>
      <c r="J8" s="30">
        <f t="shared" si="1"/>
        <v>137.91999999999999</v>
      </c>
      <c r="K8" s="30">
        <f t="shared" si="1"/>
        <v>82.638000000000005</v>
      </c>
      <c r="L8" s="30">
        <f t="shared" si="1"/>
        <v>61.850499999999997</v>
      </c>
      <c r="M8" s="30">
        <f t="shared" si="1"/>
        <v>27.199200000000001</v>
      </c>
      <c r="N8" s="30">
        <f t="shared" si="1"/>
        <v>55.678800000000003</v>
      </c>
      <c r="O8" s="30">
        <f t="shared" si="1"/>
        <v>43.694899999999997</v>
      </c>
      <c r="P8" s="30">
        <f t="shared" si="1"/>
        <v>50.453299999999999</v>
      </c>
      <c r="Q8" s="30">
        <f t="shared" si="1"/>
        <v>80.075500000000005</v>
      </c>
      <c r="R8" s="30">
        <f t="shared" si="1"/>
        <v>37.301299999999998</v>
      </c>
      <c r="S8" s="30">
        <f t="shared" si="1"/>
        <v>45.694899999999997</v>
      </c>
      <c r="T8" s="30">
        <f t="shared" si="1"/>
        <v>90.563299999999998</v>
      </c>
      <c r="U8" s="30">
        <f t="shared" si="1"/>
        <v>79.589699999999993</v>
      </c>
      <c r="V8" s="30">
        <f t="shared" si="1"/>
        <v>59.858400000000003</v>
      </c>
      <c r="W8" s="30">
        <f t="shared" si="1"/>
        <v>44.487099999999998</v>
      </c>
      <c r="X8" s="30">
        <f t="shared" si="1"/>
        <v>82.638000000000005</v>
      </c>
      <c r="Y8" s="30">
        <f t="shared" si="1"/>
        <v>61.781700000000001</v>
      </c>
      <c r="Z8" s="30">
        <f t="shared" si="1"/>
        <v>54.327599999999997</v>
      </c>
      <c r="AA8" s="30">
        <f t="shared" si="1"/>
        <v>46.338999999999999</v>
      </c>
      <c r="AB8" s="30">
        <f t="shared" si="1"/>
        <v>42.782899999999998</v>
      </c>
      <c r="AC8" s="30">
        <f t="shared" si="1"/>
        <v>82.638000000000005</v>
      </c>
      <c r="AD8" s="30">
        <f t="shared" si="1"/>
        <v>15.8658</v>
      </c>
      <c r="AE8" s="30">
        <f t="shared" si="1"/>
        <v>192.143</v>
      </c>
      <c r="AF8" s="30">
        <f t="shared" si="1"/>
        <v>89.929000000000002</v>
      </c>
      <c r="AG8" s="30">
        <f t="shared" si="1"/>
        <v>90.563299999999998</v>
      </c>
      <c r="AH8" s="30">
        <f t="shared" si="1"/>
        <v>21.8232</v>
      </c>
      <c r="AI8" s="30">
        <f t="shared" si="1"/>
        <v>30.152699999999999</v>
      </c>
      <c r="AJ8" s="30">
        <f t="shared" si="1"/>
        <v>65.260599999999997</v>
      </c>
      <c r="AK8" s="30">
        <f t="shared" si="1"/>
        <v>63.827599999999997</v>
      </c>
      <c r="AL8" s="30">
        <f t="shared" si="1"/>
        <v>33.9756</v>
      </c>
      <c r="AM8" s="30">
        <f t="shared" si="1"/>
        <v>37.721600000000002</v>
      </c>
      <c r="AN8" s="30">
        <f t="shared" si="1"/>
        <v>28.950700000000001</v>
      </c>
      <c r="AO8" s="30">
        <f t="shared" si="1"/>
        <v>82.638000000000005</v>
      </c>
      <c r="AP8" s="30">
        <f t="shared" si="1"/>
        <v>110.72</v>
      </c>
      <c r="AQ8" s="30">
        <f t="shared" si="1"/>
        <v>115.751</v>
      </c>
      <c r="AR8" s="30">
        <f t="shared" si="1"/>
        <v>67.526399999999995</v>
      </c>
      <c r="AS8" s="30">
        <f t="shared" si="1"/>
        <v>65.053899999999999</v>
      </c>
      <c r="BB8" s="43"/>
    </row>
    <row r="9" spans="1:45" s="30" customFormat="1" ht="14.45" customHeight="1">
      <c r="A9" s="33" t="s">
        <v>248</v>
      </c>
      <c r="B9" s="33" t="s">
        <v>252</v>
      </c>
      <c r="C9" s="33" t="s">
        <v>265</v>
      </c>
      <c r="E9" s="31" t="s">
        <v>30</v>
      </c>
      <c r="F9" s="39">
        <v>2035</v>
      </c>
      <c r="G9" s="30" t="s">
        <v>100</v>
      </c>
      <c r="H9" s="30">
        <f t="shared" si="0"/>
        <v>66.756156756756766</v>
      </c>
      <c r="I9" s="30">
        <f t="shared" si="2"/>
        <v>90.563299999999998</v>
      </c>
      <c r="J9" s="30">
        <f t="shared" si="1"/>
        <v>137.91999999999999</v>
      </c>
      <c r="K9" s="30">
        <f t="shared" si="1"/>
        <v>82.638000000000005</v>
      </c>
      <c r="L9" s="30">
        <f t="shared" si="1"/>
        <v>61.850499999999997</v>
      </c>
      <c r="M9" s="30">
        <f t="shared" si="1"/>
        <v>27.199200000000001</v>
      </c>
      <c r="N9" s="30">
        <f t="shared" si="1"/>
        <v>55.678800000000003</v>
      </c>
      <c r="O9" s="30">
        <f t="shared" si="1"/>
        <v>43.694899999999997</v>
      </c>
      <c r="P9" s="30">
        <f t="shared" si="1"/>
        <v>50.453299999999999</v>
      </c>
      <c r="Q9" s="30">
        <f t="shared" si="1"/>
        <v>80.075500000000005</v>
      </c>
      <c r="R9" s="30">
        <f t="shared" si="1"/>
        <v>37.301299999999998</v>
      </c>
      <c r="S9" s="30">
        <f t="shared" si="1"/>
        <v>45.694899999999997</v>
      </c>
      <c r="T9" s="30">
        <f t="shared" si="1"/>
        <v>90.563299999999998</v>
      </c>
      <c r="U9" s="30">
        <f t="shared" si="1"/>
        <v>79.589699999999993</v>
      </c>
      <c r="V9" s="30">
        <f t="shared" si="1"/>
        <v>59.858400000000003</v>
      </c>
      <c r="W9" s="30">
        <f t="shared" si="1"/>
        <v>44.487099999999998</v>
      </c>
      <c r="X9" s="30">
        <f t="shared" si="1"/>
        <v>82.638000000000005</v>
      </c>
      <c r="Y9" s="30">
        <f t="shared" si="1"/>
        <v>61.781700000000001</v>
      </c>
      <c r="Z9" s="30">
        <f t="shared" si="1"/>
        <v>54.327599999999997</v>
      </c>
      <c r="AA9" s="30">
        <f t="shared" si="1"/>
        <v>46.338999999999999</v>
      </c>
      <c r="AB9" s="30">
        <f t="shared" si="1"/>
        <v>42.782899999999998</v>
      </c>
      <c r="AC9" s="30">
        <f t="shared" si="1"/>
        <v>82.638000000000005</v>
      </c>
      <c r="AD9" s="30">
        <f t="shared" si="1"/>
        <v>15.8658</v>
      </c>
      <c r="AE9" s="30">
        <f t="shared" si="1"/>
        <v>192.143</v>
      </c>
      <c r="AF9" s="30">
        <f t="shared" si="1"/>
        <v>89.929000000000002</v>
      </c>
      <c r="AG9" s="30">
        <f t="shared" si="1"/>
        <v>90.563299999999998</v>
      </c>
      <c r="AH9" s="30">
        <f t="shared" si="1"/>
        <v>21.8232</v>
      </c>
      <c r="AI9" s="30">
        <f t="shared" si="1"/>
        <v>30.152699999999999</v>
      </c>
      <c r="AJ9" s="30">
        <f t="shared" si="1"/>
        <v>65.260599999999997</v>
      </c>
      <c r="AK9" s="30">
        <f t="shared" si="1"/>
        <v>63.827599999999997</v>
      </c>
      <c r="AL9" s="30">
        <f t="shared" si="1"/>
        <v>33.9756</v>
      </c>
      <c r="AM9" s="30">
        <f t="shared" si="1"/>
        <v>37.721600000000002</v>
      </c>
      <c r="AN9" s="30">
        <f t="shared" si="1"/>
        <v>28.950700000000001</v>
      </c>
      <c r="AO9" s="30">
        <f t="shared" si="1"/>
        <v>82.638000000000005</v>
      </c>
      <c r="AP9" s="30">
        <f t="shared" si="1"/>
        <v>110.72</v>
      </c>
      <c r="AQ9" s="30">
        <f t="shared" si="1"/>
        <v>115.751</v>
      </c>
      <c r="AR9" s="30">
        <f t="shared" si="1"/>
        <v>67.526399999999995</v>
      </c>
      <c r="AS9" s="30">
        <f t="shared" si="1"/>
        <v>65.053899999999999</v>
      </c>
    </row>
    <row r="10" spans="1:45" s="30" customFormat="1" ht="14.45" customHeight="1">
      <c r="A10" s="33" t="s">
        <v>248</v>
      </c>
      <c r="B10" s="33" t="s">
        <v>252</v>
      </c>
      <c r="C10" s="33" t="s">
        <v>265</v>
      </c>
      <c r="E10" s="31" t="s">
        <v>30</v>
      </c>
      <c r="F10" s="39">
        <v>2040</v>
      </c>
      <c r="G10" s="30" t="s">
        <v>100</v>
      </c>
      <c r="H10" s="30">
        <f t="shared" si="0"/>
        <v>66.756156756756766</v>
      </c>
      <c r="I10" s="30">
        <f t="shared" si="2"/>
        <v>90.563299999999998</v>
      </c>
      <c r="J10" s="30">
        <f t="shared" si="1"/>
        <v>137.91999999999999</v>
      </c>
      <c r="K10" s="30">
        <f t="shared" si="1"/>
        <v>82.638000000000005</v>
      </c>
      <c r="L10" s="30">
        <f t="shared" si="1"/>
        <v>61.850499999999997</v>
      </c>
      <c r="M10" s="30">
        <f t="shared" si="1"/>
        <v>27.199200000000001</v>
      </c>
      <c r="N10" s="30">
        <f t="shared" si="1"/>
        <v>55.678800000000003</v>
      </c>
      <c r="O10" s="30">
        <f t="shared" si="1"/>
        <v>43.694899999999997</v>
      </c>
      <c r="P10" s="30">
        <f t="shared" si="1"/>
        <v>50.453299999999999</v>
      </c>
      <c r="Q10" s="30">
        <f t="shared" si="1"/>
        <v>80.075500000000005</v>
      </c>
      <c r="R10" s="30">
        <f t="shared" si="1"/>
        <v>37.301299999999998</v>
      </c>
      <c r="S10" s="30">
        <f t="shared" si="1"/>
        <v>45.694899999999997</v>
      </c>
      <c r="T10" s="30">
        <f t="shared" si="1"/>
        <v>90.563299999999998</v>
      </c>
      <c r="U10" s="30">
        <f t="shared" si="1"/>
        <v>79.589699999999993</v>
      </c>
      <c r="V10" s="30">
        <f t="shared" si="1"/>
        <v>59.858400000000003</v>
      </c>
      <c r="W10" s="30">
        <f t="shared" si="1"/>
        <v>44.487099999999998</v>
      </c>
      <c r="X10" s="30">
        <f t="shared" si="1"/>
        <v>82.638000000000005</v>
      </c>
      <c r="Y10" s="30">
        <f t="shared" si="1"/>
        <v>61.781700000000001</v>
      </c>
      <c r="Z10" s="30">
        <f t="shared" si="1"/>
        <v>54.327599999999997</v>
      </c>
      <c r="AA10" s="30">
        <f t="shared" si="1"/>
        <v>46.338999999999999</v>
      </c>
      <c r="AB10" s="30">
        <f t="shared" si="1"/>
        <v>42.782899999999998</v>
      </c>
      <c r="AC10" s="30">
        <f t="shared" si="1"/>
        <v>82.638000000000005</v>
      </c>
      <c r="AD10" s="30">
        <f t="shared" si="1"/>
        <v>15.8658</v>
      </c>
      <c r="AE10" s="30">
        <f t="shared" si="1"/>
        <v>192.143</v>
      </c>
      <c r="AF10" s="30">
        <f t="shared" si="1"/>
        <v>89.929000000000002</v>
      </c>
      <c r="AG10" s="30">
        <f t="shared" si="1"/>
        <v>90.563299999999998</v>
      </c>
      <c r="AH10" s="30">
        <f t="shared" si="1"/>
        <v>21.8232</v>
      </c>
      <c r="AI10" s="30">
        <f t="shared" si="1"/>
        <v>30.152699999999999</v>
      </c>
      <c r="AJ10" s="30">
        <f t="shared" si="1"/>
        <v>65.260599999999997</v>
      </c>
      <c r="AK10" s="30">
        <f t="shared" si="1"/>
        <v>63.827599999999997</v>
      </c>
      <c r="AL10" s="30">
        <f t="shared" si="1"/>
        <v>33.9756</v>
      </c>
      <c r="AM10" s="30">
        <f t="shared" si="1"/>
        <v>37.721600000000002</v>
      </c>
      <c r="AN10" s="30">
        <f t="shared" si="1"/>
        <v>28.950700000000001</v>
      </c>
      <c r="AO10" s="30">
        <f t="shared" si="1"/>
        <v>82.638000000000005</v>
      </c>
      <c r="AP10" s="30">
        <f t="shared" si="1"/>
        <v>110.72</v>
      </c>
      <c r="AQ10" s="30">
        <f t="shared" si="1"/>
        <v>115.751</v>
      </c>
      <c r="AR10" s="30">
        <f t="shared" si="1"/>
        <v>67.526399999999995</v>
      </c>
      <c r="AS10" s="30">
        <f t="shared" si="1"/>
        <v>65.053899999999999</v>
      </c>
    </row>
    <row r="11" spans="1:54" s="46" customFormat="1" ht="14.45" customHeight="1">
      <c r="A11" s="45" t="s">
        <v>248</v>
      </c>
      <c r="B11" s="45" t="s">
        <v>252</v>
      </c>
      <c r="C11" s="45" t="s">
        <v>265</v>
      </c>
      <c r="E11" s="47" t="s">
        <v>30</v>
      </c>
      <c r="F11" s="48">
        <v>2050</v>
      </c>
      <c r="G11" s="46" t="s">
        <v>100</v>
      </c>
      <c r="H11" s="46">
        <f t="shared" si="0"/>
        <v>66.756156756756766</v>
      </c>
      <c r="I11" s="46">
        <f t="shared" si="2"/>
        <v>90.563299999999998</v>
      </c>
      <c r="J11" s="46">
        <f t="shared" si="1"/>
        <v>137.91999999999999</v>
      </c>
      <c r="K11" s="46">
        <f t="shared" si="1"/>
        <v>82.638000000000005</v>
      </c>
      <c r="L11" s="46">
        <f t="shared" si="1"/>
        <v>61.850499999999997</v>
      </c>
      <c r="M11" s="46">
        <f t="shared" si="1"/>
        <v>27.199200000000001</v>
      </c>
      <c r="N11" s="46">
        <f t="shared" si="1"/>
        <v>55.678800000000003</v>
      </c>
      <c r="O11" s="46">
        <f t="shared" si="1"/>
        <v>43.694899999999997</v>
      </c>
      <c r="P11" s="46">
        <f t="shared" si="1"/>
        <v>50.453299999999999</v>
      </c>
      <c r="Q11" s="46">
        <f t="shared" si="1"/>
        <v>80.075500000000005</v>
      </c>
      <c r="R11" s="46">
        <f t="shared" si="1"/>
        <v>37.301299999999998</v>
      </c>
      <c r="S11" s="46">
        <f t="shared" si="1"/>
        <v>45.694899999999997</v>
      </c>
      <c r="T11" s="46">
        <f t="shared" si="1"/>
        <v>90.563299999999998</v>
      </c>
      <c r="U11" s="46">
        <f t="shared" si="1"/>
        <v>79.589699999999993</v>
      </c>
      <c r="V11" s="46">
        <f t="shared" si="1"/>
        <v>59.858400000000003</v>
      </c>
      <c r="W11" s="46">
        <f t="shared" si="1"/>
        <v>44.487099999999998</v>
      </c>
      <c r="X11" s="46">
        <f t="shared" si="1"/>
        <v>82.638000000000005</v>
      </c>
      <c r="Y11" s="46">
        <f t="shared" si="1"/>
        <v>61.781700000000001</v>
      </c>
      <c r="Z11" s="46">
        <f t="shared" si="1"/>
        <v>54.327599999999997</v>
      </c>
      <c r="AA11" s="46">
        <f t="shared" si="1"/>
        <v>46.338999999999999</v>
      </c>
      <c r="AB11" s="46">
        <f t="shared" si="1"/>
        <v>42.782899999999998</v>
      </c>
      <c r="AC11" s="46">
        <f t="shared" si="1"/>
        <v>82.638000000000005</v>
      </c>
      <c r="AD11" s="46">
        <f t="shared" si="1"/>
        <v>15.8658</v>
      </c>
      <c r="AE11" s="46">
        <f t="shared" si="1"/>
        <v>192.143</v>
      </c>
      <c r="AF11" s="46">
        <f t="shared" si="1"/>
        <v>89.929000000000002</v>
      </c>
      <c r="AG11" s="46">
        <f t="shared" si="1"/>
        <v>90.563299999999998</v>
      </c>
      <c r="AH11" s="46">
        <f t="shared" si="1"/>
        <v>21.8232</v>
      </c>
      <c r="AI11" s="46">
        <f t="shared" si="1"/>
        <v>30.152699999999999</v>
      </c>
      <c r="AJ11" s="46">
        <f t="shared" si="1"/>
        <v>65.260599999999997</v>
      </c>
      <c r="AK11" s="46">
        <f t="shared" si="1"/>
        <v>63.827599999999997</v>
      </c>
      <c r="AL11" s="46">
        <f t="shared" si="1"/>
        <v>33.9756</v>
      </c>
      <c r="AM11" s="46">
        <f t="shared" si="1"/>
        <v>37.721600000000002</v>
      </c>
      <c r="AN11" s="46">
        <f t="shared" si="1"/>
        <v>28.950700000000001</v>
      </c>
      <c r="AO11" s="46">
        <f t="shared" si="1"/>
        <v>82.638000000000005</v>
      </c>
      <c r="AP11" s="46">
        <f t="shared" si="1"/>
        <v>110.72</v>
      </c>
      <c r="AQ11" s="46">
        <f t="shared" si="1"/>
        <v>115.751</v>
      </c>
      <c r="AR11" s="46">
        <f t="shared" si="1"/>
        <v>67.526399999999995</v>
      </c>
      <c r="AS11" s="46">
        <f t="shared" si="1"/>
        <v>65.053899999999999</v>
      </c>
      <c r="BB11" s="49"/>
    </row>
    <row r="12" spans="1:45" s="30" customFormat="1" ht="14.45" customHeight="1">
      <c r="A12" s="32" t="s">
        <v>248</v>
      </c>
      <c r="B12" s="33" t="s">
        <v>252</v>
      </c>
      <c r="C12" s="33" t="s">
        <v>267</v>
      </c>
      <c r="E12" s="31" t="s">
        <v>30</v>
      </c>
      <c r="F12" s="39">
        <v>2010</v>
      </c>
      <c r="G12" s="30" t="s">
        <v>102</v>
      </c>
      <c r="H12" s="30">
        <f t="shared" si="0"/>
        <v>39.163899999999998</v>
      </c>
      <c r="I12" s="30" t="s">
        <v>275</v>
      </c>
      <c r="J12" s="30" t="s">
        <v>275</v>
      </c>
      <c r="K12" s="30" t="s">
        <v>275</v>
      </c>
      <c r="L12" s="30" t="s">
        <v>275</v>
      </c>
      <c r="M12" s="30" t="s">
        <v>275</v>
      </c>
      <c r="N12" s="30" t="s">
        <v>275</v>
      </c>
      <c r="O12" s="30" t="s">
        <v>275</v>
      </c>
      <c r="P12" s="30">
        <v>41.374499999999998</v>
      </c>
      <c r="Q12" s="30" t="s">
        <v>275</v>
      </c>
      <c r="R12" s="30">
        <v>10.2624</v>
      </c>
      <c r="S12" s="30" t="s">
        <v>275</v>
      </c>
      <c r="T12" s="30" t="s">
        <v>275</v>
      </c>
      <c r="U12" s="30" t="s">
        <v>275</v>
      </c>
      <c r="V12" s="30" t="s">
        <v>275</v>
      </c>
      <c r="W12" s="30" t="s">
        <v>275</v>
      </c>
      <c r="X12" s="30" t="s">
        <v>275</v>
      </c>
      <c r="Y12" s="30" t="s">
        <v>275</v>
      </c>
      <c r="Z12" s="30" t="s">
        <v>275</v>
      </c>
      <c r="AA12" s="30">
        <v>45.081299999999999</v>
      </c>
      <c r="AB12" s="30" t="s">
        <v>275</v>
      </c>
      <c r="AC12" s="30" t="s">
        <v>275</v>
      </c>
      <c r="AD12" s="30" t="s">
        <v>275</v>
      </c>
      <c r="AE12" s="30" t="s">
        <v>275</v>
      </c>
      <c r="AF12" s="30" t="s">
        <v>275</v>
      </c>
      <c r="AG12" s="30" t="s">
        <v>275</v>
      </c>
      <c r="AH12" s="30" t="s">
        <v>275</v>
      </c>
      <c r="AI12" s="30" t="s">
        <v>275</v>
      </c>
      <c r="AJ12" s="30" t="s">
        <v>275</v>
      </c>
      <c r="AK12" s="30" t="s">
        <v>275</v>
      </c>
      <c r="AL12" s="30" t="s">
        <v>275</v>
      </c>
      <c r="AM12" s="30" t="s">
        <v>275</v>
      </c>
      <c r="AN12" s="30" t="s">
        <v>275</v>
      </c>
      <c r="AO12" s="30" t="s">
        <v>275</v>
      </c>
      <c r="AP12" s="30" t="s">
        <v>275</v>
      </c>
      <c r="AQ12" s="30" t="s">
        <v>275</v>
      </c>
      <c r="AR12" s="30" t="s">
        <v>275</v>
      </c>
      <c r="AS12" s="30">
        <v>59.937399999999997</v>
      </c>
    </row>
    <row r="13" spans="1:27 45:45" s="30" customFormat="1" ht="14.45" customHeight="1">
      <c r="A13" s="32" t="s">
        <v>248</v>
      </c>
      <c r="B13" s="33" t="s">
        <v>252</v>
      </c>
      <c r="C13" s="33" t="s">
        <v>267</v>
      </c>
      <c r="E13" s="31" t="s">
        <v>30</v>
      </c>
      <c r="F13" s="39">
        <v>2020</v>
      </c>
      <c r="G13" s="30" t="s">
        <v>102</v>
      </c>
      <c r="H13" s="30">
        <f t="shared" si="0"/>
        <v>39.163899999999998</v>
      </c>
      <c r="P13" s="30">
        <f>P12</f>
        <v>41.374499999999998</v>
      </c>
      <c r="R13" s="30">
        <f>R12</f>
        <v>10.2624</v>
      </c>
      <c r="AA13" s="30">
        <f>AA12</f>
        <v>45.081299999999999</v>
      </c>
      <c r="AS13" s="30">
        <f>AS12</f>
        <v>59.937399999999997</v>
      </c>
    </row>
    <row r="14" spans="1:27 45:54" s="30" customFormat="1" ht="14.45" customHeight="1">
      <c r="A14" s="32" t="s">
        <v>248</v>
      </c>
      <c r="B14" s="33" t="s">
        <v>252</v>
      </c>
      <c r="C14" s="33" t="s">
        <v>267</v>
      </c>
      <c r="E14" s="31" t="s">
        <v>30</v>
      </c>
      <c r="F14" s="39">
        <v>2025</v>
      </c>
      <c r="G14" s="30" t="s">
        <v>102</v>
      </c>
      <c r="H14" s="30">
        <f t="shared" si="0"/>
        <v>39.163899999999998</v>
      </c>
      <c r="P14" s="30">
        <f t="shared" si="3" ref="P14:R18">P13</f>
        <v>41.374499999999998</v>
      </c>
      <c r="R14" s="30">
        <f t="shared" si="3"/>
        <v>10.2624</v>
      </c>
      <c r="AA14" s="30">
        <f t="shared" si="4" ref="AA14:AA18">AA13</f>
        <v>45.081299999999999</v>
      </c>
      <c r="AS14" s="30">
        <f t="shared" si="5" ref="AS14:AS18">AS13</f>
        <v>59.937399999999997</v>
      </c>
      <c r="BB14" s="43"/>
    </row>
    <row r="15" spans="1:27 45:45" s="30" customFormat="1" ht="14.45" customHeight="1">
      <c r="A15" s="32" t="s">
        <v>248</v>
      </c>
      <c r="B15" s="33" t="s">
        <v>252</v>
      </c>
      <c r="C15" s="33" t="s">
        <v>267</v>
      </c>
      <c r="E15" s="31" t="s">
        <v>30</v>
      </c>
      <c r="F15" s="39">
        <v>2030</v>
      </c>
      <c r="G15" s="30" t="s">
        <v>102</v>
      </c>
      <c r="H15" s="30">
        <f t="shared" si="0"/>
        <v>39.163899999999998</v>
      </c>
      <c r="P15" s="30">
        <f t="shared" si="3"/>
        <v>41.374499999999998</v>
      </c>
      <c r="R15" s="30">
        <f t="shared" si="3"/>
        <v>10.2624</v>
      </c>
      <c r="AA15" s="30">
        <f t="shared" si="4"/>
        <v>45.081299999999999</v>
      </c>
      <c r="AS15" s="30">
        <f t="shared" si="5"/>
        <v>59.937399999999997</v>
      </c>
    </row>
    <row r="16" spans="1:27 45:45" s="30" customFormat="1" ht="14.45" customHeight="1">
      <c r="A16" s="32" t="s">
        <v>248</v>
      </c>
      <c r="B16" s="33" t="s">
        <v>252</v>
      </c>
      <c r="C16" s="33" t="s">
        <v>267</v>
      </c>
      <c r="E16" s="31" t="s">
        <v>30</v>
      </c>
      <c r="F16" s="39">
        <v>2035</v>
      </c>
      <c r="G16" s="30" t="s">
        <v>102</v>
      </c>
      <c r="H16" s="30">
        <f t="shared" si="0"/>
        <v>39.163899999999998</v>
      </c>
      <c r="P16" s="30">
        <f t="shared" si="3"/>
        <v>41.374499999999998</v>
      </c>
      <c r="R16" s="30">
        <f t="shared" si="3"/>
        <v>10.2624</v>
      </c>
      <c r="AA16" s="30">
        <f t="shared" si="4"/>
        <v>45.081299999999999</v>
      </c>
      <c r="AS16" s="30">
        <f t="shared" si="5"/>
        <v>59.937399999999997</v>
      </c>
    </row>
    <row r="17" spans="1:27 45:45" s="30" customFormat="1" ht="14.45" customHeight="1">
      <c r="A17" s="32" t="s">
        <v>248</v>
      </c>
      <c r="B17" s="33" t="s">
        <v>252</v>
      </c>
      <c r="C17" s="33" t="s">
        <v>267</v>
      </c>
      <c r="E17" s="31" t="s">
        <v>30</v>
      </c>
      <c r="F17" s="39">
        <v>2040</v>
      </c>
      <c r="G17" s="30" t="s">
        <v>102</v>
      </c>
      <c r="H17" s="30">
        <f t="shared" si="0"/>
        <v>39.163899999999998</v>
      </c>
      <c r="P17" s="30">
        <f t="shared" si="3"/>
        <v>41.374499999999998</v>
      </c>
      <c r="R17" s="30">
        <f t="shared" si="3"/>
        <v>10.2624</v>
      </c>
      <c r="AA17" s="30">
        <f t="shared" si="4"/>
        <v>45.081299999999999</v>
      </c>
      <c r="AS17" s="30">
        <f t="shared" si="5"/>
        <v>59.937399999999997</v>
      </c>
    </row>
    <row r="18" spans="1:27 45:45" s="46" customFormat="1" ht="14.45" customHeight="1">
      <c r="A18" s="51" t="s">
        <v>248</v>
      </c>
      <c r="B18" s="45" t="s">
        <v>252</v>
      </c>
      <c r="C18" s="45" t="s">
        <v>267</v>
      </c>
      <c r="E18" s="47" t="s">
        <v>30</v>
      </c>
      <c r="F18" s="48">
        <v>2050</v>
      </c>
      <c r="G18" s="46" t="s">
        <v>102</v>
      </c>
      <c r="H18" s="46">
        <f t="shared" si="0"/>
        <v>39.163899999999998</v>
      </c>
      <c r="P18" s="46">
        <f t="shared" si="3"/>
        <v>41.374499999999998</v>
      </c>
      <c r="R18" s="46">
        <f t="shared" si="3"/>
        <v>10.2624</v>
      </c>
      <c r="AA18" s="46">
        <f t="shared" si="4"/>
        <v>45.081299999999999</v>
      </c>
      <c r="AS18" s="46">
        <f t="shared" si="5"/>
        <v>59.937399999999997</v>
      </c>
    </row>
    <row r="19" spans="1:45" s="30" customFormat="1" ht="14.45" customHeight="1">
      <c r="A19" s="32" t="s">
        <v>248</v>
      </c>
      <c r="B19" s="33" t="s">
        <v>252</v>
      </c>
      <c r="C19" s="33" t="s">
        <v>268</v>
      </c>
      <c r="E19" s="31" t="s">
        <v>30</v>
      </c>
      <c r="F19" s="39">
        <v>2010</v>
      </c>
      <c r="G19" s="30" t="s">
        <v>104</v>
      </c>
      <c r="H19" s="30">
        <f t="shared" si="0"/>
        <v>148.262</v>
      </c>
      <c r="I19" s="30" t="s">
        <v>275</v>
      </c>
      <c r="J19" s="30" t="s">
        <v>275</v>
      </c>
      <c r="K19" s="30" t="s">
        <v>275</v>
      </c>
      <c r="L19" s="30" t="s">
        <v>275</v>
      </c>
      <c r="M19" s="30" t="s">
        <v>275</v>
      </c>
      <c r="N19" s="30" t="s">
        <v>275</v>
      </c>
      <c r="O19" s="30" t="s">
        <v>275</v>
      </c>
      <c r="P19" s="30" t="s">
        <v>275</v>
      </c>
      <c r="Q19" s="30" t="s">
        <v>275</v>
      </c>
      <c r="R19" s="30" t="s">
        <v>275</v>
      </c>
      <c r="S19" s="30" t="s">
        <v>275</v>
      </c>
      <c r="T19" s="30" t="s">
        <v>275</v>
      </c>
      <c r="U19" s="30" t="s">
        <v>275</v>
      </c>
      <c r="V19" s="30" t="s">
        <v>275</v>
      </c>
      <c r="W19" s="30" t="s">
        <v>275</v>
      </c>
      <c r="X19" s="30" t="s">
        <v>275</v>
      </c>
      <c r="Y19" s="30" t="s">
        <v>275</v>
      </c>
      <c r="Z19" s="30" t="s">
        <v>275</v>
      </c>
      <c r="AA19" s="30" t="s">
        <v>275</v>
      </c>
      <c r="AB19" s="30" t="s">
        <v>275</v>
      </c>
      <c r="AC19" s="30" t="s">
        <v>275</v>
      </c>
      <c r="AD19" s="30" t="s">
        <v>275</v>
      </c>
      <c r="AE19" s="30" t="s">
        <v>275</v>
      </c>
      <c r="AF19" s="30" t="s">
        <v>275</v>
      </c>
      <c r="AG19" s="30" t="s">
        <v>275</v>
      </c>
      <c r="AH19" s="30" t="s">
        <v>275</v>
      </c>
      <c r="AI19" s="30" t="s">
        <v>275</v>
      </c>
      <c r="AJ19" s="30" t="s">
        <v>275</v>
      </c>
      <c r="AK19" s="30" t="s">
        <v>275</v>
      </c>
      <c r="AL19" s="30" t="s">
        <v>275</v>
      </c>
      <c r="AM19" s="30" t="s">
        <v>275</v>
      </c>
      <c r="AN19" s="30" t="s">
        <v>275</v>
      </c>
      <c r="AO19" s="30" t="s">
        <v>275</v>
      </c>
      <c r="AP19" s="30" t="s">
        <v>275</v>
      </c>
      <c r="AQ19" s="30" t="s">
        <v>275</v>
      </c>
      <c r="AR19" s="30" t="s">
        <v>275</v>
      </c>
      <c r="AS19" s="30">
        <v>148.262</v>
      </c>
    </row>
    <row r="20" spans="1:8 45:45" s="30" customFormat="1" ht="14.45" customHeight="1">
      <c r="A20" s="32" t="s">
        <v>248</v>
      </c>
      <c r="B20" s="33" t="s">
        <v>252</v>
      </c>
      <c r="C20" s="33" t="s">
        <v>268</v>
      </c>
      <c r="E20" s="31" t="s">
        <v>30</v>
      </c>
      <c r="F20" s="39">
        <v>2020</v>
      </c>
      <c r="G20" s="30" t="s">
        <v>104</v>
      </c>
      <c r="H20" s="30">
        <f t="shared" si="0"/>
        <v>148.262</v>
      </c>
      <c r="AS20" s="30">
        <v>148.262</v>
      </c>
    </row>
    <row r="21" spans="1:8 45:45" s="30" customFormat="1" ht="14.45" customHeight="1">
      <c r="A21" s="32" t="s">
        <v>248</v>
      </c>
      <c r="B21" s="33" t="s">
        <v>252</v>
      </c>
      <c r="C21" s="33" t="s">
        <v>268</v>
      </c>
      <c r="E21" s="31" t="s">
        <v>30</v>
      </c>
      <c r="F21" s="39">
        <v>2025</v>
      </c>
      <c r="G21" s="30" t="s">
        <v>104</v>
      </c>
      <c r="H21" s="30">
        <f t="shared" si="0"/>
        <v>148.262</v>
      </c>
      <c r="AS21" s="30">
        <v>148.262</v>
      </c>
    </row>
    <row r="22" spans="1:8 45:45" s="30" customFormat="1" ht="14.45" customHeight="1">
      <c r="A22" s="32" t="s">
        <v>248</v>
      </c>
      <c r="B22" s="33" t="s">
        <v>252</v>
      </c>
      <c r="C22" s="33" t="s">
        <v>268</v>
      </c>
      <c r="E22" s="31" t="s">
        <v>30</v>
      </c>
      <c r="F22" s="39">
        <v>2030</v>
      </c>
      <c r="G22" s="30" t="s">
        <v>104</v>
      </c>
      <c r="H22" s="30">
        <f t="shared" si="0"/>
        <v>148.262</v>
      </c>
      <c r="AS22" s="30">
        <v>148.262</v>
      </c>
    </row>
    <row r="23" spans="1:8 45:45" s="30" customFormat="1" ht="14.45" customHeight="1">
      <c r="A23" s="32" t="s">
        <v>248</v>
      </c>
      <c r="B23" s="33" t="s">
        <v>252</v>
      </c>
      <c r="C23" s="33" t="s">
        <v>268</v>
      </c>
      <c r="E23" s="31" t="s">
        <v>30</v>
      </c>
      <c r="F23" s="39">
        <v>2035</v>
      </c>
      <c r="G23" s="30" t="s">
        <v>104</v>
      </c>
      <c r="H23" s="30">
        <f t="shared" si="0"/>
        <v>148.262</v>
      </c>
      <c r="AS23" s="30">
        <v>148.262</v>
      </c>
    </row>
    <row r="24" spans="1:8 45:45" s="30" customFormat="1" ht="14.45" customHeight="1">
      <c r="A24" s="32" t="s">
        <v>248</v>
      </c>
      <c r="B24" s="33" t="s">
        <v>252</v>
      </c>
      <c r="C24" s="33" t="s">
        <v>268</v>
      </c>
      <c r="E24" s="31" t="s">
        <v>30</v>
      </c>
      <c r="F24" s="39">
        <v>2040</v>
      </c>
      <c r="G24" s="30" t="s">
        <v>104</v>
      </c>
      <c r="H24" s="30">
        <f t="shared" si="0"/>
        <v>148.262</v>
      </c>
      <c r="AS24" s="30">
        <v>148.262</v>
      </c>
    </row>
    <row r="25" spans="1:8 45:45" s="46" customFormat="1" ht="14.45" customHeight="1">
      <c r="A25" s="51" t="s">
        <v>248</v>
      </c>
      <c r="B25" s="45" t="s">
        <v>252</v>
      </c>
      <c r="C25" s="45" t="s">
        <v>268</v>
      </c>
      <c r="E25" s="47" t="s">
        <v>30</v>
      </c>
      <c r="F25" s="48">
        <v>2050</v>
      </c>
      <c r="G25" s="46" t="s">
        <v>104</v>
      </c>
      <c r="H25" s="46">
        <f t="shared" si="0"/>
        <v>148.262</v>
      </c>
      <c r="AS25" s="46">
        <v>148.262</v>
      </c>
    </row>
    <row r="26" spans="1:45" s="27" customFormat="1" ht="14.45" customHeight="1">
      <c r="A26" s="29" t="s">
        <v>248</v>
      </c>
      <c r="B26" s="29" t="s">
        <v>251</v>
      </c>
      <c r="C26" s="29" t="s">
        <v>269</v>
      </c>
      <c r="E26" s="28" t="s">
        <v>30</v>
      </c>
      <c r="F26" s="40">
        <v>2010</v>
      </c>
      <c r="G26" s="27" t="s">
        <v>98</v>
      </c>
      <c r="H26" s="27">
        <f t="shared" si="0"/>
        <v>16.318000000000001</v>
      </c>
      <c r="I26" s="27" t="s">
        <v>275</v>
      </c>
      <c r="J26" s="27" t="s">
        <v>275</v>
      </c>
      <c r="K26" s="27" t="s">
        <v>275</v>
      </c>
      <c r="L26" s="27" t="s">
        <v>275</v>
      </c>
      <c r="M26" s="27" t="s">
        <v>275</v>
      </c>
      <c r="N26" s="27" t="s">
        <v>275</v>
      </c>
      <c r="O26" s="27" t="s">
        <v>275</v>
      </c>
      <c r="P26" s="27" t="s">
        <v>275</v>
      </c>
      <c r="Q26" s="27" t="s">
        <v>275</v>
      </c>
      <c r="R26" s="27" t="s">
        <v>275</v>
      </c>
      <c r="S26" s="27" t="s">
        <v>275</v>
      </c>
      <c r="T26" s="27" t="s">
        <v>275</v>
      </c>
      <c r="U26" s="27" t="s">
        <v>275</v>
      </c>
      <c r="V26" s="27" t="s">
        <v>275</v>
      </c>
      <c r="W26" s="27" t="s">
        <v>275</v>
      </c>
      <c r="X26" s="27" t="s">
        <v>275</v>
      </c>
      <c r="Y26" s="27" t="s">
        <v>275</v>
      </c>
      <c r="Z26" s="27" t="s">
        <v>275</v>
      </c>
      <c r="AA26" s="27" t="s">
        <v>275</v>
      </c>
      <c r="AB26" s="27" t="s">
        <v>275</v>
      </c>
      <c r="AC26" s="27" t="s">
        <v>275</v>
      </c>
      <c r="AD26" s="27" t="s">
        <v>275</v>
      </c>
      <c r="AE26" s="27" t="s">
        <v>275</v>
      </c>
      <c r="AF26" s="27" t="s">
        <v>275</v>
      </c>
      <c r="AG26" s="27" t="s">
        <v>275</v>
      </c>
      <c r="AH26" s="27" t="s">
        <v>275</v>
      </c>
      <c r="AI26" s="27" t="s">
        <v>275</v>
      </c>
      <c r="AJ26" s="27" t="s">
        <v>275</v>
      </c>
      <c r="AK26" s="27" t="s">
        <v>275</v>
      </c>
      <c r="AL26" s="27" t="s">
        <v>275</v>
      </c>
      <c r="AM26" s="27" t="s">
        <v>275</v>
      </c>
      <c r="AN26" s="27" t="s">
        <v>275</v>
      </c>
      <c r="AO26" s="27" t="s">
        <v>275</v>
      </c>
      <c r="AP26" s="27">
        <v>16.318000000000001</v>
      </c>
      <c r="AQ26" s="27" t="s">
        <v>275</v>
      </c>
      <c r="AR26" s="27" t="s">
        <v>275</v>
      </c>
      <c r="AS26" s="27" t="s">
        <v>275</v>
      </c>
    </row>
    <row r="27" spans="1:8 42:42" s="27" customFormat="1" ht="14.45" customHeight="1">
      <c r="A27" s="29" t="s">
        <v>248</v>
      </c>
      <c r="B27" s="29" t="s">
        <v>251</v>
      </c>
      <c r="C27" s="29" t="s">
        <v>269</v>
      </c>
      <c r="E27" s="28" t="s">
        <v>30</v>
      </c>
      <c r="F27" s="40">
        <v>2020</v>
      </c>
      <c r="G27" s="27" t="s">
        <v>98</v>
      </c>
      <c r="H27" s="27">
        <f t="shared" si="0"/>
        <v>16.318000000000001</v>
      </c>
      <c r="AP27" s="27">
        <v>16.318000000000001</v>
      </c>
    </row>
    <row r="28" spans="1:8 42:42" s="27" customFormat="1" ht="14.45" customHeight="1">
      <c r="A28" s="29" t="s">
        <v>248</v>
      </c>
      <c r="B28" s="29" t="s">
        <v>251</v>
      </c>
      <c r="C28" s="29" t="s">
        <v>269</v>
      </c>
      <c r="E28" s="28" t="s">
        <v>30</v>
      </c>
      <c r="F28" s="40">
        <v>2025</v>
      </c>
      <c r="G28" s="27" t="s">
        <v>98</v>
      </c>
      <c r="H28" s="27">
        <f t="shared" si="0"/>
        <v>16.318000000000001</v>
      </c>
      <c r="AP28" s="27">
        <v>16.318000000000001</v>
      </c>
    </row>
    <row r="29" spans="1:8 42:42" s="27" customFormat="1" ht="14.45" customHeight="1">
      <c r="A29" s="29" t="s">
        <v>248</v>
      </c>
      <c r="B29" s="29" t="s">
        <v>251</v>
      </c>
      <c r="C29" s="29" t="s">
        <v>269</v>
      </c>
      <c r="E29" s="28" t="s">
        <v>30</v>
      </c>
      <c r="F29" s="40">
        <v>2030</v>
      </c>
      <c r="G29" s="27" t="s">
        <v>98</v>
      </c>
      <c r="H29" s="27">
        <f t="shared" si="0"/>
        <v>16.318000000000001</v>
      </c>
      <c r="AP29" s="27">
        <v>16.318000000000001</v>
      </c>
    </row>
    <row r="30" spans="1:8 42:42" s="27" customFormat="1" ht="14.45" customHeight="1">
      <c r="A30" s="29" t="s">
        <v>248</v>
      </c>
      <c r="B30" s="29" t="s">
        <v>251</v>
      </c>
      <c r="C30" s="29" t="s">
        <v>269</v>
      </c>
      <c r="E30" s="28" t="s">
        <v>30</v>
      </c>
      <c r="F30" s="40">
        <v>2035</v>
      </c>
      <c r="G30" s="27" t="s">
        <v>98</v>
      </c>
      <c r="H30" s="27">
        <f t="shared" si="0"/>
        <v>16.318000000000001</v>
      </c>
      <c r="AP30" s="27">
        <v>16.318000000000001</v>
      </c>
    </row>
    <row r="31" spans="1:8 42:42" s="27" customFormat="1" ht="14.45" customHeight="1">
      <c r="A31" s="29" t="s">
        <v>248</v>
      </c>
      <c r="B31" s="29" t="s">
        <v>251</v>
      </c>
      <c r="C31" s="29" t="s">
        <v>269</v>
      </c>
      <c r="E31" s="28" t="s">
        <v>30</v>
      </c>
      <c r="F31" s="40">
        <v>2040</v>
      </c>
      <c r="G31" s="27" t="s">
        <v>98</v>
      </c>
      <c r="H31" s="27">
        <f t="shared" si="0"/>
        <v>16.318000000000001</v>
      </c>
      <c r="AP31" s="27">
        <v>16.318000000000001</v>
      </c>
    </row>
    <row r="32" spans="1:8 42:42" s="53" customFormat="1" ht="14.45" customHeight="1">
      <c r="A32" s="52" t="s">
        <v>248</v>
      </c>
      <c r="B32" s="52" t="s">
        <v>251</v>
      </c>
      <c r="C32" s="52" t="s">
        <v>269</v>
      </c>
      <c r="E32" s="54" t="s">
        <v>30</v>
      </c>
      <c r="F32" s="55">
        <v>2050</v>
      </c>
      <c r="G32" s="53" t="s">
        <v>98</v>
      </c>
      <c r="H32" s="53">
        <f t="shared" si="0"/>
        <v>16.318000000000001</v>
      </c>
      <c r="AP32" s="53">
        <v>16.318000000000001</v>
      </c>
    </row>
    <row r="33" spans="1:45" s="27" customFormat="1" ht="14.45" customHeight="1">
      <c r="A33" s="29" t="s">
        <v>248</v>
      </c>
      <c r="B33" s="29" t="s">
        <v>251</v>
      </c>
      <c r="C33" s="29" t="s">
        <v>270</v>
      </c>
      <c r="E33" s="28" t="s">
        <v>30</v>
      </c>
      <c r="F33" s="40">
        <v>2010</v>
      </c>
      <c r="G33" s="27" t="s">
        <v>147</v>
      </c>
      <c r="H33" s="27">
        <f t="shared" si="0"/>
        <v>66.756156756756766</v>
      </c>
      <c r="I33" s="27">
        <v>90.563299999999998</v>
      </c>
      <c r="J33" s="27">
        <v>137.91999999999999</v>
      </c>
      <c r="K33" s="27">
        <v>82.638000000000005</v>
      </c>
      <c r="L33" s="27">
        <v>61.850499999999997</v>
      </c>
      <c r="M33" s="27">
        <v>27.199200000000001</v>
      </c>
      <c r="N33" s="27">
        <v>55.678800000000003</v>
      </c>
      <c r="O33" s="27">
        <v>43.694899999999997</v>
      </c>
      <c r="P33" s="27">
        <v>50.453299999999999</v>
      </c>
      <c r="Q33" s="27">
        <v>80.075500000000005</v>
      </c>
      <c r="R33" s="27">
        <v>37.301299999999998</v>
      </c>
      <c r="S33" s="27">
        <v>45.694899999999997</v>
      </c>
      <c r="T33" s="27">
        <v>90.563299999999998</v>
      </c>
      <c r="U33" s="27">
        <v>79.589699999999993</v>
      </c>
      <c r="V33" s="27">
        <v>59.858400000000003</v>
      </c>
      <c r="W33" s="27">
        <v>44.487099999999998</v>
      </c>
      <c r="X33" s="27">
        <v>82.638000000000005</v>
      </c>
      <c r="Y33" s="27">
        <v>61.781700000000001</v>
      </c>
      <c r="Z33" s="27">
        <v>54.327599999999997</v>
      </c>
      <c r="AA33" s="27">
        <v>46.338999999999999</v>
      </c>
      <c r="AB33" s="27">
        <v>42.782899999999998</v>
      </c>
      <c r="AC33" s="27">
        <v>82.638000000000005</v>
      </c>
      <c r="AD33" s="27">
        <v>15.8658</v>
      </c>
      <c r="AE33" s="27">
        <v>192.143</v>
      </c>
      <c r="AF33" s="27">
        <v>89.929000000000002</v>
      </c>
      <c r="AG33" s="27">
        <v>90.563299999999998</v>
      </c>
      <c r="AH33" s="27">
        <v>21.8232</v>
      </c>
      <c r="AI33" s="27">
        <v>30.152699999999999</v>
      </c>
      <c r="AJ33" s="27">
        <v>65.260599999999997</v>
      </c>
      <c r="AK33" s="27">
        <v>63.827599999999997</v>
      </c>
      <c r="AL33" s="27">
        <v>33.9756</v>
      </c>
      <c r="AM33" s="27">
        <v>37.721600000000002</v>
      </c>
      <c r="AN33" s="27">
        <v>28.950700000000001</v>
      </c>
      <c r="AO33" s="27">
        <v>82.638000000000005</v>
      </c>
      <c r="AP33" s="27">
        <v>110.72</v>
      </c>
      <c r="AQ33" s="27">
        <v>115.751</v>
      </c>
      <c r="AR33" s="27">
        <v>67.526399999999995</v>
      </c>
      <c r="AS33" s="27">
        <v>65.053899999999999</v>
      </c>
    </row>
    <row r="34" spans="1:45" s="27" customFormat="1" ht="14.45" customHeight="1">
      <c r="A34" s="29" t="s">
        <v>248</v>
      </c>
      <c r="B34" s="29" t="s">
        <v>251</v>
      </c>
      <c r="C34" s="29" t="s">
        <v>270</v>
      </c>
      <c r="E34" s="28" t="s">
        <v>30</v>
      </c>
      <c r="F34" s="40">
        <v>2020</v>
      </c>
      <c r="G34" s="27" t="s">
        <v>147</v>
      </c>
      <c r="H34" s="27">
        <f t="shared" si="0"/>
        <v>66.756156756756766</v>
      </c>
      <c r="I34" s="27">
        <v>90.563299999999998</v>
      </c>
      <c r="J34" s="27">
        <v>137.91999999999999</v>
      </c>
      <c r="K34" s="27">
        <v>82.638000000000005</v>
      </c>
      <c r="L34" s="27">
        <v>61.850499999999997</v>
      </c>
      <c r="M34" s="27">
        <v>27.199200000000001</v>
      </c>
      <c r="N34" s="27">
        <v>55.678800000000003</v>
      </c>
      <c r="O34" s="27">
        <v>43.694899999999997</v>
      </c>
      <c r="P34" s="27">
        <v>50.453299999999999</v>
      </c>
      <c r="Q34" s="27">
        <v>80.075500000000005</v>
      </c>
      <c r="R34" s="27">
        <v>37.301299999999998</v>
      </c>
      <c r="S34" s="27">
        <v>45.694899999999997</v>
      </c>
      <c r="T34" s="27">
        <v>90.563299999999998</v>
      </c>
      <c r="U34" s="27">
        <v>79.589699999999993</v>
      </c>
      <c r="V34" s="27">
        <v>59.858400000000003</v>
      </c>
      <c r="W34" s="27">
        <v>44.487099999999998</v>
      </c>
      <c r="X34" s="27">
        <v>82.638000000000005</v>
      </c>
      <c r="Y34" s="27">
        <v>61.781700000000001</v>
      </c>
      <c r="Z34" s="27">
        <v>54.327599999999997</v>
      </c>
      <c r="AA34" s="27">
        <v>46.338999999999999</v>
      </c>
      <c r="AB34" s="27">
        <v>42.782899999999998</v>
      </c>
      <c r="AC34" s="27">
        <v>82.638000000000005</v>
      </c>
      <c r="AD34" s="27">
        <v>15.8658</v>
      </c>
      <c r="AE34" s="27">
        <v>192.143</v>
      </c>
      <c r="AF34" s="27">
        <v>89.929000000000002</v>
      </c>
      <c r="AG34" s="27">
        <v>90.563299999999998</v>
      </c>
      <c r="AH34" s="27">
        <v>21.8232</v>
      </c>
      <c r="AI34" s="27">
        <v>30.152699999999999</v>
      </c>
      <c r="AJ34" s="27">
        <v>65.260599999999997</v>
      </c>
      <c r="AK34" s="27">
        <v>63.827599999999997</v>
      </c>
      <c r="AL34" s="27">
        <v>33.9756</v>
      </c>
      <c r="AM34" s="27">
        <v>37.721600000000002</v>
      </c>
      <c r="AN34" s="27">
        <v>28.950700000000001</v>
      </c>
      <c r="AO34" s="27">
        <v>82.638000000000005</v>
      </c>
      <c r="AP34" s="27">
        <v>110.72</v>
      </c>
      <c r="AQ34" s="27">
        <v>115.751</v>
      </c>
      <c r="AR34" s="27">
        <v>67.526399999999995</v>
      </c>
      <c r="AS34" s="27">
        <v>65.053899999999999</v>
      </c>
    </row>
    <row r="35" spans="1:45" s="27" customFormat="1" ht="14.45" customHeight="1">
      <c r="A35" s="29" t="s">
        <v>248</v>
      </c>
      <c r="B35" s="29" t="s">
        <v>251</v>
      </c>
      <c r="C35" s="29" t="s">
        <v>270</v>
      </c>
      <c r="E35" s="28" t="s">
        <v>30</v>
      </c>
      <c r="F35" s="40">
        <v>2025</v>
      </c>
      <c r="G35" s="27" t="s">
        <v>147</v>
      </c>
      <c r="H35" s="27">
        <f t="shared" si="0"/>
        <v>66.756156756756766</v>
      </c>
      <c r="I35" s="27">
        <v>90.563299999999998</v>
      </c>
      <c r="J35" s="27">
        <v>137.91999999999999</v>
      </c>
      <c r="K35" s="27">
        <v>82.638000000000005</v>
      </c>
      <c r="L35" s="27">
        <v>61.850499999999997</v>
      </c>
      <c r="M35" s="27">
        <v>27.199200000000001</v>
      </c>
      <c r="N35" s="27">
        <v>55.678800000000003</v>
      </c>
      <c r="O35" s="27">
        <v>43.694899999999997</v>
      </c>
      <c r="P35" s="27">
        <v>50.453299999999999</v>
      </c>
      <c r="Q35" s="27">
        <v>80.075500000000005</v>
      </c>
      <c r="R35" s="27">
        <v>37.301299999999998</v>
      </c>
      <c r="S35" s="27">
        <v>45.694899999999997</v>
      </c>
      <c r="T35" s="27">
        <v>90.563299999999998</v>
      </c>
      <c r="U35" s="27">
        <v>79.589699999999993</v>
      </c>
      <c r="V35" s="27">
        <v>59.858400000000003</v>
      </c>
      <c r="W35" s="27">
        <v>44.487099999999998</v>
      </c>
      <c r="X35" s="27">
        <v>82.638000000000005</v>
      </c>
      <c r="Y35" s="27">
        <v>61.781700000000001</v>
      </c>
      <c r="Z35" s="27">
        <v>54.327599999999997</v>
      </c>
      <c r="AA35" s="27">
        <v>46.338999999999999</v>
      </c>
      <c r="AB35" s="27">
        <v>42.782899999999998</v>
      </c>
      <c r="AC35" s="27">
        <v>82.638000000000005</v>
      </c>
      <c r="AD35" s="27">
        <v>15.8658</v>
      </c>
      <c r="AE35" s="27">
        <v>192.143</v>
      </c>
      <c r="AF35" s="27">
        <v>89.929000000000002</v>
      </c>
      <c r="AG35" s="27">
        <v>90.563299999999998</v>
      </c>
      <c r="AH35" s="27">
        <v>21.8232</v>
      </c>
      <c r="AI35" s="27">
        <v>30.152699999999999</v>
      </c>
      <c r="AJ35" s="27">
        <v>65.260599999999997</v>
      </c>
      <c r="AK35" s="27">
        <v>63.827599999999997</v>
      </c>
      <c r="AL35" s="27">
        <v>33.9756</v>
      </c>
      <c r="AM35" s="27">
        <v>37.721600000000002</v>
      </c>
      <c r="AN35" s="27">
        <v>28.950700000000001</v>
      </c>
      <c r="AO35" s="27">
        <v>82.638000000000005</v>
      </c>
      <c r="AP35" s="27">
        <v>110.72</v>
      </c>
      <c r="AQ35" s="27">
        <v>115.751</v>
      </c>
      <c r="AR35" s="27">
        <v>67.526399999999995</v>
      </c>
      <c r="AS35" s="27">
        <v>65.053899999999999</v>
      </c>
    </row>
    <row r="36" spans="1:45" s="27" customFormat="1" ht="14.45" customHeight="1">
      <c r="A36" s="29" t="s">
        <v>248</v>
      </c>
      <c r="B36" s="29" t="s">
        <v>251</v>
      </c>
      <c r="C36" s="29" t="s">
        <v>270</v>
      </c>
      <c r="E36" s="28" t="s">
        <v>30</v>
      </c>
      <c r="F36" s="40">
        <v>2030</v>
      </c>
      <c r="G36" s="27" t="s">
        <v>147</v>
      </c>
      <c r="H36" s="27">
        <f t="shared" si="0"/>
        <v>66.756156756756766</v>
      </c>
      <c r="I36" s="27">
        <v>90.563299999999998</v>
      </c>
      <c r="J36" s="27">
        <v>137.91999999999999</v>
      </c>
      <c r="K36" s="27">
        <v>82.638000000000005</v>
      </c>
      <c r="L36" s="27">
        <v>61.850499999999997</v>
      </c>
      <c r="M36" s="27">
        <v>27.199200000000001</v>
      </c>
      <c r="N36" s="27">
        <v>55.678800000000003</v>
      </c>
      <c r="O36" s="27">
        <v>43.694899999999997</v>
      </c>
      <c r="P36" s="27">
        <v>50.453299999999999</v>
      </c>
      <c r="Q36" s="27">
        <v>80.075500000000005</v>
      </c>
      <c r="R36" s="27">
        <v>37.301299999999998</v>
      </c>
      <c r="S36" s="27">
        <v>45.694899999999997</v>
      </c>
      <c r="T36" s="27">
        <v>90.563299999999998</v>
      </c>
      <c r="U36" s="27">
        <v>79.589699999999993</v>
      </c>
      <c r="V36" s="27">
        <v>59.858400000000003</v>
      </c>
      <c r="W36" s="27">
        <v>44.487099999999998</v>
      </c>
      <c r="X36" s="27">
        <v>82.638000000000005</v>
      </c>
      <c r="Y36" s="27">
        <v>61.781700000000001</v>
      </c>
      <c r="Z36" s="27">
        <v>54.327599999999997</v>
      </c>
      <c r="AA36" s="27">
        <v>46.338999999999999</v>
      </c>
      <c r="AB36" s="27">
        <v>42.782899999999998</v>
      </c>
      <c r="AC36" s="27">
        <v>82.638000000000005</v>
      </c>
      <c r="AD36" s="27">
        <v>15.8658</v>
      </c>
      <c r="AE36" s="27">
        <v>192.143</v>
      </c>
      <c r="AF36" s="27">
        <v>89.929000000000002</v>
      </c>
      <c r="AG36" s="27">
        <v>90.563299999999998</v>
      </c>
      <c r="AH36" s="27">
        <v>21.8232</v>
      </c>
      <c r="AI36" s="27">
        <v>30.152699999999999</v>
      </c>
      <c r="AJ36" s="27">
        <v>65.260599999999997</v>
      </c>
      <c r="AK36" s="27">
        <v>63.827599999999997</v>
      </c>
      <c r="AL36" s="27">
        <v>33.9756</v>
      </c>
      <c r="AM36" s="27">
        <v>37.721600000000002</v>
      </c>
      <c r="AN36" s="27">
        <v>28.950700000000001</v>
      </c>
      <c r="AO36" s="27">
        <v>82.638000000000005</v>
      </c>
      <c r="AP36" s="27">
        <v>110.72</v>
      </c>
      <c r="AQ36" s="27">
        <v>115.751</v>
      </c>
      <c r="AR36" s="27">
        <v>67.526399999999995</v>
      </c>
      <c r="AS36" s="27">
        <v>65.053899999999999</v>
      </c>
    </row>
    <row r="37" spans="1:45" s="27" customFormat="1" ht="14.45" customHeight="1">
      <c r="A37" s="29" t="s">
        <v>248</v>
      </c>
      <c r="B37" s="29" t="s">
        <v>251</v>
      </c>
      <c r="C37" s="29" t="s">
        <v>270</v>
      </c>
      <c r="E37" s="28" t="s">
        <v>30</v>
      </c>
      <c r="F37" s="40">
        <v>2035</v>
      </c>
      <c r="G37" s="27" t="s">
        <v>147</v>
      </c>
      <c r="H37" s="27">
        <f t="shared" si="0"/>
        <v>66.756156756756766</v>
      </c>
      <c r="I37" s="27">
        <v>90.563299999999998</v>
      </c>
      <c r="J37" s="27">
        <v>137.91999999999999</v>
      </c>
      <c r="K37" s="27">
        <v>82.638000000000005</v>
      </c>
      <c r="L37" s="27">
        <v>61.850499999999997</v>
      </c>
      <c r="M37" s="27">
        <v>27.199200000000001</v>
      </c>
      <c r="N37" s="27">
        <v>55.678800000000003</v>
      </c>
      <c r="O37" s="27">
        <v>43.694899999999997</v>
      </c>
      <c r="P37" s="27">
        <v>50.453299999999999</v>
      </c>
      <c r="Q37" s="27">
        <v>80.075500000000005</v>
      </c>
      <c r="R37" s="27">
        <v>37.301299999999998</v>
      </c>
      <c r="S37" s="27">
        <v>45.694899999999997</v>
      </c>
      <c r="T37" s="27">
        <v>90.563299999999998</v>
      </c>
      <c r="U37" s="27">
        <v>79.589699999999993</v>
      </c>
      <c r="V37" s="27">
        <v>59.858400000000003</v>
      </c>
      <c r="W37" s="27">
        <v>44.487099999999998</v>
      </c>
      <c r="X37" s="27">
        <v>82.638000000000005</v>
      </c>
      <c r="Y37" s="27">
        <v>61.781700000000001</v>
      </c>
      <c r="Z37" s="27">
        <v>54.327599999999997</v>
      </c>
      <c r="AA37" s="27">
        <v>46.338999999999999</v>
      </c>
      <c r="AB37" s="27">
        <v>42.782899999999998</v>
      </c>
      <c r="AC37" s="27">
        <v>82.638000000000005</v>
      </c>
      <c r="AD37" s="27">
        <v>15.8658</v>
      </c>
      <c r="AE37" s="27">
        <v>192.143</v>
      </c>
      <c r="AF37" s="27">
        <v>89.929000000000002</v>
      </c>
      <c r="AG37" s="27">
        <v>90.563299999999998</v>
      </c>
      <c r="AH37" s="27">
        <v>21.8232</v>
      </c>
      <c r="AI37" s="27">
        <v>30.152699999999999</v>
      </c>
      <c r="AJ37" s="27">
        <v>65.260599999999997</v>
      </c>
      <c r="AK37" s="27">
        <v>63.827599999999997</v>
      </c>
      <c r="AL37" s="27">
        <v>33.9756</v>
      </c>
      <c r="AM37" s="27">
        <v>37.721600000000002</v>
      </c>
      <c r="AN37" s="27">
        <v>28.950700000000001</v>
      </c>
      <c r="AO37" s="27">
        <v>82.638000000000005</v>
      </c>
      <c r="AP37" s="27">
        <v>110.72</v>
      </c>
      <c r="AQ37" s="27">
        <v>115.751</v>
      </c>
      <c r="AR37" s="27">
        <v>67.526399999999995</v>
      </c>
      <c r="AS37" s="27">
        <v>65.053899999999999</v>
      </c>
    </row>
    <row r="38" spans="1:45" s="27" customFormat="1" ht="14.45" customHeight="1">
      <c r="A38" s="29" t="s">
        <v>248</v>
      </c>
      <c r="B38" s="29" t="s">
        <v>251</v>
      </c>
      <c r="C38" s="29" t="s">
        <v>270</v>
      </c>
      <c r="E38" s="28" t="s">
        <v>30</v>
      </c>
      <c r="F38" s="40">
        <v>2040</v>
      </c>
      <c r="G38" s="27" t="s">
        <v>147</v>
      </c>
      <c r="H38" s="27">
        <f t="shared" si="0"/>
        <v>66.756156756756766</v>
      </c>
      <c r="I38" s="27">
        <v>90.563299999999998</v>
      </c>
      <c r="J38" s="27">
        <v>137.91999999999999</v>
      </c>
      <c r="K38" s="27">
        <v>82.638000000000005</v>
      </c>
      <c r="L38" s="27">
        <v>61.850499999999997</v>
      </c>
      <c r="M38" s="27">
        <v>27.199200000000001</v>
      </c>
      <c r="N38" s="27">
        <v>55.678800000000003</v>
      </c>
      <c r="O38" s="27">
        <v>43.694899999999997</v>
      </c>
      <c r="P38" s="27">
        <v>50.453299999999999</v>
      </c>
      <c r="Q38" s="27">
        <v>80.075500000000005</v>
      </c>
      <c r="R38" s="27">
        <v>37.301299999999998</v>
      </c>
      <c r="S38" s="27">
        <v>45.694899999999997</v>
      </c>
      <c r="T38" s="27">
        <v>90.563299999999998</v>
      </c>
      <c r="U38" s="27">
        <v>79.589699999999993</v>
      </c>
      <c r="V38" s="27">
        <v>59.858400000000003</v>
      </c>
      <c r="W38" s="27">
        <v>44.487099999999998</v>
      </c>
      <c r="X38" s="27">
        <v>82.638000000000005</v>
      </c>
      <c r="Y38" s="27">
        <v>61.781700000000001</v>
      </c>
      <c r="Z38" s="27">
        <v>54.327599999999997</v>
      </c>
      <c r="AA38" s="27">
        <v>46.338999999999999</v>
      </c>
      <c r="AB38" s="27">
        <v>42.782899999999998</v>
      </c>
      <c r="AC38" s="27">
        <v>82.638000000000005</v>
      </c>
      <c r="AD38" s="27">
        <v>15.8658</v>
      </c>
      <c r="AE38" s="27">
        <v>192.143</v>
      </c>
      <c r="AF38" s="27">
        <v>89.929000000000002</v>
      </c>
      <c r="AG38" s="27">
        <v>90.563299999999998</v>
      </c>
      <c r="AH38" s="27">
        <v>21.8232</v>
      </c>
      <c r="AI38" s="27">
        <v>30.152699999999999</v>
      </c>
      <c r="AJ38" s="27">
        <v>65.260599999999997</v>
      </c>
      <c r="AK38" s="27">
        <v>63.827599999999997</v>
      </c>
      <c r="AL38" s="27">
        <v>33.9756</v>
      </c>
      <c r="AM38" s="27">
        <v>37.721600000000002</v>
      </c>
      <c r="AN38" s="27">
        <v>28.950700000000001</v>
      </c>
      <c r="AO38" s="27">
        <v>82.638000000000005</v>
      </c>
      <c r="AP38" s="27">
        <v>110.72</v>
      </c>
      <c r="AQ38" s="27">
        <v>115.751</v>
      </c>
      <c r="AR38" s="27">
        <v>67.526399999999995</v>
      </c>
      <c r="AS38" s="27">
        <v>65.053899999999999</v>
      </c>
    </row>
    <row r="39" spans="1:45" s="53" customFormat="1" ht="14.45" customHeight="1">
      <c r="A39" s="52" t="s">
        <v>248</v>
      </c>
      <c r="B39" s="52" t="s">
        <v>251</v>
      </c>
      <c r="C39" s="52" t="s">
        <v>270</v>
      </c>
      <c r="E39" s="54" t="s">
        <v>30</v>
      </c>
      <c r="F39" s="55">
        <v>2050</v>
      </c>
      <c r="G39" s="53" t="s">
        <v>147</v>
      </c>
      <c r="H39" s="53">
        <f t="shared" si="0"/>
        <v>66.756156756756766</v>
      </c>
      <c r="I39" s="53">
        <v>90.563299999999998</v>
      </c>
      <c r="J39" s="53">
        <v>137.91999999999999</v>
      </c>
      <c r="K39" s="53">
        <v>82.638000000000005</v>
      </c>
      <c r="L39" s="53">
        <v>61.850499999999997</v>
      </c>
      <c r="M39" s="53">
        <v>27.199200000000001</v>
      </c>
      <c r="N39" s="53">
        <v>55.678800000000003</v>
      </c>
      <c r="O39" s="53">
        <v>43.694899999999997</v>
      </c>
      <c r="P39" s="53">
        <v>50.453299999999999</v>
      </c>
      <c r="Q39" s="53">
        <v>80.075500000000005</v>
      </c>
      <c r="R39" s="53">
        <v>37.301299999999998</v>
      </c>
      <c r="S39" s="53">
        <v>45.694899999999997</v>
      </c>
      <c r="T39" s="53">
        <v>90.563299999999998</v>
      </c>
      <c r="U39" s="53">
        <v>79.589699999999993</v>
      </c>
      <c r="V39" s="53">
        <v>59.858400000000003</v>
      </c>
      <c r="W39" s="53">
        <v>44.487099999999998</v>
      </c>
      <c r="X39" s="53">
        <v>82.638000000000005</v>
      </c>
      <c r="Y39" s="53">
        <v>61.781700000000001</v>
      </c>
      <c r="Z39" s="53">
        <v>54.327599999999997</v>
      </c>
      <c r="AA39" s="53">
        <v>46.338999999999999</v>
      </c>
      <c r="AB39" s="53">
        <v>42.782899999999998</v>
      </c>
      <c r="AC39" s="53">
        <v>82.638000000000005</v>
      </c>
      <c r="AD39" s="53">
        <v>15.8658</v>
      </c>
      <c r="AE39" s="53">
        <v>192.143</v>
      </c>
      <c r="AF39" s="53">
        <v>89.929000000000002</v>
      </c>
      <c r="AG39" s="53">
        <v>90.563299999999998</v>
      </c>
      <c r="AH39" s="53">
        <v>21.8232</v>
      </c>
      <c r="AI39" s="53">
        <v>30.152699999999999</v>
      </c>
      <c r="AJ39" s="53">
        <v>65.260599999999997</v>
      </c>
      <c r="AK39" s="53">
        <v>63.827599999999997</v>
      </c>
      <c r="AL39" s="53">
        <v>33.9756</v>
      </c>
      <c r="AM39" s="53">
        <v>37.721600000000002</v>
      </c>
      <c r="AN39" s="53">
        <v>28.950700000000001</v>
      </c>
      <c r="AO39" s="53">
        <v>82.638000000000005</v>
      </c>
      <c r="AP39" s="53">
        <v>110.72</v>
      </c>
      <c r="AQ39" s="53">
        <v>115.751</v>
      </c>
      <c r="AR39" s="53">
        <v>67.526399999999995</v>
      </c>
      <c r="AS39" s="53">
        <v>65.053899999999999</v>
      </c>
    </row>
    <row r="40" spans="1:45" s="27" customFormat="1" ht="14.45" customHeight="1">
      <c r="A40" s="29" t="s">
        <v>248</v>
      </c>
      <c r="B40" s="29" t="s">
        <v>251</v>
      </c>
      <c r="C40" s="29" t="s">
        <v>271</v>
      </c>
      <c r="E40" s="28" t="s">
        <v>30</v>
      </c>
      <c r="F40" s="40">
        <v>2010</v>
      </c>
      <c r="G40" s="27" t="s">
        <v>146</v>
      </c>
      <c r="H40" s="27">
        <f t="shared" si="0"/>
        <v>66.756156756756766</v>
      </c>
      <c r="I40" s="27">
        <v>90.563299999999998</v>
      </c>
      <c r="J40" s="27">
        <v>137.91999999999999</v>
      </c>
      <c r="K40" s="27">
        <v>82.638000000000005</v>
      </c>
      <c r="L40" s="27">
        <v>61.850499999999997</v>
      </c>
      <c r="M40" s="27">
        <v>27.199200000000001</v>
      </c>
      <c r="N40" s="27">
        <v>55.678800000000003</v>
      </c>
      <c r="O40" s="27">
        <v>43.694899999999997</v>
      </c>
      <c r="P40" s="27">
        <v>50.453299999999999</v>
      </c>
      <c r="Q40" s="27">
        <v>80.075500000000005</v>
      </c>
      <c r="R40" s="27">
        <v>37.301299999999998</v>
      </c>
      <c r="S40" s="27">
        <v>45.694899999999997</v>
      </c>
      <c r="T40" s="27">
        <v>90.563299999999998</v>
      </c>
      <c r="U40" s="27">
        <v>79.589699999999993</v>
      </c>
      <c r="V40" s="27">
        <v>59.858400000000003</v>
      </c>
      <c r="W40" s="27">
        <v>44.487099999999998</v>
      </c>
      <c r="X40" s="27">
        <v>82.638000000000005</v>
      </c>
      <c r="Y40" s="27">
        <v>61.781700000000001</v>
      </c>
      <c r="Z40" s="27">
        <v>54.327599999999997</v>
      </c>
      <c r="AA40" s="27">
        <v>46.338999999999999</v>
      </c>
      <c r="AB40" s="27">
        <v>42.782899999999998</v>
      </c>
      <c r="AC40" s="27">
        <v>82.638000000000005</v>
      </c>
      <c r="AD40" s="27">
        <v>15.8658</v>
      </c>
      <c r="AE40" s="27">
        <v>192.143</v>
      </c>
      <c r="AF40" s="27">
        <v>89.929000000000002</v>
      </c>
      <c r="AG40" s="27">
        <v>90.563299999999998</v>
      </c>
      <c r="AH40" s="27">
        <v>21.8232</v>
      </c>
      <c r="AI40" s="27">
        <v>30.152699999999999</v>
      </c>
      <c r="AJ40" s="27">
        <v>65.260599999999997</v>
      </c>
      <c r="AK40" s="27">
        <v>63.827599999999997</v>
      </c>
      <c r="AL40" s="27">
        <v>33.9756</v>
      </c>
      <c r="AM40" s="27">
        <v>37.721600000000002</v>
      </c>
      <c r="AN40" s="27">
        <v>28.950700000000001</v>
      </c>
      <c r="AO40" s="27">
        <v>82.638000000000005</v>
      </c>
      <c r="AP40" s="27">
        <v>110.72</v>
      </c>
      <c r="AQ40" s="27">
        <v>115.751</v>
      </c>
      <c r="AR40" s="27">
        <v>67.526399999999995</v>
      </c>
      <c r="AS40" s="27">
        <v>65.053899999999999</v>
      </c>
    </row>
    <row r="41" spans="1:45" s="27" customFormat="1" ht="14.45" customHeight="1">
      <c r="A41" s="29" t="s">
        <v>248</v>
      </c>
      <c r="B41" s="29" t="s">
        <v>251</v>
      </c>
      <c r="C41" s="29" t="s">
        <v>271</v>
      </c>
      <c r="E41" s="28" t="s">
        <v>30</v>
      </c>
      <c r="F41" s="40">
        <v>2020</v>
      </c>
      <c r="G41" s="27" t="s">
        <v>146</v>
      </c>
      <c r="H41" s="27">
        <f t="shared" si="0"/>
        <v>66.756156756756766</v>
      </c>
      <c r="I41" s="27">
        <f>I40</f>
        <v>90.563299999999998</v>
      </c>
      <c r="J41" s="27">
        <f t="shared" si="6" ref="J41:AS41">J40</f>
        <v>137.91999999999999</v>
      </c>
      <c r="K41" s="27">
        <f t="shared" si="6"/>
        <v>82.638000000000005</v>
      </c>
      <c r="L41" s="27">
        <f t="shared" si="6"/>
        <v>61.850499999999997</v>
      </c>
      <c r="M41" s="27">
        <f t="shared" si="6"/>
        <v>27.199200000000001</v>
      </c>
      <c r="N41" s="27">
        <f t="shared" si="6"/>
        <v>55.678800000000003</v>
      </c>
      <c r="O41" s="27">
        <f t="shared" si="6"/>
        <v>43.694899999999997</v>
      </c>
      <c r="P41" s="27">
        <f t="shared" si="6"/>
        <v>50.453299999999999</v>
      </c>
      <c r="Q41" s="27">
        <f t="shared" si="6"/>
        <v>80.075500000000005</v>
      </c>
      <c r="R41" s="27">
        <f t="shared" si="6"/>
        <v>37.301299999999998</v>
      </c>
      <c r="S41" s="27">
        <f t="shared" si="6"/>
        <v>45.694899999999997</v>
      </c>
      <c r="T41" s="27">
        <f t="shared" si="6"/>
        <v>90.563299999999998</v>
      </c>
      <c r="U41" s="27">
        <f t="shared" si="6"/>
        <v>79.589699999999993</v>
      </c>
      <c r="V41" s="27">
        <f t="shared" si="6"/>
        <v>59.858400000000003</v>
      </c>
      <c r="W41" s="27">
        <f t="shared" si="6"/>
        <v>44.487099999999998</v>
      </c>
      <c r="X41" s="27">
        <f t="shared" si="6"/>
        <v>82.638000000000005</v>
      </c>
      <c r="Y41" s="27">
        <f t="shared" si="6"/>
        <v>61.781700000000001</v>
      </c>
      <c r="Z41" s="27">
        <f t="shared" si="6"/>
        <v>54.327599999999997</v>
      </c>
      <c r="AA41" s="27">
        <f t="shared" si="6"/>
        <v>46.338999999999999</v>
      </c>
      <c r="AB41" s="27">
        <f t="shared" si="6"/>
        <v>42.782899999999998</v>
      </c>
      <c r="AC41" s="27">
        <f t="shared" si="6"/>
        <v>82.638000000000005</v>
      </c>
      <c r="AD41" s="27">
        <f t="shared" si="6"/>
        <v>15.8658</v>
      </c>
      <c r="AE41" s="27">
        <f t="shared" si="6"/>
        <v>192.143</v>
      </c>
      <c r="AF41" s="27">
        <f t="shared" si="6"/>
        <v>89.929000000000002</v>
      </c>
      <c r="AG41" s="27">
        <f t="shared" si="6"/>
        <v>90.563299999999998</v>
      </c>
      <c r="AH41" s="27">
        <f t="shared" si="6"/>
        <v>21.8232</v>
      </c>
      <c r="AI41" s="27">
        <f t="shared" si="6"/>
        <v>30.152699999999999</v>
      </c>
      <c r="AJ41" s="27">
        <f t="shared" si="6"/>
        <v>65.260599999999997</v>
      </c>
      <c r="AK41" s="27">
        <f t="shared" si="6"/>
        <v>63.827599999999997</v>
      </c>
      <c r="AL41" s="27">
        <f t="shared" si="6"/>
        <v>33.9756</v>
      </c>
      <c r="AM41" s="27">
        <f t="shared" si="6"/>
        <v>37.721600000000002</v>
      </c>
      <c r="AN41" s="27">
        <f t="shared" si="6"/>
        <v>28.950700000000001</v>
      </c>
      <c r="AO41" s="27">
        <f t="shared" si="6"/>
        <v>82.638000000000005</v>
      </c>
      <c r="AP41" s="27">
        <f t="shared" si="6"/>
        <v>110.72</v>
      </c>
      <c r="AQ41" s="27">
        <f t="shared" si="6"/>
        <v>115.751</v>
      </c>
      <c r="AR41" s="27">
        <f t="shared" si="6"/>
        <v>67.526399999999995</v>
      </c>
      <c r="AS41" s="27">
        <f t="shared" si="6"/>
        <v>65.053899999999999</v>
      </c>
    </row>
    <row r="42" spans="1:45" s="27" customFormat="1" ht="14.45" customHeight="1">
      <c r="A42" s="29" t="s">
        <v>248</v>
      </c>
      <c r="B42" s="29" t="s">
        <v>251</v>
      </c>
      <c r="C42" s="29" t="s">
        <v>271</v>
      </c>
      <c r="E42" s="28" t="s">
        <v>30</v>
      </c>
      <c r="F42" s="40">
        <v>2025</v>
      </c>
      <c r="G42" s="27" t="s">
        <v>146</v>
      </c>
      <c r="H42" s="27">
        <f t="shared" si="0"/>
        <v>66.756156756756766</v>
      </c>
      <c r="I42" s="27">
        <f t="shared" si="7" ref="I42:I46">I41</f>
        <v>90.563299999999998</v>
      </c>
      <c r="J42" s="27">
        <f t="shared" si="8" ref="J42:J46">J41</f>
        <v>137.91999999999999</v>
      </c>
      <c r="K42" s="27">
        <f t="shared" si="9" ref="K42:K46">K41</f>
        <v>82.638000000000005</v>
      </c>
      <c r="L42" s="27">
        <f t="shared" si="10" ref="L42:L46">L41</f>
        <v>61.850499999999997</v>
      </c>
      <c r="M42" s="27">
        <f t="shared" si="11" ref="M42:M46">M41</f>
        <v>27.199200000000001</v>
      </c>
      <c r="N42" s="27">
        <f t="shared" si="12" ref="N42:N46">N41</f>
        <v>55.678800000000003</v>
      </c>
      <c r="O42" s="27">
        <f t="shared" si="13" ref="O42:O46">O41</f>
        <v>43.694899999999997</v>
      </c>
      <c r="P42" s="27">
        <f t="shared" si="14" ref="P42:P46">P41</f>
        <v>50.453299999999999</v>
      </c>
      <c r="Q42" s="27">
        <f t="shared" si="15" ref="Q42:Q46">Q41</f>
        <v>80.075500000000005</v>
      </c>
      <c r="R42" s="27">
        <f t="shared" si="16" ref="R42:R46">R41</f>
        <v>37.301299999999998</v>
      </c>
      <c r="S42" s="27">
        <f t="shared" si="17" ref="S42:S46">S41</f>
        <v>45.694899999999997</v>
      </c>
      <c r="T42" s="27">
        <f t="shared" si="18" ref="T42:T46">T41</f>
        <v>90.563299999999998</v>
      </c>
      <c r="U42" s="27">
        <f t="shared" si="19" ref="U42:U46">U41</f>
        <v>79.589699999999993</v>
      </c>
      <c r="V42" s="27">
        <f t="shared" si="20" ref="V42:V46">V41</f>
        <v>59.858400000000003</v>
      </c>
      <c r="W42" s="27">
        <f t="shared" si="21" ref="W42:W46">W41</f>
        <v>44.487099999999998</v>
      </c>
      <c r="X42" s="27">
        <f t="shared" si="22" ref="X42:X46">X41</f>
        <v>82.638000000000005</v>
      </c>
      <c r="Y42" s="27">
        <f t="shared" si="23" ref="Y42:Y46">Y41</f>
        <v>61.781700000000001</v>
      </c>
      <c r="Z42" s="27">
        <f t="shared" si="24" ref="Z42:Z46">Z41</f>
        <v>54.327599999999997</v>
      </c>
      <c r="AA42" s="27">
        <f t="shared" si="25" ref="AA42:AA46">AA41</f>
        <v>46.338999999999999</v>
      </c>
      <c r="AB42" s="27">
        <f t="shared" si="26" ref="AB42:AB46">AB41</f>
        <v>42.782899999999998</v>
      </c>
      <c r="AC42" s="27">
        <f t="shared" si="27" ref="AC42:AC46">AC41</f>
        <v>82.638000000000005</v>
      </c>
      <c r="AD42" s="27">
        <f t="shared" si="28" ref="AD42:AD46">AD41</f>
        <v>15.8658</v>
      </c>
      <c r="AE42" s="27">
        <f t="shared" si="29" ref="AE42:AE46">AE41</f>
        <v>192.143</v>
      </c>
      <c r="AF42" s="27">
        <f t="shared" si="30" ref="AF42:AF46">AF41</f>
        <v>89.929000000000002</v>
      </c>
      <c r="AG42" s="27">
        <f t="shared" si="31" ref="AG42:AG46">AG41</f>
        <v>90.563299999999998</v>
      </c>
      <c r="AH42" s="27">
        <f t="shared" si="32" ref="AH42:AH46">AH41</f>
        <v>21.8232</v>
      </c>
      <c r="AI42" s="27">
        <f t="shared" si="33" ref="AI42:AI46">AI41</f>
        <v>30.152699999999999</v>
      </c>
      <c r="AJ42" s="27">
        <f t="shared" si="34" ref="AJ42:AJ46">AJ41</f>
        <v>65.260599999999997</v>
      </c>
      <c r="AK42" s="27">
        <f t="shared" si="35" ref="AK42:AK46">AK41</f>
        <v>63.827599999999997</v>
      </c>
      <c r="AL42" s="27">
        <f t="shared" si="36" ref="AL42:AL46">AL41</f>
        <v>33.9756</v>
      </c>
      <c r="AM42" s="27">
        <f t="shared" si="37" ref="AM42:AM46">AM41</f>
        <v>37.721600000000002</v>
      </c>
      <c r="AN42" s="27">
        <f t="shared" si="38" ref="AN42:AN46">AN41</f>
        <v>28.950700000000001</v>
      </c>
      <c r="AO42" s="27">
        <f t="shared" si="39" ref="AO42:AO46">AO41</f>
        <v>82.638000000000005</v>
      </c>
      <c r="AP42" s="27">
        <f t="shared" si="40" ref="AP42:AP46">AP41</f>
        <v>110.72</v>
      </c>
      <c r="AQ42" s="27">
        <f t="shared" si="41" ref="AQ42:AQ46">AQ41</f>
        <v>115.751</v>
      </c>
      <c r="AR42" s="27">
        <f t="shared" si="42" ref="AR42:AR46">AR41</f>
        <v>67.526399999999995</v>
      </c>
      <c r="AS42" s="27">
        <f t="shared" si="43" ref="AS42:AS46">AS41</f>
        <v>65.053899999999999</v>
      </c>
    </row>
    <row r="43" spans="1:45" s="27" customFormat="1" ht="14.45" customHeight="1">
      <c r="A43" s="29" t="s">
        <v>248</v>
      </c>
      <c r="B43" s="29" t="s">
        <v>251</v>
      </c>
      <c r="C43" s="29" t="s">
        <v>271</v>
      </c>
      <c r="E43" s="28" t="s">
        <v>30</v>
      </c>
      <c r="F43" s="40">
        <v>2030</v>
      </c>
      <c r="G43" s="27" t="s">
        <v>146</v>
      </c>
      <c r="H43" s="27">
        <f t="shared" si="0"/>
        <v>66.756156756756766</v>
      </c>
      <c r="I43" s="27">
        <f t="shared" si="7"/>
        <v>90.563299999999998</v>
      </c>
      <c r="J43" s="27">
        <f t="shared" si="8"/>
        <v>137.91999999999999</v>
      </c>
      <c r="K43" s="27">
        <f t="shared" si="9"/>
        <v>82.638000000000005</v>
      </c>
      <c r="L43" s="27">
        <f t="shared" si="10"/>
        <v>61.850499999999997</v>
      </c>
      <c r="M43" s="27">
        <f t="shared" si="11"/>
        <v>27.199200000000001</v>
      </c>
      <c r="N43" s="27">
        <f t="shared" si="12"/>
        <v>55.678800000000003</v>
      </c>
      <c r="O43" s="27">
        <f t="shared" si="13"/>
        <v>43.694899999999997</v>
      </c>
      <c r="P43" s="27">
        <f t="shared" si="14"/>
        <v>50.453299999999999</v>
      </c>
      <c r="Q43" s="27">
        <f t="shared" si="15"/>
        <v>80.075500000000005</v>
      </c>
      <c r="R43" s="27">
        <f t="shared" si="16"/>
        <v>37.301299999999998</v>
      </c>
      <c r="S43" s="27">
        <f t="shared" si="17"/>
        <v>45.694899999999997</v>
      </c>
      <c r="T43" s="27">
        <f t="shared" si="18"/>
        <v>90.563299999999998</v>
      </c>
      <c r="U43" s="27">
        <f t="shared" si="19"/>
        <v>79.589699999999993</v>
      </c>
      <c r="V43" s="27">
        <f t="shared" si="20"/>
        <v>59.858400000000003</v>
      </c>
      <c r="W43" s="27">
        <f t="shared" si="21"/>
        <v>44.487099999999998</v>
      </c>
      <c r="X43" s="27">
        <f t="shared" si="22"/>
        <v>82.638000000000005</v>
      </c>
      <c r="Y43" s="27">
        <f t="shared" si="23"/>
        <v>61.781700000000001</v>
      </c>
      <c r="Z43" s="27">
        <f t="shared" si="24"/>
        <v>54.327599999999997</v>
      </c>
      <c r="AA43" s="27">
        <f t="shared" si="25"/>
        <v>46.338999999999999</v>
      </c>
      <c r="AB43" s="27">
        <f t="shared" si="26"/>
        <v>42.782899999999998</v>
      </c>
      <c r="AC43" s="27">
        <f t="shared" si="27"/>
        <v>82.638000000000005</v>
      </c>
      <c r="AD43" s="27">
        <f t="shared" si="28"/>
        <v>15.8658</v>
      </c>
      <c r="AE43" s="27">
        <f t="shared" si="29"/>
        <v>192.143</v>
      </c>
      <c r="AF43" s="27">
        <f t="shared" si="30"/>
        <v>89.929000000000002</v>
      </c>
      <c r="AG43" s="27">
        <f t="shared" si="31"/>
        <v>90.563299999999998</v>
      </c>
      <c r="AH43" s="27">
        <f t="shared" si="32"/>
        <v>21.8232</v>
      </c>
      <c r="AI43" s="27">
        <f t="shared" si="33"/>
        <v>30.152699999999999</v>
      </c>
      <c r="AJ43" s="27">
        <f t="shared" si="34"/>
        <v>65.260599999999997</v>
      </c>
      <c r="AK43" s="27">
        <f t="shared" si="35"/>
        <v>63.827599999999997</v>
      </c>
      <c r="AL43" s="27">
        <f t="shared" si="36"/>
        <v>33.9756</v>
      </c>
      <c r="AM43" s="27">
        <f t="shared" si="37"/>
        <v>37.721600000000002</v>
      </c>
      <c r="AN43" s="27">
        <f t="shared" si="38"/>
        <v>28.950700000000001</v>
      </c>
      <c r="AO43" s="27">
        <f t="shared" si="39"/>
        <v>82.638000000000005</v>
      </c>
      <c r="AP43" s="27">
        <f t="shared" si="40"/>
        <v>110.72</v>
      </c>
      <c r="AQ43" s="27">
        <f t="shared" si="41"/>
        <v>115.751</v>
      </c>
      <c r="AR43" s="27">
        <f t="shared" si="42"/>
        <v>67.526399999999995</v>
      </c>
      <c r="AS43" s="27">
        <f t="shared" si="43"/>
        <v>65.053899999999999</v>
      </c>
    </row>
    <row r="44" spans="1:45" s="27" customFormat="1" ht="14.45" customHeight="1">
      <c r="A44" s="29" t="s">
        <v>248</v>
      </c>
      <c r="B44" s="29" t="s">
        <v>251</v>
      </c>
      <c r="C44" s="29" t="s">
        <v>271</v>
      </c>
      <c r="E44" s="28" t="s">
        <v>30</v>
      </c>
      <c r="F44" s="40">
        <v>2035</v>
      </c>
      <c r="G44" s="27" t="s">
        <v>146</v>
      </c>
      <c r="H44" s="27">
        <f t="shared" si="0"/>
        <v>66.756156756756766</v>
      </c>
      <c r="I44" s="27">
        <f t="shared" si="7"/>
        <v>90.563299999999998</v>
      </c>
      <c r="J44" s="27">
        <f t="shared" si="8"/>
        <v>137.91999999999999</v>
      </c>
      <c r="K44" s="27">
        <f t="shared" si="9"/>
        <v>82.638000000000005</v>
      </c>
      <c r="L44" s="27">
        <f t="shared" si="10"/>
        <v>61.850499999999997</v>
      </c>
      <c r="M44" s="27">
        <f t="shared" si="11"/>
        <v>27.199200000000001</v>
      </c>
      <c r="N44" s="27">
        <f t="shared" si="12"/>
        <v>55.678800000000003</v>
      </c>
      <c r="O44" s="27">
        <f t="shared" si="13"/>
        <v>43.694899999999997</v>
      </c>
      <c r="P44" s="27">
        <f t="shared" si="14"/>
        <v>50.453299999999999</v>
      </c>
      <c r="Q44" s="27">
        <f t="shared" si="15"/>
        <v>80.075500000000005</v>
      </c>
      <c r="R44" s="27">
        <f t="shared" si="16"/>
        <v>37.301299999999998</v>
      </c>
      <c r="S44" s="27">
        <f t="shared" si="17"/>
        <v>45.694899999999997</v>
      </c>
      <c r="T44" s="27">
        <f t="shared" si="18"/>
        <v>90.563299999999998</v>
      </c>
      <c r="U44" s="27">
        <f t="shared" si="19"/>
        <v>79.589699999999993</v>
      </c>
      <c r="V44" s="27">
        <f t="shared" si="20"/>
        <v>59.858400000000003</v>
      </c>
      <c r="W44" s="27">
        <f t="shared" si="21"/>
        <v>44.487099999999998</v>
      </c>
      <c r="X44" s="27">
        <f t="shared" si="22"/>
        <v>82.638000000000005</v>
      </c>
      <c r="Y44" s="27">
        <f t="shared" si="23"/>
        <v>61.781700000000001</v>
      </c>
      <c r="Z44" s="27">
        <f t="shared" si="24"/>
        <v>54.327599999999997</v>
      </c>
      <c r="AA44" s="27">
        <f t="shared" si="25"/>
        <v>46.338999999999999</v>
      </c>
      <c r="AB44" s="27">
        <f t="shared" si="26"/>
        <v>42.782899999999998</v>
      </c>
      <c r="AC44" s="27">
        <f t="shared" si="27"/>
        <v>82.638000000000005</v>
      </c>
      <c r="AD44" s="27">
        <f t="shared" si="28"/>
        <v>15.8658</v>
      </c>
      <c r="AE44" s="27">
        <f t="shared" si="29"/>
        <v>192.143</v>
      </c>
      <c r="AF44" s="27">
        <f t="shared" si="30"/>
        <v>89.929000000000002</v>
      </c>
      <c r="AG44" s="27">
        <f t="shared" si="31"/>
        <v>90.563299999999998</v>
      </c>
      <c r="AH44" s="27">
        <f t="shared" si="32"/>
        <v>21.8232</v>
      </c>
      <c r="AI44" s="27">
        <f t="shared" si="33"/>
        <v>30.152699999999999</v>
      </c>
      <c r="AJ44" s="27">
        <f t="shared" si="34"/>
        <v>65.260599999999997</v>
      </c>
      <c r="AK44" s="27">
        <f t="shared" si="35"/>
        <v>63.827599999999997</v>
      </c>
      <c r="AL44" s="27">
        <f t="shared" si="36"/>
        <v>33.9756</v>
      </c>
      <c r="AM44" s="27">
        <f t="shared" si="37"/>
        <v>37.721600000000002</v>
      </c>
      <c r="AN44" s="27">
        <f t="shared" si="38"/>
        <v>28.950700000000001</v>
      </c>
      <c r="AO44" s="27">
        <f t="shared" si="39"/>
        <v>82.638000000000005</v>
      </c>
      <c r="AP44" s="27">
        <f t="shared" si="40"/>
        <v>110.72</v>
      </c>
      <c r="AQ44" s="27">
        <f t="shared" si="41"/>
        <v>115.751</v>
      </c>
      <c r="AR44" s="27">
        <f t="shared" si="42"/>
        <v>67.526399999999995</v>
      </c>
      <c r="AS44" s="27">
        <f t="shared" si="43"/>
        <v>65.053899999999999</v>
      </c>
    </row>
    <row r="45" spans="1:45" s="27" customFormat="1" ht="14.45" customHeight="1">
      <c r="A45" s="29" t="s">
        <v>248</v>
      </c>
      <c r="B45" s="29" t="s">
        <v>251</v>
      </c>
      <c r="C45" s="29" t="s">
        <v>271</v>
      </c>
      <c r="E45" s="28" t="s">
        <v>30</v>
      </c>
      <c r="F45" s="40">
        <v>2040</v>
      </c>
      <c r="G45" s="27" t="s">
        <v>146</v>
      </c>
      <c r="H45" s="27">
        <f t="shared" si="0"/>
        <v>66.756156756756766</v>
      </c>
      <c r="I45" s="27">
        <f t="shared" si="7"/>
        <v>90.563299999999998</v>
      </c>
      <c r="J45" s="27">
        <f t="shared" si="8"/>
        <v>137.91999999999999</v>
      </c>
      <c r="K45" s="27">
        <f t="shared" si="9"/>
        <v>82.638000000000005</v>
      </c>
      <c r="L45" s="27">
        <f t="shared" si="10"/>
        <v>61.850499999999997</v>
      </c>
      <c r="M45" s="27">
        <f t="shared" si="11"/>
        <v>27.199200000000001</v>
      </c>
      <c r="N45" s="27">
        <f t="shared" si="12"/>
        <v>55.678800000000003</v>
      </c>
      <c r="O45" s="27">
        <f t="shared" si="13"/>
        <v>43.694899999999997</v>
      </c>
      <c r="P45" s="27">
        <f t="shared" si="14"/>
        <v>50.453299999999999</v>
      </c>
      <c r="Q45" s="27">
        <f t="shared" si="15"/>
        <v>80.075500000000005</v>
      </c>
      <c r="R45" s="27">
        <f t="shared" si="16"/>
        <v>37.301299999999998</v>
      </c>
      <c r="S45" s="27">
        <f t="shared" si="17"/>
        <v>45.694899999999997</v>
      </c>
      <c r="T45" s="27">
        <f t="shared" si="18"/>
        <v>90.563299999999998</v>
      </c>
      <c r="U45" s="27">
        <f t="shared" si="19"/>
        <v>79.589699999999993</v>
      </c>
      <c r="V45" s="27">
        <f t="shared" si="20"/>
        <v>59.858400000000003</v>
      </c>
      <c r="W45" s="27">
        <f t="shared" si="21"/>
        <v>44.487099999999998</v>
      </c>
      <c r="X45" s="27">
        <f t="shared" si="22"/>
        <v>82.638000000000005</v>
      </c>
      <c r="Y45" s="27">
        <f t="shared" si="23"/>
        <v>61.781700000000001</v>
      </c>
      <c r="Z45" s="27">
        <f t="shared" si="24"/>
        <v>54.327599999999997</v>
      </c>
      <c r="AA45" s="27">
        <f t="shared" si="25"/>
        <v>46.338999999999999</v>
      </c>
      <c r="AB45" s="27">
        <f t="shared" si="26"/>
        <v>42.782899999999998</v>
      </c>
      <c r="AC45" s="27">
        <f t="shared" si="27"/>
        <v>82.638000000000005</v>
      </c>
      <c r="AD45" s="27">
        <f t="shared" si="28"/>
        <v>15.8658</v>
      </c>
      <c r="AE45" s="27">
        <f t="shared" si="29"/>
        <v>192.143</v>
      </c>
      <c r="AF45" s="27">
        <f t="shared" si="30"/>
        <v>89.929000000000002</v>
      </c>
      <c r="AG45" s="27">
        <f t="shared" si="31"/>
        <v>90.563299999999998</v>
      </c>
      <c r="AH45" s="27">
        <f t="shared" si="32"/>
        <v>21.8232</v>
      </c>
      <c r="AI45" s="27">
        <f t="shared" si="33"/>
        <v>30.152699999999999</v>
      </c>
      <c r="AJ45" s="27">
        <f t="shared" si="34"/>
        <v>65.260599999999997</v>
      </c>
      <c r="AK45" s="27">
        <f t="shared" si="35"/>
        <v>63.827599999999997</v>
      </c>
      <c r="AL45" s="27">
        <f t="shared" si="36"/>
        <v>33.9756</v>
      </c>
      <c r="AM45" s="27">
        <f t="shared" si="37"/>
        <v>37.721600000000002</v>
      </c>
      <c r="AN45" s="27">
        <f t="shared" si="38"/>
        <v>28.950700000000001</v>
      </c>
      <c r="AO45" s="27">
        <f t="shared" si="39"/>
        <v>82.638000000000005</v>
      </c>
      <c r="AP45" s="27">
        <f t="shared" si="40"/>
        <v>110.72</v>
      </c>
      <c r="AQ45" s="27">
        <f t="shared" si="41"/>
        <v>115.751</v>
      </c>
      <c r="AR45" s="27">
        <f t="shared" si="42"/>
        <v>67.526399999999995</v>
      </c>
      <c r="AS45" s="27">
        <f t="shared" si="43"/>
        <v>65.053899999999999</v>
      </c>
    </row>
    <row r="46" spans="1:45" s="53" customFormat="1" ht="14.45" customHeight="1">
      <c r="A46" s="52" t="s">
        <v>248</v>
      </c>
      <c r="B46" s="52" t="s">
        <v>251</v>
      </c>
      <c r="C46" s="52" t="s">
        <v>271</v>
      </c>
      <c r="E46" s="54" t="s">
        <v>30</v>
      </c>
      <c r="F46" s="55">
        <v>2050</v>
      </c>
      <c r="G46" s="53" t="s">
        <v>146</v>
      </c>
      <c r="H46" s="53">
        <f t="shared" si="0"/>
        <v>66.756156756756766</v>
      </c>
      <c r="I46" s="53">
        <f t="shared" si="7"/>
        <v>90.563299999999998</v>
      </c>
      <c r="J46" s="53">
        <f t="shared" si="8"/>
        <v>137.91999999999999</v>
      </c>
      <c r="K46" s="53">
        <f t="shared" si="9"/>
        <v>82.638000000000005</v>
      </c>
      <c r="L46" s="53">
        <f t="shared" si="10"/>
        <v>61.850499999999997</v>
      </c>
      <c r="M46" s="53">
        <f t="shared" si="11"/>
        <v>27.199200000000001</v>
      </c>
      <c r="N46" s="53">
        <f t="shared" si="12"/>
        <v>55.678800000000003</v>
      </c>
      <c r="O46" s="53">
        <f t="shared" si="13"/>
        <v>43.694899999999997</v>
      </c>
      <c r="P46" s="53">
        <f t="shared" si="14"/>
        <v>50.453299999999999</v>
      </c>
      <c r="Q46" s="53">
        <f t="shared" si="15"/>
        <v>80.075500000000005</v>
      </c>
      <c r="R46" s="53">
        <f t="shared" si="16"/>
        <v>37.301299999999998</v>
      </c>
      <c r="S46" s="53">
        <f t="shared" si="17"/>
        <v>45.694899999999997</v>
      </c>
      <c r="T46" s="53">
        <f t="shared" si="18"/>
        <v>90.563299999999998</v>
      </c>
      <c r="U46" s="53">
        <f t="shared" si="19"/>
        <v>79.589699999999993</v>
      </c>
      <c r="V46" s="53">
        <f t="shared" si="20"/>
        <v>59.858400000000003</v>
      </c>
      <c r="W46" s="53">
        <f t="shared" si="21"/>
        <v>44.487099999999998</v>
      </c>
      <c r="X46" s="53">
        <f t="shared" si="22"/>
        <v>82.638000000000005</v>
      </c>
      <c r="Y46" s="53">
        <f t="shared" si="23"/>
        <v>61.781700000000001</v>
      </c>
      <c r="Z46" s="53">
        <f t="shared" si="24"/>
        <v>54.327599999999997</v>
      </c>
      <c r="AA46" s="53">
        <f t="shared" si="25"/>
        <v>46.338999999999999</v>
      </c>
      <c r="AB46" s="53">
        <f t="shared" si="26"/>
        <v>42.782899999999998</v>
      </c>
      <c r="AC46" s="53">
        <f t="shared" si="27"/>
        <v>82.638000000000005</v>
      </c>
      <c r="AD46" s="53">
        <f t="shared" si="28"/>
        <v>15.8658</v>
      </c>
      <c r="AE46" s="53">
        <f t="shared" si="29"/>
        <v>192.143</v>
      </c>
      <c r="AF46" s="53">
        <f t="shared" si="30"/>
        <v>89.929000000000002</v>
      </c>
      <c r="AG46" s="53">
        <f t="shared" si="31"/>
        <v>90.563299999999998</v>
      </c>
      <c r="AH46" s="53">
        <f t="shared" si="32"/>
        <v>21.8232</v>
      </c>
      <c r="AI46" s="53">
        <f t="shared" si="33"/>
        <v>30.152699999999999</v>
      </c>
      <c r="AJ46" s="53">
        <f t="shared" si="34"/>
        <v>65.260599999999997</v>
      </c>
      <c r="AK46" s="53">
        <f t="shared" si="35"/>
        <v>63.827599999999997</v>
      </c>
      <c r="AL46" s="53">
        <f t="shared" si="36"/>
        <v>33.9756</v>
      </c>
      <c r="AM46" s="53">
        <f t="shared" si="37"/>
        <v>37.721600000000002</v>
      </c>
      <c r="AN46" s="53">
        <f t="shared" si="38"/>
        <v>28.950700000000001</v>
      </c>
      <c r="AO46" s="53">
        <f t="shared" si="39"/>
        <v>82.638000000000005</v>
      </c>
      <c r="AP46" s="53">
        <f t="shared" si="40"/>
        <v>110.72</v>
      </c>
      <c r="AQ46" s="53">
        <f t="shared" si="41"/>
        <v>115.751</v>
      </c>
      <c r="AR46" s="53">
        <f t="shared" si="42"/>
        <v>67.526399999999995</v>
      </c>
      <c r="AS46" s="53">
        <f t="shared" si="43"/>
        <v>65.053899999999999</v>
      </c>
    </row>
    <row r="47" spans="1:45" s="27" customFormat="1" ht="14.45" customHeight="1">
      <c r="A47" s="29" t="s">
        <v>248</v>
      </c>
      <c r="B47" s="29" t="s">
        <v>251</v>
      </c>
      <c r="C47" s="29" t="s">
        <v>272</v>
      </c>
      <c r="E47" s="28" t="s">
        <v>30</v>
      </c>
      <c r="F47" s="40">
        <v>2010</v>
      </c>
      <c r="G47" s="29" t="s">
        <v>249</v>
      </c>
      <c r="H47" s="27">
        <f t="shared" si="0"/>
        <v>66.756156756756766</v>
      </c>
      <c r="I47" s="27">
        <f t="shared" si="44" ref="I47:AS47">I40</f>
        <v>90.563299999999998</v>
      </c>
      <c r="J47" s="27">
        <f t="shared" si="44"/>
        <v>137.91999999999999</v>
      </c>
      <c r="K47" s="27">
        <f t="shared" si="44"/>
        <v>82.638000000000005</v>
      </c>
      <c r="L47" s="27">
        <f t="shared" si="44"/>
        <v>61.850499999999997</v>
      </c>
      <c r="M47" s="27">
        <f t="shared" si="44"/>
        <v>27.199200000000001</v>
      </c>
      <c r="N47" s="27">
        <f t="shared" si="44"/>
        <v>55.678800000000003</v>
      </c>
      <c r="O47" s="27">
        <f t="shared" si="44"/>
        <v>43.694899999999997</v>
      </c>
      <c r="P47" s="27">
        <f t="shared" si="44"/>
        <v>50.453299999999999</v>
      </c>
      <c r="Q47" s="27">
        <f t="shared" si="44"/>
        <v>80.075500000000005</v>
      </c>
      <c r="R47" s="27">
        <f t="shared" si="44"/>
        <v>37.301299999999998</v>
      </c>
      <c r="S47" s="27">
        <f t="shared" si="44"/>
        <v>45.694899999999997</v>
      </c>
      <c r="T47" s="27">
        <f t="shared" si="44"/>
        <v>90.563299999999998</v>
      </c>
      <c r="U47" s="27">
        <f t="shared" si="44"/>
        <v>79.589699999999993</v>
      </c>
      <c r="V47" s="27">
        <f t="shared" si="44"/>
        <v>59.858400000000003</v>
      </c>
      <c r="W47" s="27">
        <f t="shared" si="44"/>
        <v>44.487099999999998</v>
      </c>
      <c r="X47" s="27">
        <f t="shared" si="44"/>
        <v>82.638000000000005</v>
      </c>
      <c r="Y47" s="27">
        <f t="shared" si="44"/>
        <v>61.781700000000001</v>
      </c>
      <c r="Z47" s="27">
        <f t="shared" si="44"/>
        <v>54.327599999999997</v>
      </c>
      <c r="AA47" s="27">
        <f t="shared" si="44"/>
        <v>46.338999999999999</v>
      </c>
      <c r="AB47" s="27">
        <f t="shared" si="44"/>
        <v>42.782899999999998</v>
      </c>
      <c r="AC47" s="27">
        <f t="shared" si="44"/>
        <v>82.638000000000005</v>
      </c>
      <c r="AD47" s="27">
        <f t="shared" si="44"/>
        <v>15.8658</v>
      </c>
      <c r="AE47" s="27">
        <f t="shared" si="44"/>
        <v>192.143</v>
      </c>
      <c r="AF47" s="27">
        <f t="shared" si="44"/>
        <v>89.929000000000002</v>
      </c>
      <c r="AG47" s="27">
        <f t="shared" si="44"/>
        <v>90.563299999999998</v>
      </c>
      <c r="AH47" s="27">
        <f t="shared" si="44"/>
        <v>21.8232</v>
      </c>
      <c r="AI47" s="27">
        <f t="shared" si="44"/>
        <v>30.152699999999999</v>
      </c>
      <c r="AJ47" s="27">
        <f t="shared" si="44"/>
        <v>65.260599999999997</v>
      </c>
      <c r="AK47" s="27">
        <f t="shared" si="44"/>
        <v>63.827599999999997</v>
      </c>
      <c r="AL47" s="27">
        <f t="shared" si="44"/>
        <v>33.9756</v>
      </c>
      <c r="AM47" s="27">
        <f t="shared" si="44"/>
        <v>37.721600000000002</v>
      </c>
      <c r="AN47" s="27">
        <f t="shared" si="44"/>
        <v>28.950700000000001</v>
      </c>
      <c r="AO47" s="27">
        <f t="shared" si="44"/>
        <v>82.638000000000005</v>
      </c>
      <c r="AP47" s="27">
        <f t="shared" si="44"/>
        <v>110.72</v>
      </c>
      <c r="AQ47" s="27">
        <f t="shared" si="44"/>
        <v>115.751</v>
      </c>
      <c r="AR47" s="27">
        <f t="shared" si="44"/>
        <v>67.526399999999995</v>
      </c>
      <c r="AS47" s="27">
        <f t="shared" si="44"/>
        <v>65.053899999999999</v>
      </c>
    </row>
    <row r="48" spans="1:45" s="27" customFormat="1" ht="14.45" customHeight="1">
      <c r="A48" s="29" t="s">
        <v>248</v>
      </c>
      <c r="B48" s="29" t="s">
        <v>251</v>
      </c>
      <c r="C48" s="29" t="s">
        <v>272</v>
      </c>
      <c r="E48" s="28" t="s">
        <v>30</v>
      </c>
      <c r="F48" s="40">
        <v>2020</v>
      </c>
      <c r="G48" s="29" t="s">
        <v>249</v>
      </c>
      <c r="H48" s="27">
        <f t="shared" si="0"/>
        <v>66.756156756756766</v>
      </c>
      <c r="I48" s="27">
        <f>I47</f>
        <v>90.563299999999998</v>
      </c>
      <c r="J48" s="27">
        <f t="shared" si="45" ref="J48:J53">J47</f>
        <v>137.91999999999999</v>
      </c>
      <c r="K48" s="27">
        <f t="shared" si="46" ref="K48:K53">K47</f>
        <v>82.638000000000005</v>
      </c>
      <c r="L48" s="27">
        <f t="shared" si="47" ref="L48:L53">L47</f>
        <v>61.850499999999997</v>
      </c>
      <c r="M48" s="27">
        <f t="shared" si="48" ref="M48:M53">M47</f>
        <v>27.199200000000001</v>
      </c>
      <c r="N48" s="27">
        <f t="shared" si="49" ref="N48:N53">N47</f>
        <v>55.678800000000003</v>
      </c>
      <c r="O48" s="27">
        <f t="shared" si="50" ref="O48:O53">O47</f>
        <v>43.694899999999997</v>
      </c>
      <c r="P48" s="27">
        <f t="shared" si="51" ref="P48:P53">P47</f>
        <v>50.453299999999999</v>
      </c>
      <c r="Q48" s="27">
        <f t="shared" si="52" ref="Q48:Q53">Q47</f>
        <v>80.075500000000005</v>
      </c>
      <c r="R48" s="27">
        <f t="shared" si="53" ref="R48:R53">R47</f>
        <v>37.301299999999998</v>
      </c>
      <c r="S48" s="27">
        <f t="shared" si="54" ref="S48:S53">S47</f>
        <v>45.694899999999997</v>
      </c>
      <c r="T48" s="27">
        <f t="shared" si="55" ref="T48:T53">T47</f>
        <v>90.563299999999998</v>
      </c>
      <c r="U48" s="27">
        <f t="shared" si="56" ref="U48:U53">U47</f>
        <v>79.589699999999993</v>
      </c>
      <c r="V48" s="27">
        <f t="shared" si="57" ref="V48:V53">V47</f>
        <v>59.858400000000003</v>
      </c>
      <c r="W48" s="27">
        <f t="shared" si="58" ref="W48:W53">W47</f>
        <v>44.487099999999998</v>
      </c>
      <c r="X48" s="27">
        <f t="shared" si="59" ref="X48:X53">X47</f>
        <v>82.638000000000005</v>
      </c>
      <c r="Y48" s="27">
        <f t="shared" si="60" ref="Y48:Y53">Y47</f>
        <v>61.781700000000001</v>
      </c>
      <c r="Z48" s="27">
        <f t="shared" si="61" ref="Z48:Z53">Z47</f>
        <v>54.327599999999997</v>
      </c>
      <c r="AA48" s="27">
        <f t="shared" si="62" ref="AA48:AA53">AA47</f>
        <v>46.338999999999999</v>
      </c>
      <c r="AB48" s="27">
        <f t="shared" si="63" ref="AB48:AB53">AB47</f>
        <v>42.782899999999998</v>
      </c>
      <c r="AC48" s="27">
        <f t="shared" si="64" ref="AC48:AC53">AC47</f>
        <v>82.638000000000005</v>
      </c>
      <c r="AD48" s="27">
        <f t="shared" si="65" ref="AD48:AD53">AD47</f>
        <v>15.8658</v>
      </c>
      <c r="AE48" s="27">
        <f t="shared" si="66" ref="AE48:AE53">AE47</f>
        <v>192.143</v>
      </c>
      <c r="AF48" s="27">
        <f t="shared" si="67" ref="AF48:AF53">AF47</f>
        <v>89.929000000000002</v>
      </c>
      <c r="AG48" s="27">
        <f t="shared" si="68" ref="AG48:AG53">AG47</f>
        <v>90.563299999999998</v>
      </c>
      <c r="AH48" s="27">
        <f t="shared" si="69" ref="AH48:AH53">AH47</f>
        <v>21.8232</v>
      </c>
      <c r="AI48" s="27">
        <f t="shared" si="70" ref="AI48:AI53">AI47</f>
        <v>30.152699999999999</v>
      </c>
      <c r="AJ48" s="27">
        <f t="shared" si="71" ref="AJ48:AJ53">AJ47</f>
        <v>65.260599999999997</v>
      </c>
      <c r="AK48" s="27">
        <f t="shared" si="72" ref="AK48:AK53">AK47</f>
        <v>63.827599999999997</v>
      </c>
      <c r="AL48" s="27">
        <f t="shared" si="73" ref="AL48:AL53">AL47</f>
        <v>33.9756</v>
      </c>
      <c r="AM48" s="27">
        <f t="shared" si="74" ref="AM48:AM53">AM47</f>
        <v>37.721600000000002</v>
      </c>
      <c r="AN48" s="27">
        <f t="shared" si="75" ref="AN48:AN53">AN47</f>
        <v>28.950700000000001</v>
      </c>
      <c r="AO48" s="27">
        <f t="shared" si="76" ref="AO48:AO53">AO47</f>
        <v>82.638000000000005</v>
      </c>
      <c r="AP48" s="27">
        <f t="shared" si="77" ref="AP48:AP53">AP47</f>
        <v>110.72</v>
      </c>
      <c r="AQ48" s="27">
        <f t="shared" si="78" ref="AQ48:AQ53">AQ47</f>
        <v>115.751</v>
      </c>
      <c r="AR48" s="27">
        <f t="shared" si="79" ref="AR48:AR53">AR47</f>
        <v>67.526399999999995</v>
      </c>
      <c r="AS48" s="27">
        <f t="shared" si="80" ref="AS48:AS53">AS47</f>
        <v>65.053899999999999</v>
      </c>
    </row>
    <row r="49" spans="1:45" s="27" customFormat="1" ht="14.45" customHeight="1">
      <c r="A49" s="29" t="s">
        <v>248</v>
      </c>
      <c r="B49" s="29" t="s">
        <v>251</v>
      </c>
      <c r="C49" s="29" t="s">
        <v>272</v>
      </c>
      <c r="E49" s="28" t="s">
        <v>30</v>
      </c>
      <c r="F49" s="40">
        <v>2025</v>
      </c>
      <c r="G49" s="29" t="s">
        <v>249</v>
      </c>
      <c r="H49" s="27">
        <f t="shared" si="0"/>
        <v>66.756156756756766</v>
      </c>
      <c r="I49" s="27">
        <f t="shared" si="81" ref="I49:I53">I48</f>
        <v>90.563299999999998</v>
      </c>
      <c r="J49" s="27">
        <f t="shared" si="45"/>
        <v>137.91999999999999</v>
      </c>
      <c r="K49" s="27">
        <f t="shared" si="46"/>
        <v>82.638000000000005</v>
      </c>
      <c r="L49" s="27">
        <f t="shared" si="47"/>
        <v>61.850499999999997</v>
      </c>
      <c r="M49" s="27">
        <f t="shared" si="48"/>
        <v>27.199200000000001</v>
      </c>
      <c r="N49" s="27">
        <f t="shared" si="49"/>
        <v>55.678800000000003</v>
      </c>
      <c r="O49" s="27">
        <f t="shared" si="50"/>
        <v>43.694899999999997</v>
      </c>
      <c r="P49" s="27">
        <f t="shared" si="51"/>
        <v>50.453299999999999</v>
      </c>
      <c r="Q49" s="27">
        <f t="shared" si="52"/>
        <v>80.075500000000005</v>
      </c>
      <c r="R49" s="27">
        <f t="shared" si="53"/>
        <v>37.301299999999998</v>
      </c>
      <c r="S49" s="27">
        <f t="shared" si="54"/>
        <v>45.694899999999997</v>
      </c>
      <c r="T49" s="27">
        <f t="shared" si="55"/>
        <v>90.563299999999998</v>
      </c>
      <c r="U49" s="27">
        <f t="shared" si="56"/>
        <v>79.589699999999993</v>
      </c>
      <c r="V49" s="27">
        <f t="shared" si="57"/>
        <v>59.858400000000003</v>
      </c>
      <c r="W49" s="27">
        <f t="shared" si="58"/>
        <v>44.487099999999998</v>
      </c>
      <c r="X49" s="27">
        <f t="shared" si="59"/>
        <v>82.638000000000005</v>
      </c>
      <c r="Y49" s="27">
        <f t="shared" si="60"/>
        <v>61.781700000000001</v>
      </c>
      <c r="Z49" s="27">
        <f t="shared" si="61"/>
        <v>54.327599999999997</v>
      </c>
      <c r="AA49" s="27">
        <f t="shared" si="62"/>
        <v>46.338999999999999</v>
      </c>
      <c r="AB49" s="27">
        <f t="shared" si="63"/>
        <v>42.782899999999998</v>
      </c>
      <c r="AC49" s="27">
        <f t="shared" si="64"/>
        <v>82.638000000000005</v>
      </c>
      <c r="AD49" s="27">
        <f t="shared" si="65"/>
        <v>15.8658</v>
      </c>
      <c r="AE49" s="27">
        <f t="shared" si="66"/>
        <v>192.143</v>
      </c>
      <c r="AF49" s="27">
        <f t="shared" si="67"/>
        <v>89.929000000000002</v>
      </c>
      <c r="AG49" s="27">
        <f t="shared" si="68"/>
        <v>90.563299999999998</v>
      </c>
      <c r="AH49" s="27">
        <f t="shared" si="69"/>
        <v>21.8232</v>
      </c>
      <c r="AI49" s="27">
        <f t="shared" si="70"/>
        <v>30.152699999999999</v>
      </c>
      <c r="AJ49" s="27">
        <f t="shared" si="71"/>
        <v>65.260599999999997</v>
      </c>
      <c r="AK49" s="27">
        <f t="shared" si="72"/>
        <v>63.827599999999997</v>
      </c>
      <c r="AL49" s="27">
        <f t="shared" si="73"/>
        <v>33.9756</v>
      </c>
      <c r="AM49" s="27">
        <f t="shared" si="74"/>
        <v>37.721600000000002</v>
      </c>
      <c r="AN49" s="27">
        <f t="shared" si="75"/>
        <v>28.950700000000001</v>
      </c>
      <c r="AO49" s="27">
        <f t="shared" si="76"/>
        <v>82.638000000000005</v>
      </c>
      <c r="AP49" s="27">
        <f t="shared" si="77"/>
        <v>110.72</v>
      </c>
      <c r="AQ49" s="27">
        <f t="shared" si="78"/>
        <v>115.751</v>
      </c>
      <c r="AR49" s="27">
        <f t="shared" si="79"/>
        <v>67.526399999999995</v>
      </c>
      <c r="AS49" s="27">
        <f t="shared" si="80"/>
        <v>65.053899999999999</v>
      </c>
    </row>
    <row r="50" spans="1:45" s="27" customFormat="1" ht="14.45" customHeight="1">
      <c r="A50" s="29" t="s">
        <v>248</v>
      </c>
      <c r="B50" s="29" t="s">
        <v>251</v>
      </c>
      <c r="C50" s="29" t="s">
        <v>272</v>
      </c>
      <c r="E50" s="28" t="s">
        <v>30</v>
      </c>
      <c r="F50" s="40">
        <v>2030</v>
      </c>
      <c r="G50" s="29" t="s">
        <v>249</v>
      </c>
      <c r="H50" s="27">
        <f t="shared" si="0"/>
        <v>66.756156756756766</v>
      </c>
      <c r="I50" s="27">
        <f t="shared" si="81"/>
        <v>90.563299999999998</v>
      </c>
      <c r="J50" s="27">
        <f t="shared" si="45"/>
        <v>137.91999999999999</v>
      </c>
      <c r="K50" s="27">
        <f t="shared" si="46"/>
        <v>82.638000000000005</v>
      </c>
      <c r="L50" s="27">
        <f t="shared" si="47"/>
        <v>61.850499999999997</v>
      </c>
      <c r="M50" s="27">
        <f t="shared" si="48"/>
        <v>27.199200000000001</v>
      </c>
      <c r="N50" s="27">
        <f t="shared" si="49"/>
        <v>55.678800000000003</v>
      </c>
      <c r="O50" s="27">
        <f t="shared" si="50"/>
        <v>43.694899999999997</v>
      </c>
      <c r="P50" s="27">
        <f t="shared" si="51"/>
        <v>50.453299999999999</v>
      </c>
      <c r="Q50" s="27">
        <f t="shared" si="52"/>
        <v>80.075500000000005</v>
      </c>
      <c r="R50" s="27">
        <f t="shared" si="53"/>
        <v>37.301299999999998</v>
      </c>
      <c r="S50" s="27">
        <f t="shared" si="54"/>
        <v>45.694899999999997</v>
      </c>
      <c r="T50" s="27">
        <f t="shared" si="55"/>
        <v>90.563299999999998</v>
      </c>
      <c r="U50" s="27">
        <f t="shared" si="56"/>
        <v>79.589699999999993</v>
      </c>
      <c r="V50" s="27">
        <f t="shared" si="57"/>
        <v>59.858400000000003</v>
      </c>
      <c r="W50" s="27">
        <f t="shared" si="58"/>
        <v>44.487099999999998</v>
      </c>
      <c r="X50" s="27">
        <f t="shared" si="59"/>
        <v>82.638000000000005</v>
      </c>
      <c r="Y50" s="27">
        <f t="shared" si="60"/>
        <v>61.781700000000001</v>
      </c>
      <c r="Z50" s="27">
        <f t="shared" si="61"/>
        <v>54.327599999999997</v>
      </c>
      <c r="AA50" s="27">
        <f t="shared" si="62"/>
        <v>46.338999999999999</v>
      </c>
      <c r="AB50" s="27">
        <f t="shared" si="63"/>
        <v>42.782899999999998</v>
      </c>
      <c r="AC50" s="27">
        <f t="shared" si="64"/>
        <v>82.638000000000005</v>
      </c>
      <c r="AD50" s="27">
        <f t="shared" si="65"/>
        <v>15.8658</v>
      </c>
      <c r="AE50" s="27">
        <f t="shared" si="66"/>
        <v>192.143</v>
      </c>
      <c r="AF50" s="27">
        <f t="shared" si="67"/>
        <v>89.929000000000002</v>
      </c>
      <c r="AG50" s="27">
        <f t="shared" si="68"/>
        <v>90.563299999999998</v>
      </c>
      <c r="AH50" s="27">
        <f t="shared" si="69"/>
        <v>21.8232</v>
      </c>
      <c r="AI50" s="27">
        <f t="shared" si="70"/>
        <v>30.152699999999999</v>
      </c>
      <c r="AJ50" s="27">
        <f t="shared" si="71"/>
        <v>65.260599999999997</v>
      </c>
      <c r="AK50" s="27">
        <f t="shared" si="72"/>
        <v>63.827599999999997</v>
      </c>
      <c r="AL50" s="27">
        <f t="shared" si="73"/>
        <v>33.9756</v>
      </c>
      <c r="AM50" s="27">
        <f t="shared" si="74"/>
        <v>37.721600000000002</v>
      </c>
      <c r="AN50" s="27">
        <f t="shared" si="75"/>
        <v>28.950700000000001</v>
      </c>
      <c r="AO50" s="27">
        <f t="shared" si="76"/>
        <v>82.638000000000005</v>
      </c>
      <c r="AP50" s="27">
        <f t="shared" si="77"/>
        <v>110.72</v>
      </c>
      <c r="AQ50" s="27">
        <f t="shared" si="78"/>
        <v>115.751</v>
      </c>
      <c r="AR50" s="27">
        <f t="shared" si="79"/>
        <v>67.526399999999995</v>
      </c>
      <c r="AS50" s="27">
        <f t="shared" si="80"/>
        <v>65.053899999999999</v>
      </c>
    </row>
    <row r="51" spans="1:45" s="27" customFormat="1" ht="14.45" customHeight="1">
      <c r="A51" s="29" t="s">
        <v>248</v>
      </c>
      <c r="B51" s="29" t="s">
        <v>251</v>
      </c>
      <c r="C51" s="29" t="s">
        <v>272</v>
      </c>
      <c r="E51" s="28" t="s">
        <v>30</v>
      </c>
      <c r="F51" s="40">
        <v>2035</v>
      </c>
      <c r="G51" s="29" t="s">
        <v>249</v>
      </c>
      <c r="H51" s="27">
        <f t="shared" si="0"/>
        <v>66.756156756756766</v>
      </c>
      <c r="I51" s="27">
        <f t="shared" si="81"/>
        <v>90.563299999999998</v>
      </c>
      <c r="J51" s="27">
        <f t="shared" si="45"/>
        <v>137.91999999999999</v>
      </c>
      <c r="K51" s="27">
        <f t="shared" si="46"/>
        <v>82.638000000000005</v>
      </c>
      <c r="L51" s="27">
        <f t="shared" si="47"/>
        <v>61.850499999999997</v>
      </c>
      <c r="M51" s="27">
        <f t="shared" si="48"/>
        <v>27.199200000000001</v>
      </c>
      <c r="N51" s="27">
        <f t="shared" si="49"/>
        <v>55.678800000000003</v>
      </c>
      <c r="O51" s="27">
        <f t="shared" si="50"/>
        <v>43.694899999999997</v>
      </c>
      <c r="P51" s="27">
        <f t="shared" si="51"/>
        <v>50.453299999999999</v>
      </c>
      <c r="Q51" s="27">
        <f t="shared" si="52"/>
        <v>80.075500000000005</v>
      </c>
      <c r="R51" s="27">
        <f t="shared" si="53"/>
        <v>37.301299999999998</v>
      </c>
      <c r="S51" s="27">
        <f t="shared" si="54"/>
        <v>45.694899999999997</v>
      </c>
      <c r="T51" s="27">
        <f t="shared" si="55"/>
        <v>90.563299999999998</v>
      </c>
      <c r="U51" s="27">
        <f t="shared" si="56"/>
        <v>79.589699999999993</v>
      </c>
      <c r="V51" s="27">
        <f t="shared" si="57"/>
        <v>59.858400000000003</v>
      </c>
      <c r="W51" s="27">
        <f t="shared" si="58"/>
        <v>44.487099999999998</v>
      </c>
      <c r="X51" s="27">
        <f t="shared" si="59"/>
        <v>82.638000000000005</v>
      </c>
      <c r="Y51" s="27">
        <f t="shared" si="60"/>
        <v>61.781700000000001</v>
      </c>
      <c r="Z51" s="27">
        <f t="shared" si="61"/>
        <v>54.327599999999997</v>
      </c>
      <c r="AA51" s="27">
        <f t="shared" si="62"/>
        <v>46.338999999999999</v>
      </c>
      <c r="AB51" s="27">
        <f t="shared" si="63"/>
        <v>42.782899999999998</v>
      </c>
      <c r="AC51" s="27">
        <f t="shared" si="64"/>
        <v>82.638000000000005</v>
      </c>
      <c r="AD51" s="27">
        <f t="shared" si="65"/>
        <v>15.8658</v>
      </c>
      <c r="AE51" s="27">
        <f t="shared" si="66"/>
        <v>192.143</v>
      </c>
      <c r="AF51" s="27">
        <f t="shared" si="67"/>
        <v>89.929000000000002</v>
      </c>
      <c r="AG51" s="27">
        <f t="shared" si="68"/>
        <v>90.563299999999998</v>
      </c>
      <c r="AH51" s="27">
        <f t="shared" si="69"/>
        <v>21.8232</v>
      </c>
      <c r="AI51" s="27">
        <f t="shared" si="70"/>
        <v>30.152699999999999</v>
      </c>
      <c r="AJ51" s="27">
        <f t="shared" si="71"/>
        <v>65.260599999999997</v>
      </c>
      <c r="AK51" s="27">
        <f t="shared" si="72"/>
        <v>63.827599999999997</v>
      </c>
      <c r="AL51" s="27">
        <f t="shared" si="73"/>
        <v>33.9756</v>
      </c>
      <c r="AM51" s="27">
        <f t="shared" si="74"/>
        <v>37.721600000000002</v>
      </c>
      <c r="AN51" s="27">
        <f t="shared" si="75"/>
        <v>28.950700000000001</v>
      </c>
      <c r="AO51" s="27">
        <f t="shared" si="76"/>
        <v>82.638000000000005</v>
      </c>
      <c r="AP51" s="27">
        <f t="shared" si="77"/>
        <v>110.72</v>
      </c>
      <c r="AQ51" s="27">
        <f t="shared" si="78"/>
        <v>115.751</v>
      </c>
      <c r="AR51" s="27">
        <f t="shared" si="79"/>
        <v>67.526399999999995</v>
      </c>
      <c r="AS51" s="27">
        <f t="shared" si="80"/>
        <v>65.053899999999999</v>
      </c>
    </row>
    <row r="52" spans="1:45" s="27" customFormat="1" ht="14.45" customHeight="1">
      <c r="A52" s="29" t="s">
        <v>248</v>
      </c>
      <c r="B52" s="29" t="s">
        <v>251</v>
      </c>
      <c r="C52" s="29" t="s">
        <v>272</v>
      </c>
      <c r="E52" s="28" t="s">
        <v>30</v>
      </c>
      <c r="F52" s="40">
        <v>2040</v>
      </c>
      <c r="G52" s="29" t="s">
        <v>249</v>
      </c>
      <c r="H52" s="27">
        <f t="shared" si="0"/>
        <v>66.756156756756766</v>
      </c>
      <c r="I52" s="27">
        <f t="shared" si="81"/>
        <v>90.563299999999998</v>
      </c>
      <c r="J52" s="27">
        <f t="shared" si="45"/>
        <v>137.91999999999999</v>
      </c>
      <c r="K52" s="27">
        <f t="shared" si="46"/>
        <v>82.638000000000005</v>
      </c>
      <c r="L52" s="27">
        <f t="shared" si="47"/>
        <v>61.850499999999997</v>
      </c>
      <c r="M52" s="27">
        <f t="shared" si="48"/>
        <v>27.199200000000001</v>
      </c>
      <c r="N52" s="27">
        <f t="shared" si="49"/>
        <v>55.678800000000003</v>
      </c>
      <c r="O52" s="27">
        <f t="shared" si="50"/>
        <v>43.694899999999997</v>
      </c>
      <c r="P52" s="27">
        <f t="shared" si="51"/>
        <v>50.453299999999999</v>
      </c>
      <c r="Q52" s="27">
        <f t="shared" si="52"/>
        <v>80.075500000000005</v>
      </c>
      <c r="R52" s="27">
        <f t="shared" si="53"/>
        <v>37.301299999999998</v>
      </c>
      <c r="S52" s="27">
        <f t="shared" si="54"/>
        <v>45.694899999999997</v>
      </c>
      <c r="T52" s="27">
        <f t="shared" si="55"/>
        <v>90.563299999999998</v>
      </c>
      <c r="U52" s="27">
        <f t="shared" si="56"/>
        <v>79.589699999999993</v>
      </c>
      <c r="V52" s="27">
        <f t="shared" si="57"/>
        <v>59.858400000000003</v>
      </c>
      <c r="W52" s="27">
        <f t="shared" si="58"/>
        <v>44.487099999999998</v>
      </c>
      <c r="X52" s="27">
        <f t="shared" si="59"/>
        <v>82.638000000000005</v>
      </c>
      <c r="Y52" s="27">
        <f t="shared" si="60"/>
        <v>61.781700000000001</v>
      </c>
      <c r="Z52" s="27">
        <f t="shared" si="61"/>
        <v>54.327599999999997</v>
      </c>
      <c r="AA52" s="27">
        <f t="shared" si="62"/>
        <v>46.338999999999999</v>
      </c>
      <c r="AB52" s="27">
        <f t="shared" si="63"/>
        <v>42.782899999999998</v>
      </c>
      <c r="AC52" s="27">
        <f t="shared" si="64"/>
        <v>82.638000000000005</v>
      </c>
      <c r="AD52" s="27">
        <f t="shared" si="65"/>
        <v>15.8658</v>
      </c>
      <c r="AE52" s="27">
        <f t="shared" si="66"/>
        <v>192.143</v>
      </c>
      <c r="AF52" s="27">
        <f t="shared" si="67"/>
        <v>89.929000000000002</v>
      </c>
      <c r="AG52" s="27">
        <f t="shared" si="68"/>
        <v>90.563299999999998</v>
      </c>
      <c r="AH52" s="27">
        <f t="shared" si="69"/>
        <v>21.8232</v>
      </c>
      <c r="AI52" s="27">
        <f t="shared" si="70"/>
        <v>30.152699999999999</v>
      </c>
      <c r="AJ52" s="27">
        <f t="shared" si="71"/>
        <v>65.260599999999997</v>
      </c>
      <c r="AK52" s="27">
        <f t="shared" si="72"/>
        <v>63.827599999999997</v>
      </c>
      <c r="AL52" s="27">
        <f t="shared" si="73"/>
        <v>33.9756</v>
      </c>
      <c r="AM52" s="27">
        <f t="shared" si="74"/>
        <v>37.721600000000002</v>
      </c>
      <c r="AN52" s="27">
        <f t="shared" si="75"/>
        <v>28.950700000000001</v>
      </c>
      <c r="AO52" s="27">
        <f t="shared" si="76"/>
        <v>82.638000000000005</v>
      </c>
      <c r="AP52" s="27">
        <f t="shared" si="77"/>
        <v>110.72</v>
      </c>
      <c r="AQ52" s="27">
        <f t="shared" si="78"/>
        <v>115.751</v>
      </c>
      <c r="AR52" s="27">
        <f t="shared" si="79"/>
        <v>67.526399999999995</v>
      </c>
      <c r="AS52" s="27">
        <f t="shared" si="80"/>
        <v>65.053899999999999</v>
      </c>
    </row>
    <row r="53" spans="1:45" s="53" customFormat="1" ht="14.45" customHeight="1">
      <c r="A53" s="52" t="s">
        <v>248</v>
      </c>
      <c r="B53" s="52" t="s">
        <v>251</v>
      </c>
      <c r="C53" s="52" t="s">
        <v>272</v>
      </c>
      <c r="E53" s="54" t="s">
        <v>30</v>
      </c>
      <c r="F53" s="55">
        <v>2050</v>
      </c>
      <c r="G53" s="52" t="s">
        <v>249</v>
      </c>
      <c r="H53" s="53">
        <f t="shared" si="0"/>
        <v>66.756156756756766</v>
      </c>
      <c r="I53" s="53">
        <f t="shared" si="81"/>
        <v>90.563299999999998</v>
      </c>
      <c r="J53" s="53">
        <f t="shared" si="45"/>
        <v>137.91999999999999</v>
      </c>
      <c r="K53" s="53">
        <f t="shared" si="46"/>
        <v>82.638000000000005</v>
      </c>
      <c r="L53" s="53">
        <f t="shared" si="47"/>
        <v>61.850499999999997</v>
      </c>
      <c r="M53" s="53">
        <f t="shared" si="48"/>
        <v>27.199200000000001</v>
      </c>
      <c r="N53" s="53">
        <f t="shared" si="49"/>
        <v>55.678800000000003</v>
      </c>
      <c r="O53" s="53">
        <f t="shared" si="50"/>
        <v>43.694899999999997</v>
      </c>
      <c r="P53" s="53">
        <f t="shared" si="51"/>
        <v>50.453299999999999</v>
      </c>
      <c r="Q53" s="53">
        <f t="shared" si="52"/>
        <v>80.075500000000005</v>
      </c>
      <c r="R53" s="53">
        <f t="shared" si="53"/>
        <v>37.301299999999998</v>
      </c>
      <c r="S53" s="53">
        <f t="shared" si="54"/>
        <v>45.694899999999997</v>
      </c>
      <c r="T53" s="53">
        <f t="shared" si="55"/>
        <v>90.563299999999998</v>
      </c>
      <c r="U53" s="53">
        <f t="shared" si="56"/>
        <v>79.589699999999993</v>
      </c>
      <c r="V53" s="53">
        <f t="shared" si="57"/>
        <v>59.858400000000003</v>
      </c>
      <c r="W53" s="53">
        <f t="shared" si="58"/>
        <v>44.487099999999998</v>
      </c>
      <c r="X53" s="53">
        <f t="shared" si="59"/>
        <v>82.638000000000005</v>
      </c>
      <c r="Y53" s="53">
        <f t="shared" si="60"/>
        <v>61.781700000000001</v>
      </c>
      <c r="Z53" s="53">
        <f t="shared" si="61"/>
        <v>54.327599999999997</v>
      </c>
      <c r="AA53" s="53">
        <f t="shared" si="62"/>
        <v>46.338999999999999</v>
      </c>
      <c r="AB53" s="53">
        <f t="shared" si="63"/>
        <v>42.782899999999998</v>
      </c>
      <c r="AC53" s="53">
        <f t="shared" si="64"/>
        <v>82.638000000000005</v>
      </c>
      <c r="AD53" s="53">
        <f t="shared" si="65"/>
        <v>15.8658</v>
      </c>
      <c r="AE53" s="53">
        <f t="shared" si="66"/>
        <v>192.143</v>
      </c>
      <c r="AF53" s="53">
        <f t="shared" si="67"/>
        <v>89.929000000000002</v>
      </c>
      <c r="AG53" s="53">
        <f t="shared" si="68"/>
        <v>90.563299999999998</v>
      </c>
      <c r="AH53" s="53">
        <f t="shared" si="69"/>
        <v>21.8232</v>
      </c>
      <c r="AI53" s="53">
        <f t="shared" si="70"/>
        <v>30.152699999999999</v>
      </c>
      <c r="AJ53" s="53">
        <f t="shared" si="71"/>
        <v>65.260599999999997</v>
      </c>
      <c r="AK53" s="53">
        <f t="shared" si="72"/>
        <v>63.827599999999997</v>
      </c>
      <c r="AL53" s="53">
        <f t="shared" si="73"/>
        <v>33.9756</v>
      </c>
      <c r="AM53" s="53">
        <f t="shared" si="74"/>
        <v>37.721600000000002</v>
      </c>
      <c r="AN53" s="53">
        <f t="shared" si="75"/>
        <v>28.950700000000001</v>
      </c>
      <c r="AO53" s="53">
        <f t="shared" si="76"/>
        <v>82.638000000000005</v>
      </c>
      <c r="AP53" s="53">
        <f t="shared" si="77"/>
        <v>110.72</v>
      </c>
      <c r="AQ53" s="53">
        <f t="shared" si="78"/>
        <v>115.751</v>
      </c>
      <c r="AR53" s="53">
        <f t="shared" si="79"/>
        <v>67.526399999999995</v>
      </c>
      <c r="AS53" s="53">
        <f t="shared" si="80"/>
        <v>65.053899999999999</v>
      </c>
    </row>
    <row r="54" spans="1:45" s="30" customFormat="1" ht="14.45" customHeight="1">
      <c r="A54" s="32" t="s">
        <v>248</v>
      </c>
      <c r="B54" s="34" t="s">
        <v>253</v>
      </c>
      <c r="C54" s="34" t="s">
        <v>265</v>
      </c>
      <c r="E54" s="31" t="s">
        <v>30</v>
      </c>
      <c r="F54" s="39">
        <v>2010</v>
      </c>
      <c r="G54" s="30" t="s">
        <v>101</v>
      </c>
      <c r="H54" s="30">
        <f t="shared" si="0"/>
        <v>59.629108333333321</v>
      </c>
      <c r="I54" s="30">
        <v>69.344200000000001</v>
      </c>
      <c r="J54" s="30">
        <v>103.075</v>
      </c>
      <c r="K54" s="30">
        <v>78.566500000000005</v>
      </c>
      <c r="L54" s="30">
        <v>68.863600000000005</v>
      </c>
      <c r="M54" s="30">
        <v>23.736799999999999</v>
      </c>
      <c r="N54" s="30">
        <v>56.004600000000003</v>
      </c>
      <c r="O54" s="30">
        <v>36.5657</v>
      </c>
      <c r="P54" s="30">
        <v>40.363799999999998</v>
      </c>
      <c r="Q54" s="30">
        <v>35.722799999999999</v>
      </c>
      <c r="R54" s="30">
        <v>99.782899999999998</v>
      </c>
      <c r="S54" s="30" t="s">
        <v>275</v>
      </c>
      <c r="T54" s="30">
        <v>69.344200000000001</v>
      </c>
      <c r="U54" s="30">
        <v>31.154800000000002</v>
      </c>
      <c r="V54" s="30">
        <v>60.418599999999998</v>
      </c>
      <c r="W54" s="30">
        <v>44.388800000000003</v>
      </c>
      <c r="X54" s="30">
        <v>78.566500000000005</v>
      </c>
      <c r="Y54" s="30">
        <v>48.915199999999999</v>
      </c>
      <c r="Z54" s="30">
        <v>53.386299999999999</v>
      </c>
      <c r="AA54" s="30">
        <v>46.338999999999999</v>
      </c>
      <c r="AB54" s="30">
        <v>43.805700000000002</v>
      </c>
      <c r="AC54" s="30">
        <v>78.566500000000005</v>
      </c>
      <c r="AD54" s="30">
        <v>38.915300000000002</v>
      </c>
      <c r="AE54" s="30">
        <v>192.048</v>
      </c>
      <c r="AF54" s="30">
        <v>99.701899999999995</v>
      </c>
      <c r="AG54" s="30">
        <v>69.344200000000001</v>
      </c>
      <c r="AH54" s="30">
        <v>22.366299999999999</v>
      </c>
      <c r="AI54" s="30">
        <v>10.2369</v>
      </c>
      <c r="AJ54" s="30">
        <v>65.427599999999998</v>
      </c>
      <c r="AK54" s="30">
        <v>63.8277</v>
      </c>
      <c r="AL54" s="30">
        <v>33.184199999999997</v>
      </c>
      <c r="AM54" s="30">
        <v>31.991499999999998</v>
      </c>
      <c r="AN54" s="30">
        <v>26.405999999999999</v>
      </c>
      <c r="AO54" s="30">
        <v>78.566500000000005</v>
      </c>
      <c r="AP54" s="30">
        <v>104.86799999999999</v>
      </c>
      <c r="AQ54" s="30">
        <v>19.151299999999999</v>
      </c>
      <c r="AR54" s="30">
        <v>67.831000000000003</v>
      </c>
      <c r="AS54" s="30">
        <v>55.87</v>
      </c>
    </row>
    <row r="55" spans="1:45" s="30" customFormat="1" ht="14.45" customHeight="1">
      <c r="A55" s="32" t="s">
        <v>248</v>
      </c>
      <c r="B55" s="34" t="s">
        <v>253</v>
      </c>
      <c r="C55" s="34" t="s">
        <v>265</v>
      </c>
      <c r="E55" s="31" t="s">
        <v>30</v>
      </c>
      <c r="F55" s="39">
        <v>2020</v>
      </c>
      <c r="G55" s="30" t="s">
        <v>101</v>
      </c>
      <c r="H55" s="30">
        <f t="shared" si="0"/>
        <v>59.629108333333321</v>
      </c>
      <c r="I55" s="30">
        <f>I54</f>
        <v>69.344200000000001</v>
      </c>
      <c r="J55" s="30">
        <f t="shared" si="82" ref="J55:J60">J54</f>
        <v>103.075</v>
      </c>
      <c r="K55" s="30">
        <f t="shared" si="83" ref="K55:K60">K54</f>
        <v>78.566500000000005</v>
      </c>
      <c r="L55" s="30">
        <f t="shared" si="84" ref="L55:L60">L54</f>
        <v>68.863600000000005</v>
      </c>
      <c r="M55" s="30">
        <f t="shared" si="85" ref="M55:M60">M54</f>
        <v>23.736799999999999</v>
      </c>
      <c r="N55" s="30">
        <f t="shared" si="86" ref="N55:N60">N54</f>
        <v>56.004600000000003</v>
      </c>
      <c r="O55" s="30">
        <f t="shared" si="87" ref="O55:O60">O54</f>
        <v>36.5657</v>
      </c>
      <c r="P55" s="30">
        <f t="shared" si="88" ref="P55:R67">P54</f>
        <v>40.363799999999998</v>
      </c>
      <c r="Q55" s="30">
        <f t="shared" si="89" ref="Q55:Q60">Q54</f>
        <v>35.722799999999999</v>
      </c>
      <c r="R55" s="30">
        <f t="shared" si="90" ref="R55:R60">R54</f>
        <v>99.782899999999998</v>
      </c>
      <c r="S55" s="30" t="str">
        <f t="shared" si="91" ref="S55:S60">S54</f>
        <v/>
      </c>
      <c r="T55" s="30">
        <f t="shared" si="92" ref="T55:T60">T54</f>
        <v>69.344200000000001</v>
      </c>
      <c r="U55" s="30">
        <f t="shared" si="93" ref="U55:U60">U54</f>
        <v>31.154800000000002</v>
      </c>
      <c r="V55" s="30">
        <f t="shared" si="94" ref="V55:V60">V54</f>
        <v>60.418599999999998</v>
      </c>
      <c r="W55" s="30">
        <f t="shared" si="95" ref="W55:W60">W54</f>
        <v>44.388800000000003</v>
      </c>
      <c r="X55" s="30">
        <f t="shared" si="96" ref="X55:X60">X54</f>
        <v>78.566500000000005</v>
      </c>
      <c r="Y55" s="30">
        <f t="shared" si="97" ref="Y55:Y60">Y54</f>
        <v>48.915199999999999</v>
      </c>
      <c r="Z55" s="30">
        <f t="shared" si="98" ref="Z55:Z60">Z54</f>
        <v>53.386299999999999</v>
      </c>
      <c r="AA55" s="30">
        <f t="shared" si="99" ref="AA55:AA60">AA54</f>
        <v>46.338999999999999</v>
      </c>
      <c r="AB55" s="30">
        <f t="shared" si="100" ref="AB55:AB60">AB54</f>
        <v>43.805700000000002</v>
      </c>
      <c r="AC55" s="30">
        <f t="shared" si="101" ref="AC55:AC60">AC54</f>
        <v>78.566500000000005</v>
      </c>
      <c r="AD55" s="30">
        <f t="shared" si="102" ref="AD55:AD60">AD54</f>
        <v>38.915300000000002</v>
      </c>
      <c r="AE55" s="30">
        <f t="shared" si="103" ref="AE55:AE60">AE54</f>
        <v>192.048</v>
      </c>
      <c r="AF55" s="30">
        <f t="shared" si="104" ref="AF55:AF60">AF54</f>
        <v>99.701899999999995</v>
      </c>
      <c r="AG55" s="30">
        <f t="shared" si="105" ref="AG55:AG60">AG54</f>
        <v>69.344200000000001</v>
      </c>
      <c r="AH55" s="30">
        <f t="shared" si="106" ref="AH55:AH60">AH54</f>
        <v>22.366299999999999</v>
      </c>
      <c r="AI55" s="30">
        <f t="shared" si="107" ref="AI55:AI60">AI54</f>
        <v>10.2369</v>
      </c>
      <c r="AJ55" s="30">
        <f t="shared" si="108" ref="AJ55:AJ60">AJ54</f>
        <v>65.427599999999998</v>
      </c>
      <c r="AK55" s="30">
        <f t="shared" si="109" ref="AK55:AK60">AK54</f>
        <v>63.8277</v>
      </c>
      <c r="AL55" s="30">
        <f t="shared" si="110" ref="AL55:AL60">AL54</f>
        <v>33.184199999999997</v>
      </c>
      <c r="AM55" s="30">
        <f t="shared" si="111" ref="AM55:AM60">AM54</f>
        <v>31.991499999999998</v>
      </c>
      <c r="AN55" s="30">
        <f t="shared" si="112" ref="AN55:AN60">AN54</f>
        <v>26.405999999999999</v>
      </c>
      <c r="AO55" s="30">
        <f t="shared" si="113" ref="AO55:AO60">AO54</f>
        <v>78.566500000000005</v>
      </c>
      <c r="AP55" s="30">
        <f t="shared" si="114" ref="AP55:AP60">AP54</f>
        <v>104.86799999999999</v>
      </c>
      <c r="AQ55" s="30">
        <f t="shared" si="115" ref="AQ55:AQ60">AQ54</f>
        <v>19.151299999999999</v>
      </c>
      <c r="AR55" s="30">
        <f t="shared" si="116" ref="AR55:AR60">AR54</f>
        <v>67.831000000000003</v>
      </c>
      <c r="AS55" s="30">
        <f t="shared" si="117" ref="AS55:AS60">AS54</f>
        <v>55.869999999999997</v>
      </c>
    </row>
    <row r="56" spans="1:45" s="30" customFormat="1" ht="14.45" customHeight="1">
      <c r="A56" s="32" t="s">
        <v>248</v>
      </c>
      <c r="B56" s="34" t="s">
        <v>253</v>
      </c>
      <c r="C56" s="34" t="s">
        <v>265</v>
      </c>
      <c r="E56" s="31" t="s">
        <v>30</v>
      </c>
      <c r="F56" s="39">
        <v>2025</v>
      </c>
      <c r="G56" s="30" t="s">
        <v>101</v>
      </c>
      <c r="H56" s="30">
        <f t="shared" si="0"/>
        <v>59.629108333333321</v>
      </c>
      <c r="I56" s="30">
        <f t="shared" si="118" ref="I56:I60">I55</f>
        <v>69.344200000000001</v>
      </c>
      <c r="J56" s="30">
        <f t="shared" si="82"/>
        <v>103.075</v>
      </c>
      <c r="K56" s="30">
        <f t="shared" si="83"/>
        <v>78.566500000000005</v>
      </c>
      <c r="L56" s="30">
        <f t="shared" si="84"/>
        <v>68.863600000000005</v>
      </c>
      <c r="M56" s="30">
        <f t="shared" si="85"/>
        <v>23.736799999999999</v>
      </c>
      <c r="N56" s="30">
        <f t="shared" si="86"/>
        <v>56.004600000000003</v>
      </c>
      <c r="O56" s="30">
        <f t="shared" si="87"/>
        <v>36.5657</v>
      </c>
      <c r="P56" s="30">
        <f t="shared" si="88"/>
        <v>40.363799999999998</v>
      </c>
      <c r="Q56" s="30">
        <f t="shared" si="89"/>
        <v>35.722799999999999</v>
      </c>
      <c r="R56" s="30">
        <f t="shared" si="90"/>
        <v>99.782899999999998</v>
      </c>
      <c r="S56" s="30" t="str">
        <f t="shared" si="91"/>
        <v/>
      </c>
      <c r="T56" s="30">
        <f t="shared" si="92"/>
        <v>69.344200000000001</v>
      </c>
      <c r="U56" s="30">
        <f t="shared" si="93"/>
        <v>31.154800000000002</v>
      </c>
      <c r="V56" s="30">
        <f t="shared" si="94"/>
        <v>60.418599999999998</v>
      </c>
      <c r="W56" s="30">
        <f t="shared" si="95"/>
        <v>44.388800000000003</v>
      </c>
      <c r="X56" s="30">
        <f t="shared" si="96"/>
        <v>78.566500000000005</v>
      </c>
      <c r="Y56" s="30">
        <f t="shared" si="97"/>
        <v>48.915199999999999</v>
      </c>
      <c r="Z56" s="30">
        <f t="shared" si="98"/>
        <v>53.386299999999999</v>
      </c>
      <c r="AA56" s="30">
        <f t="shared" si="99"/>
        <v>46.338999999999999</v>
      </c>
      <c r="AB56" s="30">
        <f t="shared" si="100"/>
        <v>43.805700000000002</v>
      </c>
      <c r="AC56" s="30">
        <f t="shared" si="101"/>
        <v>78.566500000000005</v>
      </c>
      <c r="AD56" s="30">
        <f t="shared" si="102"/>
        <v>38.915300000000002</v>
      </c>
      <c r="AE56" s="30">
        <f t="shared" si="103"/>
        <v>192.048</v>
      </c>
      <c r="AF56" s="30">
        <f t="shared" si="104"/>
        <v>99.701899999999995</v>
      </c>
      <c r="AG56" s="30">
        <f t="shared" si="105"/>
        <v>69.344200000000001</v>
      </c>
      <c r="AH56" s="30">
        <f t="shared" si="106"/>
        <v>22.366299999999999</v>
      </c>
      <c r="AI56" s="30">
        <f t="shared" si="107"/>
        <v>10.2369</v>
      </c>
      <c r="AJ56" s="30">
        <f t="shared" si="108"/>
        <v>65.427599999999998</v>
      </c>
      <c r="AK56" s="30">
        <f t="shared" si="109"/>
        <v>63.8277</v>
      </c>
      <c r="AL56" s="30">
        <f t="shared" si="110"/>
        <v>33.184199999999997</v>
      </c>
      <c r="AM56" s="30">
        <f t="shared" si="111"/>
        <v>31.991499999999998</v>
      </c>
      <c r="AN56" s="30">
        <f t="shared" si="112"/>
        <v>26.405999999999999</v>
      </c>
      <c r="AO56" s="30">
        <f t="shared" si="113"/>
        <v>78.566500000000005</v>
      </c>
      <c r="AP56" s="30">
        <f t="shared" si="114"/>
        <v>104.86799999999999</v>
      </c>
      <c r="AQ56" s="30">
        <f t="shared" si="115"/>
        <v>19.151299999999999</v>
      </c>
      <c r="AR56" s="30">
        <f t="shared" si="116"/>
        <v>67.831000000000003</v>
      </c>
      <c r="AS56" s="30">
        <f t="shared" si="117"/>
        <v>55.869999999999997</v>
      </c>
    </row>
    <row r="57" spans="1:45" s="30" customFormat="1" ht="14.45" customHeight="1">
      <c r="A57" s="32" t="s">
        <v>248</v>
      </c>
      <c r="B57" s="34" t="s">
        <v>253</v>
      </c>
      <c r="C57" s="34" t="s">
        <v>265</v>
      </c>
      <c r="E57" s="31" t="s">
        <v>30</v>
      </c>
      <c r="F57" s="39">
        <v>2030</v>
      </c>
      <c r="G57" s="30" t="s">
        <v>101</v>
      </c>
      <c r="H57" s="30">
        <f t="shared" si="0"/>
        <v>59.629108333333321</v>
      </c>
      <c r="I57" s="30">
        <f t="shared" si="118"/>
        <v>69.344200000000001</v>
      </c>
      <c r="J57" s="30">
        <f t="shared" si="82"/>
        <v>103.075</v>
      </c>
      <c r="K57" s="30">
        <f t="shared" si="83"/>
        <v>78.566500000000005</v>
      </c>
      <c r="L57" s="30">
        <f t="shared" si="84"/>
        <v>68.863600000000005</v>
      </c>
      <c r="M57" s="30">
        <f t="shared" si="85"/>
        <v>23.736799999999999</v>
      </c>
      <c r="N57" s="30">
        <f t="shared" si="86"/>
        <v>56.004600000000003</v>
      </c>
      <c r="O57" s="30">
        <f t="shared" si="87"/>
        <v>36.5657</v>
      </c>
      <c r="P57" s="30">
        <f t="shared" si="88"/>
        <v>40.363799999999998</v>
      </c>
      <c r="Q57" s="30">
        <f t="shared" si="89"/>
        <v>35.722799999999999</v>
      </c>
      <c r="R57" s="30">
        <f t="shared" si="90"/>
        <v>99.782899999999998</v>
      </c>
      <c r="S57" s="30" t="str">
        <f t="shared" si="91"/>
        <v/>
      </c>
      <c r="T57" s="30">
        <f t="shared" si="92"/>
        <v>69.344200000000001</v>
      </c>
      <c r="U57" s="30">
        <f t="shared" si="93"/>
        <v>31.154800000000002</v>
      </c>
      <c r="V57" s="30">
        <f t="shared" si="94"/>
        <v>60.418599999999998</v>
      </c>
      <c r="W57" s="30">
        <f t="shared" si="95"/>
        <v>44.388800000000003</v>
      </c>
      <c r="X57" s="30">
        <f t="shared" si="96"/>
        <v>78.566500000000005</v>
      </c>
      <c r="Y57" s="30">
        <f t="shared" si="97"/>
        <v>48.915199999999999</v>
      </c>
      <c r="Z57" s="30">
        <f t="shared" si="98"/>
        <v>53.386299999999999</v>
      </c>
      <c r="AA57" s="30">
        <f t="shared" si="99"/>
        <v>46.338999999999999</v>
      </c>
      <c r="AB57" s="30">
        <f t="shared" si="100"/>
        <v>43.805700000000002</v>
      </c>
      <c r="AC57" s="30">
        <f t="shared" si="101"/>
        <v>78.566500000000005</v>
      </c>
      <c r="AD57" s="30">
        <f t="shared" si="102"/>
        <v>38.915300000000002</v>
      </c>
      <c r="AE57" s="30">
        <f t="shared" si="103"/>
        <v>192.048</v>
      </c>
      <c r="AF57" s="30">
        <f t="shared" si="104"/>
        <v>99.701899999999995</v>
      </c>
      <c r="AG57" s="30">
        <f t="shared" si="105"/>
        <v>69.344200000000001</v>
      </c>
      <c r="AH57" s="30">
        <f t="shared" si="106"/>
        <v>22.366299999999999</v>
      </c>
      <c r="AI57" s="30">
        <f t="shared" si="107"/>
        <v>10.2369</v>
      </c>
      <c r="AJ57" s="30">
        <f t="shared" si="108"/>
        <v>65.427599999999998</v>
      </c>
      <c r="AK57" s="30">
        <f t="shared" si="109"/>
        <v>63.8277</v>
      </c>
      <c r="AL57" s="30">
        <f t="shared" si="110"/>
        <v>33.184199999999997</v>
      </c>
      <c r="AM57" s="30">
        <f t="shared" si="111"/>
        <v>31.991499999999998</v>
      </c>
      <c r="AN57" s="30">
        <f t="shared" si="112"/>
        <v>26.405999999999999</v>
      </c>
      <c r="AO57" s="30">
        <f t="shared" si="113"/>
        <v>78.566500000000005</v>
      </c>
      <c r="AP57" s="30">
        <f t="shared" si="114"/>
        <v>104.86799999999999</v>
      </c>
      <c r="AQ57" s="30">
        <f t="shared" si="115"/>
        <v>19.151299999999999</v>
      </c>
      <c r="AR57" s="30">
        <f t="shared" si="116"/>
        <v>67.831000000000003</v>
      </c>
      <c r="AS57" s="30">
        <f t="shared" si="117"/>
        <v>55.869999999999997</v>
      </c>
    </row>
    <row r="58" spans="1:45" s="30" customFormat="1" ht="14.45" customHeight="1">
      <c r="A58" s="32" t="s">
        <v>248</v>
      </c>
      <c r="B58" s="34" t="s">
        <v>253</v>
      </c>
      <c r="C58" s="34" t="s">
        <v>265</v>
      </c>
      <c r="E58" s="31" t="s">
        <v>30</v>
      </c>
      <c r="F58" s="39">
        <v>2035</v>
      </c>
      <c r="G58" s="30" t="s">
        <v>101</v>
      </c>
      <c r="H58" s="30">
        <f t="shared" si="0"/>
        <v>59.629108333333321</v>
      </c>
      <c r="I58" s="30">
        <f t="shared" si="118"/>
        <v>69.344200000000001</v>
      </c>
      <c r="J58" s="30">
        <f t="shared" si="82"/>
        <v>103.075</v>
      </c>
      <c r="K58" s="30">
        <f t="shared" si="83"/>
        <v>78.566500000000005</v>
      </c>
      <c r="L58" s="30">
        <f t="shared" si="84"/>
        <v>68.863600000000005</v>
      </c>
      <c r="M58" s="30">
        <f t="shared" si="85"/>
        <v>23.736799999999999</v>
      </c>
      <c r="N58" s="30">
        <f t="shared" si="86"/>
        <v>56.004600000000003</v>
      </c>
      <c r="O58" s="30">
        <f t="shared" si="87"/>
        <v>36.5657</v>
      </c>
      <c r="P58" s="30">
        <f t="shared" si="88"/>
        <v>40.363799999999998</v>
      </c>
      <c r="Q58" s="30">
        <f t="shared" si="89"/>
        <v>35.722799999999999</v>
      </c>
      <c r="R58" s="30">
        <f t="shared" si="90"/>
        <v>99.782899999999998</v>
      </c>
      <c r="S58" s="30" t="str">
        <f t="shared" si="91"/>
        <v/>
      </c>
      <c r="T58" s="30">
        <f t="shared" si="92"/>
        <v>69.344200000000001</v>
      </c>
      <c r="U58" s="30">
        <f t="shared" si="93"/>
        <v>31.154800000000002</v>
      </c>
      <c r="V58" s="30">
        <f t="shared" si="94"/>
        <v>60.418599999999998</v>
      </c>
      <c r="W58" s="30">
        <f t="shared" si="95"/>
        <v>44.388800000000003</v>
      </c>
      <c r="X58" s="30">
        <f t="shared" si="96"/>
        <v>78.566500000000005</v>
      </c>
      <c r="Y58" s="30">
        <f t="shared" si="97"/>
        <v>48.915199999999999</v>
      </c>
      <c r="Z58" s="30">
        <f t="shared" si="98"/>
        <v>53.386299999999999</v>
      </c>
      <c r="AA58" s="30">
        <f t="shared" si="99"/>
        <v>46.338999999999999</v>
      </c>
      <c r="AB58" s="30">
        <f t="shared" si="100"/>
        <v>43.805700000000002</v>
      </c>
      <c r="AC58" s="30">
        <f t="shared" si="101"/>
        <v>78.566500000000005</v>
      </c>
      <c r="AD58" s="30">
        <f t="shared" si="102"/>
        <v>38.915300000000002</v>
      </c>
      <c r="AE58" s="30">
        <f t="shared" si="103"/>
        <v>192.048</v>
      </c>
      <c r="AF58" s="30">
        <f t="shared" si="104"/>
        <v>99.701899999999995</v>
      </c>
      <c r="AG58" s="30">
        <f t="shared" si="105"/>
        <v>69.344200000000001</v>
      </c>
      <c r="AH58" s="30">
        <f t="shared" si="106"/>
        <v>22.366299999999999</v>
      </c>
      <c r="AI58" s="30">
        <f t="shared" si="107"/>
        <v>10.2369</v>
      </c>
      <c r="AJ58" s="30">
        <f t="shared" si="108"/>
        <v>65.427599999999998</v>
      </c>
      <c r="AK58" s="30">
        <f t="shared" si="109"/>
        <v>63.8277</v>
      </c>
      <c r="AL58" s="30">
        <f t="shared" si="110"/>
        <v>33.184199999999997</v>
      </c>
      <c r="AM58" s="30">
        <f t="shared" si="111"/>
        <v>31.991499999999998</v>
      </c>
      <c r="AN58" s="30">
        <f t="shared" si="112"/>
        <v>26.405999999999999</v>
      </c>
      <c r="AO58" s="30">
        <f t="shared" si="113"/>
        <v>78.566500000000005</v>
      </c>
      <c r="AP58" s="30">
        <f t="shared" si="114"/>
        <v>104.86799999999999</v>
      </c>
      <c r="AQ58" s="30">
        <f t="shared" si="115"/>
        <v>19.151299999999999</v>
      </c>
      <c r="AR58" s="30">
        <f t="shared" si="116"/>
        <v>67.831000000000003</v>
      </c>
      <c r="AS58" s="30">
        <f t="shared" si="117"/>
        <v>55.869999999999997</v>
      </c>
    </row>
    <row r="59" spans="1:45" s="30" customFormat="1" ht="14.45" customHeight="1">
      <c r="A59" s="32" t="s">
        <v>248</v>
      </c>
      <c r="B59" s="34" t="s">
        <v>253</v>
      </c>
      <c r="C59" s="34" t="s">
        <v>265</v>
      </c>
      <c r="E59" s="31" t="s">
        <v>30</v>
      </c>
      <c r="F59" s="39">
        <v>2040</v>
      </c>
      <c r="G59" s="30" t="s">
        <v>101</v>
      </c>
      <c r="H59" s="30">
        <f t="shared" si="0"/>
        <v>59.629108333333321</v>
      </c>
      <c r="I59" s="30">
        <f t="shared" si="118"/>
        <v>69.344200000000001</v>
      </c>
      <c r="J59" s="30">
        <f t="shared" si="82"/>
        <v>103.075</v>
      </c>
      <c r="K59" s="30">
        <f t="shared" si="83"/>
        <v>78.566500000000005</v>
      </c>
      <c r="L59" s="30">
        <f t="shared" si="84"/>
        <v>68.863600000000005</v>
      </c>
      <c r="M59" s="30">
        <f t="shared" si="85"/>
        <v>23.736799999999999</v>
      </c>
      <c r="N59" s="30">
        <f t="shared" si="86"/>
        <v>56.004600000000003</v>
      </c>
      <c r="O59" s="30">
        <f t="shared" si="87"/>
        <v>36.5657</v>
      </c>
      <c r="P59" s="30">
        <f t="shared" si="88"/>
        <v>40.363799999999998</v>
      </c>
      <c r="Q59" s="30">
        <f t="shared" si="89"/>
        <v>35.722799999999999</v>
      </c>
      <c r="R59" s="30">
        <f t="shared" si="90"/>
        <v>99.782899999999998</v>
      </c>
      <c r="S59" s="30" t="str">
        <f t="shared" si="91"/>
        <v/>
      </c>
      <c r="T59" s="30">
        <f t="shared" si="92"/>
        <v>69.344200000000001</v>
      </c>
      <c r="U59" s="30">
        <f t="shared" si="93"/>
        <v>31.154800000000002</v>
      </c>
      <c r="V59" s="30">
        <f t="shared" si="94"/>
        <v>60.418599999999998</v>
      </c>
      <c r="W59" s="30">
        <f t="shared" si="95"/>
        <v>44.388800000000003</v>
      </c>
      <c r="X59" s="30">
        <f t="shared" si="96"/>
        <v>78.566500000000005</v>
      </c>
      <c r="Y59" s="30">
        <f t="shared" si="97"/>
        <v>48.915199999999999</v>
      </c>
      <c r="Z59" s="30">
        <f t="shared" si="98"/>
        <v>53.386299999999999</v>
      </c>
      <c r="AA59" s="30">
        <f t="shared" si="99"/>
        <v>46.338999999999999</v>
      </c>
      <c r="AB59" s="30">
        <f t="shared" si="100"/>
        <v>43.805700000000002</v>
      </c>
      <c r="AC59" s="30">
        <f t="shared" si="101"/>
        <v>78.566500000000005</v>
      </c>
      <c r="AD59" s="30">
        <f t="shared" si="102"/>
        <v>38.915300000000002</v>
      </c>
      <c r="AE59" s="30">
        <f t="shared" si="103"/>
        <v>192.048</v>
      </c>
      <c r="AF59" s="30">
        <f t="shared" si="104"/>
        <v>99.701899999999995</v>
      </c>
      <c r="AG59" s="30">
        <f t="shared" si="105"/>
        <v>69.344200000000001</v>
      </c>
      <c r="AH59" s="30">
        <f t="shared" si="106"/>
        <v>22.366299999999999</v>
      </c>
      <c r="AI59" s="30">
        <f t="shared" si="107"/>
        <v>10.2369</v>
      </c>
      <c r="AJ59" s="30">
        <f t="shared" si="108"/>
        <v>65.427599999999998</v>
      </c>
      <c r="AK59" s="30">
        <f t="shared" si="109"/>
        <v>63.8277</v>
      </c>
      <c r="AL59" s="30">
        <f t="shared" si="110"/>
        <v>33.184199999999997</v>
      </c>
      <c r="AM59" s="30">
        <f t="shared" si="111"/>
        <v>31.991499999999998</v>
      </c>
      <c r="AN59" s="30">
        <f t="shared" si="112"/>
        <v>26.405999999999999</v>
      </c>
      <c r="AO59" s="30">
        <f t="shared" si="113"/>
        <v>78.566500000000005</v>
      </c>
      <c r="AP59" s="30">
        <f t="shared" si="114"/>
        <v>104.86799999999999</v>
      </c>
      <c r="AQ59" s="30">
        <f t="shared" si="115"/>
        <v>19.151299999999999</v>
      </c>
      <c r="AR59" s="30">
        <f t="shared" si="116"/>
        <v>67.831000000000003</v>
      </c>
      <c r="AS59" s="30">
        <f t="shared" si="117"/>
        <v>55.869999999999997</v>
      </c>
    </row>
    <row r="60" spans="1:45" s="46" customFormat="1" ht="14.45" customHeight="1">
      <c r="A60" s="51" t="s">
        <v>248</v>
      </c>
      <c r="B60" s="56" t="s">
        <v>253</v>
      </c>
      <c r="C60" s="56" t="s">
        <v>265</v>
      </c>
      <c r="E60" s="47" t="s">
        <v>30</v>
      </c>
      <c r="F60" s="48">
        <v>2050</v>
      </c>
      <c r="G60" s="46" t="s">
        <v>101</v>
      </c>
      <c r="H60" s="46">
        <f t="shared" si="0"/>
        <v>59.629108333333321</v>
      </c>
      <c r="I60" s="46">
        <f t="shared" si="118"/>
        <v>69.344200000000001</v>
      </c>
      <c r="J60" s="46">
        <f t="shared" si="82"/>
        <v>103.075</v>
      </c>
      <c r="K60" s="46">
        <f t="shared" si="83"/>
        <v>78.566500000000005</v>
      </c>
      <c r="L60" s="46">
        <f t="shared" si="84"/>
        <v>68.863600000000005</v>
      </c>
      <c r="M60" s="46">
        <f t="shared" si="85"/>
        <v>23.736799999999999</v>
      </c>
      <c r="N60" s="46">
        <f t="shared" si="86"/>
        <v>56.004600000000003</v>
      </c>
      <c r="O60" s="46">
        <f t="shared" si="87"/>
        <v>36.5657</v>
      </c>
      <c r="P60" s="46">
        <f t="shared" si="88"/>
        <v>40.363799999999998</v>
      </c>
      <c r="Q60" s="46">
        <f t="shared" si="89"/>
        <v>35.722799999999999</v>
      </c>
      <c r="R60" s="46">
        <f t="shared" si="90"/>
        <v>99.782899999999998</v>
      </c>
      <c r="S60" s="46" t="str">
        <f t="shared" si="91"/>
        <v/>
      </c>
      <c r="T60" s="46">
        <f t="shared" si="92"/>
        <v>69.344200000000001</v>
      </c>
      <c r="U60" s="46">
        <f t="shared" si="93"/>
        <v>31.154800000000002</v>
      </c>
      <c r="V60" s="46">
        <f t="shared" si="94"/>
        <v>60.418599999999998</v>
      </c>
      <c r="W60" s="46">
        <f t="shared" si="95"/>
        <v>44.388800000000003</v>
      </c>
      <c r="X60" s="46">
        <f t="shared" si="96"/>
        <v>78.566500000000005</v>
      </c>
      <c r="Y60" s="46">
        <f t="shared" si="97"/>
        <v>48.915199999999999</v>
      </c>
      <c r="Z60" s="46">
        <f t="shared" si="98"/>
        <v>53.386299999999999</v>
      </c>
      <c r="AA60" s="46">
        <f t="shared" si="99"/>
        <v>46.338999999999999</v>
      </c>
      <c r="AB60" s="46">
        <f t="shared" si="100"/>
        <v>43.805700000000002</v>
      </c>
      <c r="AC60" s="46">
        <f t="shared" si="101"/>
        <v>78.566500000000005</v>
      </c>
      <c r="AD60" s="46">
        <f t="shared" si="102"/>
        <v>38.915300000000002</v>
      </c>
      <c r="AE60" s="46">
        <f t="shared" si="103"/>
        <v>192.048</v>
      </c>
      <c r="AF60" s="46">
        <f t="shared" si="104"/>
        <v>99.701899999999995</v>
      </c>
      <c r="AG60" s="46">
        <f t="shared" si="105"/>
        <v>69.344200000000001</v>
      </c>
      <c r="AH60" s="46">
        <f t="shared" si="106"/>
        <v>22.366299999999999</v>
      </c>
      <c r="AI60" s="46">
        <f t="shared" si="107"/>
        <v>10.2369</v>
      </c>
      <c r="AJ60" s="46">
        <f t="shared" si="108"/>
        <v>65.427599999999998</v>
      </c>
      <c r="AK60" s="46">
        <f t="shared" si="109"/>
        <v>63.8277</v>
      </c>
      <c r="AL60" s="46">
        <f t="shared" si="110"/>
        <v>33.184199999999997</v>
      </c>
      <c r="AM60" s="46">
        <f t="shared" si="111"/>
        <v>31.991499999999998</v>
      </c>
      <c r="AN60" s="46">
        <f t="shared" si="112"/>
        <v>26.405999999999999</v>
      </c>
      <c r="AO60" s="46">
        <f t="shared" si="113"/>
        <v>78.566500000000005</v>
      </c>
      <c r="AP60" s="46">
        <f t="shared" si="114"/>
        <v>104.86799999999999</v>
      </c>
      <c r="AQ60" s="46">
        <f t="shared" si="115"/>
        <v>19.151299999999999</v>
      </c>
      <c r="AR60" s="46">
        <f t="shared" si="116"/>
        <v>67.831000000000003</v>
      </c>
      <c r="AS60" s="46">
        <f t="shared" si="117"/>
        <v>55.869999999999997</v>
      </c>
    </row>
    <row r="61" spans="1:45" s="30" customFormat="1" ht="14.45" customHeight="1">
      <c r="A61" s="32" t="s">
        <v>248</v>
      </c>
      <c r="B61" s="34" t="s">
        <v>253</v>
      </c>
      <c r="C61" s="34" t="s">
        <v>267</v>
      </c>
      <c r="E61" s="31" t="s">
        <v>30</v>
      </c>
      <c r="F61" s="39">
        <v>2010</v>
      </c>
      <c r="G61" s="30" t="s">
        <v>103</v>
      </c>
      <c r="H61" s="30">
        <f t="shared" si="0"/>
        <v>31.403361250000003</v>
      </c>
      <c r="I61" s="30" t="s">
        <v>275</v>
      </c>
      <c r="J61" s="30" t="s">
        <v>275</v>
      </c>
      <c r="K61" s="30" t="s">
        <v>275</v>
      </c>
      <c r="L61" s="30" t="s">
        <v>275</v>
      </c>
      <c r="M61" s="30" t="s">
        <v>275</v>
      </c>
      <c r="N61" s="30" t="s">
        <v>275</v>
      </c>
      <c r="O61" s="30" t="s">
        <v>275</v>
      </c>
      <c r="P61" s="30">
        <v>28.659400000000002</v>
      </c>
      <c r="Q61" s="30" t="s">
        <v>275</v>
      </c>
      <c r="R61" s="30">
        <v>36.4125</v>
      </c>
      <c r="S61" s="30" t="s">
        <v>275</v>
      </c>
      <c r="T61" s="30" t="s">
        <v>275</v>
      </c>
      <c r="U61" s="30" t="s">
        <v>275</v>
      </c>
      <c r="V61" s="30" t="s">
        <v>275</v>
      </c>
      <c r="W61" s="30" t="s">
        <v>275</v>
      </c>
      <c r="X61" s="30" t="s">
        <v>275</v>
      </c>
      <c r="Y61" s="30" t="s">
        <v>275</v>
      </c>
      <c r="Z61" s="30" t="s">
        <v>275</v>
      </c>
      <c r="AA61" s="30">
        <v>45.081299999999999</v>
      </c>
      <c r="AB61" s="30" t="s">
        <v>275</v>
      </c>
      <c r="AC61" s="30" t="s">
        <v>275</v>
      </c>
      <c r="AD61" s="30" t="s">
        <v>275</v>
      </c>
      <c r="AE61" s="30" t="s">
        <v>275</v>
      </c>
      <c r="AF61" s="30" t="s">
        <v>275</v>
      </c>
      <c r="AG61" s="30" t="s">
        <v>275</v>
      </c>
      <c r="AH61" s="30">
        <v>8.9095899999999997</v>
      </c>
      <c r="AI61" s="30" t="s">
        <v>275</v>
      </c>
      <c r="AJ61" s="30">
        <v>41.345</v>
      </c>
      <c r="AK61" s="30" t="s">
        <v>275</v>
      </c>
      <c r="AL61" s="30">
        <v>14.523099999999999</v>
      </c>
      <c r="AM61" s="30">
        <v>28.583600000000001</v>
      </c>
      <c r="AN61" s="30" t="s">
        <v>275</v>
      </c>
      <c r="AO61" s="30" t="s">
        <v>275</v>
      </c>
      <c r="AP61" s="30" t="s">
        <v>275</v>
      </c>
      <c r="AQ61" s="30" t="s">
        <v>275</v>
      </c>
      <c r="AR61" s="30" t="s">
        <v>275</v>
      </c>
      <c r="AS61" s="30">
        <v>47.712400000000002</v>
      </c>
    </row>
    <row r="62" spans="1:45" s="30" customFormat="1" ht="14.45" customHeight="1">
      <c r="A62" s="32" t="s">
        <v>248</v>
      </c>
      <c r="B62" s="34" t="s">
        <v>253</v>
      </c>
      <c r="C62" s="34" t="s">
        <v>267</v>
      </c>
      <c r="E62" s="31" t="s">
        <v>30</v>
      </c>
      <c r="F62" s="39">
        <v>2020</v>
      </c>
      <c r="G62" s="30" t="s">
        <v>103</v>
      </c>
      <c r="H62" s="30">
        <f t="shared" si="0"/>
        <v>31.403361250000003</v>
      </c>
      <c r="P62" s="30">
        <f t="shared" si="88"/>
        <v>28.659400000000002</v>
      </c>
      <c r="R62" s="30">
        <f t="shared" si="88"/>
        <v>36.412500000000001</v>
      </c>
      <c r="AA62" s="30">
        <f t="shared" si="119" ref="AA62:AA67">AA61</f>
        <v>45.081299999999999</v>
      </c>
      <c r="AH62" s="30">
        <f t="shared" si="120" ref="AF62:AP77">AH61</f>
        <v>8.9095899999999997</v>
      </c>
      <c r="AJ62" s="30">
        <f t="shared" si="121" ref="AJ62:AJ67">AJ61</f>
        <v>41.344999999999999</v>
      </c>
      <c r="AL62" s="30">
        <f t="shared" si="122" ref="AL62:AM67">AL61</f>
        <v>14.523099999999999</v>
      </c>
      <c r="AM62" s="30">
        <f t="shared" si="122"/>
        <v>28.583600000000001</v>
      </c>
      <c r="AS62" s="30">
        <f t="shared" si="123" ref="AS62:AS67">AS61</f>
        <v>47.712400000000002</v>
      </c>
    </row>
    <row r="63" spans="1:45" s="30" customFormat="1" ht="14.45" customHeight="1">
      <c r="A63" s="32" t="s">
        <v>248</v>
      </c>
      <c r="B63" s="34" t="s">
        <v>253</v>
      </c>
      <c r="C63" s="34" t="s">
        <v>267</v>
      </c>
      <c r="E63" s="31" t="s">
        <v>30</v>
      </c>
      <c r="F63" s="39">
        <v>2025</v>
      </c>
      <c r="G63" s="30" t="s">
        <v>103</v>
      </c>
      <c r="H63" s="30">
        <f t="shared" si="0"/>
        <v>31.403361250000003</v>
      </c>
      <c r="P63" s="30">
        <f t="shared" si="88"/>
        <v>28.659400000000002</v>
      </c>
      <c r="R63" s="30">
        <f t="shared" si="88"/>
        <v>36.412500000000001</v>
      </c>
      <c r="AA63" s="30">
        <f t="shared" si="119"/>
        <v>45.081299999999999</v>
      </c>
      <c r="AH63" s="30">
        <f t="shared" si="120"/>
        <v>8.9095899999999997</v>
      </c>
      <c r="AJ63" s="30">
        <f t="shared" si="121"/>
        <v>41.344999999999999</v>
      </c>
      <c r="AL63" s="30">
        <f t="shared" si="122"/>
        <v>14.523099999999999</v>
      </c>
      <c r="AM63" s="30">
        <f t="shared" si="122"/>
        <v>28.583600000000001</v>
      </c>
      <c r="AS63" s="30">
        <f t="shared" si="123"/>
        <v>47.712400000000002</v>
      </c>
    </row>
    <row r="64" spans="1:45" s="30" customFormat="1" ht="14.45" customHeight="1">
      <c r="A64" s="32" t="s">
        <v>248</v>
      </c>
      <c r="B64" s="34" t="s">
        <v>253</v>
      </c>
      <c r="C64" s="34" t="s">
        <v>267</v>
      </c>
      <c r="E64" s="31" t="s">
        <v>30</v>
      </c>
      <c r="F64" s="39">
        <v>2030</v>
      </c>
      <c r="G64" s="30" t="s">
        <v>103</v>
      </c>
      <c r="H64" s="30">
        <f t="shared" si="0"/>
        <v>31.403361250000003</v>
      </c>
      <c r="P64" s="30">
        <f t="shared" si="88"/>
        <v>28.659400000000002</v>
      </c>
      <c r="R64" s="30">
        <f t="shared" si="88"/>
        <v>36.412500000000001</v>
      </c>
      <c r="AA64" s="30">
        <f t="shared" si="119"/>
        <v>45.081299999999999</v>
      </c>
      <c r="AH64" s="30">
        <f t="shared" si="120"/>
        <v>8.9095899999999997</v>
      </c>
      <c r="AJ64" s="30">
        <f t="shared" si="121"/>
        <v>41.344999999999999</v>
      </c>
      <c r="AL64" s="30">
        <f t="shared" si="122"/>
        <v>14.523099999999999</v>
      </c>
      <c r="AM64" s="30">
        <f t="shared" si="122"/>
        <v>28.583600000000001</v>
      </c>
      <c r="AS64" s="30">
        <f t="shared" si="123"/>
        <v>47.712400000000002</v>
      </c>
    </row>
    <row r="65" spans="1:45" s="30" customFormat="1" ht="14.45" customHeight="1">
      <c r="A65" s="32" t="s">
        <v>248</v>
      </c>
      <c r="B65" s="34" t="s">
        <v>253</v>
      </c>
      <c r="C65" s="34" t="s">
        <v>267</v>
      </c>
      <c r="E65" s="31" t="s">
        <v>30</v>
      </c>
      <c r="F65" s="39">
        <v>2035</v>
      </c>
      <c r="G65" s="30" t="s">
        <v>103</v>
      </c>
      <c r="H65" s="30">
        <f t="shared" si="0"/>
        <v>31.403361250000003</v>
      </c>
      <c r="P65" s="30">
        <f t="shared" si="88"/>
        <v>28.659400000000002</v>
      </c>
      <c r="R65" s="30">
        <f t="shared" si="88"/>
        <v>36.412500000000001</v>
      </c>
      <c r="AA65" s="30">
        <f t="shared" si="119"/>
        <v>45.081299999999999</v>
      </c>
      <c r="AH65" s="30">
        <f t="shared" si="120"/>
        <v>8.9095899999999997</v>
      </c>
      <c r="AJ65" s="30">
        <f t="shared" si="121"/>
        <v>41.344999999999999</v>
      </c>
      <c r="AL65" s="30">
        <f t="shared" si="122"/>
        <v>14.523099999999999</v>
      </c>
      <c r="AM65" s="30">
        <f t="shared" si="122"/>
        <v>28.583600000000001</v>
      </c>
      <c r="AS65" s="30">
        <f t="shared" si="123"/>
        <v>47.712400000000002</v>
      </c>
    </row>
    <row r="66" spans="1:45" s="30" customFormat="1" ht="14.45" customHeight="1">
      <c r="A66" s="32" t="s">
        <v>248</v>
      </c>
      <c r="B66" s="34" t="s">
        <v>253</v>
      </c>
      <c r="C66" s="34" t="s">
        <v>267</v>
      </c>
      <c r="E66" s="31" t="s">
        <v>30</v>
      </c>
      <c r="F66" s="39">
        <v>2040</v>
      </c>
      <c r="G66" s="30" t="s">
        <v>103</v>
      </c>
      <c r="H66" s="30">
        <f t="shared" si="0"/>
        <v>31.403361250000003</v>
      </c>
      <c r="P66" s="30">
        <f t="shared" si="88"/>
        <v>28.659400000000002</v>
      </c>
      <c r="R66" s="30">
        <f t="shared" si="88"/>
        <v>36.412500000000001</v>
      </c>
      <c r="AA66" s="30">
        <f t="shared" si="119"/>
        <v>45.081299999999999</v>
      </c>
      <c r="AH66" s="30">
        <f t="shared" si="120"/>
        <v>8.9095899999999997</v>
      </c>
      <c r="AJ66" s="30">
        <f t="shared" si="121"/>
        <v>41.344999999999999</v>
      </c>
      <c r="AL66" s="30">
        <f t="shared" si="122"/>
        <v>14.523099999999999</v>
      </c>
      <c r="AM66" s="30">
        <f t="shared" si="122"/>
        <v>28.583600000000001</v>
      </c>
      <c r="AS66" s="30">
        <f t="shared" si="123"/>
        <v>47.712400000000002</v>
      </c>
    </row>
    <row r="67" spans="1:45" s="46" customFormat="1" ht="14.45" customHeight="1">
      <c r="A67" s="51" t="s">
        <v>248</v>
      </c>
      <c r="B67" s="56" t="s">
        <v>253</v>
      </c>
      <c r="C67" s="56" t="s">
        <v>267</v>
      </c>
      <c r="E67" s="47" t="s">
        <v>30</v>
      </c>
      <c r="F67" s="48">
        <v>2050</v>
      </c>
      <c r="G67" s="46" t="s">
        <v>103</v>
      </c>
      <c r="H67" s="46">
        <f t="shared" si="0"/>
        <v>31.403361250000003</v>
      </c>
      <c r="P67" s="46">
        <f t="shared" si="88"/>
        <v>28.659400000000002</v>
      </c>
      <c r="R67" s="46">
        <f t="shared" si="88"/>
        <v>36.412500000000001</v>
      </c>
      <c r="AA67" s="46">
        <f t="shared" si="119"/>
        <v>45.081299999999999</v>
      </c>
      <c r="AH67" s="46">
        <f t="shared" si="120"/>
        <v>8.9095899999999997</v>
      </c>
      <c r="AJ67" s="46">
        <f t="shared" si="121"/>
        <v>41.344999999999999</v>
      </c>
      <c r="AL67" s="46">
        <f t="shared" si="122"/>
        <v>14.523099999999999</v>
      </c>
      <c r="AM67" s="46">
        <f t="shared" si="122"/>
        <v>28.583600000000001</v>
      </c>
      <c r="AS67" s="46">
        <f t="shared" si="123"/>
        <v>47.712400000000002</v>
      </c>
    </row>
    <row r="68" spans="1:45" s="30" customFormat="1" ht="14.45" customHeight="1">
      <c r="A68" s="32" t="s">
        <v>248</v>
      </c>
      <c r="B68" s="34" t="s">
        <v>253</v>
      </c>
      <c r="C68" s="34" t="s">
        <v>268</v>
      </c>
      <c r="E68" s="31" t="s">
        <v>30</v>
      </c>
      <c r="F68" s="39">
        <v>2010</v>
      </c>
      <c r="G68" s="30" t="s">
        <v>105</v>
      </c>
      <c r="H68" s="30">
        <f t="shared" si="0"/>
        <v>54.347079999999991</v>
      </c>
      <c r="I68" s="30" t="s">
        <v>275</v>
      </c>
      <c r="J68" s="30" t="s">
        <v>275</v>
      </c>
      <c r="K68" s="30" t="s">
        <v>275</v>
      </c>
      <c r="L68" s="30" t="s">
        <v>275</v>
      </c>
      <c r="M68" s="30" t="s">
        <v>275</v>
      </c>
      <c r="N68" s="30" t="s">
        <v>275</v>
      </c>
      <c r="O68" s="30" t="s">
        <v>275</v>
      </c>
      <c r="P68" s="30" t="s">
        <v>275</v>
      </c>
      <c r="Q68" s="30" t="s">
        <v>275</v>
      </c>
      <c r="R68" s="30" t="s">
        <v>275</v>
      </c>
      <c r="S68" s="30" t="s">
        <v>275</v>
      </c>
      <c r="T68" s="30" t="s">
        <v>275</v>
      </c>
      <c r="U68" s="30" t="s">
        <v>275</v>
      </c>
      <c r="V68" s="30" t="s">
        <v>275</v>
      </c>
      <c r="W68" s="30" t="s">
        <v>275</v>
      </c>
      <c r="X68" s="30" t="s">
        <v>275</v>
      </c>
      <c r="Y68" s="30" t="s">
        <v>275</v>
      </c>
      <c r="Z68" s="30" t="s">
        <v>275</v>
      </c>
      <c r="AA68" s="30" t="s">
        <v>275</v>
      </c>
      <c r="AB68" s="30" t="s">
        <v>275</v>
      </c>
      <c r="AC68" s="30" t="s">
        <v>275</v>
      </c>
      <c r="AD68" s="30" t="s">
        <v>275</v>
      </c>
      <c r="AE68" s="30" t="s">
        <v>275</v>
      </c>
      <c r="AF68" s="30">
        <v>46.743299999999998</v>
      </c>
      <c r="AG68" s="30" t="s">
        <v>275</v>
      </c>
      <c r="AH68" s="30" t="s">
        <v>275</v>
      </c>
      <c r="AI68" s="30" t="s">
        <v>275</v>
      </c>
      <c r="AJ68" s="30">
        <v>47.918799999999997</v>
      </c>
      <c r="AK68" s="30" t="s">
        <v>275</v>
      </c>
      <c r="AL68" s="30">
        <v>24.877700000000001</v>
      </c>
      <c r="AM68" s="30">
        <v>33.058599999999998</v>
      </c>
      <c r="AN68" s="30" t="s">
        <v>275</v>
      </c>
      <c r="AO68" s="30" t="s">
        <v>275</v>
      </c>
      <c r="AP68" s="30" t="s">
        <v>275</v>
      </c>
      <c r="AQ68" s="30" t="s">
        <v>275</v>
      </c>
      <c r="AR68" s="30" t="s">
        <v>275</v>
      </c>
      <c r="AS68" s="30">
        <v>119.137</v>
      </c>
    </row>
    <row r="69" spans="1:45" s="30" customFormat="1" ht="14.45" customHeight="1">
      <c r="A69" s="32" t="s">
        <v>248</v>
      </c>
      <c r="B69" s="34" t="s">
        <v>253</v>
      </c>
      <c r="C69" s="34" t="s">
        <v>268</v>
      </c>
      <c r="E69" s="31" t="s">
        <v>30</v>
      </c>
      <c r="F69" s="39">
        <v>2020</v>
      </c>
      <c r="G69" s="30" t="s">
        <v>105</v>
      </c>
      <c r="H69" s="30">
        <f t="shared" si="124" ref="H69:H95">AVERAGE(I69:AS69)</f>
        <v>54.347079999999991</v>
      </c>
      <c r="AF69" s="30">
        <f t="shared" si="120"/>
        <v>46.743299999999998</v>
      </c>
      <c r="AJ69" s="30">
        <f t="shared" si="120"/>
        <v>47.918799999999997</v>
      </c>
      <c r="AL69" s="30">
        <f t="shared" si="120"/>
        <v>24.877700000000001</v>
      </c>
      <c r="AM69" s="30">
        <f t="shared" si="120"/>
        <v>33.058599999999998</v>
      </c>
      <c r="AS69" s="30">
        <f t="shared" si="125" ref="AS69:AS74">AS68</f>
        <v>119.137</v>
      </c>
    </row>
    <row r="70" spans="1:45" s="30" customFormat="1" ht="14.45" customHeight="1">
      <c r="A70" s="32" t="s">
        <v>248</v>
      </c>
      <c r="B70" s="34" t="s">
        <v>253</v>
      </c>
      <c r="C70" s="34" t="s">
        <v>268</v>
      </c>
      <c r="E70" s="31" t="s">
        <v>30</v>
      </c>
      <c r="F70" s="39">
        <v>2025</v>
      </c>
      <c r="G70" s="30" t="s">
        <v>105</v>
      </c>
      <c r="H70" s="30">
        <f t="shared" si="124"/>
        <v>54.347079999999991</v>
      </c>
      <c r="AF70" s="30">
        <f t="shared" si="120"/>
        <v>46.743299999999998</v>
      </c>
      <c r="AJ70" s="30">
        <f t="shared" si="120"/>
        <v>47.918799999999997</v>
      </c>
      <c r="AL70" s="30">
        <f t="shared" si="120"/>
        <v>24.877700000000001</v>
      </c>
      <c r="AM70" s="30">
        <f t="shared" si="120"/>
        <v>33.058599999999998</v>
      </c>
      <c r="AS70" s="30">
        <f t="shared" si="125"/>
        <v>119.137</v>
      </c>
    </row>
    <row r="71" spans="1:45" s="30" customFormat="1" ht="14.45" customHeight="1">
      <c r="A71" s="32" t="s">
        <v>248</v>
      </c>
      <c r="B71" s="34" t="s">
        <v>253</v>
      </c>
      <c r="C71" s="34" t="s">
        <v>268</v>
      </c>
      <c r="E71" s="31" t="s">
        <v>30</v>
      </c>
      <c r="F71" s="39">
        <v>2030</v>
      </c>
      <c r="G71" s="30" t="s">
        <v>105</v>
      </c>
      <c r="H71" s="30">
        <f t="shared" si="124"/>
        <v>54.347079999999991</v>
      </c>
      <c r="AF71" s="30">
        <f t="shared" si="120"/>
        <v>46.743299999999998</v>
      </c>
      <c r="AJ71" s="30">
        <f t="shared" si="120"/>
        <v>47.918799999999997</v>
      </c>
      <c r="AL71" s="30">
        <f t="shared" si="120"/>
        <v>24.877700000000001</v>
      </c>
      <c r="AM71" s="30">
        <f t="shared" si="120"/>
        <v>33.058599999999998</v>
      </c>
      <c r="AS71" s="30">
        <f t="shared" si="125"/>
        <v>119.137</v>
      </c>
    </row>
    <row r="72" spans="1:45" s="30" customFormat="1" ht="14.45" customHeight="1">
      <c r="A72" s="32" t="s">
        <v>248</v>
      </c>
      <c r="B72" s="34" t="s">
        <v>253</v>
      </c>
      <c r="C72" s="34" t="s">
        <v>268</v>
      </c>
      <c r="E72" s="31" t="s">
        <v>30</v>
      </c>
      <c r="F72" s="39">
        <v>2035</v>
      </c>
      <c r="G72" s="30" t="s">
        <v>105</v>
      </c>
      <c r="H72" s="30">
        <f t="shared" si="124"/>
        <v>54.347079999999991</v>
      </c>
      <c r="AF72" s="30">
        <f t="shared" si="120"/>
        <v>46.743299999999998</v>
      </c>
      <c r="AJ72" s="30">
        <f t="shared" si="120"/>
        <v>47.918799999999997</v>
      </c>
      <c r="AL72" s="30">
        <f t="shared" si="120"/>
        <v>24.877700000000001</v>
      </c>
      <c r="AM72" s="30">
        <f t="shared" si="120"/>
        <v>33.058599999999998</v>
      </c>
      <c r="AS72" s="30">
        <f t="shared" si="125"/>
        <v>119.137</v>
      </c>
    </row>
    <row r="73" spans="1:45" s="30" customFormat="1" ht="14.45" customHeight="1">
      <c r="A73" s="32" t="s">
        <v>248</v>
      </c>
      <c r="B73" s="34" t="s">
        <v>253</v>
      </c>
      <c r="C73" s="34" t="s">
        <v>268</v>
      </c>
      <c r="E73" s="31" t="s">
        <v>30</v>
      </c>
      <c r="F73" s="39">
        <v>2040</v>
      </c>
      <c r="G73" s="30" t="s">
        <v>105</v>
      </c>
      <c r="H73" s="30">
        <f t="shared" si="124"/>
        <v>54.347079999999991</v>
      </c>
      <c r="AF73" s="30">
        <f t="shared" si="120"/>
        <v>46.743299999999998</v>
      </c>
      <c r="AJ73" s="30">
        <f t="shared" si="120"/>
        <v>47.918799999999997</v>
      </c>
      <c r="AL73" s="30">
        <f t="shared" si="120"/>
        <v>24.877700000000001</v>
      </c>
      <c r="AM73" s="30">
        <f t="shared" si="120"/>
        <v>33.058599999999998</v>
      </c>
      <c r="AS73" s="30">
        <f t="shared" si="125"/>
        <v>119.137</v>
      </c>
    </row>
    <row r="74" spans="1:45" s="46" customFormat="1" ht="14.45" customHeight="1">
      <c r="A74" s="51" t="s">
        <v>248</v>
      </c>
      <c r="B74" s="56" t="s">
        <v>253</v>
      </c>
      <c r="C74" s="56" t="s">
        <v>268</v>
      </c>
      <c r="E74" s="47" t="s">
        <v>30</v>
      </c>
      <c r="F74" s="48">
        <v>2050</v>
      </c>
      <c r="G74" s="46" t="s">
        <v>105</v>
      </c>
      <c r="H74" s="46">
        <f t="shared" si="124"/>
        <v>54.347079999999991</v>
      </c>
      <c r="AF74" s="46">
        <f t="shared" si="120"/>
        <v>46.743299999999998</v>
      </c>
      <c r="AJ74" s="46">
        <f t="shared" si="120"/>
        <v>47.918799999999997</v>
      </c>
      <c r="AL74" s="46">
        <f t="shared" si="120"/>
        <v>24.877700000000001</v>
      </c>
      <c r="AM74" s="46">
        <f t="shared" si="120"/>
        <v>33.058599999999998</v>
      </c>
      <c r="AS74" s="46">
        <f t="shared" si="125"/>
        <v>119.137</v>
      </c>
    </row>
    <row r="75" spans="1:45" s="27" customFormat="1" ht="14.45" customHeight="1">
      <c r="A75" s="29" t="s">
        <v>248</v>
      </c>
      <c r="B75" s="29" t="s">
        <v>254</v>
      </c>
      <c r="C75" s="29" t="s">
        <v>269</v>
      </c>
      <c r="E75" s="28" t="s">
        <v>30</v>
      </c>
      <c r="F75" s="40">
        <v>2010</v>
      </c>
      <c r="G75" s="27" t="s">
        <v>99</v>
      </c>
      <c r="H75" s="27">
        <f t="shared" si="124"/>
        <v>35.596783333333335</v>
      </c>
      <c r="I75" s="27" t="s">
        <v>275</v>
      </c>
      <c r="J75" s="27" t="s">
        <v>275</v>
      </c>
      <c r="K75" s="27" t="s">
        <v>275</v>
      </c>
      <c r="L75" s="27" t="s">
        <v>275</v>
      </c>
      <c r="M75" s="27" t="s">
        <v>275</v>
      </c>
      <c r="N75" s="27">
        <v>59.1877</v>
      </c>
      <c r="O75" s="27" t="s">
        <v>275</v>
      </c>
      <c r="P75" s="27" t="s">
        <v>275</v>
      </c>
      <c r="Q75" s="27">
        <v>51.941800000000001</v>
      </c>
      <c r="R75" s="27" t="s">
        <v>275</v>
      </c>
      <c r="S75" s="27" t="s">
        <v>275</v>
      </c>
      <c r="T75" s="27" t="s">
        <v>275</v>
      </c>
      <c r="U75" s="27" t="s">
        <v>275</v>
      </c>
      <c r="V75" s="27" t="s">
        <v>275</v>
      </c>
      <c r="W75" s="27" t="s">
        <v>275</v>
      </c>
      <c r="X75" s="27" t="s">
        <v>275</v>
      </c>
      <c r="Y75" s="27" t="s">
        <v>275</v>
      </c>
      <c r="Z75" s="27" t="s">
        <v>275</v>
      </c>
      <c r="AA75" s="27" t="s">
        <v>275</v>
      </c>
      <c r="AB75" s="27">
        <v>23.687000000000001</v>
      </c>
      <c r="AC75" s="27" t="s">
        <v>275</v>
      </c>
      <c r="AD75" s="27" t="s">
        <v>275</v>
      </c>
      <c r="AE75" s="27" t="s">
        <v>275</v>
      </c>
      <c r="AF75" s="27" t="s">
        <v>275</v>
      </c>
      <c r="AG75" s="27" t="s">
        <v>275</v>
      </c>
      <c r="AH75" s="27" t="s">
        <v>275</v>
      </c>
      <c r="AI75" s="27" t="s">
        <v>275</v>
      </c>
      <c r="AJ75" s="27">
        <v>29.007899999999999</v>
      </c>
      <c r="AK75" s="27" t="s">
        <v>275</v>
      </c>
      <c r="AL75" s="27" t="s">
        <v>275</v>
      </c>
      <c r="AM75" s="27" t="s">
        <v>275</v>
      </c>
      <c r="AN75" s="27" t="s">
        <v>275</v>
      </c>
      <c r="AO75" s="27">
        <v>23.687000000000001</v>
      </c>
      <c r="AP75" s="27">
        <v>26.069299999999998</v>
      </c>
      <c r="AQ75" s="27" t="s">
        <v>275</v>
      </c>
      <c r="AR75" s="27" t="s">
        <v>275</v>
      </c>
      <c r="AS75" s="27" t="s">
        <v>275</v>
      </c>
    </row>
    <row r="76" spans="1:42" s="27" customFormat="1" ht="14.45" customHeight="1">
      <c r="A76" s="29" t="s">
        <v>248</v>
      </c>
      <c r="B76" s="29" t="s">
        <v>254</v>
      </c>
      <c r="C76" s="29" t="s">
        <v>269</v>
      </c>
      <c r="E76" s="28" t="s">
        <v>30</v>
      </c>
      <c r="F76" s="40">
        <v>2020</v>
      </c>
      <c r="G76" s="27" t="s">
        <v>99</v>
      </c>
      <c r="H76" s="27">
        <f t="shared" si="124"/>
        <v>35.596783333333335</v>
      </c>
      <c r="N76" s="27">
        <f t="shared" si="126" ref="N76:N81">N75</f>
        <v>59.1877</v>
      </c>
      <c r="Q76" s="27">
        <f t="shared" si="127" ref="Q76:Q81">Q75</f>
        <v>51.941800000000001</v>
      </c>
      <c r="AB76" s="27">
        <f t="shared" si="128" ref="AB76:AB81">AB75</f>
        <v>23.687000000000001</v>
      </c>
      <c r="AJ76" s="27">
        <f t="shared" si="120"/>
        <v>29.007899999999999</v>
      </c>
      <c r="AO76" s="27">
        <f t="shared" si="120"/>
        <v>23.687000000000001</v>
      </c>
      <c r="AP76" s="27">
        <f t="shared" si="120"/>
        <v>26.069299999999998</v>
      </c>
    </row>
    <row r="77" spans="1:42" s="27" customFormat="1" ht="14.45" customHeight="1">
      <c r="A77" s="29" t="s">
        <v>248</v>
      </c>
      <c r="B77" s="29" t="s">
        <v>254</v>
      </c>
      <c r="C77" s="29" t="s">
        <v>269</v>
      </c>
      <c r="E77" s="28" t="s">
        <v>30</v>
      </c>
      <c r="F77" s="40">
        <v>2025</v>
      </c>
      <c r="G77" s="27" t="s">
        <v>99</v>
      </c>
      <c r="H77" s="27">
        <f t="shared" si="124"/>
        <v>35.596783333333335</v>
      </c>
      <c r="N77" s="27">
        <f t="shared" si="126"/>
        <v>59.1877</v>
      </c>
      <c r="Q77" s="27">
        <f t="shared" si="127"/>
        <v>51.941800000000001</v>
      </c>
      <c r="AB77" s="27">
        <f t="shared" si="128"/>
        <v>23.687000000000001</v>
      </c>
      <c r="AJ77" s="27">
        <f t="shared" si="120"/>
        <v>29.007899999999999</v>
      </c>
      <c r="AO77" s="27">
        <f t="shared" si="120"/>
        <v>23.687000000000001</v>
      </c>
      <c r="AP77" s="27">
        <f t="shared" si="120"/>
        <v>26.069299999999998</v>
      </c>
    </row>
    <row r="78" spans="1:42" s="27" customFormat="1" ht="14.45" customHeight="1">
      <c r="A78" s="29" t="s">
        <v>248</v>
      </c>
      <c r="B78" s="29" t="s">
        <v>254</v>
      </c>
      <c r="C78" s="29" t="s">
        <v>269</v>
      </c>
      <c r="E78" s="28" t="s">
        <v>30</v>
      </c>
      <c r="F78" s="40">
        <v>2030</v>
      </c>
      <c r="G78" s="27" t="s">
        <v>99</v>
      </c>
      <c r="H78" s="27">
        <f t="shared" si="124"/>
        <v>35.596783333333335</v>
      </c>
      <c r="N78" s="27">
        <f t="shared" si="126"/>
        <v>59.1877</v>
      </c>
      <c r="Q78" s="27">
        <f t="shared" si="127"/>
        <v>51.941800000000001</v>
      </c>
      <c r="AB78" s="27">
        <f t="shared" si="128"/>
        <v>23.687000000000001</v>
      </c>
      <c r="AJ78" s="27">
        <f t="shared" si="129" ref="AJ78:AJ81">AJ77</f>
        <v>29.007899999999999</v>
      </c>
      <c r="AO78" s="27">
        <f t="shared" si="130" ref="AO78:AP81">AO77</f>
        <v>23.687000000000001</v>
      </c>
      <c r="AP78" s="27">
        <f t="shared" si="130"/>
        <v>26.069299999999998</v>
      </c>
    </row>
    <row r="79" spans="1:42" s="27" customFormat="1" ht="14.45" customHeight="1">
      <c r="A79" s="29" t="s">
        <v>248</v>
      </c>
      <c r="B79" s="29" t="s">
        <v>254</v>
      </c>
      <c r="C79" s="29" t="s">
        <v>269</v>
      </c>
      <c r="E79" s="28" t="s">
        <v>30</v>
      </c>
      <c r="F79" s="40">
        <v>2035</v>
      </c>
      <c r="G79" s="27" t="s">
        <v>99</v>
      </c>
      <c r="H79" s="27">
        <f t="shared" si="124"/>
        <v>35.596783333333335</v>
      </c>
      <c r="N79" s="27">
        <f t="shared" si="126"/>
        <v>59.1877</v>
      </c>
      <c r="Q79" s="27">
        <f t="shared" si="127"/>
        <v>51.941800000000001</v>
      </c>
      <c r="AB79" s="27">
        <f t="shared" si="128"/>
        <v>23.687000000000001</v>
      </c>
      <c r="AJ79" s="27">
        <f t="shared" si="129"/>
        <v>29.007899999999999</v>
      </c>
      <c r="AO79" s="27">
        <f t="shared" si="130"/>
        <v>23.687000000000001</v>
      </c>
      <c r="AP79" s="27">
        <f t="shared" si="130"/>
        <v>26.069299999999998</v>
      </c>
    </row>
    <row r="80" spans="1:42" s="27" customFormat="1" ht="14.45" customHeight="1">
      <c r="A80" s="29" t="s">
        <v>248</v>
      </c>
      <c r="B80" s="29" t="s">
        <v>254</v>
      </c>
      <c r="C80" s="29" t="s">
        <v>269</v>
      </c>
      <c r="E80" s="28" t="s">
        <v>30</v>
      </c>
      <c r="F80" s="40">
        <v>2040</v>
      </c>
      <c r="G80" s="27" t="s">
        <v>99</v>
      </c>
      <c r="H80" s="27">
        <f t="shared" si="124"/>
        <v>35.596783333333335</v>
      </c>
      <c r="N80" s="27">
        <f t="shared" si="126"/>
        <v>59.1877</v>
      </c>
      <c r="Q80" s="27">
        <f t="shared" si="127"/>
        <v>51.941800000000001</v>
      </c>
      <c r="AB80" s="27">
        <f t="shared" si="128"/>
        <v>23.687000000000001</v>
      </c>
      <c r="AJ80" s="27">
        <f t="shared" si="129"/>
        <v>29.007899999999999</v>
      </c>
      <c r="AO80" s="27">
        <f t="shared" si="130"/>
        <v>23.687000000000001</v>
      </c>
      <c r="AP80" s="27">
        <f t="shared" si="130"/>
        <v>26.069299999999998</v>
      </c>
    </row>
    <row r="81" spans="1:42" s="53" customFormat="1" ht="14.45" customHeight="1">
      <c r="A81" s="52" t="s">
        <v>248</v>
      </c>
      <c r="B81" s="52" t="s">
        <v>254</v>
      </c>
      <c r="C81" s="52" t="s">
        <v>269</v>
      </c>
      <c r="E81" s="54" t="s">
        <v>30</v>
      </c>
      <c r="F81" s="55">
        <v>2050</v>
      </c>
      <c r="G81" s="53" t="s">
        <v>99</v>
      </c>
      <c r="H81" s="53">
        <f t="shared" si="124"/>
        <v>35.596783333333335</v>
      </c>
      <c r="N81" s="53">
        <f t="shared" si="126"/>
        <v>59.1877</v>
      </c>
      <c r="Q81" s="53">
        <f t="shared" si="127"/>
        <v>51.941800000000001</v>
      </c>
      <c r="AB81" s="53">
        <f t="shared" si="128"/>
        <v>23.687000000000001</v>
      </c>
      <c r="AJ81" s="53">
        <f t="shared" si="129"/>
        <v>29.007899999999999</v>
      </c>
      <c r="AO81" s="53">
        <f t="shared" si="130"/>
        <v>23.687000000000001</v>
      </c>
      <c r="AP81" s="53">
        <f t="shared" si="130"/>
        <v>26.069299999999998</v>
      </c>
    </row>
    <row r="82" spans="1:45" s="27" customFormat="1" ht="14.45" customHeight="1">
      <c r="A82" s="29" t="s">
        <v>248</v>
      </c>
      <c r="B82" s="29" t="s">
        <v>254</v>
      </c>
      <c r="C82" s="29" t="s">
        <v>270</v>
      </c>
      <c r="E82" s="28" t="s">
        <v>30</v>
      </c>
      <c r="F82" s="40">
        <v>2010</v>
      </c>
      <c r="G82" s="27" t="s">
        <v>149</v>
      </c>
      <c r="H82" s="27">
        <f t="shared" si="124"/>
        <v>59.629108333333321</v>
      </c>
      <c r="I82" s="27">
        <v>69.344200000000001</v>
      </c>
      <c r="J82" s="27">
        <v>103.075</v>
      </c>
      <c r="K82" s="27">
        <v>78.566500000000005</v>
      </c>
      <c r="L82" s="27">
        <v>68.863600000000005</v>
      </c>
      <c r="M82" s="27">
        <v>23.736799999999999</v>
      </c>
      <c r="N82" s="27">
        <v>56.004600000000003</v>
      </c>
      <c r="O82" s="27">
        <v>36.5657</v>
      </c>
      <c r="P82" s="27">
        <v>40.363799999999998</v>
      </c>
      <c r="Q82" s="27">
        <v>35.722799999999999</v>
      </c>
      <c r="R82" s="27">
        <v>99.782899999999998</v>
      </c>
      <c r="S82" s="27" t="s">
        <v>275</v>
      </c>
      <c r="T82" s="27">
        <v>69.344200000000001</v>
      </c>
      <c r="U82" s="27">
        <v>31.154800000000002</v>
      </c>
      <c r="V82" s="27">
        <v>60.418599999999998</v>
      </c>
      <c r="W82" s="27">
        <v>44.388800000000003</v>
      </c>
      <c r="X82" s="27">
        <v>78.566500000000005</v>
      </c>
      <c r="Y82" s="27">
        <v>48.915199999999999</v>
      </c>
      <c r="Z82" s="27">
        <v>53.386299999999999</v>
      </c>
      <c r="AA82" s="27">
        <v>46.338999999999999</v>
      </c>
      <c r="AB82" s="27">
        <v>43.805700000000002</v>
      </c>
      <c r="AC82" s="27">
        <v>78.566500000000005</v>
      </c>
      <c r="AD82" s="27">
        <v>38.915300000000002</v>
      </c>
      <c r="AE82" s="27">
        <v>192.048</v>
      </c>
      <c r="AF82" s="27">
        <v>99.701899999999995</v>
      </c>
      <c r="AG82" s="27">
        <v>69.344200000000001</v>
      </c>
      <c r="AH82" s="27">
        <v>22.366299999999999</v>
      </c>
      <c r="AI82" s="27">
        <v>10.2369</v>
      </c>
      <c r="AJ82" s="27">
        <v>65.427599999999998</v>
      </c>
      <c r="AK82" s="27">
        <v>63.8277</v>
      </c>
      <c r="AL82" s="27">
        <v>33.184199999999997</v>
      </c>
      <c r="AM82" s="27">
        <v>31.991499999999998</v>
      </c>
      <c r="AN82" s="27">
        <v>26.405999999999999</v>
      </c>
      <c r="AO82" s="27">
        <v>78.566500000000005</v>
      </c>
      <c r="AP82" s="27">
        <v>104.86799999999999</v>
      </c>
      <c r="AQ82" s="27">
        <v>19.151299999999999</v>
      </c>
      <c r="AR82" s="27">
        <v>67.831000000000003</v>
      </c>
      <c r="AS82" s="27">
        <v>55.87</v>
      </c>
    </row>
    <row r="83" spans="1:45" s="27" customFormat="1" ht="14.45" customHeight="1">
      <c r="A83" s="29" t="s">
        <v>248</v>
      </c>
      <c r="B83" s="29" t="s">
        <v>254</v>
      </c>
      <c r="C83" s="29" t="s">
        <v>270</v>
      </c>
      <c r="E83" s="28" t="s">
        <v>30</v>
      </c>
      <c r="F83" s="40">
        <v>2020</v>
      </c>
      <c r="G83" s="27" t="s">
        <v>149</v>
      </c>
      <c r="H83" s="27">
        <f t="shared" si="124"/>
        <v>59.629108333333321</v>
      </c>
      <c r="I83" s="27">
        <f>I82</f>
        <v>69.344200000000001</v>
      </c>
      <c r="J83" s="27">
        <f t="shared" si="131" ref="J83:J88">J82</f>
        <v>103.075</v>
      </c>
      <c r="K83" s="27">
        <f t="shared" si="132" ref="K83:K88">K82</f>
        <v>78.566500000000005</v>
      </c>
      <c r="L83" s="27">
        <f t="shared" si="133" ref="L83:L88">L82</f>
        <v>68.863600000000005</v>
      </c>
      <c r="M83" s="27">
        <f t="shared" si="134" ref="M83:M88">M82</f>
        <v>23.736799999999999</v>
      </c>
      <c r="N83" s="27">
        <f t="shared" si="135" ref="N83:N88">N82</f>
        <v>56.004600000000003</v>
      </c>
      <c r="O83" s="27">
        <f t="shared" si="136" ref="O83:O88">O82</f>
        <v>36.5657</v>
      </c>
      <c r="P83" s="27">
        <f t="shared" si="137" ref="P83:P88">P82</f>
        <v>40.363799999999998</v>
      </c>
      <c r="Q83" s="27">
        <f t="shared" si="138" ref="Q83:Q88">Q82</f>
        <v>35.722799999999999</v>
      </c>
      <c r="R83" s="27">
        <f t="shared" si="139" ref="R83:R88">R82</f>
        <v>99.782899999999998</v>
      </c>
      <c r="S83" s="27" t="str">
        <f t="shared" si="140" ref="S83:S88">S82</f>
        <v/>
      </c>
      <c r="T83" s="27">
        <f t="shared" si="141" ref="T83:T88">T82</f>
        <v>69.344200000000001</v>
      </c>
      <c r="U83" s="27">
        <f t="shared" si="142" ref="U83:U88">U82</f>
        <v>31.154800000000002</v>
      </c>
      <c r="V83" s="27">
        <f t="shared" si="143" ref="V83:V88">V82</f>
        <v>60.418599999999998</v>
      </c>
      <c r="W83" s="27">
        <f t="shared" si="144" ref="W83:W88">W82</f>
        <v>44.388800000000003</v>
      </c>
      <c r="X83" s="27">
        <f t="shared" si="145" ref="X83:X88">X82</f>
        <v>78.566500000000005</v>
      </c>
      <c r="Y83" s="27">
        <f t="shared" si="146" ref="Y83:Y88">Y82</f>
        <v>48.915199999999999</v>
      </c>
      <c r="Z83" s="27">
        <f t="shared" si="147" ref="Z83:Z88">Z82</f>
        <v>53.386299999999999</v>
      </c>
      <c r="AA83" s="27">
        <f t="shared" si="148" ref="AA83:AA88">AA82</f>
        <v>46.338999999999999</v>
      </c>
      <c r="AB83" s="27">
        <f t="shared" si="149" ref="AB83:AB88">AB82</f>
        <v>43.805700000000002</v>
      </c>
      <c r="AC83" s="27">
        <f t="shared" si="150" ref="AC83:AC88">AC82</f>
        <v>78.566500000000005</v>
      </c>
      <c r="AD83" s="27">
        <f t="shared" si="151" ref="AD83:AD88">AD82</f>
        <v>38.915300000000002</v>
      </c>
      <c r="AE83" s="27">
        <f t="shared" si="152" ref="AE83:AE88">AE82</f>
        <v>192.048</v>
      </c>
      <c r="AF83" s="27">
        <f t="shared" si="153" ref="AF83:AF88">AF82</f>
        <v>99.701899999999995</v>
      </c>
      <c r="AG83" s="27">
        <f t="shared" si="154" ref="AG83:AG88">AG82</f>
        <v>69.344200000000001</v>
      </c>
      <c r="AH83" s="27">
        <f t="shared" si="155" ref="AH83:AH88">AH82</f>
        <v>22.366299999999999</v>
      </c>
      <c r="AI83" s="27">
        <f t="shared" si="156" ref="AI83:AI88">AI82</f>
        <v>10.2369</v>
      </c>
      <c r="AJ83" s="27">
        <f t="shared" si="157" ref="AJ83:AJ88">AJ82</f>
        <v>65.427599999999998</v>
      </c>
      <c r="AK83" s="27">
        <f t="shared" si="158" ref="AK83:AK88">AK82</f>
        <v>63.8277</v>
      </c>
      <c r="AL83" s="27">
        <f t="shared" si="159" ref="AL83:AL88">AL82</f>
        <v>33.184199999999997</v>
      </c>
      <c r="AM83" s="27">
        <f t="shared" si="160" ref="AM83:AM88">AM82</f>
        <v>31.991499999999998</v>
      </c>
      <c r="AN83" s="27">
        <f t="shared" si="161" ref="AN83:AN88">AN82</f>
        <v>26.405999999999999</v>
      </c>
      <c r="AO83" s="27">
        <f t="shared" si="162" ref="AO83:AO88">AO82</f>
        <v>78.566500000000005</v>
      </c>
      <c r="AP83" s="27">
        <f t="shared" si="163" ref="AP83:AP88">AP82</f>
        <v>104.86799999999999</v>
      </c>
      <c r="AQ83" s="27">
        <f t="shared" si="164" ref="AQ83:AQ88">AQ82</f>
        <v>19.151299999999999</v>
      </c>
      <c r="AR83" s="27">
        <f t="shared" si="165" ref="AR83:AR88">AR82</f>
        <v>67.831000000000003</v>
      </c>
      <c r="AS83" s="27">
        <f t="shared" si="166" ref="AS83:AS88">AS82</f>
        <v>55.869999999999997</v>
      </c>
    </row>
    <row r="84" spans="1:45" s="27" customFormat="1" ht="14.45" customHeight="1">
      <c r="A84" s="29" t="s">
        <v>248</v>
      </c>
      <c r="B84" s="29" t="s">
        <v>254</v>
      </c>
      <c r="C84" s="29" t="s">
        <v>270</v>
      </c>
      <c r="E84" s="28" t="s">
        <v>30</v>
      </c>
      <c r="F84" s="40">
        <v>2025</v>
      </c>
      <c r="G84" s="27" t="s">
        <v>149</v>
      </c>
      <c r="H84" s="27">
        <f t="shared" si="124"/>
        <v>59.629108333333321</v>
      </c>
      <c r="I84" s="27">
        <f t="shared" si="167" ref="I84:I88">I83</f>
        <v>69.344200000000001</v>
      </c>
      <c r="J84" s="27">
        <f t="shared" si="131"/>
        <v>103.075</v>
      </c>
      <c r="K84" s="27">
        <f t="shared" si="132"/>
        <v>78.566500000000005</v>
      </c>
      <c r="L84" s="27">
        <f t="shared" si="133"/>
        <v>68.863600000000005</v>
      </c>
      <c r="M84" s="27">
        <f t="shared" si="134"/>
        <v>23.736799999999999</v>
      </c>
      <c r="N84" s="27">
        <f t="shared" si="135"/>
        <v>56.004600000000003</v>
      </c>
      <c r="O84" s="27">
        <f t="shared" si="136"/>
        <v>36.5657</v>
      </c>
      <c r="P84" s="27">
        <f t="shared" si="137"/>
        <v>40.363799999999998</v>
      </c>
      <c r="Q84" s="27">
        <f t="shared" si="138"/>
        <v>35.722799999999999</v>
      </c>
      <c r="R84" s="27">
        <f t="shared" si="139"/>
        <v>99.782899999999998</v>
      </c>
      <c r="S84" s="27" t="str">
        <f t="shared" si="140"/>
        <v/>
      </c>
      <c r="T84" s="27">
        <f t="shared" si="141"/>
        <v>69.344200000000001</v>
      </c>
      <c r="U84" s="27">
        <f t="shared" si="142"/>
        <v>31.154800000000002</v>
      </c>
      <c r="V84" s="27">
        <f t="shared" si="143"/>
        <v>60.418599999999998</v>
      </c>
      <c r="W84" s="27">
        <f t="shared" si="144"/>
        <v>44.388800000000003</v>
      </c>
      <c r="X84" s="27">
        <f t="shared" si="145"/>
        <v>78.566500000000005</v>
      </c>
      <c r="Y84" s="27">
        <f t="shared" si="146"/>
        <v>48.915199999999999</v>
      </c>
      <c r="Z84" s="27">
        <f t="shared" si="147"/>
        <v>53.386299999999999</v>
      </c>
      <c r="AA84" s="27">
        <f t="shared" si="148"/>
        <v>46.338999999999999</v>
      </c>
      <c r="AB84" s="27">
        <f t="shared" si="149"/>
        <v>43.805700000000002</v>
      </c>
      <c r="AC84" s="27">
        <f t="shared" si="150"/>
        <v>78.566500000000005</v>
      </c>
      <c r="AD84" s="27">
        <f t="shared" si="151"/>
        <v>38.915300000000002</v>
      </c>
      <c r="AE84" s="27">
        <f t="shared" si="152"/>
        <v>192.048</v>
      </c>
      <c r="AF84" s="27">
        <f t="shared" si="153"/>
        <v>99.701899999999995</v>
      </c>
      <c r="AG84" s="27">
        <f t="shared" si="154"/>
        <v>69.344200000000001</v>
      </c>
      <c r="AH84" s="27">
        <f t="shared" si="155"/>
        <v>22.366299999999999</v>
      </c>
      <c r="AI84" s="27">
        <f t="shared" si="156"/>
        <v>10.2369</v>
      </c>
      <c r="AJ84" s="27">
        <f t="shared" si="157"/>
        <v>65.427599999999998</v>
      </c>
      <c r="AK84" s="27">
        <f t="shared" si="158"/>
        <v>63.8277</v>
      </c>
      <c r="AL84" s="27">
        <f t="shared" si="159"/>
        <v>33.184199999999997</v>
      </c>
      <c r="AM84" s="27">
        <f t="shared" si="160"/>
        <v>31.991499999999998</v>
      </c>
      <c r="AN84" s="27">
        <f t="shared" si="161"/>
        <v>26.405999999999999</v>
      </c>
      <c r="AO84" s="27">
        <f t="shared" si="162"/>
        <v>78.566500000000005</v>
      </c>
      <c r="AP84" s="27">
        <f t="shared" si="163"/>
        <v>104.86799999999999</v>
      </c>
      <c r="AQ84" s="27">
        <f t="shared" si="164"/>
        <v>19.151299999999999</v>
      </c>
      <c r="AR84" s="27">
        <f t="shared" si="165"/>
        <v>67.831000000000003</v>
      </c>
      <c r="AS84" s="27">
        <f t="shared" si="166"/>
        <v>55.869999999999997</v>
      </c>
    </row>
    <row r="85" spans="1:45" s="27" customFormat="1" ht="14.45" customHeight="1">
      <c r="A85" s="29" t="s">
        <v>248</v>
      </c>
      <c r="B85" s="29" t="s">
        <v>254</v>
      </c>
      <c r="C85" s="29" t="s">
        <v>270</v>
      </c>
      <c r="E85" s="28" t="s">
        <v>30</v>
      </c>
      <c r="F85" s="40">
        <v>2030</v>
      </c>
      <c r="G85" s="27" t="s">
        <v>149</v>
      </c>
      <c r="H85" s="27">
        <f t="shared" si="124"/>
        <v>59.629108333333321</v>
      </c>
      <c r="I85" s="27">
        <f t="shared" si="167"/>
        <v>69.344200000000001</v>
      </c>
      <c r="J85" s="27">
        <f t="shared" si="131"/>
        <v>103.075</v>
      </c>
      <c r="K85" s="27">
        <f t="shared" si="132"/>
        <v>78.566500000000005</v>
      </c>
      <c r="L85" s="27">
        <f t="shared" si="133"/>
        <v>68.863600000000005</v>
      </c>
      <c r="M85" s="27">
        <f t="shared" si="134"/>
        <v>23.736799999999999</v>
      </c>
      <c r="N85" s="27">
        <f t="shared" si="135"/>
        <v>56.004600000000003</v>
      </c>
      <c r="O85" s="27">
        <f t="shared" si="136"/>
        <v>36.5657</v>
      </c>
      <c r="P85" s="27">
        <f t="shared" si="137"/>
        <v>40.363799999999998</v>
      </c>
      <c r="Q85" s="27">
        <f t="shared" si="138"/>
        <v>35.722799999999999</v>
      </c>
      <c r="R85" s="27">
        <f t="shared" si="139"/>
        <v>99.782899999999998</v>
      </c>
      <c r="S85" s="27" t="str">
        <f t="shared" si="140"/>
        <v/>
      </c>
      <c r="T85" s="27">
        <f t="shared" si="141"/>
        <v>69.344200000000001</v>
      </c>
      <c r="U85" s="27">
        <f t="shared" si="142"/>
        <v>31.154800000000002</v>
      </c>
      <c r="V85" s="27">
        <f t="shared" si="143"/>
        <v>60.418599999999998</v>
      </c>
      <c r="W85" s="27">
        <f t="shared" si="144"/>
        <v>44.388800000000003</v>
      </c>
      <c r="X85" s="27">
        <f t="shared" si="145"/>
        <v>78.566500000000005</v>
      </c>
      <c r="Y85" s="27">
        <f t="shared" si="146"/>
        <v>48.915199999999999</v>
      </c>
      <c r="Z85" s="27">
        <f t="shared" si="147"/>
        <v>53.386299999999999</v>
      </c>
      <c r="AA85" s="27">
        <f t="shared" si="148"/>
        <v>46.338999999999999</v>
      </c>
      <c r="AB85" s="27">
        <f t="shared" si="149"/>
        <v>43.805700000000002</v>
      </c>
      <c r="AC85" s="27">
        <f t="shared" si="150"/>
        <v>78.566500000000005</v>
      </c>
      <c r="AD85" s="27">
        <f t="shared" si="151"/>
        <v>38.915300000000002</v>
      </c>
      <c r="AE85" s="27">
        <f t="shared" si="152"/>
        <v>192.048</v>
      </c>
      <c r="AF85" s="27">
        <f t="shared" si="153"/>
        <v>99.701899999999995</v>
      </c>
      <c r="AG85" s="27">
        <f t="shared" si="154"/>
        <v>69.344200000000001</v>
      </c>
      <c r="AH85" s="27">
        <f t="shared" si="155"/>
        <v>22.366299999999999</v>
      </c>
      <c r="AI85" s="27">
        <f t="shared" si="156"/>
        <v>10.2369</v>
      </c>
      <c r="AJ85" s="27">
        <f t="shared" si="157"/>
        <v>65.427599999999998</v>
      </c>
      <c r="AK85" s="27">
        <f t="shared" si="158"/>
        <v>63.8277</v>
      </c>
      <c r="AL85" s="27">
        <f t="shared" si="159"/>
        <v>33.184199999999997</v>
      </c>
      <c r="AM85" s="27">
        <f t="shared" si="160"/>
        <v>31.991499999999998</v>
      </c>
      <c r="AN85" s="27">
        <f t="shared" si="161"/>
        <v>26.405999999999999</v>
      </c>
      <c r="AO85" s="27">
        <f t="shared" si="162"/>
        <v>78.566500000000005</v>
      </c>
      <c r="AP85" s="27">
        <f t="shared" si="163"/>
        <v>104.86799999999999</v>
      </c>
      <c r="AQ85" s="27">
        <f t="shared" si="164"/>
        <v>19.151299999999999</v>
      </c>
      <c r="AR85" s="27">
        <f t="shared" si="165"/>
        <v>67.831000000000003</v>
      </c>
      <c r="AS85" s="27">
        <f t="shared" si="166"/>
        <v>55.869999999999997</v>
      </c>
    </row>
    <row r="86" spans="1:45" s="27" customFormat="1" ht="14.45" customHeight="1">
      <c r="A86" s="29" t="s">
        <v>248</v>
      </c>
      <c r="B86" s="29" t="s">
        <v>254</v>
      </c>
      <c r="C86" s="29" t="s">
        <v>270</v>
      </c>
      <c r="E86" s="28" t="s">
        <v>30</v>
      </c>
      <c r="F86" s="40">
        <v>2035</v>
      </c>
      <c r="G86" s="27" t="s">
        <v>149</v>
      </c>
      <c r="H86" s="27">
        <f t="shared" si="124"/>
        <v>59.629108333333321</v>
      </c>
      <c r="I86" s="27">
        <f t="shared" si="167"/>
        <v>69.344200000000001</v>
      </c>
      <c r="J86" s="27">
        <f t="shared" si="131"/>
        <v>103.075</v>
      </c>
      <c r="K86" s="27">
        <f t="shared" si="132"/>
        <v>78.566500000000005</v>
      </c>
      <c r="L86" s="27">
        <f t="shared" si="133"/>
        <v>68.863600000000005</v>
      </c>
      <c r="M86" s="27">
        <f t="shared" si="134"/>
        <v>23.736799999999999</v>
      </c>
      <c r="N86" s="27">
        <f t="shared" si="135"/>
        <v>56.004600000000003</v>
      </c>
      <c r="O86" s="27">
        <f t="shared" si="136"/>
        <v>36.5657</v>
      </c>
      <c r="P86" s="27">
        <f t="shared" si="137"/>
        <v>40.363799999999998</v>
      </c>
      <c r="Q86" s="27">
        <f t="shared" si="138"/>
        <v>35.722799999999999</v>
      </c>
      <c r="R86" s="27">
        <f t="shared" si="139"/>
        <v>99.782899999999998</v>
      </c>
      <c r="S86" s="27" t="str">
        <f t="shared" si="140"/>
        <v/>
      </c>
      <c r="T86" s="27">
        <f t="shared" si="141"/>
        <v>69.344200000000001</v>
      </c>
      <c r="U86" s="27">
        <f t="shared" si="142"/>
        <v>31.154800000000002</v>
      </c>
      <c r="V86" s="27">
        <f t="shared" si="143"/>
        <v>60.418599999999998</v>
      </c>
      <c r="W86" s="27">
        <f t="shared" si="144"/>
        <v>44.388800000000003</v>
      </c>
      <c r="X86" s="27">
        <f t="shared" si="145"/>
        <v>78.566500000000005</v>
      </c>
      <c r="Y86" s="27">
        <f t="shared" si="146"/>
        <v>48.915199999999999</v>
      </c>
      <c r="Z86" s="27">
        <f t="shared" si="147"/>
        <v>53.386299999999999</v>
      </c>
      <c r="AA86" s="27">
        <f t="shared" si="148"/>
        <v>46.338999999999999</v>
      </c>
      <c r="AB86" s="27">
        <f t="shared" si="149"/>
        <v>43.805700000000002</v>
      </c>
      <c r="AC86" s="27">
        <f t="shared" si="150"/>
        <v>78.566500000000005</v>
      </c>
      <c r="AD86" s="27">
        <f t="shared" si="151"/>
        <v>38.915300000000002</v>
      </c>
      <c r="AE86" s="27">
        <f t="shared" si="152"/>
        <v>192.048</v>
      </c>
      <c r="AF86" s="27">
        <f t="shared" si="153"/>
        <v>99.701899999999995</v>
      </c>
      <c r="AG86" s="27">
        <f t="shared" si="154"/>
        <v>69.344200000000001</v>
      </c>
      <c r="AH86" s="27">
        <f t="shared" si="155"/>
        <v>22.366299999999999</v>
      </c>
      <c r="AI86" s="27">
        <f t="shared" si="156"/>
        <v>10.2369</v>
      </c>
      <c r="AJ86" s="27">
        <f t="shared" si="157"/>
        <v>65.427599999999998</v>
      </c>
      <c r="AK86" s="27">
        <f t="shared" si="158"/>
        <v>63.8277</v>
      </c>
      <c r="AL86" s="27">
        <f t="shared" si="159"/>
        <v>33.184199999999997</v>
      </c>
      <c r="AM86" s="27">
        <f t="shared" si="160"/>
        <v>31.991499999999998</v>
      </c>
      <c r="AN86" s="27">
        <f t="shared" si="161"/>
        <v>26.405999999999999</v>
      </c>
      <c r="AO86" s="27">
        <f t="shared" si="162"/>
        <v>78.566500000000005</v>
      </c>
      <c r="AP86" s="27">
        <f t="shared" si="163"/>
        <v>104.86799999999999</v>
      </c>
      <c r="AQ86" s="27">
        <f t="shared" si="164"/>
        <v>19.151299999999999</v>
      </c>
      <c r="AR86" s="27">
        <f t="shared" si="165"/>
        <v>67.831000000000003</v>
      </c>
      <c r="AS86" s="27">
        <f t="shared" si="166"/>
        <v>55.869999999999997</v>
      </c>
    </row>
    <row r="87" spans="1:45" s="27" customFormat="1" ht="14.45" customHeight="1">
      <c r="A87" s="29" t="s">
        <v>248</v>
      </c>
      <c r="B87" s="29" t="s">
        <v>254</v>
      </c>
      <c r="C87" s="29" t="s">
        <v>270</v>
      </c>
      <c r="E87" s="28" t="s">
        <v>30</v>
      </c>
      <c r="F87" s="40">
        <v>2040</v>
      </c>
      <c r="G87" s="27" t="s">
        <v>149</v>
      </c>
      <c r="H87" s="27">
        <f t="shared" si="124"/>
        <v>59.629108333333321</v>
      </c>
      <c r="I87" s="27">
        <f t="shared" si="167"/>
        <v>69.344200000000001</v>
      </c>
      <c r="J87" s="27">
        <f t="shared" si="131"/>
        <v>103.075</v>
      </c>
      <c r="K87" s="27">
        <f t="shared" si="132"/>
        <v>78.566500000000005</v>
      </c>
      <c r="L87" s="27">
        <f t="shared" si="133"/>
        <v>68.863600000000005</v>
      </c>
      <c r="M87" s="27">
        <f t="shared" si="134"/>
        <v>23.736799999999999</v>
      </c>
      <c r="N87" s="27">
        <f t="shared" si="135"/>
        <v>56.004600000000003</v>
      </c>
      <c r="O87" s="27">
        <f t="shared" si="136"/>
        <v>36.5657</v>
      </c>
      <c r="P87" s="27">
        <f t="shared" si="137"/>
        <v>40.363799999999998</v>
      </c>
      <c r="Q87" s="27">
        <f t="shared" si="138"/>
        <v>35.722799999999999</v>
      </c>
      <c r="R87" s="27">
        <f t="shared" si="139"/>
        <v>99.782899999999998</v>
      </c>
      <c r="S87" s="27" t="str">
        <f t="shared" si="140"/>
        <v/>
      </c>
      <c r="T87" s="27">
        <f t="shared" si="141"/>
        <v>69.344200000000001</v>
      </c>
      <c r="U87" s="27">
        <f t="shared" si="142"/>
        <v>31.154800000000002</v>
      </c>
      <c r="V87" s="27">
        <f t="shared" si="143"/>
        <v>60.418599999999998</v>
      </c>
      <c r="W87" s="27">
        <f t="shared" si="144"/>
        <v>44.388800000000003</v>
      </c>
      <c r="X87" s="27">
        <f t="shared" si="145"/>
        <v>78.566500000000005</v>
      </c>
      <c r="Y87" s="27">
        <f t="shared" si="146"/>
        <v>48.915199999999999</v>
      </c>
      <c r="Z87" s="27">
        <f t="shared" si="147"/>
        <v>53.386299999999999</v>
      </c>
      <c r="AA87" s="27">
        <f t="shared" si="148"/>
        <v>46.338999999999999</v>
      </c>
      <c r="AB87" s="27">
        <f t="shared" si="149"/>
        <v>43.805700000000002</v>
      </c>
      <c r="AC87" s="27">
        <f t="shared" si="150"/>
        <v>78.566500000000005</v>
      </c>
      <c r="AD87" s="27">
        <f t="shared" si="151"/>
        <v>38.915300000000002</v>
      </c>
      <c r="AE87" s="27">
        <f t="shared" si="152"/>
        <v>192.048</v>
      </c>
      <c r="AF87" s="27">
        <f t="shared" si="153"/>
        <v>99.701899999999995</v>
      </c>
      <c r="AG87" s="27">
        <f t="shared" si="154"/>
        <v>69.344200000000001</v>
      </c>
      <c r="AH87" s="27">
        <f t="shared" si="155"/>
        <v>22.366299999999999</v>
      </c>
      <c r="AI87" s="27">
        <f t="shared" si="156"/>
        <v>10.2369</v>
      </c>
      <c r="AJ87" s="27">
        <f t="shared" si="157"/>
        <v>65.427599999999998</v>
      </c>
      <c r="AK87" s="27">
        <f t="shared" si="158"/>
        <v>63.8277</v>
      </c>
      <c r="AL87" s="27">
        <f t="shared" si="159"/>
        <v>33.184199999999997</v>
      </c>
      <c r="AM87" s="27">
        <f t="shared" si="160"/>
        <v>31.991499999999998</v>
      </c>
      <c r="AN87" s="27">
        <f t="shared" si="161"/>
        <v>26.405999999999999</v>
      </c>
      <c r="AO87" s="27">
        <f t="shared" si="162"/>
        <v>78.566500000000005</v>
      </c>
      <c r="AP87" s="27">
        <f t="shared" si="163"/>
        <v>104.86799999999999</v>
      </c>
      <c r="AQ87" s="27">
        <f t="shared" si="164"/>
        <v>19.151299999999999</v>
      </c>
      <c r="AR87" s="27">
        <f t="shared" si="165"/>
        <v>67.831000000000003</v>
      </c>
      <c r="AS87" s="27">
        <f t="shared" si="166"/>
        <v>55.869999999999997</v>
      </c>
    </row>
    <row r="88" spans="1:45" s="53" customFormat="1" ht="14.45" customHeight="1">
      <c r="A88" s="52" t="s">
        <v>248</v>
      </c>
      <c r="B88" s="52" t="s">
        <v>254</v>
      </c>
      <c r="C88" s="52" t="s">
        <v>270</v>
      </c>
      <c r="E88" s="54" t="s">
        <v>30</v>
      </c>
      <c r="F88" s="55">
        <v>2050</v>
      </c>
      <c r="G88" s="53" t="s">
        <v>149</v>
      </c>
      <c r="H88" s="53">
        <f t="shared" si="124"/>
        <v>59.629108333333321</v>
      </c>
      <c r="I88" s="53">
        <f t="shared" si="167"/>
        <v>69.344200000000001</v>
      </c>
      <c r="J88" s="53">
        <f t="shared" si="131"/>
        <v>103.075</v>
      </c>
      <c r="K88" s="53">
        <f t="shared" si="132"/>
        <v>78.566500000000005</v>
      </c>
      <c r="L88" s="53">
        <f t="shared" si="133"/>
        <v>68.863600000000005</v>
      </c>
      <c r="M88" s="53">
        <f t="shared" si="134"/>
        <v>23.736799999999999</v>
      </c>
      <c r="N88" s="53">
        <f t="shared" si="135"/>
        <v>56.004600000000003</v>
      </c>
      <c r="O88" s="53">
        <f t="shared" si="136"/>
        <v>36.5657</v>
      </c>
      <c r="P88" s="53">
        <f t="shared" si="137"/>
        <v>40.363799999999998</v>
      </c>
      <c r="Q88" s="53">
        <f t="shared" si="138"/>
        <v>35.722799999999999</v>
      </c>
      <c r="R88" s="53">
        <f t="shared" si="139"/>
        <v>99.782899999999998</v>
      </c>
      <c r="S88" s="53" t="str">
        <f t="shared" si="140"/>
        <v/>
      </c>
      <c r="T88" s="53">
        <f t="shared" si="141"/>
        <v>69.344200000000001</v>
      </c>
      <c r="U88" s="53">
        <f t="shared" si="142"/>
        <v>31.154800000000002</v>
      </c>
      <c r="V88" s="53">
        <f t="shared" si="143"/>
        <v>60.418599999999998</v>
      </c>
      <c r="W88" s="53">
        <f t="shared" si="144"/>
        <v>44.388800000000003</v>
      </c>
      <c r="X88" s="53">
        <f t="shared" si="145"/>
        <v>78.566500000000005</v>
      </c>
      <c r="Y88" s="53">
        <f t="shared" si="146"/>
        <v>48.915199999999999</v>
      </c>
      <c r="Z88" s="53">
        <f t="shared" si="147"/>
        <v>53.386299999999999</v>
      </c>
      <c r="AA88" s="53">
        <f t="shared" si="148"/>
        <v>46.338999999999999</v>
      </c>
      <c r="AB88" s="53">
        <f t="shared" si="149"/>
        <v>43.805700000000002</v>
      </c>
      <c r="AC88" s="53">
        <f t="shared" si="150"/>
        <v>78.566500000000005</v>
      </c>
      <c r="AD88" s="53">
        <f t="shared" si="151"/>
        <v>38.915300000000002</v>
      </c>
      <c r="AE88" s="53">
        <f t="shared" si="152"/>
        <v>192.048</v>
      </c>
      <c r="AF88" s="53">
        <f t="shared" si="153"/>
        <v>99.701899999999995</v>
      </c>
      <c r="AG88" s="53">
        <f t="shared" si="154"/>
        <v>69.344200000000001</v>
      </c>
      <c r="AH88" s="53">
        <f t="shared" si="155"/>
        <v>22.366299999999999</v>
      </c>
      <c r="AI88" s="53">
        <f t="shared" si="156"/>
        <v>10.2369</v>
      </c>
      <c r="AJ88" s="53">
        <f t="shared" si="157"/>
        <v>65.427599999999998</v>
      </c>
      <c r="AK88" s="53">
        <f t="shared" si="158"/>
        <v>63.8277</v>
      </c>
      <c r="AL88" s="53">
        <f t="shared" si="159"/>
        <v>33.184199999999997</v>
      </c>
      <c r="AM88" s="53">
        <f t="shared" si="160"/>
        <v>31.991499999999998</v>
      </c>
      <c r="AN88" s="53">
        <f t="shared" si="161"/>
        <v>26.405999999999999</v>
      </c>
      <c r="AO88" s="53">
        <f t="shared" si="162"/>
        <v>78.566500000000005</v>
      </c>
      <c r="AP88" s="53">
        <f t="shared" si="163"/>
        <v>104.86799999999999</v>
      </c>
      <c r="AQ88" s="53">
        <f t="shared" si="164"/>
        <v>19.151299999999999</v>
      </c>
      <c r="AR88" s="53">
        <f t="shared" si="165"/>
        <v>67.831000000000003</v>
      </c>
      <c r="AS88" s="53">
        <f t="shared" si="166"/>
        <v>55.869999999999997</v>
      </c>
    </row>
    <row r="89" spans="1:45" s="27" customFormat="1" ht="14.45" customHeight="1">
      <c r="A89" s="29" t="s">
        <v>248</v>
      </c>
      <c r="B89" s="29" t="s">
        <v>254</v>
      </c>
      <c r="C89" s="29" t="s">
        <v>271</v>
      </c>
      <c r="E89" s="28" t="s">
        <v>30</v>
      </c>
      <c r="F89" s="40">
        <v>2010</v>
      </c>
      <c r="G89" s="27" t="s">
        <v>148</v>
      </c>
      <c r="H89" s="27">
        <f t="shared" si="124"/>
        <v>59.629108333333321</v>
      </c>
      <c r="I89" s="27">
        <v>69.344200000000001</v>
      </c>
      <c r="J89" s="27">
        <v>103.075</v>
      </c>
      <c r="K89" s="27">
        <v>78.566500000000005</v>
      </c>
      <c r="L89" s="27">
        <v>68.863600000000005</v>
      </c>
      <c r="M89" s="27">
        <v>23.736799999999999</v>
      </c>
      <c r="N89" s="27">
        <v>56.004600000000003</v>
      </c>
      <c r="O89" s="27">
        <v>36.5657</v>
      </c>
      <c r="P89" s="27">
        <v>40.363799999999998</v>
      </c>
      <c r="Q89" s="27">
        <v>35.722799999999999</v>
      </c>
      <c r="R89" s="27">
        <v>99.782899999999998</v>
      </c>
      <c r="S89" s="27" t="s">
        <v>275</v>
      </c>
      <c r="T89" s="27">
        <v>69.344200000000001</v>
      </c>
      <c r="U89" s="27">
        <v>31.154800000000002</v>
      </c>
      <c r="V89" s="27">
        <v>60.418599999999998</v>
      </c>
      <c r="W89" s="27">
        <v>44.388800000000003</v>
      </c>
      <c r="X89" s="27">
        <v>78.566500000000005</v>
      </c>
      <c r="Y89" s="27">
        <v>48.915199999999999</v>
      </c>
      <c r="Z89" s="27">
        <v>53.386299999999999</v>
      </c>
      <c r="AA89" s="27">
        <v>46.338999999999999</v>
      </c>
      <c r="AB89" s="27">
        <v>43.805700000000002</v>
      </c>
      <c r="AC89" s="27">
        <v>78.566500000000005</v>
      </c>
      <c r="AD89" s="27">
        <v>38.915300000000002</v>
      </c>
      <c r="AE89" s="27">
        <v>192.048</v>
      </c>
      <c r="AF89" s="27">
        <v>99.701899999999995</v>
      </c>
      <c r="AG89" s="27">
        <v>69.344200000000001</v>
      </c>
      <c r="AH89" s="27">
        <v>22.366299999999999</v>
      </c>
      <c r="AI89" s="27">
        <v>10.2369</v>
      </c>
      <c r="AJ89" s="27">
        <v>65.427599999999998</v>
      </c>
      <c r="AK89" s="27">
        <v>63.8277</v>
      </c>
      <c r="AL89" s="27">
        <v>33.184199999999997</v>
      </c>
      <c r="AM89" s="27">
        <v>31.991499999999998</v>
      </c>
      <c r="AN89" s="27">
        <v>26.405999999999999</v>
      </c>
      <c r="AO89" s="27">
        <v>78.566500000000005</v>
      </c>
      <c r="AP89" s="27">
        <v>104.86799999999999</v>
      </c>
      <c r="AQ89" s="27">
        <v>19.151299999999999</v>
      </c>
      <c r="AR89" s="27">
        <v>67.831000000000003</v>
      </c>
      <c r="AS89" s="27">
        <v>55.87</v>
      </c>
    </row>
    <row r="90" spans="1:47" s="27" customFormat="1" ht="14.45" customHeight="1">
      <c r="A90" s="29" t="s">
        <v>248</v>
      </c>
      <c r="B90" s="29" t="s">
        <v>254</v>
      </c>
      <c r="C90" s="29" t="s">
        <v>271</v>
      </c>
      <c r="E90" s="28" t="s">
        <v>30</v>
      </c>
      <c r="F90" s="40">
        <v>2020</v>
      </c>
      <c r="G90" s="27" t="s">
        <v>148</v>
      </c>
      <c r="H90" s="27">
        <f t="shared" si="124"/>
        <v>59.629108333333321</v>
      </c>
      <c r="I90" s="29">
        <f>I89</f>
        <v>69.344200000000001</v>
      </c>
      <c r="J90" s="29">
        <f t="shared" si="168" ref="J90:J95">J89</f>
        <v>103.075</v>
      </c>
      <c r="K90" s="29">
        <f t="shared" si="169" ref="K90:K95">K89</f>
        <v>78.566500000000005</v>
      </c>
      <c r="L90" s="29">
        <f t="shared" si="170" ref="L90:L95">L89</f>
        <v>68.863600000000005</v>
      </c>
      <c r="M90" s="29">
        <f t="shared" si="171" ref="M90:M95">M89</f>
        <v>23.736799999999999</v>
      </c>
      <c r="N90" s="29">
        <f t="shared" si="172" ref="N90:N95">N89</f>
        <v>56.004600000000003</v>
      </c>
      <c r="O90" s="29">
        <f t="shared" si="173" ref="O90:O95">O89</f>
        <v>36.5657</v>
      </c>
      <c r="P90" s="29">
        <f t="shared" si="174" ref="P90:P95">P89</f>
        <v>40.363799999999998</v>
      </c>
      <c r="Q90" s="29">
        <f t="shared" si="175" ref="Q90:Q95">Q89</f>
        <v>35.722799999999999</v>
      </c>
      <c r="R90" s="29">
        <f t="shared" si="176" ref="R90:R95">R89</f>
        <v>99.782899999999998</v>
      </c>
      <c r="S90" s="29" t="str">
        <f t="shared" si="177" ref="S90:S95">S89</f>
        <v/>
      </c>
      <c r="T90" s="29">
        <f t="shared" si="178" ref="T90:T95">T89</f>
        <v>69.344200000000001</v>
      </c>
      <c r="U90" s="29">
        <f t="shared" si="179" ref="U90:U95">U89</f>
        <v>31.154800000000002</v>
      </c>
      <c r="V90" s="29">
        <f t="shared" si="180" ref="V90:V95">V89</f>
        <v>60.418599999999998</v>
      </c>
      <c r="W90" s="29">
        <f t="shared" si="181" ref="W90:W95">W89</f>
        <v>44.388800000000003</v>
      </c>
      <c r="X90" s="29">
        <f t="shared" si="182" ref="X90:X95">X89</f>
        <v>78.566500000000005</v>
      </c>
      <c r="Y90" s="29">
        <f t="shared" si="183" ref="Y90:Y95">Y89</f>
        <v>48.915199999999999</v>
      </c>
      <c r="Z90" s="29">
        <f t="shared" si="184" ref="Z90:Z95">Z89</f>
        <v>53.386299999999999</v>
      </c>
      <c r="AA90" s="29">
        <f t="shared" si="185" ref="AA90:AA95">AA89</f>
        <v>46.338999999999999</v>
      </c>
      <c r="AB90" s="29">
        <f t="shared" si="186" ref="AB90:AB95">AB89</f>
        <v>43.805700000000002</v>
      </c>
      <c r="AC90" s="29">
        <f t="shared" si="187" ref="AC90:AC95">AC89</f>
        <v>78.566500000000005</v>
      </c>
      <c r="AD90" s="29">
        <f t="shared" si="188" ref="AD90:AD95">AD89</f>
        <v>38.915300000000002</v>
      </c>
      <c r="AE90" s="29">
        <f t="shared" si="189" ref="AE90:AE95">AE89</f>
        <v>192.048</v>
      </c>
      <c r="AF90" s="29">
        <f t="shared" si="190" ref="AF90:AF95">AF89</f>
        <v>99.701899999999995</v>
      </c>
      <c r="AG90" s="29">
        <f t="shared" si="191" ref="AG90:AG95">AG89</f>
        <v>69.344200000000001</v>
      </c>
      <c r="AH90" s="29">
        <f t="shared" si="192" ref="AH90:AH95">AH89</f>
        <v>22.366299999999999</v>
      </c>
      <c r="AI90" s="29">
        <f t="shared" si="193" ref="AI90:AI95">AI89</f>
        <v>10.2369</v>
      </c>
      <c r="AJ90" s="29">
        <f t="shared" si="194" ref="AJ90:AJ95">AJ89</f>
        <v>65.427599999999998</v>
      </c>
      <c r="AK90" s="29">
        <f t="shared" si="195" ref="AK90:AK95">AK89</f>
        <v>63.8277</v>
      </c>
      <c r="AL90" s="29">
        <f t="shared" si="196" ref="AL90:AL95">AL89</f>
        <v>33.184199999999997</v>
      </c>
      <c r="AM90" s="29">
        <f t="shared" si="197" ref="AM90:AM95">AM89</f>
        <v>31.991499999999998</v>
      </c>
      <c r="AN90" s="29">
        <f t="shared" si="198" ref="AN90:AN95">AN89</f>
        <v>26.405999999999999</v>
      </c>
      <c r="AO90" s="29">
        <f t="shared" si="199" ref="AO90:AO95">AO89</f>
        <v>78.566500000000005</v>
      </c>
      <c r="AP90" s="29">
        <f t="shared" si="200" ref="AP90:AP95">AP89</f>
        <v>104.86799999999999</v>
      </c>
      <c r="AQ90" s="29">
        <f t="shared" si="201" ref="AQ90:AQ95">AQ89</f>
        <v>19.151299999999999</v>
      </c>
      <c r="AR90" s="29">
        <f t="shared" si="202" ref="AR90:AR95">AR89</f>
        <v>67.831000000000003</v>
      </c>
      <c r="AS90" s="29">
        <f t="shared" si="203" ref="AS90:AS95">AS89</f>
        <v>55.869999999999997</v>
      </c>
      <c r="AT90" s="29"/>
      <c r="AU90" s="29"/>
    </row>
    <row r="91" spans="1:47" s="27" customFormat="1" ht="14.45" customHeight="1">
      <c r="A91" s="29" t="s">
        <v>248</v>
      </c>
      <c r="B91" s="29" t="s">
        <v>254</v>
      </c>
      <c r="C91" s="29" t="s">
        <v>271</v>
      </c>
      <c r="E91" s="28" t="s">
        <v>30</v>
      </c>
      <c r="F91" s="40">
        <v>2025</v>
      </c>
      <c r="G91" s="27" t="s">
        <v>148</v>
      </c>
      <c r="H91" s="27">
        <f t="shared" si="124"/>
        <v>59.629108333333321</v>
      </c>
      <c r="I91" s="29">
        <f t="shared" si="204" ref="I91:I95">I90</f>
        <v>69.344200000000001</v>
      </c>
      <c r="J91" s="29">
        <f t="shared" si="168"/>
        <v>103.075</v>
      </c>
      <c r="K91" s="29">
        <f t="shared" si="169"/>
        <v>78.566500000000005</v>
      </c>
      <c r="L91" s="29">
        <f t="shared" si="170"/>
        <v>68.863600000000005</v>
      </c>
      <c r="M91" s="29">
        <f t="shared" si="171"/>
        <v>23.736799999999999</v>
      </c>
      <c r="N91" s="29">
        <f t="shared" si="172"/>
        <v>56.004600000000003</v>
      </c>
      <c r="O91" s="29">
        <f t="shared" si="173"/>
        <v>36.5657</v>
      </c>
      <c r="P91" s="29">
        <f t="shared" si="174"/>
        <v>40.363799999999998</v>
      </c>
      <c r="Q91" s="29">
        <f t="shared" si="175"/>
        <v>35.722799999999999</v>
      </c>
      <c r="R91" s="29">
        <f t="shared" si="176"/>
        <v>99.782899999999998</v>
      </c>
      <c r="S91" s="29" t="str">
        <f t="shared" si="177"/>
        <v/>
      </c>
      <c r="T91" s="29">
        <f t="shared" si="178"/>
        <v>69.344200000000001</v>
      </c>
      <c r="U91" s="29">
        <f t="shared" si="179"/>
        <v>31.154800000000002</v>
      </c>
      <c r="V91" s="29">
        <f t="shared" si="180"/>
        <v>60.418599999999998</v>
      </c>
      <c r="W91" s="29">
        <f t="shared" si="181"/>
        <v>44.388800000000003</v>
      </c>
      <c r="X91" s="29">
        <f t="shared" si="182"/>
        <v>78.566500000000005</v>
      </c>
      <c r="Y91" s="29">
        <f t="shared" si="183"/>
        <v>48.915199999999999</v>
      </c>
      <c r="Z91" s="29">
        <f t="shared" si="184"/>
        <v>53.386299999999999</v>
      </c>
      <c r="AA91" s="29">
        <f t="shared" si="185"/>
        <v>46.338999999999999</v>
      </c>
      <c r="AB91" s="29">
        <f t="shared" si="186"/>
        <v>43.805700000000002</v>
      </c>
      <c r="AC91" s="29">
        <f t="shared" si="187"/>
        <v>78.566500000000005</v>
      </c>
      <c r="AD91" s="29">
        <f t="shared" si="188"/>
        <v>38.915300000000002</v>
      </c>
      <c r="AE91" s="29">
        <f t="shared" si="189"/>
        <v>192.048</v>
      </c>
      <c r="AF91" s="29">
        <f t="shared" si="190"/>
        <v>99.701899999999995</v>
      </c>
      <c r="AG91" s="29">
        <f t="shared" si="191"/>
        <v>69.344200000000001</v>
      </c>
      <c r="AH91" s="29">
        <f t="shared" si="192"/>
        <v>22.366299999999999</v>
      </c>
      <c r="AI91" s="29">
        <f t="shared" si="193"/>
        <v>10.2369</v>
      </c>
      <c r="AJ91" s="29">
        <f t="shared" si="194"/>
        <v>65.427599999999998</v>
      </c>
      <c r="AK91" s="29">
        <f t="shared" si="195"/>
        <v>63.8277</v>
      </c>
      <c r="AL91" s="29">
        <f t="shared" si="196"/>
        <v>33.184199999999997</v>
      </c>
      <c r="AM91" s="29">
        <f t="shared" si="197"/>
        <v>31.991499999999998</v>
      </c>
      <c r="AN91" s="29">
        <f t="shared" si="198"/>
        <v>26.405999999999999</v>
      </c>
      <c r="AO91" s="29">
        <f t="shared" si="199"/>
        <v>78.566500000000005</v>
      </c>
      <c r="AP91" s="29">
        <f t="shared" si="200"/>
        <v>104.86799999999999</v>
      </c>
      <c r="AQ91" s="29">
        <f t="shared" si="201"/>
        <v>19.151299999999999</v>
      </c>
      <c r="AR91" s="29">
        <f t="shared" si="202"/>
        <v>67.831000000000003</v>
      </c>
      <c r="AS91" s="29">
        <f t="shared" si="203"/>
        <v>55.869999999999997</v>
      </c>
      <c r="AT91" s="29"/>
      <c r="AU91" s="29"/>
    </row>
    <row r="92" spans="1:47" s="27" customFormat="1" ht="14.45" customHeight="1">
      <c r="A92" s="29" t="s">
        <v>248</v>
      </c>
      <c r="B92" s="29" t="s">
        <v>254</v>
      </c>
      <c r="C92" s="29" t="s">
        <v>271</v>
      </c>
      <c r="E92" s="28" t="s">
        <v>30</v>
      </c>
      <c r="F92" s="40">
        <v>2030</v>
      </c>
      <c r="G92" s="27" t="s">
        <v>148</v>
      </c>
      <c r="H92" s="27">
        <f t="shared" si="124"/>
        <v>59.629108333333321</v>
      </c>
      <c r="I92" s="29">
        <f t="shared" si="204"/>
        <v>69.344200000000001</v>
      </c>
      <c r="J92" s="29">
        <f t="shared" si="168"/>
        <v>103.075</v>
      </c>
      <c r="K92" s="29">
        <f t="shared" si="169"/>
        <v>78.566500000000005</v>
      </c>
      <c r="L92" s="29">
        <f t="shared" si="170"/>
        <v>68.863600000000005</v>
      </c>
      <c r="M92" s="29">
        <f t="shared" si="171"/>
        <v>23.736799999999999</v>
      </c>
      <c r="N92" s="29">
        <f t="shared" si="172"/>
        <v>56.004600000000003</v>
      </c>
      <c r="O92" s="29">
        <f t="shared" si="173"/>
        <v>36.5657</v>
      </c>
      <c r="P92" s="29">
        <f t="shared" si="174"/>
        <v>40.363799999999998</v>
      </c>
      <c r="Q92" s="29">
        <f t="shared" si="175"/>
        <v>35.722799999999999</v>
      </c>
      <c r="R92" s="29">
        <f t="shared" si="176"/>
        <v>99.782899999999998</v>
      </c>
      <c r="S92" s="29" t="str">
        <f t="shared" si="177"/>
        <v/>
      </c>
      <c r="T92" s="29">
        <f t="shared" si="178"/>
        <v>69.344200000000001</v>
      </c>
      <c r="U92" s="29">
        <f t="shared" si="179"/>
        <v>31.154800000000002</v>
      </c>
      <c r="V92" s="29">
        <f t="shared" si="180"/>
        <v>60.418599999999998</v>
      </c>
      <c r="W92" s="29">
        <f t="shared" si="181"/>
        <v>44.388800000000003</v>
      </c>
      <c r="X92" s="29">
        <f t="shared" si="182"/>
        <v>78.566500000000005</v>
      </c>
      <c r="Y92" s="29">
        <f t="shared" si="183"/>
        <v>48.915199999999999</v>
      </c>
      <c r="Z92" s="29">
        <f t="shared" si="184"/>
        <v>53.386299999999999</v>
      </c>
      <c r="AA92" s="29">
        <f t="shared" si="185"/>
        <v>46.338999999999999</v>
      </c>
      <c r="AB92" s="29">
        <f t="shared" si="186"/>
        <v>43.805700000000002</v>
      </c>
      <c r="AC92" s="29">
        <f t="shared" si="187"/>
        <v>78.566500000000005</v>
      </c>
      <c r="AD92" s="29">
        <f t="shared" si="188"/>
        <v>38.915300000000002</v>
      </c>
      <c r="AE92" s="29">
        <f t="shared" si="189"/>
        <v>192.048</v>
      </c>
      <c r="AF92" s="29">
        <f t="shared" si="190"/>
        <v>99.701899999999995</v>
      </c>
      <c r="AG92" s="29">
        <f t="shared" si="191"/>
        <v>69.344200000000001</v>
      </c>
      <c r="AH92" s="29">
        <f t="shared" si="192"/>
        <v>22.366299999999999</v>
      </c>
      <c r="AI92" s="29">
        <f t="shared" si="193"/>
        <v>10.2369</v>
      </c>
      <c r="AJ92" s="29">
        <f t="shared" si="194"/>
        <v>65.427599999999998</v>
      </c>
      <c r="AK92" s="29">
        <f t="shared" si="195"/>
        <v>63.8277</v>
      </c>
      <c r="AL92" s="29">
        <f t="shared" si="196"/>
        <v>33.184199999999997</v>
      </c>
      <c r="AM92" s="29">
        <f t="shared" si="197"/>
        <v>31.991499999999998</v>
      </c>
      <c r="AN92" s="29">
        <f t="shared" si="198"/>
        <v>26.405999999999999</v>
      </c>
      <c r="AO92" s="29">
        <f t="shared" si="199"/>
        <v>78.566500000000005</v>
      </c>
      <c r="AP92" s="29">
        <f t="shared" si="200"/>
        <v>104.86799999999999</v>
      </c>
      <c r="AQ92" s="29">
        <f t="shared" si="201"/>
        <v>19.151299999999999</v>
      </c>
      <c r="AR92" s="29">
        <f t="shared" si="202"/>
        <v>67.831000000000003</v>
      </c>
      <c r="AS92" s="29">
        <f t="shared" si="203"/>
        <v>55.869999999999997</v>
      </c>
      <c r="AT92" s="29"/>
      <c r="AU92" s="29"/>
    </row>
    <row r="93" spans="1:47" s="27" customFormat="1" ht="14.45" customHeight="1">
      <c r="A93" s="29" t="s">
        <v>248</v>
      </c>
      <c r="B93" s="29" t="s">
        <v>254</v>
      </c>
      <c r="C93" s="29" t="s">
        <v>271</v>
      </c>
      <c r="E93" s="28" t="s">
        <v>30</v>
      </c>
      <c r="F93" s="40">
        <v>2035</v>
      </c>
      <c r="G93" s="27" t="s">
        <v>148</v>
      </c>
      <c r="H93" s="27">
        <f t="shared" si="124"/>
        <v>59.629108333333321</v>
      </c>
      <c r="I93" s="29">
        <f t="shared" si="204"/>
        <v>69.344200000000001</v>
      </c>
      <c r="J93" s="29">
        <f t="shared" si="168"/>
        <v>103.075</v>
      </c>
      <c r="K93" s="29">
        <f t="shared" si="169"/>
        <v>78.566500000000005</v>
      </c>
      <c r="L93" s="29">
        <f t="shared" si="170"/>
        <v>68.863600000000005</v>
      </c>
      <c r="M93" s="29">
        <f t="shared" si="171"/>
        <v>23.736799999999999</v>
      </c>
      <c r="N93" s="29">
        <f t="shared" si="172"/>
        <v>56.004600000000003</v>
      </c>
      <c r="O93" s="29">
        <f t="shared" si="173"/>
        <v>36.5657</v>
      </c>
      <c r="P93" s="29">
        <f t="shared" si="174"/>
        <v>40.363799999999998</v>
      </c>
      <c r="Q93" s="29">
        <f t="shared" si="175"/>
        <v>35.722799999999999</v>
      </c>
      <c r="R93" s="29">
        <f t="shared" si="176"/>
        <v>99.782899999999998</v>
      </c>
      <c r="S93" s="29" t="str">
        <f t="shared" si="177"/>
        <v/>
      </c>
      <c r="T93" s="29">
        <f t="shared" si="178"/>
        <v>69.344200000000001</v>
      </c>
      <c r="U93" s="29">
        <f t="shared" si="179"/>
        <v>31.154800000000002</v>
      </c>
      <c r="V93" s="29">
        <f t="shared" si="180"/>
        <v>60.418599999999998</v>
      </c>
      <c r="W93" s="29">
        <f t="shared" si="181"/>
        <v>44.388800000000003</v>
      </c>
      <c r="X93" s="29">
        <f t="shared" si="182"/>
        <v>78.566500000000005</v>
      </c>
      <c r="Y93" s="29">
        <f t="shared" si="183"/>
        <v>48.915199999999999</v>
      </c>
      <c r="Z93" s="29">
        <f t="shared" si="184"/>
        <v>53.386299999999999</v>
      </c>
      <c r="AA93" s="29">
        <f t="shared" si="185"/>
        <v>46.338999999999999</v>
      </c>
      <c r="AB93" s="29">
        <f t="shared" si="186"/>
        <v>43.805700000000002</v>
      </c>
      <c r="AC93" s="29">
        <f t="shared" si="187"/>
        <v>78.566500000000005</v>
      </c>
      <c r="AD93" s="29">
        <f t="shared" si="188"/>
        <v>38.915300000000002</v>
      </c>
      <c r="AE93" s="29">
        <f t="shared" si="189"/>
        <v>192.048</v>
      </c>
      <c r="AF93" s="29">
        <f t="shared" si="190"/>
        <v>99.701899999999995</v>
      </c>
      <c r="AG93" s="29">
        <f t="shared" si="191"/>
        <v>69.344200000000001</v>
      </c>
      <c r="AH93" s="29">
        <f t="shared" si="192"/>
        <v>22.366299999999999</v>
      </c>
      <c r="AI93" s="29">
        <f t="shared" si="193"/>
        <v>10.2369</v>
      </c>
      <c r="AJ93" s="29">
        <f t="shared" si="194"/>
        <v>65.427599999999998</v>
      </c>
      <c r="AK93" s="29">
        <f t="shared" si="195"/>
        <v>63.8277</v>
      </c>
      <c r="AL93" s="29">
        <f t="shared" si="196"/>
        <v>33.184199999999997</v>
      </c>
      <c r="AM93" s="29">
        <f t="shared" si="197"/>
        <v>31.991499999999998</v>
      </c>
      <c r="AN93" s="29">
        <f t="shared" si="198"/>
        <v>26.405999999999999</v>
      </c>
      <c r="AO93" s="29">
        <f t="shared" si="199"/>
        <v>78.566500000000005</v>
      </c>
      <c r="AP93" s="29">
        <f t="shared" si="200"/>
        <v>104.86799999999999</v>
      </c>
      <c r="AQ93" s="29">
        <f t="shared" si="201"/>
        <v>19.151299999999999</v>
      </c>
      <c r="AR93" s="29">
        <f t="shared" si="202"/>
        <v>67.831000000000003</v>
      </c>
      <c r="AS93" s="29">
        <f t="shared" si="203"/>
        <v>55.869999999999997</v>
      </c>
      <c r="AT93" s="29"/>
      <c r="AU93" s="29"/>
    </row>
    <row r="94" spans="1:47" s="27" customFormat="1" ht="14.45" customHeight="1">
      <c r="A94" s="29" t="s">
        <v>248</v>
      </c>
      <c r="B94" s="29" t="s">
        <v>254</v>
      </c>
      <c r="C94" s="29" t="s">
        <v>271</v>
      </c>
      <c r="E94" s="28" t="s">
        <v>30</v>
      </c>
      <c r="F94" s="40">
        <v>2040</v>
      </c>
      <c r="G94" s="27" t="s">
        <v>148</v>
      </c>
      <c r="H94" s="27">
        <f t="shared" si="124"/>
        <v>59.629108333333321</v>
      </c>
      <c r="I94" s="29">
        <f t="shared" si="204"/>
        <v>69.344200000000001</v>
      </c>
      <c r="J94" s="29">
        <f t="shared" si="168"/>
        <v>103.075</v>
      </c>
      <c r="K94" s="29">
        <f t="shared" si="169"/>
        <v>78.566500000000005</v>
      </c>
      <c r="L94" s="29">
        <f t="shared" si="170"/>
        <v>68.863600000000005</v>
      </c>
      <c r="M94" s="29">
        <f t="shared" si="171"/>
        <v>23.736799999999999</v>
      </c>
      <c r="N94" s="29">
        <f t="shared" si="172"/>
        <v>56.004600000000003</v>
      </c>
      <c r="O94" s="29">
        <f t="shared" si="173"/>
        <v>36.5657</v>
      </c>
      <c r="P94" s="29">
        <f t="shared" si="174"/>
        <v>40.363799999999998</v>
      </c>
      <c r="Q94" s="29">
        <f t="shared" si="175"/>
        <v>35.722799999999999</v>
      </c>
      <c r="R94" s="29">
        <f t="shared" si="176"/>
        <v>99.782899999999998</v>
      </c>
      <c r="S94" s="29" t="str">
        <f t="shared" si="177"/>
        <v/>
      </c>
      <c r="T94" s="29">
        <f t="shared" si="178"/>
        <v>69.344200000000001</v>
      </c>
      <c r="U94" s="29">
        <f t="shared" si="179"/>
        <v>31.154800000000002</v>
      </c>
      <c r="V94" s="29">
        <f t="shared" si="180"/>
        <v>60.418599999999998</v>
      </c>
      <c r="W94" s="29">
        <f t="shared" si="181"/>
        <v>44.388800000000003</v>
      </c>
      <c r="X94" s="29">
        <f t="shared" si="182"/>
        <v>78.566500000000005</v>
      </c>
      <c r="Y94" s="29">
        <f t="shared" si="183"/>
        <v>48.915199999999999</v>
      </c>
      <c r="Z94" s="29">
        <f t="shared" si="184"/>
        <v>53.386299999999999</v>
      </c>
      <c r="AA94" s="29">
        <f t="shared" si="185"/>
        <v>46.338999999999999</v>
      </c>
      <c r="AB94" s="29">
        <f t="shared" si="186"/>
        <v>43.805700000000002</v>
      </c>
      <c r="AC94" s="29">
        <f t="shared" si="187"/>
        <v>78.566500000000005</v>
      </c>
      <c r="AD94" s="29">
        <f t="shared" si="188"/>
        <v>38.915300000000002</v>
      </c>
      <c r="AE94" s="29">
        <f t="shared" si="189"/>
        <v>192.048</v>
      </c>
      <c r="AF94" s="29">
        <f t="shared" si="190"/>
        <v>99.701899999999995</v>
      </c>
      <c r="AG94" s="29">
        <f t="shared" si="191"/>
        <v>69.344200000000001</v>
      </c>
      <c r="AH94" s="29">
        <f t="shared" si="192"/>
        <v>22.366299999999999</v>
      </c>
      <c r="AI94" s="29">
        <f t="shared" si="193"/>
        <v>10.2369</v>
      </c>
      <c r="AJ94" s="29">
        <f t="shared" si="194"/>
        <v>65.427599999999998</v>
      </c>
      <c r="AK94" s="29">
        <f t="shared" si="195"/>
        <v>63.8277</v>
      </c>
      <c r="AL94" s="29">
        <f t="shared" si="196"/>
        <v>33.184199999999997</v>
      </c>
      <c r="AM94" s="29">
        <f t="shared" si="197"/>
        <v>31.991499999999998</v>
      </c>
      <c r="AN94" s="29">
        <f t="shared" si="198"/>
        <v>26.405999999999999</v>
      </c>
      <c r="AO94" s="29">
        <f t="shared" si="199"/>
        <v>78.566500000000005</v>
      </c>
      <c r="AP94" s="29">
        <f t="shared" si="200"/>
        <v>104.86799999999999</v>
      </c>
      <c r="AQ94" s="29">
        <f t="shared" si="201"/>
        <v>19.151299999999999</v>
      </c>
      <c r="AR94" s="29">
        <f t="shared" si="202"/>
        <v>67.831000000000003</v>
      </c>
      <c r="AS94" s="29">
        <f t="shared" si="203"/>
        <v>55.869999999999997</v>
      </c>
      <c r="AT94" s="29"/>
      <c r="AU94" s="29"/>
    </row>
    <row r="95" spans="1:47" s="53" customFormat="1" ht="14.45" customHeight="1">
      <c r="A95" s="52" t="s">
        <v>248</v>
      </c>
      <c r="B95" s="52" t="s">
        <v>254</v>
      </c>
      <c r="C95" s="52" t="s">
        <v>271</v>
      </c>
      <c r="E95" s="54" t="s">
        <v>30</v>
      </c>
      <c r="F95" s="55">
        <v>2050</v>
      </c>
      <c r="G95" s="53" t="s">
        <v>148</v>
      </c>
      <c r="H95" s="53">
        <f t="shared" si="124"/>
        <v>59.629108333333321</v>
      </c>
      <c r="I95" s="52">
        <f t="shared" si="204"/>
        <v>69.344200000000001</v>
      </c>
      <c r="J95" s="52">
        <f t="shared" si="168"/>
        <v>103.075</v>
      </c>
      <c r="K95" s="52">
        <f t="shared" si="169"/>
        <v>78.566500000000005</v>
      </c>
      <c r="L95" s="52">
        <f t="shared" si="170"/>
        <v>68.863600000000005</v>
      </c>
      <c r="M95" s="52">
        <f t="shared" si="171"/>
        <v>23.736799999999999</v>
      </c>
      <c r="N95" s="52">
        <f t="shared" si="172"/>
        <v>56.004600000000003</v>
      </c>
      <c r="O95" s="52">
        <f t="shared" si="173"/>
        <v>36.5657</v>
      </c>
      <c r="P95" s="52">
        <f t="shared" si="174"/>
        <v>40.363799999999998</v>
      </c>
      <c r="Q95" s="52">
        <f t="shared" si="175"/>
        <v>35.722799999999999</v>
      </c>
      <c r="R95" s="52">
        <f t="shared" si="176"/>
        <v>99.782899999999998</v>
      </c>
      <c r="S95" s="52" t="str">
        <f t="shared" si="177"/>
        <v/>
      </c>
      <c r="T95" s="52">
        <f t="shared" si="178"/>
        <v>69.344200000000001</v>
      </c>
      <c r="U95" s="52">
        <f t="shared" si="179"/>
        <v>31.154800000000002</v>
      </c>
      <c r="V95" s="52">
        <f t="shared" si="180"/>
        <v>60.418599999999998</v>
      </c>
      <c r="W95" s="52">
        <f t="shared" si="181"/>
        <v>44.388800000000003</v>
      </c>
      <c r="X95" s="52">
        <f t="shared" si="182"/>
        <v>78.566500000000005</v>
      </c>
      <c r="Y95" s="52">
        <f t="shared" si="183"/>
        <v>48.915199999999999</v>
      </c>
      <c r="Z95" s="52">
        <f t="shared" si="184"/>
        <v>53.386299999999999</v>
      </c>
      <c r="AA95" s="52">
        <f t="shared" si="185"/>
        <v>46.338999999999999</v>
      </c>
      <c r="AB95" s="52">
        <f t="shared" si="186"/>
        <v>43.805700000000002</v>
      </c>
      <c r="AC95" s="52">
        <f t="shared" si="187"/>
        <v>78.566500000000005</v>
      </c>
      <c r="AD95" s="52">
        <f t="shared" si="188"/>
        <v>38.915300000000002</v>
      </c>
      <c r="AE95" s="52">
        <f t="shared" si="189"/>
        <v>192.048</v>
      </c>
      <c r="AF95" s="52">
        <f t="shared" si="190"/>
        <v>99.701899999999995</v>
      </c>
      <c r="AG95" s="52">
        <f t="shared" si="191"/>
        <v>69.344200000000001</v>
      </c>
      <c r="AH95" s="52">
        <f t="shared" si="192"/>
        <v>22.366299999999999</v>
      </c>
      <c r="AI95" s="52">
        <f t="shared" si="193"/>
        <v>10.2369</v>
      </c>
      <c r="AJ95" s="52">
        <f t="shared" si="194"/>
        <v>65.427599999999998</v>
      </c>
      <c r="AK95" s="52">
        <f t="shared" si="195"/>
        <v>63.8277</v>
      </c>
      <c r="AL95" s="52">
        <f t="shared" si="196"/>
        <v>33.184199999999997</v>
      </c>
      <c r="AM95" s="52">
        <f t="shared" si="197"/>
        <v>31.991499999999998</v>
      </c>
      <c r="AN95" s="52">
        <f t="shared" si="198"/>
        <v>26.405999999999999</v>
      </c>
      <c r="AO95" s="52">
        <f t="shared" si="199"/>
        <v>78.566500000000005</v>
      </c>
      <c r="AP95" s="52">
        <f t="shared" si="200"/>
        <v>104.86799999999999</v>
      </c>
      <c r="AQ95" s="52">
        <f t="shared" si="201"/>
        <v>19.151299999999999</v>
      </c>
      <c r="AR95" s="52">
        <f t="shared" si="202"/>
        <v>67.831000000000003</v>
      </c>
      <c r="AS95" s="52">
        <f t="shared" si="203"/>
        <v>55.869999999999997</v>
      </c>
      <c r="AT95" s="52"/>
      <c r="AU95" s="52"/>
    </row>
    <row r="96" spans="1:45" s="27" customFormat="1" ht="14.45" customHeight="1">
      <c r="A96" s="29" t="s">
        <v>248</v>
      </c>
      <c r="B96" s="29" t="s">
        <v>254</v>
      </c>
      <c r="C96" s="29" t="s">
        <v>272</v>
      </c>
      <c r="E96" s="28" t="s">
        <v>30</v>
      </c>
      <c r="F96" s="40">
        <v>2010</v>
      </c>
      <c r="G96" s="29" t="s">
        <v>250</v>
      </c>
      <c r="H96" s="27">
        <f>AVERAGE(I96:AS96)</f>
        <v>59.629108333333321</v>
      </c>
      <c r="I96" s="27">
        <f t="shared" si="205" ref="I96:AS96">I89</f>
        <v>69.344200000000001</v>
      </c>
      <c r="J96" s="27">
        <f t="shared" si="205"/>
        <v>103.075</v>
      </c>
      <c r="K96" s="27">
        <f t="shared" si="205"/>
        <v>78.566500000000005</v>
      </c>
      <c r="L96" s="27">
        <f t="shared" si="205"/>
        <v>68.863600000000005</v>
      </c>
      <c r="M96" s="27">
        <f t="shared" si="205"/>
        <v>23.736799999999999</v>
      </c>
      <c r="N96" s="27">
        <f t="shared" si="205"/>
        <v>56.004600000000003</v>
      </c>
      <c r="O96" s="27">
        <f t="shared" si="205"/>
        <v>36.5657</v>
      </c>
      <c r="P96" s="27">
        <f t="shared" si="205"/>
        <v>40.363799999999998</v>
      </c>
      <c r="Q96" s="27">
        <f t="shared" si="205"/>
        <v>35.722799999999999</v>
      </c>
      <c r="R96" s="27">
        <f t="shared" si="205"/>
        <v>99.782899999999998</v>
      </c>
      <c r="S96" s="27" t="str">
        <f t="shared" si="205"/>
        <v/>
      </c>
      <c r="T96" s="27">
        <f t="shared" si="205"/>
        <v>69.344200000000001</v>
      </c>
      <c r="U96" s="27">
        <f t="shared" si="205"/>
        <v>31.154800000000002</v>
      </c>
      <c r="V96" s="27">
        <f t="shared" si="205"/>
        <v>60.418599999999998</v>
      </c>
      <c r="W96" s="27">
        <f t="shared" si="205"/>
        <v>44.388800000000003</v>
      </c>
      <c r="X96" s="27">
        <f t="shared" si="205"/>
        <v>78.566500000000005</v>
      </c>
      <c r="Y96" s="27">
        <f t="shared" si="205"/>
        <v>48.915199999999999</v>
      </c>
      <c r="Z96" s="27">
        <f t="shared" si="205"/>
        <v>53.386299999999999</v>
      </c>
      <c r="AA96" s="27">
        <f t="shared" si="205"/>
        <v>46.338999999999999</v>
      </c>
      <c r="AB96" s="27">
        <f t="shared" si="205"/>
        <v>43.805700000000002</v>
      </c>
      <c r="AC96" s="27">
        <f t="shared" si="205"/>
        <v>78.566500000000005</v>
      </c>
      <c r="AD96" s="27">
        <f t="shared" si="205"/>
        <v>38.915300000000002</v>
      </c>
      <c r="AE96" s="27">
        <f t="shared" si="205"/>
        <v>192.048</v>
      </c>
      <c r="AF96" s="27">
        <f t="shared" si="205"/>
        <v>99.701899999999995</v>
      </c>
      <c r="AG96" s="27">
        <f t="shared" si="205"/>
        <v>69.344200000000001</v>
      </c>
      <c r="AH96" s="27">
        <f t="shared" si="205"/>
        <v>22.366299999999999</v>
      </c>
      <c r="AI96" s="27">
        <f t="shared" si="205"/>
        <v>10.2369</v>
      </c>
      <c r="AJ96" s="27">
        <f t="shared" si="205"/>
        <v>65.427599999999998</v>
      </c>
      <c r="AK96" s="27">
        <f t="shared" si="205"/>
        <v>63.8277</v>
      </c>
      <c r="AL96" s="27">
        <f t="shared" si="205"/>
        <v>33.184199999999997</v>
      </c>
      <c r="AM96" s="27">
        <f t="shared" si="205"/>
        <v>31.991499999999998</v>
      </c>
      <c r="AN96" s="27">
        <f t="shared" si="205"/>
        <v>26.405999999999999</v>
      </c>
      <c r="AO96" s="27">
        <f t="shared" si="205"/>
        <v>78.566500000000005</v>
      </c>
      <c r="AP96" s="27">
        <f t="shared" si="205"/>
        <v>104.86799999999999</v>
      </c>
      <c r="AQ96" s="27">
        <f t="shared" si="205"/>
        <v>19.151299999999999</v>
      </c>
      <c r="AR96" s="27">
        <f t="shared" si="205"/>
        <v>67.831000000000003</v>
      </c>
      <c r="AS96" s="27">
        <f t="shared" si="205"/>
        <v>55.869999999999997</v>
      </c>
    </row>
    <row r="97" spans="1:45" s="27" customFormat="1" ht="12.75">
      <c r="A97" s="29" t="s">
        <v>248</v>
      </c>
      <c r="B97" s="29" t="s">
        <v>254</v>
      </c>
      <c r="C97" s="27" t="s">
        <v>272</v>
      </c>
      <c r="E97" s="28" t="s">
        <v>30</v>
      </c>
      <c r="F97" s="42">
        <v>2020</v>
      </c>
      <c r="G97" s="29" t="s">
        <v>250</v>
      </c>
      <c r="H97" s="27">
        <f t="shared" si="206" ref="H97:H151">AVERAGE(I97:AS97)</f>
        <v>59.629108333333321</v>
      </c>
      <c r="I97" s="27">
        <f>I96</f>
        <v>69.344200000000001</v>
      </c>
      <c r="J97" s="27">
        <f t="shared" si="207" ref="J97:J151">J96</f>
        <v>103.075</v>
      </c>
      <c r="K97" s="27">
        <f t="shared" si="208" ref="K97:K151">K96</f>
        <v>78.566500000000005</v>
      </c>
      <c r="L97" s="27">
        <f t="shared" si="209" ref="L97:L151">L96</f>
        <v>68.863600000000005</v>
      </c>
      <c r="M97" s="27">
        <f t="shared" si="210" ref="M97:M151">M96</f>
        <v>23.736799999999999</v>
      </c>
      <c r="N97" s="27">
        <f t="shared" si="211" ref="N97:N151">N96</f>
        <v>56.004600000000003</v>
      </c>
      <c r="O97" s="27">
        <f t="shared" si="212" ref="O97:O151">O96</f>
        <v>36.5657</v>
      </c>
      <c r="P97" s="27">
        <f t="shared" si="213" ref="P97:P151">P96</f>
        <v>40.363799999999998</v>
      </c>
      <c r="Q97" s="27">
        <f t="shared" si="214" ref="Q97:Q151">Q96</f>
        <v>35.722799999999999</v>
      </c>
      <c r="R97" s="27">
        <f t="shared" si="215" ref="R97:R151">R96</f>
        <v>99.782899999999998</v>
      </c>
      <c r="S97" s="27" t="str">
        <f t="shared" si="216" ref="S97:S151">S96</f>
        <v/>
      </c>
      <c r="T97" s="27">
        <f t="shared" si="217" ref="T97:T151">T96</f>
        <v>69.344200000000001</v>
      </c>
      <c r="U97" s="27">
        <f t="shared" si="218" ref="U97:U151">U96</f>
        <v>31.154800000000002</v>
      </c>
      <c r="V97" s="27">
        <f t="shared" si="219" ref="V97:V151">V96</f>
        <v>60.418599999999998</v>
      </c>
      <c r="W97" s="27">
        <f t="shared" si="220" ref="W97:W151">W96</f>
        <v>44.388800000000003</v>
      </c>
      <c r="X97" s="27">
        <f t="shared" si="221" ref="X97:X151">X96</f>
        <v>78.566500000000005</v>
      </c>
      <c r="Y97" s="27">
        <f t="shared" si="222" ref="Y97:Y151">Y96</f>
        <v>48.915199999999999</v>
      </c>
      <c r="Z97" s="27">
        <f t="shared" si="223" ref="Z97:Z151">Z96</f>
        <v>53.386299999999999</v>
      </c>
      <c r="AA97" s="27">
        <f t="shared" si="224" ref="AA97:AA151">AA96</f>
        <v>46.338999999999999</v>
      </c>
      <c r="AB97" s="27">
        <f t="shared" si="225" ref="AB97:AB151">AB96</f>
        <v>43.805700000000002</v>
      </c>
      <c r="AC97" s="27">
        <f t="shared" si="226" ref="AC97:AC151">AC96</f>
        <v>78.566500000000005</v>
      </c>
      <c r="AD97" s="27">
        <f t="shared" si="227" ref="AD97:AD151">AD96</f>
        <v>38.915300000000002</v>
      </c>
      <c r="AE97" s="27">
        <f t="shared" si="228" ref="AE97:AE151">AE96</f>
        <v>192.048</v>
      </c>
      <c r="AF97" s="27">
        <f t="shared" si="229" ref="AF97:AF151">AF96</f>
        <v>99.701899999999995</v>
      </c>
      <c r="AG97" s="27">
        <f t="shared" si="230" ref="AG97:AG151">AG96</f>
        <v>69.344200000000001</v>
      </c>
      <c r="AH97" s="27">
        <f t="shared" si="231" ref="AH97:AH151">AH96</f>
        <v>22.366299999999999</v>
      </c>
      <c r="AI97" s="27">
        <f t="shared" si="232" ref="AI97:AI151">AI96</f>
        <v>10.2369</v>
      </c>
      <c r="AJ97" s="27">
        <f t="shared" si="233" ref="AJ97:AJ151">AJ96</f>
        <v>65.427599999999998</v>
      </c>
      <c r="AK97" s="27">
        <f t="shared" si="234" ref="AK97:AK151">AK96</f>
        <v>63.8277</v>
      </c>
      <c r="AL97" s="27">
        <f t="shared" si="235" ref="AL97:AL151">AL96</f>
        <v>33.184199999999997</v>
      </c>
      <c r="AM97" s="27">
        <f t="shared" si="236" ref="AM97:AM151">AM96</f>
        <v>31.991499999999998</v>
      </c>
      <c r="AN97" s="27">
        <f t="shared" si="237" ref="AN97:AN151">AN96</f>
        <v>26.405999999999999</v>
      </c>
      <c r="AO97" s="27">
        <f t="shared" si="238" ref="AO97:AO151">AO96</f>
        <v>78.566500000000005</v>
      </c>
      <c r="AP97" s="27">
        <f t="shared" si="239" ref="AP97:AP151">AP96</f>
        <v>104.86799999999999</v>
      </c>
      <c r="AQ97" s="27">
        <f t="shared" si="240" ref="AQ97:AQ151">AQ96</f>
        <v>19.151299999999999</v>
      </c>
      <c r="AR97" s="27">
        <f t="shared" si="241" ref="AR97:AR151">AR96</f>
        <v>67.831000000000003</v>
      </c>
      <c r="AS97" s="27">
        <f t="shared" si="242" ref="AS97:AS151">AS96</f>
        <v>55.869999999999997</v>
      </c>
    </row>
    <row r="98" spans="1:45" s="27" customFormat="1" ht="12.75">
      <c r="A98" s="29" t="s">
        <v>248</v>
      </c>
      <c r="B98" s="29" t="s">
        <v>254</v>
      </c>
      <c r="C98" s="27" t="s">
        <v>272</v>
      </c>
      <c r="E98" s="28" t="s">
        <v>30</v>
      </c>
      <c r="F98" s="42">
        <v>2025</v>
      </c>
      <c r="G98" s="29" t="s">
        <v>250</v>
      </c>
      <c r="H98" s="27">
        <f t="shared" si="206"/>
        <v>59.629108333333321</v>
      </c>
      <c r="I98" s="27">
        <f t="shared" si="243" ref="I98:I102">I97</f>
        <v>69.344200000000001</v>
      </c>
      <c r="J98" s="27">
        <f t="shared" si="207"/>
        <v>103.075</v>
      </c>
      <c r="K98" s="27">
        <f t="shared" si="208"/>
        <v>78.566500000000005</v>
      </c>
      <c r="L98" s="27">
        <f t="shared" si="209"/>
        <v>68.863600000000005</v>
      </c>
      <c r="M98" s="27">
        <f t="shared" si="210"/>
        <v>23.736799999999999</v>
      </c>
      <c r="N98" s="27">
        <f t="shared" si="211"/>
        <v>56.004600000000003</v>
      </c>
      <c r="O98" s="27">
        <f t="shared" si="212"/>
        <v>36.5657</v>
      </c>
      <c r="P98" s="27">
        <f t="shared" si="213"/>
        <v>40.363799999999998</v>
      </c>
      <c r="Q98" s="27">
        <f t="shared" si="214"/>
        <v>35.722799999999999</v>
      </c>
      <c r="R98" s="27">
        <f t="shared" si="215"/>
        <v>99.782899999999998</v>
      </c>
      <c r="S98" s="27" t="str">
        <f t="shared" si="216"/>
        <v/>
      </c>
      <c r="T98" s="27">
        <f t="shared" si="217"/>
        <v>69.344200000000001</v>
      </c>
      <c r="U98" s="27">
        <f t="shared" si="218"/>
        <v>31.154800000000002</v>
      </c>
      <c r="V98" s="27">
        <f t="shared" si="219"/>
        <v>60.418599999999998</v>
      </c>
      <c r="W98" s="27">
        <f t="shared" si="220"/>
        <v>44.388800000000003</v>
      </c>
      <c r="X98" s="27">
        <f t="shared" si="221"/>
        <v>78.566500000000005</v>
      </c>
      <c r="Y98" s="27">
        <f t="shared" si="222"/>
        <v>48.915199999999999</v>
      </c>
      <c r="Z98" s="27">
        <f t="shared" si="223"/>
        <v>53.386299999999999</v>
      </c>
      <c r="AA98" s="27">
        <f t="shared" si="224"/>
        <v>46.338999999999999</v>
      </c>
      <c r="AB98" s="27">
        <f t="shared" si="225"/>
        <v>43.805700000000002</v>
      </c>
      <c r="AC98" s="27">
        <f t="shared" si="226"/>
        <v>78.566500000000005</v>
      </c>
      <c r="AD98" s="27">
        <f t="shared" si="227"/>
        <v>38.915300000000002</v>
      </c>
      <c r="AE98" s="27">
        <f t="shared" si="228"/>
        <v>192.048</v>
      </c>
      <c r="AF98" s="27">
        <f t="shared" si="229"/>
        <v>99.701899999999995</v>
      </c>
      <c r="AG98" s="27">
        <f t="shared" si="230"/>
        <v>69.344200000000001</v>
      </c>
      <c r="AH98" s="27">
        <f t="shared" si="231"/>
        <v>22.366299999999999</v>
      </c>
      <c r="AI98" s="27">
        <f t="shared" si="232"/>
        <v>10.2369</v>
      </c>
      <c r="AJ98" s="27">
        <f t="shared" si="233"/>
        <v>65.427599999999998</v>
      </c>
      <c r="AK98" s="27">
        <f t="shared" si="234"/>
        <v>63.8277</v>
      </c>
      <c r="AL98" s="27">
        <f t="shared" si="235"/>
        <v>33.184199999999997</v>
      </c>
      <c r="AM98" s="27">
        <f t="shared" si="236"/>
        <v>31.991499999999998</v>
      </c>
      <c r="AN98" s="27">
        <f t="shared" si="237"/>
        <v>26.405999999999999</v>
      </c>
      <c r="AO98" s="27">
        <f t="shared" si="238"/>
        <v>78.566500000000005</v>
      </c>
      <c r="AP98" s="27">
        <f t="shared" si="239"/>
        <v>104.86799999999999</v>
      </c>
      <c r="AQ98" s="27">
        <f t="shared" si="240"/>
        <v>19.151299999999999</v>
      </c>
      <c r="AR98" s="27">
        <f t="shared" si="241"/>
        <v>67.831000000000003</v>
      </c>
      <c r="AS98" s="27">
        <f t="shared" si="242"/>
        <v>55.869999999999997</v>
      </c>
    </row>
    <row r="99" spans="1:45" s="27" customFormat="1" ht="12.75">
      <c r="A99" s="29" t="s">
        <v>248</v>
      </c>
      <c r="B99" s="29" t="s">
        <v>254</v>
      </c>
      <c r="C99" s="27" t="s">
        <v>272</v>
      </c>
      <c r="E99" s="28" t="s">
        <v>30</v>
      </c>
      <c r="F99" s="42">
        <v>2030</v>
      </c>
      <c r="G99" s="29" t="s">
        <v>250</v>
      </c>
      <c r="H99" s="27">
        <f t="shared" si="206"/>
        <v>59.629108333333321</v>
      </c>
      <c r="I99" s="27">
        <f t="shared" si="243"/>
        <v>69.344200000000001</v>
      </c>
      <c r="J99" s="27">
        <f t="shared" si="207"/>
        <v>103.075</v>
      </c>
      <c r="K99" s="27">
        <f t="shared" si="208"/>
        <v>78.566500000000005</v>
      </c>
      <c r="L99" s="27">
        <f t="shared" si="209"/>
        <v>68.863600000000005</v>
      </c>
      <c r="M99" s="27">
        <f t="shared" si="210"/>
        <v>23.736799999999999</v>
      </c>
      <c r="N99" s="27">
        <f t="shared" si="211"/>
        <v>56.004600000000003</v>
      </c>
      <c r="O99" s="27">
        <f t="shared" si="212"/>
        <v>36.5657</v>
      </c>
      <c r="P99" s="27">
        <f t="shared" si="213"/>
        <v>40.363799999999998</v>
      </c>
      <c r="Q99" s="27">
        <f t="shared" si="214"/>
        <v>35.722799999999999</v>
      </c>
      <c r="R99" s="27">
        <f t="shared" si="215"/>
        <v>99.782899999999998</v>
      </c>
      <c r="S99" s="27" t="str">
        <f t="shared" si="216"/>
        <v/>
      </c>
      <c r="T99" s="27">
        <f t="shared" si="217"/>
        <v>69.344200000000001</v>
      </c>
      <c r="U99" s="27">
        <f t="shared" si="218"/>
        <v>31.154800000000002</v>
      </c>
      <c r="V99" s="27">
        <f t="shared" si="219"/>
        <v>60.418599999999998</v>
      </c>
      <c r="W99" s="27">
        <f t="shared" si="220"/>
        <v>44.388800000000003</v>
      </c>
      <c r="X99" s="27">
        <f t="shared" si="221"/>
        <v>78.566500000000005</v>
      </c>
      <c r="Y99" s="27">
        <f t="shared" si="222"/>
        <v>48.915199999999999</v>
      </c>
      <c r="Z99" s="27">
        <f t="shared" si="223"/>
        <v>53.386299999999999</v>
      </c>
      <c r="AA99" s="27">
        <f t="shared" si="224"/>
        <v>46.338999999999999</v>
      </c>
      <c r="AB99" s="27">
        <f t="shared" si="225"/>
        <v>43.805700000000002</v>
      </c>
      <c r="AC99" s="27">
        <f t="shared" si="226"/>
        <v>78.566500000000005</v>
      </c>
      <c r="AD99" s="27">
        <f t="shared" si="227"/>
        <v>38.915300000000002</v>
      </c>
      <c r="AE99" s="27">
        <f t="shared" si="228"/>
        <v>192.048</v>
      </c>
      <c r="AF99" s="27">
        <f t="shared" si="229"/>
        <v>99.701899999999995</v>
      </c>
      <c r="AG99" s="27">
        <f t="shared" si="230"/>
        <v>69.344200000000001</v>
      </c>
      <c r="AH99" s="27">
        <f t="shared" si="231"/>
        <v>22.366299999999999</v>
      </c>
      <c r="AI99" s="27">
        <f t="shared" si="232"/>
        <v>10.2369</v>
      </c>
      <c r="AJ99" s="27">
        <f t="shared" si="233"/>
        <v>65.427599999999998</v>
      </c>
      <c r="AK99" s="27">
        <f t="shared" si="234"/>
        <v>63.8277</v>
      </c>
      <c r="AL99" s="27">
        <f t="shared" si="235"/>
        <v>33.184199999999997</v>
      </c>
      <c r="AM99" s="27">
        <f t="shared" si="236"/>
        <v>31.991499999999998</v>
      </c>
      <c r="AN99" s="27">
        <f t="shared" si="237"/>
        <v>26.405999999999999</v>
      </c>
      <c r="AO99" s="27">
        <f t="shared" si="238"/>
        <v>78.566500000000005</v>
      </c>
      <c r="AP99" s="27">
        <f t="shared" si="239"/>
        <v>104.86799999999999</v>
      </c>
      <c r="AQ99" s="27">
        <f t="shared" si="240"/>
        <v>19.151299999999999</v>
      </c>
      <c r="AR99" s="27">
        <f t="shared" si="241"/>
        <v>67.831000000000003</v>
      </c>
      <c r="AS99" s="27">
        <f t="shared" si="242"/>
        <v>55.869999999999997</v>
      </c>
    </row>
    <row r="100" spans="1:45" s="27" customFormat="1" ht="12.75">
      <c r="A100" s="29" t="s">
        <v>248</v>
      </c>
      <c r="B100" s="29" t="s">
        <v>254</v>
      </c>
      <c r="C100" s="41" t="s">
        <v>272</v>
      </c>
      <c r="E100" s="28" t="s">
        <v>30</v>
      </c>
      <c r="F100" s="42">
        <v>2035</v>
      </c>
      <c r="G100" s="29" t="s">
        <v>250</v>
      </c>
      <c r="H100" s="27">
        <f t="shared" si="206"/>
        <v>59.629108333333321</v>
      </c>
      <c r="I100" s="27">
        <f t="shared" si="243"/>
        <v>69.344200000000001</v>
      </c>
      <c r="J100" s="27">
        <f t="shared" si="207"/>
        <v>103.075</v>
      </c>
      <c r="K100" s="27">
        <f t="shared" si="208"/>
        <v>78.566500000000005</v>
      </c>
      <c r="L100" s="27">
        <f t="shared" si="209"/>
        <v>68.863600000000005</v>
      </c>
      <c r="M100" s="27">
        <f t="shared" si="210"/>
        <v>23.736799999999999</v>
      </c>
      <c r="N100" s="27">
        <f t="shared" si="211"/>
        <v>56.004600000000003</v>
      </c>
      <c r="O100" s="27">
        <f t="shared" si="212"/>
        <v>36.5657</v>
      </c>
      <c r="P100" s="27">
        <f t="shared" si="213"/>
        <v>40.363799999999998</v>
      </c>
      <c r="Q100" s="27">
        <f t="shared" si="214"/>
        <v>35.722799999999999</v>
      </c>
      <c r="R100" s="27">
        <f t="shared" si="215"/>
        <v>99.782899999999998</v>
      </c>
      <c r="S100" s="27" t="str">
        <f t="shared" si="216"/>
        <v/>
      </c>
      <c r="T100" s="27">
        <f t="shared" si="217"/>
        <v>69.344200000000001</v>
      </c>
      <c r="U100" s="27">
        <f t="shared" si="218"/>
        <v>31.154800000000002</v>
      </c>
      <c r="V100" s="27">
        <f t="shared" si="219"/>
        <v>60.418599999999998</v>
      </c>
      <c r="W100" s="27">
        <f t="shared" si="220"/>
        <v>44.388800000000003</v>
      </c>
      <c r="X100" s="27">
        <f t="shared" si="221"/>
        <v>78.566500000000005</v>
      </c>
      <c r="Y100" s="27">
        <f t="shared" si="222"/>
        <v>48.915199999999999</v>
      </c>
      <c r="Z100" s="27">
        <f t="shared" si="223"/>
        <v>53.386299999999999</v>
      </c>
      <c r="AA100" s="27">
        <f t="shared" si="224"/>
        <v>46.338999999999999</v>
      </c>
      <c r="AB100" s="27">
        <f t="shared" si="225"/>
        <v>43.805700000000002</v>
      </c>
      <c r="AC100" s="27">
        <f t="shared" si="226"/>
        <v>78.566500000000005</v>
      </c>
      <c r="AD100" s="27">
        <f t="shared" si="227"/>
        <v>38.915300000000002</v>
      </c>
      <c r="AE100" s="27">
        <f t="shared" si="228"/>
        <v>192.048</v>
      </c>
      <c r="AF100" s="27">
        <f t="shared" si="229"/>
        <v>99.701899999999995</v>
      </c>
      <c r="AG100" s="27">
        <f t="shared" si="230"/>
        <v>69.344200000000001</v>
      </c>
      <c r="AH100" s="27">
        <f t="shared" si="231"/>
        <v>22.366299999999999</v>
      </c>
      <c r="AI100" s="27">
        <f t="shared" si="232"/>
        <v>10.2369</v>
      </c>
      <c r="AJ100" s="27">
        <f t="shared" si="233"/>
        <v>65.427599999999998</v>
      </c>
      <c r="AK100" s="27">
        <f t="shared" si="234"/>
        <v>63.8277</v>
      </c>
      <c r="AL100" s="27">
        <f t="shared" si="235"/>
        <v>33.184199999999997</v>
      </c>
      <c r="AM100" s="27">
        <f t="shared" si="236"/>
        <v>31.991499999999998</v>
      </c>
      <c r="AN100" s="27">
        <f t="shared" si="237"/>
        <v>26.405999999999999</v>
      </c>
      <c r="AO100" s="27">
        <f t="shared" si="238"/>
        <v>78.566500000000005</v>
      </c>
      <c r="AP100" s="27">
        <f t="shared" si="239"/>
        <v>104.86799999999999</v>
      </c>
      <c r="AQ100" s="27">
        <f t="shared" si="240"/>
        <v>19.151299999999999</v>
      </c>
      <c r="AR100" s="27">
        <f t="shared" si="241"/>
        <v>67.831000000000003</v>
      </c>
      <c r="AS100" s="27">
        <f t="shared" si="242"/>
        <v>55.869999999999997</v>
      </c>
    </row>
    <row r="101" spans="1:45" s="27" customFormat="1" ht="14.45" customHeight="1">
      <c r="A101" s="29" t="s">
        <v>248</v>
      </c>
      <c r="B101" s="29" t="s">
        <v>254</v>
      </c>
      <c r="C101" s="41" t="s">
        <v>272</v>
      </c>
      <c r="E101" s="28" t="s">
        <v>30</v>
      </c>
      <c r="F101" s="40">
        <v>2040</v>
      </c>
      <c r="G101" s="29" t="s">
        <v>250</v>
      </c>
      <c r="H101" s="27">
        <f t="shared" si="206"/>
        <v>59.629108333333321</v>
      </c>
      <c r="I101" s="27">
        <f t="shared" si="243"/>
        <v>69.344200000000001</v>
      </c>
      <c r="J101" s="27">
        <f t="shared" si="207"/>
        <v>103.075</v>
      </c>
      <c r="K101" s="27">
        <f t="shared" si="208"/>
        <v>78.566500000000005</v>
      </c>
      <c r="L101" s="27">
        <f t="shared" si="209"/>
        <v>68.863600000000005</v>
      </c>
      <c r="M101" s="27">
        <f t="shared" si="210"/>
        <v>23.736799999999999</v>
      </c>
      <c r="N101" s="27">
        <f t="shared" si="211"/>
        <v>56.004600000000003</v>
      </c>
      <c r="O101" s="27">
        <f t="shared" si="212"/>
        <v>36.5657</v>
      </c>
      <c r="P101" s="27">
        <f t="shared" si="213"/>
        <v>40.363799999999998</v>
      </c>
      <c r="Q101" s="27">
        <f t="shared" si="214"/>
        <v>35.722799999999999</v>
      </c>
      <c r="R101" s="27">
        <f t="shared" si="215"/>
        <v>99.782899999999998</v>
      </c>
      <c r="S101" s="27" t="str">
        <f t="shared" si="216"/>
        <v/>
      </c>
      <c r="T101" s="27">
        <f t="shared" si="217"/>
        <v>69.344200000000001</v>
      </c>
      <c r="U101" s="27">
        <f t="shared" si="218"/>
        <v>31.154800000000002</v>
      </c>
      <c r="V101" s="27">
        <f t="shared" si="219"/>
        <v>60.418599999999998</v>
      </c>
      <c r="W101" s="27">
        <f t="shared" si="220"/>
        <v>44.388800000000003</v>
      </c>
      <c r="X101" s="27">
        <f t="shared" si="221"/>
        <v>78.566500000000005</v>
      </c>
      <c r="Y101" s="27">
        <f t="shared" si="222"/>
        <v>48.915199999999999</v>
      </c>
      <c r="Z101" s="27">
        <f t="shared" si="223"/>
        <v>53.386299999999999</v>
      </c>
      <c r="AA101" s="27">
        <f t="shared" si="224"/>
        <v>46.338999999999999</v>
      </c>
      <c r="AB101" s="27">
        <f t="shared" si="225"/>
        <v>43.805700000000002</v>
      </c>
      <c r="AC101" s="27">
        <f t="shared" si="226"/>
        <v>78.566500000000005</v>
      </c>
      <c r="AD101" s="27">
        <f t="shared" si="227"/>
        <v>38.915300000000002</v>
      </c>
      <c r="AE101" s="27">
        <f t="shared" si="228"/>
        <v>192.048</v>
      </c>
      <c r="AF101" s="27">
        <f t="shared" si="229"/>
        <v>99.701899999999995</v>
      </c>
      <c r="AG101" s="27">
        <f t="shared" si="230"/>
        <v>69.344200000000001</v>
      </c>
      <c r="AH101" s="27">
        <f t="shared" si="231"/>
        <v>22.366299999999999</v>
      </c>
      <c r="AI101" s="27">
        <f t="shared" si="232"/>
        <v>10.2369</v>
      </c>
      <c r="AJ101" s="27">
        <f t="shared" si="233"/>
        <v>65.427599999999998</v>
      </c>
      <c r="AK101" s="27">
        <f t="shared" si="234"/>
        <v>63.8277</v>
      </c>
      <c r="AL101" s="27">
        <f t="shared" si="235"/>
        <v>33.184199999999997</v>
      </c>
      <c r="AM101" s="27">
        <f t="shared" si="236"/>
        <v>31.991499999999998</v>
      </c>
      <c r="AN101" s="27">
        <f t="shared" si="237"/>
        <v>26.405999999999999</v>
      </c>
      <c r="AO101" s="27">
        <f t="shared" si="238"/>
        <v>78.566500000000005</v>
      </c>
      <c r="AP101" s="27">
        <f t="shared" si="239"/>
        <v>104.86799999999999</v>
      </c>
      <c r="AQ101" s="27">
        <f t="shared" si="240"/>
        <v>19.151299999999999</v>
      </c>
      <c r="AR101" s="27">
        <f t="shared" si="241"/>
        <v>67.831000000000003</v>
      </c>
      <c r="AS101" s="27">
        <f t="shared" si="242"/>
        <v>55.869999999999997</v>
      </c>
    </row>
    <row r="102" spans="1:45" s="53" customFormat="1" ht="14.45" customHeight="1">
      <c r="A102" s="52" t="s">
        <v>248</v>
      </c>
      <c r="B102" s="52" t="s">
        <v>254</v>
      </c>
      <c r="C102" s="57" t="s">
        <v>272</v>
      </c>
      <c r="E102" s="54" t="s">
        <v>30</v>
      </c>
      <c r="F102" s="55">
        <v>2050</v>
      </c>
      <c r="G102" s="52" t="s">
        <v>250</v>
      </c>
      <c r="H102" s="53">
        <f t="shared" si="206"/>
        <v>59.629108333333321</v>
      </c>
      <c r="I102" s="53">
        <f t="shared" si="243"/>
        <v>69.344200000000001</v>
      </c>
      <c r="J102" s="53">
        <f t="shared" si="207"/>
        <v>103.075</v>
      </c>
      <c r="K102" s="53">
        <f t="shared" si="208"/>
        <v>78.566500000000005</v>
      </c>
      <c r="L102" s="53">
        <f t="shared" si="209"/>
        <v>68.863600000000005</v>
      </c>
      <c r="M102" s="53">
        <f t="shared" si="210"/>
        <v>23.736799999999999</v>
      </c>
      <c r="N102" s="53">
        <f t="shared" si="211"/>
        <v>56.004600000000003</v>
      </c>
      <c r="O102" s="53">
        <f t="shared" si="212"/>
        <v>36.5657</v>
      </c>
      <c r="P102" s="53">
        <f t="shared" si="213"/>
        <v>40.363799999999998</v>
      </c>
      <c r="Q102" s="53">
        <f t="shared" si="214"/>
        <v>35.722799999999999</v>
      </c>
      <c r="R102" s="53">
        <f t="shared" si="215"/>
        <v>99.782899999999998</v>
      </c>
      <c r="S102" s="53" t="str">
        <f t="shared" si="216"/>
        <v/>
      </c>
      <c r="T102" s="53">
        <f t="shared" si="217"/>
        <v>69.344200000000001</v>
      </c>
      <c r="U102" s="53">
        <f t="shared" si="218"/>
        <v>31.154800000000002</v>
      </c>
      <c r="V102" s="53">
        <f t="shared" si="219"/>
        <v>60.418599999999998</v>
      </c>
      <c r="W102" s="53">
        <f t="shared" si="220"/>
        <v>44.388800000000003</v>
      </c>
      <c r="X102" s="53">
        <f t="shared" si="221"/>
        <v>78.566500000000005</v>
      </c>
      <c r="Y102" s="53">
        <f t="shared" si="222"/>
        <v>48.915199999999999</v>
      </c>
      <c r="Z102" s="53">
        <f t="shared" si="223"/>
        <v>53.386299999999999</v>
      </c>
      <c r="AA102" s="53">
        <f t="shared" si="224"/>
        <v>46.338999999999999</v>
      </c>
      <c r="AB102" s="53">
        <f t="shared" si="225"/>
        <v>43.805700000000002</v>
      </c>
      <c r="AC102" s="53">
        <f t="shared" si="226"/>
        <v>78.566500000000005</v>
      </c>
      <c r="AD102" s="53">
        <f t="shared" si="227"/>
        <v>38.915300000000002</v>
      </c>
      <c r="AE102" s="53">
        <f t="shared" si="228"/>
        <v>192.048</v>
      </c>
      <c r="AF102" s="53">
        <f t="shared" si="229"/>
        <v>99.701899999999995</v>
      </c>
      <c r="AG102" s="53">
        <f t="shared" si="230"/>
        <v>69.344200000000001</v>
      </c>
      <c r="AH102" s="53">
        <f t="shared" si="231"/>
        <v>22.366299999999999</v>
      </c>
      <c r="AI102" s="53">
        <f t="shared" si="232"/>
        <v>10.2369</v>
      </c>
      <c r="AJ102" s="53">
        <f t="shared" si="233"/>
        <v>65.427599999999998</v>
      </c>
      <c r="AK102" s="53">
        <f t="shared" si="234"/>
        <v>63.8277</v>
      </c>
      <c r="AL102" s="53">
        <f t="shared" si="235"/>
        <v>33.184199999999997</v>
      </c>
      <c r="AM102" s="53">
        <f t="shared" si="236"/>
        <v>31.991499999999998</v>
      </c>
      <c r="AN102" s="53">
        <f t="shared" si="237"/>
        <v>26.405999999999999</v>
      </c>
      <c r="AO102" s="53">
        <f t="shared" si="238"/>
        <v>78.566500000000005</v>
      </c>
      <c r="AP102" s="53">
        <f t="shared" si="239"/>
        <v>104.86799999999999</v>
      </c>
      <c r="AQ102" s="53">
        <f t="shared" si="240"/>
        <v>19.151299999999999</v>
      </c>
      <c r="AR102" s="53">
        <f t="shared" si="241"/>
        <v>67.831000000000003</v>
      </c>
      <c r="AS102" s="53">
        <f t="shared" si="242"/>
        <v>55.869999999999997</v>
      </c>
    </row>
    <row r="103" spans="1:48" s="30" customFormat="1" ht="14.45" customHeight="1">
      <c r="A103" s="32" t="s">
        <v>258</v>
      </c>
      <c r="B103" s="32" t="s">
        <v>282</v>
      </c>
      <c r="C103" s="34" t="s">
        <v>265</v>
      </c>
      <c r="E103" s="31" t="s">
        <v>30</v>
      </c>
      <c r="F103" s="39">
        <v>2010</v>
      </c>
      <c r="G103" s="32" t="s">
        <v>285</v>
      </c>
      <c r="H103" s="30">
        <f t="shared" si="206"/>
        <v>52.94271809441738</v>
      </c>
      <c r="I103" s="30">
        <v>30.821991173218901</v>
      </c>
      <c r="J103" s="30">
        <v>106.043198696044</v>
      </c>
      <c r="K103" s="30">
        <v>42.566525259170703</v>
      </c>
      <c r="L103" s="30">
        <v>68.136525827162401</v>
      </c>
      <c r="M103" s="30">
        <v>15.2715301838104</v>
      </c>
      <c r="N103" s="30">
        <v>76.375920685751495</v>
      </c>
      <c r="O103" s="30">
        <v>20.348355673481802</v>
      </c>
      <c r="P103" s="30">
        <v>37.320740979023697</v>
      </c>
      <c r="Q103" s="30">
        <v>62.920187646285903</v>
      </c>
      <c r="R103" s="30">
        <v>71.129504112703302</v>
      </c>
      <c r="S103" s="30">
        <v>39.310311565708503</v>
      </c>
      <c r="T103" s="30">
        <v>30.821991173218901</v>
      </c>
      <c r="U103" s="30">
        <v>78.334836520018897</v>
      </c>
      <c r="V103" s="30">
        <v>38.4776781541632</v>
      </c>
      <c r="W103" s="30">
        <v>59.866648711085197</v>
      </c>
      <c r="X103" s="30">
        <v>42.566525259170703</v>
      </c>
      <c r="Y103" s="30">
        <v>47.321164179705498</v>
      </c>
      <c r="Z103" s="30">
        <v>57.429951888954001</v>
      </c>
      <c r="AA103" s="30">
        <v>20.275159446338201</v>
      </c>
      <c r="AB103" s="30">
        <v>35.667308738078098</v>
      </c>
      <c r="AC103" s="30">
        <v>42.566525259170703</v>
      </c>
      <c r="AD103" s="30">
        <v>31.204106879401198</v>
      </c>
      <c r="AE103" s="30">
        <v>237.667752520102</v>
      </c>
      <c r="AF103" s="30">
        <v>71.914907156954996</v>
      </c>
      <c r="AG103" s="30">
        <v>30.821991173218901</v>
      </c>
      <c r="AH103" s="30">
        <v>57.072939562297101</v>
      </c>
      <c r="AI103" s="30">
        <v>27.354661778424301</v>
      </c>
      <c r="AJ103" s="30">
        <v>73.940931803873994</v>
      </c>
      <c r="AK103" s="30">
        <v>25.3190614242903</v>
      </c>
      <c r="AL103" s="30">
        <v>42.6653942006498</v>
      </c>
      <c r="AM103" s="30">
        <v>31.938506174463399</v>
      </c>
      <c r="AN103" s="30">
        <v>22.6961555955526</v>
      </c>
      <c r="AO103" s="30">
        <v>42.566525259170703</v>
      </c>
      <c r="AP103" s="30">
        <v>44.569396743717803</v>
      </c>
      <c r="AQ103" s="30">
        <v>77.516104603355799</v>
      </c>
      <c r="AR103" s="30">
        <v>56.275935662917902</v>
      </c>
      <c r="AS103" s="30">
        <v>61.783617822788003</v>
      </c>
      <c r="AV103" s="80"/>
    </row>
    <row r="104" spans="1:48" s="30" customFormat="1" ht="14.45" customHeight="1">
      <c r="A104" s="32" t="s">
        <v>258</v>
      </c>
      <c r="B104" s="32" t="s">
        <v>282</v>
      </c>
      <c r="C104" s="34" t="s">
        <v>265</v>
      </c>
      <c r="E104" s="31" t="s">
        <v>30</v>
      </c>
      <c r="F104" s="79">
        <v>2020</v>
      </c>
      <c r="G104" s="32" t="str">
        <f>G103</f>
        <v>TRA_Hdt_Dis,TRA_Hdt_Dis_01</v>
      </c>
      <c r="H104" s="30">
        <f t="shared" si="206"/>
        <v>52.94271809441738</v>
      </c>
      <c r="I104" s="30">
        <f>I103</f>
        <v>30.821991173218901</v>
      </c>
      <c r="J104" s="30">
        <f t="shared" si="207"/>
        <v>106.043198696044</v>
      </c>
      <c r="K104" s="30">
        <f t="shared" si="208"/>
        <v>42.566525259170703</v>
      </c>
      <c r="L104" s="30">
        <f t="shared" si="209"/>
        <v>68.136525827162401</v>
      </c>
      <c r="M104" s="30">
        <f t="shared" si="210"/>
        <v>15.2715301838104</v>
      </c>
      <c r="N104" s="30">
        <f t="shared" si="211"/>
        <v>76.375920685751495</v>
      </c>
      <c r="O104" s="30">
        <f t="shared" si="212"/>
        <v>20.348355673481802</v>
      </c>
      <c r="P104" s="30">
        <f t="shared" si="213"/>
        <v>37.320740979023697</v>
      </c>
      <c r="Q104" s="30">
        <f t="shared" si="214"/>
        <v>62.920187646285903</v>
      </c>
      <c r="R104" s="30">
        <f t="shared" si="215"/>
        <v>71.129504112703302</v>
      </c>
      <c r="S104" s="30">
        <f t="shared" si="216"/>
        <v>39.310311565708503</v>
      </c>
      <c r="T104" s="30">
        <f t="shared" si="217"/>
        <v>30.821991173218901</v>
      </c>
      <c r="U104" s="30">
        <f t="shared" si="218"/>
        <v>78.334836520018897</v>
      </c>
      <c r="V104" s="30">
        <f t="shared" si="219"/>
        <v>38.4776781541632</v>
      </c>
      <c r="W104" s="30">
        <f t="shared" si="220"/>
        <v>59.866648711085197</v>
      </c>
      <c r="X104" s="30">
        <f t="shared" si="221"/>
        <v>42.566525259170703</v>
      </c>
      <c r="Y104" s="30">
        <f t="shared" si="222"/>
        <v>47.321164179705498</v>
      </c>
      <c r="Z104" s="30">
        <f t="shared" si="223"/>
        <v>57.429951888954001</v>
      </c>
      <c r="AA104" s="30">
        <f t="shared" si="224"/>
        <v>20.275159446338201</v>
      </c>
      <c r="AB104" s="30">
        <f t="shared" si="225"/>
        <v>35.667308738078098</v>
      </c>
      <c r="AC104" s="30">
        <f t="shared" si="226"/>
        <v>42.566525259170703</v>
      </c>
      <c r="AD104" s="30">
        <f t="shared" si="227"/>
        <v>31.204106879401198</v>
      </c>
      <c r="AE104" s="30">
        <f t="shared" si="228"/>
        <v>237.667752520102</v>
      </c>
      <c r="AF104" s="30">
        <f t="shared" si="229"/>
        <v>71.914907156954996</v>
      </c>
      <c r="AG104" s="30">
        <f t="shared" si="230"/>
        <v>30.821991173218901</v>
      </c>
      <c r="AH104" s="30">
        <f t="shared" si="231"/>
        <v>57.072939562297101</v>
      </c>
      <c r="AI104" s="30">
        <f t="shared" si="232"/>
        <v>27.354661778424301</v>
      </c>
      <c r="AJ104" s="30">
        <f t="shared" si="233"/>
        <v>73.940931803873994</v>
      </c>
      <c r="AK104" s="30">
        <f t="shared" si="234"/>
        <v>25.3190614242903</v>
      </c>
      <c r="AL104" s="30">
        <f t="shared" si="235"/>
        <v>42.6653942006498</v>
      </c>
      <c r="AM104" s="30">
        <f t="shared" si="236"/>
        <v>31.938506174463399</v>
      </c>
      <c r="AN104" s="30">
        <f t="shared" si="237"/>
        <v>22.6961555955526</v>
      </c>
      <c r="AO104" s="30">
        <f t="shared" si="238"/>
        <v>42.566525259170703</v>
      </c>
      <c r="AP104" s="30">
        <f t="shared" si="239"/>
        <v>44.569396743717803</v>
      </c>
      <c r="AQ104" s="30">
        <f t="shared" si="240"/>
        <v>77.516104603355799</v>
      </c>
      <c r="AR104" s="30">
        <f t="shared" si="241"/>
        <v>56.275935662917902</v>
      </c>
      <c r="AS104" s="30">
        <f t="shared" si="242"/>
        <v>61.783617822788003</v>
      </c>
      <c r="AV104" s="80"/>
    </row>
    <row r="105" spans="1:48" s="30" customFormat="1" ht="14.45" customHeight="1">
      <c r="A105" s="32" t="s">
        <v>258</v>
      </c>
      <c r="B105" s="32" t="s">
        <v>282</v>
      </c>
      <c r="C105" s="34" t="s">
        <v>265</v>
      </c>
      <c r="E105" s="31" t="s">
        <v>30</v>
      </c>
      <c r="F105" s="79">
        <v>2025</v>
      </c>
      <c r="G105" s="32" t="str">
        <f t="shared" si="244" ref="G105:G109">G104</f>
        <v>TRA_Hdt_Dis,TRA_Hdt_Dis_01</v>
      </c>
      <c r="H105" s="30">
        <f t="shared" si="206"/>
        <v>52.94271809441738</v>
      </c>
      <c r="I105" s="30">
        <f t="shared" si="245" ref="I105:I109">I104</f>
        <v>30.821991173218901</v>
      </c>
      <c r="J105" s="30">
        <f t="shared" si="207"/>
        <v>106.043198696044</v>
      </c>
      <c r="K105" s="30">
        <f t="shared" si="208"/>
        <v>42.566525259170703</v>
      </c>
      <c r="L105" s="30">
        <f t="shared" si="209"/>
        <v>68.136525827162401</v>
      </c>
      <c r="M105" s="30">
        <f t="shared" si="210"/>
        <v>15.2715301838104</v>
      </c>
      <c r="N105" s="30">
        <f t="shared" si="211"/>
        <v>76.375920685751495</v>
      </c>
      <c r="O105" s="30">
        <f t="shared" si="212"/>
        <v>20.348355673481802</v>
      </c>
      <c r="P105" s="30">
        <f t="shared" si="213"/>
        <v>37.320740979023697</v>
      </c>
      <c r="Q105" s="30">
        <f t="shared" si="214"/>
        <v>62.920187646285903</v>
      </c>
      <c r="R105" s="30">
        <f t="shared" si="215"/>
        <v>71.129504112703302</v>
      </c>
      <c r="S105" s="30">
        <f t="shared" si="216"/>
        <v>39.310311565708503</v>
      </c>
      <c r="T105" s="30">
        <f t="shared" si="217"/>
        <v>30.821991173218901</v>
      </c>
      <c r="U105" s="30">
        <f t="shared" si="218"/>
        <v>78.334836520018897</v>
      </c>
      <c r="V105" s="30">
        <f t="shared" si="219"/>
        <v>38.4776781541632</v>
      </c>
      <c r="W105" s="30">
        <f t="shared" si="220"/>
        <v>59.866648711085197</v>
      </c>
      <c r="X105" s="30">
        <f t="shared" si="221"/>
        <v>42.566525259170703</v>
      </c>
      <c r="Y105" s="30">
        <f t="shared" si="222"/>
        <v>47.321164179705498</v>
      </c>
      <c r="Z105" s="30">
        <f t="shared" si="223"/>
        <v>57.429951888954001</v>
      </c>
      <c r="AA105" s="30">
        <f t="shared" si="224"/>
        <v>20.275159446338201</v>
      </c>
      <c r="AB105" s="30">
        <f t="shared" si="225"/>
        <v>35.667308738078098</v>
      </c>
      <c r="AC105" s="30">
        <f t="shared" si="226"/>
        <v>42.566525259170703</v>
      </c>
      <c r="AD105" s="30">
        <f t="shared" si="227"/>
        <v>31.204106879401198</v>
      </c>
      <c r="AE105" s="30">
        <f t="shared" si="228"/>
        <v>237.667752520102</v>
      </c>
      <c r="AF105" s="30">
        <f t="shared" si="229"/>
        <v>71.914907156954996</v>
      </c>
      <c r="AG105" s="30">
        <f t="shared" si="230"/>
        <v>30.821991173218901</v>
      </c>
      <c r="AH105" s="30">
        <f t="shared" si="231"/>
        <v>57.072939562297101</v>
      </c>
      <c r="AI105" s="30">
        <f t="shared" si="232"/>
        <v>27.354661778424301</v>
      </c>
      <c r="AJ105" s="30">
        <f t="shared" si="233"/>
        <v>73.940931803873994</v>
      </c>
      <c r="AK105" s="30">
        <f t="shared" si="234"/>
        <v>25.3190614242903</v>
      </c>
      <c r="AL105" s="30">
        <f t="shared" si="235"/>
        <v>42.6653942006498</v>
      </c>
      <c r="AM105" s="30">
        <f t="shared" si="236"/>
        <v>31.938506174463399</v>
      </c>
      <c r="AN105" s="30">
        <f t="shared" si="237"/>
        <v>22.6961555955526</v>
      </c>
      <c r="AO105" s="30">
        <f t="shared" si="238"/>
        <v>42.566525259170703</v>
      </c>
      <c r="AP105" s="30">
        <f t="shared" si="239"/>
        <v>44.569396743717803</v>
      </c>
      <c r="AQ105" s="30">
        <f t="shared" si="240"/>
        <v>77.516104603355799</v>
      </c>
      <c r="AR105" s="30">
        <f t="shared" si="241"/>
        <v>56.275935662917902</v>
      </c>
      <c r="AS105" s="30">
        <f t="shared" si="242"/>
        <v>61.783617822788003</v>
      </c>
      <c r="AV105" s="80"/>
    </row>
    <row r="106" spans="1:48" s="30" customFormat="1" ht="14.45" customHeight="1">
      <c r="A106" s="32" t="s">
        <v>258</v>
      </c>
      <c r="B106" s="32" t="s">
        <v>282</v>
      </c>
      <c r="C106" s="34" t="s">
        <v>265</v>
      </c>
      <c r="E106" s="31" t="s">
        <v>30</v>
      </c>
      <c r="F106" s="79">
        <v>2030</v>
      </c>
      <c r="G106" s="32" t="str">
        <f t="shared" si="244"/>
        <v>TRA_Hdt_Dis,TRA_Hdt_Dis_01</v>
      </c>
      <c r="H106" s="30">
        <f t="shared" si="206"/>
        <v>52.94271809441738</v>
      </c>
      <c r="I106" s="30">
        <f t="shared" si="245"/>
        <v>30.821991173218901</v>
      </c>
      <c r="J106" s="30">
        <f t="shared" si="207"/>
        <v>106.043198696044</v>
      </c>
      <c r="K106" s="30">
        <f t="shared" si="208"/>
        <v>42.566525259170703</v>
      </c>
      <c r="L106" s="30">
        <f t="shared" si="209"/>
        <v>68.136525827162401</v>
      </c>
      <c r="M106" s="30">
        <f t="shared" si="210"/>
        <v>15.2715301838104</v>
      </c>
      <c r="N106" s="30">
        <f t="shared" si="211"/>
        <v>76.375920685751495</v>
      </c>
      <c r="O106" s="30">
        <f t="shared" si="212"/>
        <v>20.348355673481802</v>
      </c>
      <c r="P106" s="30">
        <f t="shared" si="213"/>
        <v>37.320740979023697</v>
      </c>
      <c r="Q106" s="30">
        <f t="shared" si="214"/>
        <v>62.920187646285903</v>
      </c>
      <c r="R106" s="30">
        <f t="shared" si="215"/>
        <v>71.129504112703302</v>
      </c>
      <c r="S106" s="30">
        <f t="shared" si="216"/>
        <v>39.310311565708503</v>
      </c>
      <c r="T106" s="30">
        <f t="shared" si="217"/>
        <v>30.821991173218901</v>
      </c>
      <c r="U106" s="30">
        <f t="shared" si="218"/>
        <v>78.334836520018897</v>
      </c>
      <c r="V106" s="30">
        <f t="shared" si="219"/>
        <v>38.4776781541632</v>
      </c>
      <c r="W106" s="30">
        <f t="shared" si="220"/>
        <v>59.866648711085197</v>
      </c>
      <c r="X106" s="30">
        <f t="shared" si="221"/>
        <v>42.566525259170703</v>
      </c>
      <c r="Y106" s="30">
        <f t="shared" si="222"/>
        <v>47.321164179705498</v>
      </c>
      <c r="Z106" s="30">
        <f t="shared" si="223"/>
        <v>57.429951888954001</v>
      </c>
      <c r="AA106" s="30">
        <f t="shared" si="224"/>
        <v>20.275159446338201</v>
      </c>
      <c r="AB106" s="30">
        <f t="shared" si="225"/>
        <v>35.667308738078098</v>
      </c>
      <c r="AC106" s="30">
        <f t="shared" si="226"/>
        <v>42.566525259170703</v>
      </c>
      <c r="AD106" s="30">
        <f t="shared" si="227"/>
        <v>31.204106879401198</v>
      </c>
      <c r="AE106" s="30">
        <f t="shared" si="228"/>
        <v>237.667752520102</v>
      </c>
      <c r="AF106" s="30">
        <f t="shared" si="229"/>
        <v>71.914907156954996</v>
      </c>
      <c r="AG106" s="30">
        <f t="shared" si="230"/>
        <v>30.821991173218901</v>
      </c>
      <c r="AH106" s="30">
        <f t="shared" si="231"/>
        <v>57.072939562297101</v>
      </c>
      <c r="AI106" s="30">
        <f t="shared" si="232"/>
        <v>27.354661778424301</v>
      </c>
      <c r="AJ106" s="30">
        <f t="shared" si="233"/>
        <v>73.940931803873994</v>
      </c>
      <c r="AK106" s="30">
        <f t="shared" si="234"/>
        <v>25.3190614242903</v>
      </c>
      <c r="AL106" s="30">
        <f t="shared" si="235"/>
        <v>42.6653942006498</v>
      </c>
      <c r="AM106" s="30">
        <f t="shared" si="236"/>
        <v>31.938506174463399</v>
      </c>
      <c r="AN106" s="30">
        <f t="shared" si="237"/>
        <v>22.6961555955526</v>
      </c>
      <c r="AO106" s="30">
        <f t="shared" si="238"/>
        <v>42.566525259170703</v>
      </c>
      <c r="AP106" s="30">
        <f t="shared" si="239"/>
        <v>44.569396743717803</v>
      </c>
      <c r="AQ106" s="30">
        <f t="shared" si="240"/>
        <v>77.516104603355799</v>
      </c>
      <c r="AR106" s="30">
        <f t="shared" si="241"/>
        <v>56.275935662917902</v>
      </c>
      <c r="AS106" s="30">
        <f t="shared" si="242"/>
        <v>61.783617822788003</v>
      </c>
      <c r="AV106" s="80"/>
    </row>
    <row r="107" spans="1:48" s="30" customFormat="1" ht="14.45" customHeight="1">
      <c r="A107" s="32" t="s">
        <v>258</v>
      </c>
      <c r="B107" s="32" t="s">
        <v>282</v>
      </c>
      <c r="C107" s="34" t="s">
        <v>265</v>
      </c>
      <c r="E107" s="31" t="s">
        <v>30</v>
      </c>
      <c r="F107" s="79">
        <v>2035</v>
      </c>
      <c r="G107" s="32" t="str">
        <f t="shared" si="244"/>
        <v>TRA_Hdt_Dis,TRA_Hdt_Dis_01</v>
      </c>
      <c r="H107" s="30">
        <f t="shared" si="206"/>
        <v>52.94271809441738</v>
      </c>
      <c r="I107" s="30">
        <f t="shared" si="245"/>
        <v>30.821991173218901</v>
      </c>
      <c r="J107" s="30">
        <f t="shared" si="207"/>
        <v>106.043198696044</v>
      </c>
      <c r="K107" s="30">
        <f t="shared" si="208"/>
        <v>42.566525259170703</v>
      </c>
      <c r="L107" s="30">
        <f t="shared" si="209"/>
        <v>68.136525827162401</v>
      </c>
      <c r="M107" s="30">
        <f t="shared" si="210"/>
        <v>15.2715301838104</v>
      </c>
      <c r="N107" s="30">
        <f t="shared" si="211"/>
        <v>76.375920685751495</v>
      </c>
      <c r="O107" s="30">
        <f t="shared" si="212"/>
        <v>20.348355673481802</v>
      </c>
      <c r="P107" s="30">
        <f t="shared" si="213"/>
        <v>37.320740979023697</v>
      </c>
      <c r="Q107" s="30">
        <f t="shared" si="214"/>
        <v>62.920187646285903</v>
      </c>
      <c r="R107" s="30">
        <f t="shared" si="215"/>
        <v>71.129504112703302</v>
      </c>
      <c r="S107" s="30">
        <f t="shared" si="216"/>
        <v>39.310311565708503</v>
      </c>
      <c r="T107" s="30">
        <f t="shared" si="217"/>
        <v>30.821991173218901</v>
      </c>
      <c r="U107" s="30">
        <f t="shared" si="218"/>
        <v>78.334836520018897</v>
      </c>
      <c r="V107" s="30">
        <f t="shared" si="219"/>
        <v>38.4776781541632</v>
      </c>
      <c r="W107" s="30">
        <f t="shared" si="220"/>
        <v>59.866648711085197</v>
      </c>
      <c r="X107" s="30">
        <f t="shared" si="221"/>
        <v>42.566525259170703</v>
      </c>
      <c r="Y107" s="30">
        <f t="shared" si="222"/>
        <v>47.321164179705498</v>
      </c>
      <c r="Z107" s="30">
        <f t="shared" si="223"/>
        <v>57.429951888954001</v>
      </c>
      <c r="AA107" s="30">
        <f t="shared" si="224"/>
        <v>20.275159446338201</v>
      </c>
      <c r="AB107" s="30">
        <f t="shared" si="225"/>
        <v>35.667308738078098</v>
      </c>
      <c r="AC107" s="30">
        <f t="shared" si="226"/>
        <v>42.566525259170703</v>
      </c>
      <c r="AD107" s="30">
        <f t="shared" si="227"/>
        <v>31.204106879401198</v>
      </c>
      <c r="AE107" s="30">
        <f t="shared" si="228"/>
        <v>237.667752520102</v>
      </c>
      <c r="AF107" s="30">
        <f t="shared" si="229"/>
        <v>71.914907156954996</v>
      </c>
      <c r="AG107" s="30">
        <f t="shared" si="230"/>
        <v>30.821991173218901</v>
      </c>
      <c r="AH107" s="30">
        <f t="shared" si="231"/>
        <v>57.072939562297101</v>
      </c>
      <c r="AI107" s="30">
        <f t="shared" si="232"/>
        <v>27.354661778424301</v>
      </c>
      <c r="AJ107" s="30">
        <f t="shared" si="233"/>
        <v>73.940931803873994</v>
      </c>
      <c r="AK107" s="30">
        <f t="shared" si="234"/>
        <v>25.3190614242903</v>
      </c>
      <c r="AL107" s="30">
        <f t="shared" si="235"/>
        <v>42.6653942006498</v>
      </c>
      <c r="AM107" s="30">
        <f t="shared" si="236"/>
        <v>31.938506174463399</v>
      </c>
      <c r="AN107" s="30">
        <f t="shared" si="237"/>
        <v>22.6961555955526</v>
      </c>
      <c r="AO107" s="30">
        <f t="shared" si="238"/>
        <v>42.566525259170703</v>
      </c>
      <c r="AP107" s="30">
        <f t="shared" si="239"/>
        <v>44.569396743717803</v>
      </c>
      <c r="AQ107" s="30">
        <f t="shared" si="240"/>
        <v>77.516104603355799</v>
      </c>
      <c r="AR107" s="30">
        <f t="shared" si="241"/>
        <v>56.275935662917902</v>
      </c>
      <c r="AS107" s="30">
        <f t="shared" si="242"/>
        <v>61.783617822788003</v>
      </c>
      <c r="AV107" s="80"/>
    </row>
    <row r="108" spans="1:48" s="30" customFormat="1" ht="14.45" customHeight="1">
      <c r="A108" s="32" t="s">
        <v>258</v>
      </c>
      <c r="B108" s="32" t="s">
        <v>282</v>
      </c>
      <c r="C108" s="34" t="s">
        <v>265</v>
      </c>
      <c r="E108" s="31" t="s">
        <v>30</v>
      </c>
      <c r="F108" s="39">
        <v>2040</v>
      </c>
      <c r="G108" s="32" t="str">
        <f t="shared" si="244"/>
        <v>TRA_Hdt_Dis,TRA_Hdt_Dis_01</v>
      </c>
      <c r="H108" s="30">
        <f t="shared" si="206"/>
        <v>52.94271809441738</v>
      </c>
      <c r="I108" s="30">
        <f t="shared" si="245"/>
        <v>30.821991173218901</v>
      </c>
      <c r="J108" s="30">
        <f t="shared" si="207"/>
        <v>106.043198696044</v>
      </c>
      <c r="K108" s="30">
        <f t="shared" si="208"/>
        <v>42.566525259170703</v>
      </c>
      <c r="L108" s="30">
        <f t="shared" si="209"/>
        <v>68.136525827162401</v>
      </c>
      <c r="M108" s="30">
        <f t="shared" si="210"/>
        <v>15.2715301838104</v>
      </c>
      <c r="N108" s="30">
        <f t="shared" si="211"/>
        <v>76.375920685751495</v>
      </c>
      <c r="O108" s="30">
        <f t="shared" si="212"/>
        <v>20.348355673481802</v>
      </c>
      <c r="P108" s="30">
        <f t="shared" si="213"/>
        <v>37.320740979023697</v>
      </c>
      <c r="Q108" s="30">
        <f t="shared" si="214"/>
        <v>62.920187646285903</v>
      </c>
      <c r="R108" s="30">
        <f t="shared" si="215"/>
        <v>71.129504112703302</v>
      </c>
      <c r="S108" s="30">
        <f t="shared" si="216"/>
        <v>39.310311565708503</v>
      </c>
      <c r="T108" s="30">
        <f t="shared" si="217"/>
        <v>30.821991173218901</v>
      </c>
      <c r="U108" s="30">
        <f t="shared" si="218"/>
        <v>78.334836520018897</v>
      </c>
      <c r="V108" s="30">
        <f t="shared" si="219"/>
        <v>38.4776781541632</v>
      </c>
      <c r="W108" s="30">
        <f t="shared" si="220"/>
        <v>59.866648711085197</v>
      </c>
      <c r="X108" s="30">
        <f t="shared" si="221"/>
        <v>42.566525259170703</v>
      </c>
      <c r="Y108" s="30">
        <f t="shared" si="222"/>
        <v>47.321164179705498</v>
      </c>
      <c r="Z108" s="30">
        <f t="shared" si="223"/>
        <v>57.429951888954001</v>
      </c>
      <c r="AA108" s="30">
        <f t="shared" si="224"/>
        <v>20.275159446338201</v>
      </c>
      <c r="AB108" s="30">
        <f t="shared" si="225"/>
        <v>35.667308738078098</v>
      </c>
      <c r="AC108" s="30">
        <f t="shared" si="226"/>
        <v>42.566525259170703</v>
      </c>
      <c r="AD108" s="30">
        <f t="shared" si="227"/>
        <v>31.204106879401198</v>
      </c>
      <c r="AE108" s="30">
        <f t="shared" si="228"/>
        <v>237.667752520102</v>
      </c>
      <c r="AF108" s="30">
        <f t="shared" si="229"/>
        <v>71.914907156954996</v>
      </c>
      <c r="AG108" s="30">
        <f t="shared" si="230"/>
        <v>30.821991173218901</v>
      </c>
      <c r="AH108" s="30">
        <f t="shared" si="231"/>
        <v>57.072939562297101</v>
      </c>
      <c r="AI108" s="30">
        <f t="shared" si="232"/>
        <v>27.354661778424301</v>
      </c>
      <c r="AJ108" s="30">
        <f t="shared" si="233"/>
        <v>73.940931803873994</v>
      </c>
      <c r="AK108" s="30">
        <f t="shared" si="234"/>
        <v>25.3190614242903</v>
      </c>
      <c r="AL108" s="30">
        <f t="shared" si="235"/>
        <v>42.6653942006498</v>
      </c>
      <c r="AM108" s="30">
        <f t="shared" si="236"/>
        <v>31.938506174463399</v>
      </c>
      <c r="AN108" s="30">
        <f t="shared" si="237"/>
        <v>22.6961555955526</v>
      </c>
      <c r="AO108" s="30">
        <f t="shared" si="238"/>
        <v>42.566525259170703</v>
      </c>
      <c r="AP108" s="30">
        <f t="shared" si="239"/>
        <v>44.569396743717803</v>
      </c>
      <c r="AQ108" s="30">
        <f t="shared" si="240"/>
        <v>77.516104603355799</v>
      </c>
      <c r="AR108" s="30">
        <f t="shared" si="241"/>
        <v>56.275935662917902</v>
      </c>
      <c r="AS108" s="30">
        <f t="shared" si="242"/>
        <v>61.783617822788003</v>
      </c>
      <c r="AV108" s="80"/>
    </row>
    <row r="109" spans="1:48" s="46" customFormat="1" ht="14.45" customHeight="1">
      <c r="A109" s="51" t="s">
        <v>258</v>
      </c>
      <c r="B109" s="51" t="s">
        <v>282</v>
      </c>
      <c r="C109" s="56" t="s">
        <v>265</v>
      </c>
      <c r="E109" s="47" t="s">
        <v>30</v>
      </c>
      <c r="F109" s="48">
        <v>2050</v>
      </c>
      <c r="G109" s="51" t="str">
        <f t="shared" si="244"/>
        <v>TRA_Hdt_Dis,TRA_Hdt_Dis_01</v>
      </c>
      <c r="H109" s="46">
        <f t="shared" si="206"/>
        <v>52.94271809441738</v>
      </c>
      <c r="I109" s="46">
        <f t="shared" si="245"/>
        <v>30.821991173218901</v>
      </c>
      <c r="J109" s="46">
        <f t="shared" si="207"/>
        <v>106.043198696044</v>
      </c>
      <c r="K109" s="46">
        <f t="shared" si="208"/>
        <v>42.566525259170703</v>
      </c>
      <c r="L109" s="46">
        <f t="shared" si="209"/>
        <v>68.136525827162401</v>
      </c>
      <c r="M109" s="46">
        <f t="shared" si="210"/>
        <v>15.2715301838104</v>
      </c>
      <c r="N109" s="46">
        <f t="shared" si="211"/>
        <v>76.375920685751495</v>
      </c>
      <c r="O109" s="46">
        <f t="shared" si="212"/>
        <v>20.348355673481802</v>
      </c>
      <c r="P109" s="46">
        <f t="shared" si="213"/>
        <v>37.320740979023697</v>
      </c>
      <c r="Q109" s="46">
        <f t="shared" si="214"/>
        <v>62.920187646285903</v>
      </c>
      <c r="R109" s="46">
        <f t="shared" si="215"/>
        <v>71.129504112703302</v>
      </c>
      <c r="S109" s="46">
        <f t="shared" si="216"/>
        <v>39.310311565708503</v>
      </c>
      <c r="T109" s="46">
        <f t="shared" si="217"/>
        <v>30.821991173218901</v>
      </c>
      <c r="U109" s="46">
        <f t="shared" si="218"/>
        <v>78.334836520018897</v>
      </c>
      <c r="V109" s="46">
        <f t="shared" si="219"/>
        <v>38.4776781541632</v>
      </c>
      <c r="W109" s="46">
        <f t="shared" si="220"/>
        <v>59.866648711085197</v>
      </c>
      <c r="X109" s="46">
        <f t="shared" si="221"/>
        <v>42.566525259170703</v>
      </c>
      <c r="Y109" s="46">
        <f t="shared" si="222"/>
        <v>47.321164179705498</v>
      </c>
      <c r="Z109" s="46">
        <f t="shared" si="223"/>
        <v>57.429951888954001</v>
      </c>
      <c r="AA109" s="46">
        <f t="shared" si="224"/>
        <v>20.275159446338201</v>
      </c>
      <c r="AB109" s="46">
        <f t="shared" si="225"/>
        <v>35.667308738078098</v>
      </c>
      <c r="AC109" s="46">
        <f t="shared" si="226"/>
        <v>42.566525259170703</v>
      </c>
      <c r="AD109" s="46">
        <f t="shared" si="227"/>
        <v>31.204106879401198</v>
      </c>
      <c r="AE109" s="46">
        <f t="shared" si="228"/>
        <v>237.667752520102</v>
      </c>
      <c r="AF109" s="46">
        <f t="shared" si="229"/>
        <v>71.914907156954996</v>
      </c>
      <c r="AG109" s="46">
        <f t="shared" si="230"/>
        <v>30.821991173218901</v>
      </c>
      <c r="AH109" s="46">
        <f t="shared" si="231"/>
        <v>57.072939562297101</v>
      </c>
      <c r="AI109" s="46">
        <f t="shared" si="232"/>
        <v>27.354661778424301</v>
      </c>
      <c r="AJ109" s="46">
        <f t="shared" si="233"/>
        <v>73.940931803873994</v>
      </c>
      <c r="AK109" s="46">
        <f t="shared" si="234"/>
        <v>25.3190614242903</v>
      </c>
      <c r="AL109" s="46">
        <f t="shared" si="235"/>
        <v>42.6653942006498</v>
      </c>
      <c r="AM109" s="46">
        <f t="shared" si="236"/>
        <v>31.938506174463399</v>
      </c>
      <c r="AN109" s="46">
        <f t="shared" si="237"/>
        <v>22.6961555955526</v>
      </c>
      <c r="AO109" s="46">
        <f t="shared" si="238"/>
        <v>42.566525259170703</v>
      </c>
      <c r="AP109" s="46">
        <f t="shared" si="239"/>
        <v>44.569396743717803</v>
      </c>
      <c r="AQ109" s="46">
        <f t="shared" si="240"/>
        <v>77.516104603355799</v>
      </c>
      <c r="AR109" s="46">
        <f t="shared" si="241"/>
        <v>56.275935662917902</v>
      </c>
      <c r="AS109" s="46">
        <f t="shared" si="242"/>
        <v>61.783617822788003</v>
      </c>
      <c r="AV109" s="81"/>
    </row>
    <row r="110" spans="1:48" s="30" customFormat="1" ht="14.45" customHeight="1">
      <c r="A110" s="32" t="s">
        <v>258</v>
      </c>
      <c r="B110" s="32" t="s">
        <v>282</v>
      </c>
      <c r="C110" s="34" t="s">
        <v>265</v>
      </c>
      <c r="E110" s="31" t="s">
        <v>30</v>
      </c>
      <c r="F110" s="39">
        <v>2010</v>
      </c>
      <c r="G110" s="32" t="s">
        <v>284</v>
      </c>
      <c r="H110" s="30">
        <f t="shared" si="206"/>
        <v>52.94271809441738</v>
      </c>
      <c r="I110" s="30">
        <v>30.821991173218901</v>
      </c>
      <c r="J110" s="30">
        <v>106.043198696044</v>
      </c>
      <c r="K110" s="30">
        <v>42.566525259170703</v>
      </c>
      <c r="L110" s="30">
        <v>68.136525827162401</v>
      </c>
      <c r="M110" s="30">
        <v>15.2715301838104</v>
      </c>
      <c r="N110" s="30">
        <v>76.375920685751495</v>
      </c>
      <c r="O110" s="30">
        <v>20.348355673481802</v>
      </c>
      <c r="P110" s="30">
        <v>37.320740979023697</v>
      </c>
      <c r="Q110" s="30">
        <v>62.920187646285903</v>
      </c>
      <c r="R110" s="30">
        <v>71.129504112703302</v>
      </c>
      <c r="S110" s="30">
        <v>39.310311565708503</v>
      </c>
      <c r="T110" s="30">
        <v>30.821991173218901</v>
      </c>
      <c r="U110" s="30">
        <v>78.334836520018897</v>
      </c>
      <c r="V110" s="30">
        <v>38.4776781541632</v>
      </c>
      <c r="W110" s="30">
        <v>59.866648711085197</v>
      </c>
      <c r="X110" s="30">
        <v>42.566525259170703</v>
      </c>
      <c r="Y110" s="30">
        <v>47.321164179705498</v>
      </c>
      <c r="Z110" s="30">
        <v>57.429951888954001</v>
      </c>
      <c r="AA110" s="30">
        <v>20.275159446338201</v>
      </c>
      <c r="AB110" s="30">
        <v>35.667308738078098</v>
      </c>
      <c r="AC110" s="30">
        <v>42.566525259170703</v>
      </c>
      <c r="AD110" s="30">
        <v>31.204106879401198</v>
      </c>
      <c r="AE110" s="30">
        <v>237.667752520102</v>
      </c>
      <c r="AF110" s="30">
        <v>71.914907156954996</v>
      </c>
      <c r="AG110" s="30">
        <v>30.821991173218901</v>
      </c>
      <c r="AH110" s="30">
        <v>57.072939562297101</v>
      </c>
      <c r="AI110" s="30">
        <v>27.354661778424301</v>
      </c>
      <c r="AJ110" s="30">
        <v>73.940931803873994</v>
      </c>
      <c r="AK110" s="30">
        <v>25.3190614242903</v>
      </c>
      <c r="AL110" s="30">
        <v>42.6653942006498</v>
      </c>
      <c r="AM110" s="30">
        <v>31.938506174463399</v>
      </c>
      <c r="AN110" s="30">
        <v>22.6961555955526</v>
      </c>
      <c r="AO110" s="30">
        <v>42.566525259170703</v>
      </c>
      <c r="AP110" s="30">
        <v>44.569396743717803</v>
      </c>
      <c r="AQ110" s="30">
        <v>77.516104603355799</v>
      </c>
      <c r="AR110" s="30">
        <v>56.275935662917902</v>
      </c>
      <c r="AS110" s="30">
        <v>61.783617822788003</v>
      </c>
      <c r="AV110" s="80"/>
    </row>
    <row r="111" spans="1:48" s="30" customFormat="1" ht="14.45" customHeight="1">
      <c r="A111" s="32" t="s">
        <v>258</v>
      </c>
      <c r="B111" s="32" t="s">
        <v>282</v>
      </c>
      <c r="C111" s="34" t="s">
        <v>265</v>
      </c>
      <c r="E111" s="31" t="s">
        <v>30</v>
      </c>
      <c r="F111" s="79">
        <v>2020</v>
      </c>
      <c r="G111" s="32" t="s">
        <v>284</v>
      </c>
      <c r="H111" s="30">
        <f t="shared" si="206"/>
        <v>52.94271809441738</v>
      </c>
      <c r="I111" s="30">
        <f>I110</f>
        <v>30.821991173218901</v>
      </c>
      <c r="J111" s="30">
        <f t="shared" si="207"/>
        <v>106.043198696044</v>
      </c>
      <c r="K111" s="30">
        <f t="shared" si="208"/>
        <v>42.566525259170703</v>
      </c>
      <c r="L111" s="30">
        <f t="shared" si="209"/>
        <v>68.136525827162401</v>
      </c>
      <c r="M111" s="30">
        <f t="shared" si="210"/>
        <v>15.2715301838104</v>
      </c>
      <c r="N111" s="30">
        <f t="shared" si="211"/>
        <v>76.375920685751495</v>
      </c>
      <c r="O111" s="30">
        <f t="shared" si="212"/>
        <v>20.348355673481802</v>
      </c>
      <c r="P111" s="30">
        <f t="shared" si="213"/>
        <v>37.320740979023697</v>
      </c>
      <c r="Q111" s="30">
        <f t="shared" si="214"/>
        <v>62.920187646285903</v>
      </c>
      <c r="R111" s="30">
        <f t="shared" si="215"/>
        <v>71.129504112703302</v>
      </c>
      <c r="S111" s="30">
        <f t="shared" si="216"/>
        <v>39.310311565708503</v>
      </c>
      <c r="T111" s="30">
        <f t="shared" si="217"/>
        <v>30.821991173218901</v>
      </c>
      <c r="U111" s="30">
        <f t="shared" si="218"/>
        <v>78.334836520018897</v>
      </c>
      <c r="V111" s="30">
        <f t="shared" si="219"/>
        <v>38.4776781541632</v>
      </c>
      <c r="W111" s="30">
        <f t="shared" si="220"/>
        <v>59.866648711085197</v>
      </c>
      <c r="X111" s="30">
        <f t="shared" si="221"/>
        <v>42.566525259170703</v>
      </c>
      <c r="Y111" s="30">
        <f t="shared" si="222"/>
        <v>47.321164179705498</v>
      </c>
      <c r="Z111" s="30">
        <f t="shared" si="223"/>
        <v>57.429951888954001</v>
      </c>
      <c r="AA111" s="30">
        <f t="shared" si="224"/>
        <v>20.275159446338201</v>
      </c>
      <c r="AB111" s="30">
        <f t="shared" si="225"/>
        <v>35.667308738078098</v>
      </c>
      <c r="AC111" s="30">
        <f t="shared" si="226"/>
        <v>42.566525259170703</v>
      </c>
      <c r="AD111" s="30">
        <f t="shared" si="227"/>
        <v>31.204106879401198</v>
      </c>
      <c r="AE111" s="30">
        <f t="shared" si="228"/>
        <v>237.667752520102</v>
      </c>
      <c r="AF111" s="30">
        <f t="shared" si="229"/>
        <v>71.914907156954996</v>
      </c>
      <c r="AG111" s="30">
        <f t="shared" si="230"/>
        <v>30.821991173218901</v>
      </c>
      <c r="AH111" s="30">
        <f t="shared" si="231"/>
        <v>57.072939562297101</v>
      </c>
      <c r="AI111" s="30">
        <f t="shared" si="232"/>
        <v>27.354661778424301</v>
      </c>
      <c r="AJ111" s="30">
        <f t="shared" si="233"/>
        <v>73.940931803873994</v>
      </c>
      <c r="AK111" s="30">
        <f t="shared" si="234"/>
        <v>25.3190614242903</v>
      </c>
      <c r="AL111" s="30">
        <f t="shared" si="235"/>
        <v>42.6653942006498</v>
      </c>
      <c r="AM111" s="30">
        <f t="shared" si="236"/>
        <v>31.938506174463399</v>
      </c>
      <c r="AN111" s="30">
        <f t="shared" si="237"/>
        <v>22.6961555955526</v>
      </c>
      <c r="AO111" s="30">
        <f t="shared" si="238"/>
        <v>42.566525259170703</v>
      </c>
      <c r="AP111" s="30">
        <f t="shared" si="239"/>
        <v>44.569396743717803</v>
      </c>
      <c r="AQ111" s="30">
        <f t="shared" si="240"/>
        <v>77.516104603355799</v>
      </c>
      <c r="AR111" s="30">
        <f t="shared" si="241"/>
        <v>56.275935662917902</v>
      </c>
      <c r="AS111" s="30">
        <f t="shared" si="242"/>
        <v>61.783617822788003</v>
      </c>
      <c r="AV111" s="80"/>
    </row>
    <row r="112" spans="1:48" s="30" customFormat="1" ht="14.45" customHeight="1">
      <c r="A112" s="32" t="s">
        <v>258</v>
      </c>
      <c r="B112" s="32" t="s">
        <v>282</v>
      </c>
      <c r="C112" s="34" t="s">
        <v>265</v>
      </c>
      <c r="E112" s="31" t="s">
        <v>30</v>
      </c>
      <c r="F112" s="79">
        <v>2025</v>
      </c>
      <c r="G112" s="32" t="s">
        <v>284</v>
      </c>
      <c r="H112" s="30">
        <f t="shared" si="206"/>
        <v>52.94271809441738</v>
      </c>
      <c r="I112" s="30">
        <f t="shared" si="246" ref="I112:I116">I111</f>
        <v>30.821991173218901</v>
      </c>
      <c r="J112" s="30">
        <f t="shared" si="207"/>
        <v>106.043198696044</v>
      </c>
      <c r="K112" s="30">
        <f t="shared" si="208"/>
        <v>42.566525259170703</v>
      </c>
      <c r="L112" s="30">
        <f t="shared" si="209"/>
        <v>68.136525827162401</v>
      </c>
      <c r="M112" s="30">
        <f t="shared" si="210"/>
        <v>15.2715301838104</v>
      </c>
      <c r="N112" s="30">
        <f t="shared" si="211"/>
        <v>76.375920685751495</v>
      </c>
      <c r="O112" s="30">
        <f t="shared" si="212"/>
        <v>20.348355673481802</v>
      </c>
      <c r="P112" s="30">
        <f t="shared" si="213"/>
        <v>37.320740979023697</v>
      </c>
      <c r="Q112" s="30">
        <f t="shared" si="214"/>
        <v>62.920187646285903</v>
      </c>
      <c r="R112" s="30">
        <f t="shared" si="215"/>
        <v>71.129504112703302</v>
      </c>
      <c r="S112" s="30">
        <f t="shared" si="216"/>
        <v>39.310311565708503</v>
      </c>
      <c r="T112" s="30">
        <f t="shared" si="217"/>
        <v>30.821991173218901</v>
      </c>
      <c r="U112" s="30">
        <f t="shared" si="218"/>
        <v>78.334836520018897</v>
      </c>
      <c r="V112" s="30">
        <f t="shared" si="219"/>
        <v>38.4776781541632</v>
      </c>
      <c r="W112" s="30">
        <f t="shared" si="220"/>
        <v>59.866648711085197</v>
      </c>
      <c r="X112" s="30">
        <f t="shared" si="221"/>
        <v>42.566525259170703</v>
      </c>
      <c r="Y112" s="30">
        <f t="shared" si="222"/>
        <v>47.321164179705498</v>
      </c>
      <c r="Z112" s="30">
        <f t="shared" si="223"/>
        <v>57.429951888954001</v>
      </c>
      <c r="AA112" s="30">
        <f t="shared" si="224"/>
        <v>20.275159446338201</v>
      </c>
      <c r="AB112" s="30">
        <f t="shared" si="225"/>
        <v>35.667308738078098</v>
      </c>
      <c r="AC112" s="30">
        <f t="shared" si="226"/>
        <v>42.566525259170703</v>
      </c>
      <c r="AD112" s="30">
        <f t="shared" si="227"/>
        <v>31.204106879401198</v>
      </c>
      <c r="AE112" s="30">
        <f t="shared" si="228"/>
        <v>237.667752520102</v>
      </c>
      <c r="AF112" s="30">
        <f t="shared" si="229"/>
        <v>71.914907156954996</v>
      </c>
      <c r="AG112" s="30">
        <f t="shared" si="230"/>
        <v>30.821991173218901</v>
      </c>
      <c r="AH112" s="30">
        <f t="shared" si="231"/>
        <v>57.072939562297101</v>
      </c>
      <c r="AI112" s="30">
        <f t="shared" si="232"/>
        <v>27.354661778424301</v>
      </c>
      <c r="AJ112" s="30">
        <f t="shared" si="233"/>
        <v>73.940931803873994</v>
      </c>
      <c r="AK112" s="30">
        <f t="shared" si="234"/>
        <v>25.3190614242903</v>
      </c>
      <c r="AL112" s="30">
        <f t="shared" si="235"/>
        <v>42.6653942006498</v>
      </c>
      <c r="AM112" s="30">
        <f t="shared" si="236"/>
        <v>31.938506174463399</v>
      </c>
      <c r="AN112" s="30">
        <f t="shared" si="237"/>
        <v>22.6961555955526</v>
      </c>
      <c r="AO112" s="30">
        <f t="shared" si="238"/>
        <v>42.566525259170703</v>
      </c>
      <c r="AP112" s="30">
        <f t="shared" si="239"/>
        <v>44.569396743717803</v>
      </c>
      <c r="AQ112" s="30">
        <f t="shared" si="240"/>
        <v>77.516104603355799</v>
      </c>
      <c r="AR112" s="30">
        <f t="shared" si="241"/>
        <v>56.275935662917902</v>
      </c>
      <c r="AS112" s="30">
        <f t="shared" si="242"/>
        <v>61.783617822788003</v>
      </c>
      <c r="AV112" s="80"/>
    </row>
    <row r="113" spans="1:48" s="30" customFormat="1" ht="14.45" customHeight="1">
      <c r="A113" s="32" t="s">
        <v>258</v>
      </c>
      <c r="B113" s="32" t="s">
        <v>282</v>
      </c>
      <c r="C113" s="34" t="s">
        <v>265</v>
      </c>
      <c r="E113" s="31" t="s">
        <v>30</v>
      </c>
      <c r="F113" s="79">
        <v>2030</v>
      </c>
      <c r="G113" s="32" t="s">
        <v>284</v>
      </c>
      <c r="H113" s="30">
        <f t="shared" si="206"/>
        <v>52.94271809441738</v>
      </c>
      <c r="I113" s="30">
        <f t="shared" si="246"/>
        <v>30.821991173218901</v>
      </c>
      <c r="J113" s="30">
        <f t="shared" si="207"/>
        <v>106.043198696044</v>
      </c>
      <c r="K113" s="30">
        <f t="shared" si="208"/>
        <v>42.566525259170703</v>
      </c>
      <c r="L113" s="30">
        <f t="shared" si="209"/>
        <v>68.136525827162401</v>
      </c>
      <c r="M113" s="30">
        <f t="shared" si="210"/>
        <v>15.2715301838104</v>
      </c>
      <c r="N113" s="30">
        <f t="shared" si="211"/>
        <v>76.375920685751495</v>
      </c>
      <c r="O113" s="30">
        <f t="shared" si="212"/>
        <v>20.348355673481802</v>
      </c>
      <c r="P113" s="30">
        <f t="shared" si="213"/>
        <v>37.320740979023697</v>
      </c>
      <c r="Q113" s="30">
        <f t="shared" si="214"/>
        <v>62.920187646285903</v>
      </c>
      <c r="R113" s="30">
        <f t="shared" si="215"/>
        <v>71.129504112703302</v>
      </c>
      <c r="S113" s="30">
        <f t="shared" si="216"/>
        <v>39.310311565708503</v>
      </c>
      <c r="T113" s="30">
        <f t="shared" si="217"/>
        <v>30.821991173218901</v>
      </c>
      <c r="U113" s="30">
        <f t="shared" si="218"/>
        <v>78.334836520018897</v>
      </c>
      <c r="V113" s="30">
        <f t="shared" si="219"/>
        <v>38.4776781541632</v>
      </c>
      <c r="W113" s="30">
        <f t="shared" si="220"/>
        <v>59.866648711085197</v>
      </c>
      <c r="X113" s="30">
        <f t="shared" si="221"/>
        <v>42.566525259170703</v>
      </c>
      <c r="Y113" s="30">
        <f t="shared" si="222"/>
        <v>47.321164179705498</v>
      </c>
      <c r="Z113" s="30">
        <f t="shared" si="223"/>
        <v>57.429951888954001</v>
      </c>
      <c r="AA113" s="30">
        <f t="shared" si="224"/>
        <v>20.275159446338201</v>
      </c>
      <c r="AB113" s="30">
        <f t="shared" si="225"/>
        <v>35.667308738078098</v>
      </c>
      <c r="AC113" s="30">
        <f t="shared" si="226"/>
        <v>42.566525259170703</v>
      </c>
      <c r="AD113" s="30">
        <f t="shared" si="227"/>
        <v>31.204106879401198</v>
      </c>
      <c r="AE113" s="30">
        <f t="shared" si="228"/>
        <v>237.667752520102</v>
      </c>
      <c r="AF113" s="30">
        <f t="shared" si="229"/>
        <v>71.914907156954996</v>
      </c>
      <c r="AG113" s="30">
        <f t="shared" si="230"/>
        <v>30.821991173218901</v>
      </c>
      <c r="AH113" s="30">
        <f t="shared" si="231"/>
        <v>57.072939562297101</v>
      </c>
      <c r="AI113" s="30">
        <f t="shared" si="232"/>
        <v>27.354661778424301</v>
      </c>
      <c r="AJ113" s="30">
        <f t="shared" si="233"/>
        <v>73.940931803873994</v>
      </c>
      <c r="AK113" s="30">
        <f t="shared" si="234"/>
        <v>25.3190614242903</v>
      </c>
      <c r="AL113" s="30">
        <f t="shared" si="235"/>
        <v>42.6653942006498</v>
      </c>
      <c r="AM113" s="30">
        <f t="shared" si="236"/>
        <v>31.938506174463399</v>
      </c>
      <c r="AN113" s="30">
        <f t="shared" si="237"/>
        <v>22.6961555955526</v>
      </c>
      <c r="AO113" s="30">
        <f t="shared" si="238"/>
        <v>42.566525259170703</v>
      </c>
      <c r="AP113" s="30">
        <f t="shared" si="239"/>
        <v>44.569396743717803</v>
      </c>
      <c r="AQ113" s="30">
        <f t="shared" si="240"/>
        <v>77.516104603355799</v>
      </c>
      <c r="AR113" s="30">
        <f t="shared" si="241"/>
        <v>56.275935662917902</v>
      </c>
      <c r="AS113" s="30">
        <f t="shared" si="242"/>
        <v>61.783617822788003</v>
      </c>
      <c r="AV113" s="80"/>
    </row>
    <row r="114" spans="1:48" s="30" customFormat="1" ht="14.45" customHeight="1">
      <c r="A114" s="32" t="s">
        <v>258</v>
      </c>
      <c r="B114" s="32" t="s">
        <v>282</v>
      </c>
      <c r="C114" s="34" t="s">
        <v>265</v>
      </c>
      <c r="E114" s="31" t="s">
        <v>30</v>
      </c>
      <c r="F114" s="79">
        <v>2035</v>
      </c>
      <c r="G114" s="32" t="s">
        <v>284</v>
      </c>
      <c r="H114" s="30">
        <f t="shared" si="206"/>
        <v>52.94271809441738</v>
      </c>
      <c r="I114" s="30">
        <f t="shared" si="246"/>
        <v>30.821991173218901</v>
      </c>
      <c r="J114" s="30">
        <f t="shared" si="207"/>
        <v>106.043198696044</v>
      </c>
      <c r="K114" s="30">
        <f t="shared" si="208"/>
        <v>42.566525259170703</v>
      </c>
      <c r="L114" s="30">
        <f t="shared" si="209"/>
        <v>68.136525827162401</v>
      </c>
      <c r="M114" s="30">
        <f t="shared" si="210"/>
        <v>15.2715301838104</v>
      </c>
      <c r="N114" s="30">
        <f t="shared" si="211"/>
        <v>76.375920685751495</v>
      </c>
      <c r="O114" s="30">
        <f t="shared" si="212"/>
        <v>20.348355673481802</v>
      </c>
      <c r="P114" s="30">
        <f t="shared" si="213"/>
        <v>37.320740979023697</v>
      </c>
      <c r="Q114" s="30">
        <f t="shared" si="214"/>
        <v>62.920187646285903</v>
      </c>
      <c r="R114" s="30">
        <f t="shared" si="215"/>
        <v>71.129504112703302</v>
      </c>
      <c r="S114" s="30">
        <f t="shared" si="216"/>
        <v>39.310311565708503</v>
      </c>
      <c r="T114" s="30">
        <f t="shared" si="217"/>
        <v>30.821991173218901</v>
      </c>
      <c r="U114" s="30">
        <f t="shared" si="218"/>
        <v>78.334836520018897</v>
      </c>
      <c r="V114" s="30">
        <f t="shared" si="219"/>
        <v>38.4776781541632</v>
      </c>
      <c r="W114" s="30">
        <f t="shared" si="220"/>
        <v>59.866648711085197</v>
      </c>
      <c r="X114" s="30">
        <f t="shared" si="221"/>
        <v>42.566525259170703</v>
      </c>
      <c r="Y114" s="30">
        <f t="shared" si="222"/>
        <v>47.321164179705498</v>
      </c>
      <c r="Z114" s="30">
        <f t="shared" si="223"/>
        <v>57.429951888954001</v>
      </c>
      <c r="AA114" s="30">
        <f t="shared" si="224"/>
        <v>20.275159446338201</v>
      </c>
      <c r="AB114" s="30">
        <f t="shared" si="225"/>
        <v>35.667308738078098</v>
      </c>
      <c r="AC114" s="30">
        <f t="shared" si="226"/>
        <v>42.566525259170703</v>
      </c>
      <c r="AD114" s="30">
        <f t="shared" si="227"/>
        <v>31.204106879401198</v>
      </c>
      <c r="AE114" s="30">
        <f t="shared" si="228"/>
        <v>237.667752520102</v>
      </c>
      <c r="AF114" s="30">
        <f t="shared" si="229"/>
        <v>71.914907156954996</v>
      </c>
      <c r="AG114" s="30">
        <f t="shared" si="230"/>
        <v>30.821991173218901</v>
      </c>
      <c r="AH114" s="30">
        <f t="shared" si="231"/>
        <v>57.072939562297101</v>
      </c>
      <c r="AI114" s="30">
        <f t="shared" si="232"/>
        <v>27.354661778424301</v>
      </c>
      <c r="AJ114" s="30">
        <f t="shared" si="233"/>
        <v>73.940931803873994</v>
      </c>
      <c r="AK114" s="30">
        <f t="shared" si="234"/>
        <v>25.3190614242903</v>
      </c>
      <c r="AL114" s="30">
        <f t="shared" si="235"/>
        <v>42.6653942006498</v>
      </c>
      <c r="AM114" s="30">
        <f t="shared" si="236"/>
        <v>31.938506174463399</v>
      </c>
      <c r="AN114" s="30">
        <f t="shared" si="237"/>
        <v>22.6961555955526</v>
      </c>
      <c r="AO114" s="30">
        <f t="shared" si="238"/>
        <v>42.566525259170703</v>
      </c>
      <c r="AP114" s="30">
        <f t="shared" si="239"/>
        <v>44.569396743717803</v>
      </c>
      <c r="AQ114" s="30">
        <f t="shared" si="240"/>
        <v>77.516104603355799</v>
      </c>
      <c r="AR114" s="30">
        <f t="shared" si="241"/>
        <v>56.275935662917902</v>
      </c>
      <c r="AS114" s="30">
        <f t="shared" si="242"/>
        <v>61.783617822788003</v>
      </c>
      <c r="AV114" s="80"/>
    </row>
    <row r="115" spans="1:48" s="30" customFormat="1" ht="14.45" customHeight="1">
      <c r="A115" s="32" t="s">
        <v>258</v>
      </c>
      <c r="B115" s="32" t="s">
        <v>282</v>
      </c>
      <c r="C115" s="34" t="s">
        <v>265</v>
      </c>
      <c r="E115" s="31" t="s">
        <v>30</v>
      </c>
      <c r="F115" s="39">
        <v>2040</v>
      </c>
      <c r="G115" s="32" t="s">
        <v>284</v>
      </c>
      <c r="H115" s="30">
        <f t="shared" si="206"/>
        <v>52.94271809441738</v>
      </c>
      <c r="I115" s="30">
        <f t="shared" si="246"/>
        <v>30.821991173218901</v>
      </c>
      <c r="J115" s="30">
        <f t="shared" si="207"/>
        <v>106.043198696044</v>
      </c>
      <c r="K115" s="30">
        <f t="shared" si="208"/>
        <v>42.566525259170703</v>
      </c>
      <c r="L115" s="30">
        <f t="shared" si="209"/>
        <v>68.136525827162401</v>
      </c>
      <c r="M115" s="30">
        <f t="shared" si="210"/>
        <v>15.2715301838104</v>
      </c>
      <c r="N115" s="30">
        <f t="shared" si="211"/>
        <v>76.375920685751495</v>
      </c>
      <c r="O115" s="30">
        <f t="shared" si="212"/>
        <v>20.348355673481802</v>
      </c>
      <c r="P115" s="30">
        <f t="shared" si="213"/>
        <v>37.320740979023697</v>
      </c>
      <c r="Q115" s="30">
        <f t="shared" si="214"/>
        <v>62.920187646285903</v>
      </c>
      <c r="R115" s="30">
        <f t="shared" si="215"/>
        <v>71.129504112703302</v>
      </c>
      <c r="S115" s="30">
        <f t="shared" si="216"/>
        <v>39.310311565708503</v>
      </c>
      <c r="T115" s="30">
        <f t="shared" si="217"/>
        <v>30.821991173218901</v>
      </c>
      <c r="U115" s="30">
        <f t="shared" si="218"/>
        <v>78.334836520018897</v>
      </c>
      <c r="V115" s="30">
        <f t="shared" si="219"/>
        <v>38.4776781541632</v>
      </c>
      <c r="W115" s="30">
        <f t="shared" si="220"/>
        <v>59.866648711085197</v>
      </c>
      <c r="X115" s="30">
        <f t="shared" si="221"/>
        <v>42.566525259170703</v>
      </c>
      <c r="Y115" s="30">
        <f t="shared" si="222"/>
        <v>47.321164179705498</v>
      </c>
      <c r="Z115" s="30">
        <f t="shared" si="223"/>
        <v>57.429951888954001</v>
      </c>
      <c r="AA115" s="30">
        <f t="shared" si="224"/>
        <v>20.275159446338201</v>
      </c>
      <c r="AB115" s="30">
        <f t="shared" si="225"/>
        <v>35.667308738078098</v>
      </c>
      <c r="AC115" s="30">
        <f t="shared" si="226"/>
        <v>42.566525259170703</v>
      </c>
      <c r="AD115" s="30">
        <f t="shared" si="227"/>
        <v>31.204106879401198</v>
      </c>
      <c r="AE115" s="30">
        <f t="shared" si="228"/>
        <v>237.667752520102</v>
      </c>
      <c r="AF115" s="30">
        <f t="shared" si="229"/>
        <v>71.914907156954996</v>
      </c>
      <c r="AG115" s="30">
        <f t="shared" si="230"/>
        <v>30.821991173218901</v>
      </c>
      <c r="AH115" s="30">
        <f t="shared" si="231"/>
        <v>57.072939562297101</v>
      </c>
      <c r="AI115" s="30">
        <f t="shared" si="232"/>
        <v>27.354661778424301</v>
      </c>
      <c r="AJ115" s="30">
        <f t="shared" si="233"/>
        <v>73.940931803873994</v>
      </c>
      <c r="AK115" s="30">
        <f t="shared" si="234"/>
        <v>25.3190614242903</v>
      </c>
      <c r="AL115" s="30">
        <f t="shared" si="235"/>
        <v>42.6653942006498</v>
      </c>
      <c r="AM115" s="30">
        <f t="shared" si="236"/>
        <v>31.938506174463399</v>
      </c>
      <c r="AN115" s="30">
        <f t="shared" si="237"/>
        <v>22.6961555955526</v>
      </c>
      <c r="AO115" s="30">
        <f t="shared" si="238"/>
        <v>42.566525259170703</v>
      </c>
      <c r="AP115" s="30">
        <f t="shared" si="239"/>
        <v>44.569396743717803</v>
      </c>
      <c r="AQ115" s="30">
        <f t="shared" si="240"/>
        <v>77.516104603355799</v>
      </c>
      <c r="AR115" s="30">
        <f t="shared" si="241"/>
        <v>56.275935662917902</v>
      </c>
      <c r="AS115" s="30">
        <f t="shared" si="242"/>
        <v>61.783617822788003</v>
      </c>
      <c r="AV115" s="80"/>
    </row>
    <row r="116" spans="1:48" s="46" customFormat="1" ht="14.45" customHeight="1">
      <c r="A116" s="51" t="s">
        <v>258</v>
      </c>
      <c r="B116" s="51" t="s">
        <v>282</v>
      </c>
      <c r="C116" s="56" t="s">
        <v>265</v>
      </c>
      <c r="E116" s="47" t="s">
        <v>30</v>
      </c>
      <c r="F116" s="48">
        <v>2050</v>
      </c>
      <c r="G116" s="51" t="s">
        <v>284</v>
      </c>
      <c r="H116" s="46">
        <f t="shared" si="206"/>
        <v>52.94271809441738</v>
      </c>
      <c r="I116" s="46">
        <f t="shared" si="246"/>
        <v>30.821991173218901</v>
      </c>
      <c r="J116" s="46">
        <f t="shared" si="207"/>
        <v>106.043198696044</v>
      </c>
      <c r="K116" s="46">
        <f t="shared" si="208"/>
        <v>42.566525259170703</v>
      </c>
      <c r="L116" s="46">
        <f t="shared" si="209"/>
        <v>68.136525827162401</v>
      </c>
      <c r="M116" s="46">
        <f t="shared" si="210"/>
        <v>15.2715301838104</v>
      </c>
      <c r="N116" s="46">
        <f t="shared" si="211"/>
        <v>76.375920685751495</v>
      </c>
      <c r="O116" s="46">
        <f t="shared" si="212"/>
        <v>20.348355673481802</v>
      </c>
      <c r="P116" s="46">
        <f t="shared" si="213"/>
        <v>37.320740979023697</v>
      </c>
      <c r="Q116" s="46">
        <f t="shared" si="214"/>
        <v>62.920187646285903</v>
      </c>
      <c r="R116" s="46">
        <f t="shared" si="215"/>
        <v>71.129504112703302</v>
      </c>
      <c r="S116" s="46">
        <f t="shared" si="216"/>
        <v>39.310311565708503</v>
      </c>
      <c r="T116" s="46">
        <f t="shared" si="217"/>
        <v>30.821991173218901</v>
      </c>
      <c r="U116" s="46">
        <f t="shared" si="218"/>
        <v>78.334836520018897</v>
      </c>
      <c r="V116" s="46">
        <f t="shared" si="219"/>
        <v>38.4776781541632</v>
      </c>
      <c r="W116" s="46">
        <f t="shared" si="220"/>
        <v>59.866648711085197</v>
      </c>
      <c r="X116" s="46">
        <f t="shared" si="221"/>
        <v>42.566525259170703</v>
      </c>
      <c r="Y116" s="46">
        <f t="shared" si="222"/>
        <v>47.321164179705498</v>
      </c>
      <c r="Z116" s="46">
        <f t="shared" si="223"/>
        <v>57.429951888954001</v>
      </c>
      <c r="AA116" s="46">
        <f t="shared" si="224"/>
        <v>20.275159446338201</v>
      </c>
      <c r="AB116" s="46">
        <f t="shared" si="225"/>
        <v>35.667308738078098</v>
      </c>
      <c r="AC116" s="46">
        <f t="shared" si="226"/>
        <v>42.566525259170703</v>
      </c>
      <c r="AD116" s="46">
        <f t="shared" si="227"/>
        <v>31.204106879401198</v>
      </c>
      <c r="AE116" s="46">
        <f t="shared" si="228"/>
        <v>237.667752520102</v>
      </c>
      <c r="AF116" s="46">
        <f t="shared" si="229"/>
        <v>71.914907156954996</v>
      </c>
      <c r="AG116" s="46">
        <f t="shared" si="230"/>
        <v>30.821991173218901</v>
      </c>
      <c r="AH116" s="46">
        <f t="shared" si="231"/>
        <v>57.072939562297101</v>
      </c>
      <c r="AI116" s="46">
        <f t="shared" si="232"/>
        <v>27.354661778424301</v>
      </c>
      <c r="AJ116" s="46">
        <f t="shared" si="233"/>
        <v>73.940931803873994</v>
      </c>
      <c r="AK116" s="46">
        <f t="shared" si="234"/>
        <v>25.3190614242903</v>
      </c>
      <c r="AL116" s="46">
        <f t="shared" si="235"/>
        <v>42.6653942006498</v>
      </c>
      <c r="AM116" s="46">
        <f t="shared" si="236"/>
        <v>31.938506174463399</v>
      </c>
      <c r="AN116" s="46">
        <f t="shared" si="237"/>
        <v>22.6961555955526</v>
      </c>
      <c r="AO116" s="46">
        <f t="shared" si="238"/>
        <v>42.566525259170703</v>
      </c>
      <c r="AP116" s="46">
        <f t="shared" si="239"/>
        <v>44.569396743717803</v>
      </c>
      <c r="AQ116" s="46">
        <f t="shared" si="240"/>
        <v>77.516104603355799</v>
      </c>
      <c r="AR116" s="46">
        <f t="shared" si="241"/>
        <v>56.275935662917902</v>
      </c>
      <c r="AS116" s="46">
        <f t="shared" si="242"/>
        <v>61.783617822788003</v>
      </c>
      <c r="AV116" s="81"/>
    </row>
    <row r="117" spans="1:48" s="30" customFormat="1" ht="14.45" customHeight="1">
      <c r="A117" s="32" t="s">
        <v>258</v>
      </c>
      <c r="B117" s="32" t="s">
        <v>282</v>
      </c>
      <c r="C117" s="34" t="s">
        <v>267</v>
      </c>
      <c r="E117" s="31" t="s">
        <v>30</v>
      </c>
      <c r="F117" s="39">
        <v>2010</v>
      </c>
      <c r="G117" s="32" t="s">
        <v>131</v>
      </c>
      <c r="H117" s="30">
        <f t="shared" si="206"/>
        <v>30.851828077573689</v>
      </c>
      <c r="I117" s="30">
        <v>20.527077553445501</v>
      </c>
      <c r="J117" s="30" t="s">
        <v>275</v>
      </c>
      <c r="K117" s="30">
        <v>42.184469311385001</v>
      </c>
      <c r="L117" s="30" t="s">
        <v>275</v>
      </c>
      <c r="M117" s="30">
        <v>6.6019088210346704</v>
      </c>
      <c r="N117" s="30" t="s">
        <v>275</v>
      </c>
      <c r="O117" s="30">
        <v>25.260999989859801</v>
      </c>
      <c r="P117" s="30">
        <v>11.1995521527012</v>
      </c>
      <c r="Q117" s="30" t="s">
        <v>275</v>
      </c>
      <c r="R117" s="30">
        <v>17.657511036555</v>
      </c>
      <c r="S117" s="30">
        <v>5.6697277559878598</v>
      </c>
      <c r="T117" s="30">
        <v>20.527077553445501</v>
      </c>
      <c r="U117" s="30">
        <v>91.851086185359804</v>
      </c>
      <c r="V117" s="30">
        <v>17.0761158677773</v>
      </c>
      <c r="W117" s="30">
        <v>32.664252202903</v>
      </c>
      <c r="X117" s="30">
        <v>42.184469311385001</v>
      </c>
      <c r="Y117" s="30">
        <v>10.5305960293705</v>
      </c>
      <c r="Z117" s="30">
        <v>38.282574886307501</v>
      </c>
      <c r="AA117" s="30">
        <v>21.274865988777201</v>
      </c>
      <c r="AB117" s="30">
        <v>5.8481464522486002</v>
      </c>
      <c r="AC117" s="30">
        <v>42.184469311385001</v>
      </c>
      <c r="AD117" s="30">
        <v>16.0480159162361</v>
      </c>
      <c r="AE117" s="30">
        <v>156.34583609258101</v>
      </c>
      <c r="AF117" s="30">
        <v>32.795361387189701</v>
      </c>
      <c r="AG117" s="30">
        <v>20.527077553445501</v>
      </c>
      <c r="AH117" s="30">
        <v>24.874082146975098</v>
      </c>
      <c r="AI117" s="30" t="s">
        <v>275</v>
      </c>
      <c r="AJ117" s="30">
        <v>55.842911899726701</v>
      </c>
      <c r="AK117" s="30">
        <v>13.520154801040301</v>
      </c>
      <c r="AL117" s="30">
        <v>18.5254893918537</v>
      </c>
      <c r="AM117" s="30" t="s">
        <v>275</v>
      </c>
      <c r="AN117" s="30">
        <v>5.3014200824072004</v>
      </c>
      <c r="AO117" s="30">
        <v>42.184469311385001</v>
      </c>
      <c r="AP117" s="30">
        <v>7.7675132482023397</v>
      </c>
      <c r="AQ117" s="30">
        <v>32.140698549811098</v>
      </c>
      <c r="AR117" s="30" t="s">
        <v>275</v>
      </c>
      <c r="AS117" s="30">
        <v>48.156911536428403</v>
      </c>
      <c r="AV117" s="80"/>
    </row>
    <row r="118" spans="1:48" s="30" customFormat="1" ht="14.45" customHeight="1">
      <c r="A118" s="32" t="s">
        <v>258</v>
      </c>
      <c r="B118" s="32" t="s">
        <v>282</v>
      </c>
      <c r="C118" s="34" t="s">
        <v>267</v>
      </c>
      <c r="E118" s="31" t="s">
        <v>30</v>
      </c>
      <c r="F118" s="79">
        <v>2020</v>
      </c>
      <c r="G118" s="32" t="s">
        <v>131</v>
      </c>
      <c r="H118" s="30">
        <f t="shared" si="206"/>
        <v>30.851828077573689</v>
      </c>
      <c r="I118" s="30">
        <f>I117</f>
        <v>20.527077553445501</v>
      </c>
      <c r="J118" s="30" t="str">
        <f t="shared" si="207"/>
        <v/>
      </c>
      <c r="K118" s="30">
        <f t="shared" si="208"/>
        <v>42.184469311385001</v>
      </c>
      <c r="L118" s="30" t="str">
        <f t="shared" si="209"/>
        <v/>
      </c>
      <c r="M118" s="30">
        <f t="shared" si="210"/>
        <v>6.6019088210346704</v>
      </c>
      <c r="N118" s="30" t="str">
        <f t="shared" si="211"/>
        <v/>
      </c>
      <c r="O118" s="30">
        <f t="shared" si="212"/>
        <v>25.260999989859801</v>
      </c>
      <c r="P118" s="30">
        <f t="shared" si="213"/>
        <v>11.1995521527012</v>
      </c>
      <c r="Q118" s="30" t="str">
        <f t="shared" si="214"/>
        <v/>
      </c>
      <c r="R118" s="30">
        <f t="shared" si="215"/>
        <v>17.657511036555</v>
      </c>
      <c r="S118" s="30">
        <f t="shared" si="216"/>
        <v>5.6697277559878598</v>
      </c>
      <c r="T118" s="30">
        <f t="shared" si="217"/>
        <v>20.527077553445501</v>
      </c>
      <c r="U118" s="30">
        <f t="shared" si="218"/>
        <v>91.851086185359804</v>
      </c>
      <c r="V118" s="30">
        <f t="shared" si="219"/>
        <v>17.0761158677773</v>
      </c>
      <c r="W118" s="30">
        <f t="shared" si="220"/>
        <v>32.664252202903</v>
      </c>
      <c r="X118" s="30">
        <f t="shared" si="221"/>
        <v>42.184469311385001</v>
      </c>
      <c r="Y118" s="30">
        <f t="shared" si="222"/>
        <v>10.5305960293705</v>
      </c>
      <c r="Z118" s="30">
        <f t="shared" si="223"/>
        <v>38.282574886307501</v>
      </c>
      <c r="AA118" s="30">
        <f t="shared" si="224"/>
        <v>21.274865988777201</v>
      </c>
      <c r="AB118" s="30">
        <f t="shared" si="225"/>
        <v>5.8481464522486002</v>
      </c>
      <c r="AC118" s="30">
        <f t="shared" si="226"/>
        <v>42.184469311385001</v>
      </c>
      <c r="AD118" s="30">
        <f t="shared" si="227"/>
        <v>16.0480159162361</v>
      </c>
      <c r="AE118" s="30">
        <f t="shared" si="228"/>
        <v>156.34583609258101</v>
      </c>
      <c r="AF118" s="30">
        <f t="shared" si="229"/>
        <v>32.795361387189701</v>
      </c>
      <c r="AG118" s="30">
        <f t="shared" si="230"/>
        <v>20.527077553445501</v>
      </c>
      <c r="AH118" s="30">
        <f t="shared" si="231"/>
        <v>24.874082146975098</v>
      </c>
      <c r="AI118" s="30" t="str">
        <f t="shared" si="232"/>
        <v/>
      </c>
      <c r="AJ118" s="30">
        <f t="shared" si="233"/>
        <v>55.842911899726701</v>
      </c>
      <c r="AK118" s="30">
        <f t="shared" si="234"/>
        <v>13.520154801040301</v>
      </c>
      <c r="AL118" s="30">
        <f t="shared" si="235"/>
        <v>18.5254893918537</v>
      </c>
      <c r="AM118" s="30" t="str">
        <f t="shared" si="236"/>
        <v/>
      </c>
      <c r="AN118" s="30">
        <f t="shared" si="237"/>
        <v>5.3014200824072004</v>
      </c>
      <c r="AO118" s="30">
        <f t="shared" si="238"/>
        <v>42.184469311385001</v>
      </c>
      <c r="AP118" s="30">
        <f t="shared" si="239"/>
        <v>7.7675132482023397</v>
      </c>
      <c r="AQ118" s="30">
        <f t="shared" si="240"/>
        <v>32.140698549811098</v>
      </c>
      <c r="AR118" s="30" t="str">
        <f t="shared" si="241"/>
        <v/>
      </c>
      <c r="AS118" s="30">
        <f t="shared" si="242"/>
        <v>48.156911536428403</v>
      </c>
      <c r="AV118" s="80"/>
    </row>
    <row r="119" spans="1:48" s="30" customFormat="1" ht="14.45" customHeight="1">
      <c r="A119" s="32" t="s">
        <v>258</v>
      </c>
      <c r="B119" s="32" t="s">
        <v>282</v>
      </c>
      <c r="C119" s="34" t="s">
        <v>267</v>
      </c>
      <c r="E119" s="31" t="s">
        <v>30</v>
      </c>
      <c r="F119" s="79">
        <v>2025</v>
      </c>
      <c r="G119" s="32" t="s">
        <v>131</v>
      </c>
      <c r="H119" s="30">
        <f t="shared" si="206"/>
        <v>30.851828077573689</v>
      </c>
      <c r="I119" s="30">
        <f t="shared" si="247" ref="I119:I123">I118</f>
        <v>20.527077553445501</v>
      </c>
      <c r="J119" s="30" t="str">
        <f t="shared" si="207"/>
        <v/>
      </c>
      <c r="K119" s="30">
        <f t="shared" si="208"/>
        <v>42.184469311385001</v>
      </c>
      <c r="L119" s="30" t="str">
        <f t="shared" si="209"/>
        <v/>
      </c>
      <c r="M119" s="30">
        <f t="shared" si="210"/>
        <v>6.6019088210346704</v>
      </c>
      <c r="N119" s="30" t="str">
        <f t="shared" si="211"/>
        <v/>
      </c>
      <c r="O119" s="30">
        <f t="shared" si="212"/>
        <v>25.260999989859801</v>
      </c>
      <c r="P119" s="30">
        <f t="shared" si="213"/>
        <v>11.1995521527012</v>
      </c>
      <c r="Q119" s="30" t="str">
        <f t="shared" si="214"/>
        <v/>
      </c>
      <c r="R119" s="30">
        <f t="shared" si="215"/>
        <v>17.657511036555</v>
      </c>
      <c r="S119" s="30">
        <f t="shared" si="216"/>
        <v>5.6697277559878598</v>
      </c>
      <c r="T119" s="30">
        <f t="shared" si="217"/>
        <v>20.527077553445501</v>
      </c>
      <c r="U119" s="30">
        <f t="shared" si="218"/>
        <v>91.851086185359804</v>
      </c>
      <c r="V119" s="30">
        <f t="shared" si="219"/>
        <v>17.0761158677773</v>
      </c>
      <c r="W119" s="30">
        <f t="shared" si="220"/>
        <v>32.664252202903</v>
      </c>
      <c r="X119" s="30">
        <f t="shared" si="221"/>
        <v>42.184469311385001</v>
      </c>
      <c r="Y119" s="30">
        <f t="shared" si="222"/>
        <v>10.5305960293705</v>
      </c>
      <c r="Z119" s="30">
        <f t="shared" si="223"/>
        <v>38.282574886307501</v>
      </c>
      <c r="AA119" s="30">
        <f t="shared" si="224"/>
        <v>21.274865988777201</v>
      </c>
      <c r="AB119" s="30">
        <f t="shared" si="225"/>
        <v>5.8481464522486002</v>
      </c>
      <c r="AC119" s="30">
        <f t="shared" si="226"/>
        <v>42.184469311385001</v>
      </c>
      <c r="AD119" s="30">
        <f t="shared" si="227"/>
        <v>16.0480159162361</v>
      </c>
      <c r="AE119" s="30">
        <f t="shared" si="228"/>
        <v>156.34583609258101</v>
      </c>
      <c r="AF119" s="30">
        <f t="shared" si="229"/>
        <v>32.795361387189701</v>
      </c>
      <c r="AG119" s="30">
        <f t="shared" si="230"/>
        <v>20.527077553445501</v>
      </c>
      <c r="AH119" s="30">
        <f t="shared" si="231"/>
        <v>24.874082146975098</v>
      </c>
      <c r="AI119" s="30" t="str">
        <f t="shared" si="232"/>
        <v/>
      </c>
      <c r="AJ119" s="30">
        <f t="shared" si="233"/>
        <v>55.842911899726701</v>
      </c>
      <c r="AK119" s="30">
        <f t="shared" si="234"/>
        <v>13.520154801040301</v>
      </c>
      <c r="AL119" s="30">
        <f t="shared" si="235"/>
        <v>18.5254893918537</v>
      </c>
      <c r="AM119" s="30" t="str">
        <f t="shared" si="236"/>
        <v/>
      </c>
      <c r="AN119" s="30">
        <f t="shared" si="237"/>
        <v>5.3014200824072004</v>
      </c>
      <c r="AO119" s="30">
        <f t="shared" si="238"/>
        <v>42.184469311385001</v>
      </c>
      <c r="AP119" s="30">
        <f t="shared" si="239"/>
        <v>7.7675132482023397</v>
      </c>
      <c r="AQ119" s="30">
        <f t="shared" si="240"/>
        <v>32.140698549811098</v>
      </c>
      <c r="AR119" s="30" t="str">
        <f t="shared" si="241"/>
        <v/>
      </c>
      <c r="AS119" s="30">
        <f t="shared" si="242"/>
        <v>48.156911536428403</v>
      </c>
      <c r="AV119" s="80"/>
    </row>
    <row r="120" spans="1:48" s="30" customFormat="1" ht="14.45" customHeight="1">
      <c r="A120" s="32" t="s">
        <v>258</v>
      </c>
      <c r="B120" s="32" t="s">
        <v>282</v>
      </c>
      <c r="C120" s="34" t="s">
        <v>267</v>
      </c>
      <c r="E120" s="31" t="s">
        <v>30</v>
      </c>
      <c r="F120" s="79">
        <v>2030</v>
      </c>
      <c r="G120" s="32" t="s">
        <v>131</v>
      </c>
      <c r="H120" s="30">
        <f t="shared" si="206"/>
        <v>30.851828077573689</v>
      </c>
      <c r="I120" s="30">
        <f t="shared" si="247"/>
        <v>20.527077553445501</v>
      </c>
      <c r="J120" s="30" t="str">
        <f t="shared" si="207"/>
        <v/>
      </c>
      <c r="K120" s="30">
        <f t="shared" si="208"/>
        <v>42.184469311385001</v>
      </c>
      <c r="L120" s="30" t="str">
        <f t="shared" si="209"/>
        <v/>
      </c>
      <c r="M120" s="30">
        <f t="shared" si="210"/>
        <v>6.6019088210346704</v>
      </c>
      <c r="N120" s="30" t="str">
        <f t="shared" si="211"/>
        <v/>
      </c>
      <c r="O120" s="30">
        <f t="shared" si="212"/>
        <v>25.260999989859801</v>
      </c>
      <c r="P120" s="30">
        <f t="shared" si="213"/>
        <v>11.1995521527012</v>
      </c>
      <c r="Q120" s="30" t="str">
        <f t="shared" si="214"/>
        <v/>
      </c>
      <c r="R120" s="30">
        <f t="shared" si="215"/>
        <v>17.657511036555</v>
      </c>
      <c r="S120" s="30">
        <f t="shared" si="216"/>
        <v>5.6697277559878598</v>
      </c>
      <c r="T120" s="30">
        <f t="shared" si="217"/>
        <v>20.527077553445501</v>
      </c>
      <c r="U120" s="30">
        <f t="shared" si="218"/>
        <v>91.851086185359804</v>
      </c>
      <c r="V120" s="30">
        <f t="shared" si="219"/>
        <v>17.0761158677773</v>
      </c>
      <c r="W120" s="30">
        <f t="shared" si="220"/>
        <v>32.664252202903</v>
      </c>
      <c r="X120" s="30">
        <f t="shared" si="221"/>
        <v>42.184469311385001</v>
      </c>
      <c r="Y120" s="30">
        <f t="shared" si="222"/>
        <v>10.5305960293705</v>
      </c>
      <c r="Z120" s="30">
        <f t="shared" si="223"/>
        <v>38.282574886307501</v>
      </c>
      <c r="AA120" s="30">
        <f t="shared" si="224"/>
        <v>21.274865988777201</v>
      </c>
      <c r="AB120" s="30">
        <f t="shared" si="225"/>
        <v>5.8481464522486002</v>
      </c>
      <c r="AC120" s="30">
        <f t="shared" si="226"/>
        <v>42.184469311385001</v>
      </c>
      <c r="AD120" s="30">
        <f t="shared" si="227"/>
        <v>16.0480159162361</v>
      </c>
      <c r="AE120" s="30">
        <f t="shared" si="228"/>
        <v>156.34583609258101</v>
      </c>
      <c r="AF120" s="30">
        <f t="shared" si="229"/>
        <v>32.795361387189701</v>
      </c>
      <c r="AG120" s="30">
        <f t="shared" si="230"/>
        <v>20.527077553445501</v>
      </c>
      <c r="AH120" s="30">
        <f t="shared" si="231"/>
        <v>24.874082146975098</v>
      </c>
      <c r="AI120" s="30" t="str">
        <f t="shared" si="232"/>
        <v/>
      </c>
      <c r="AJ120" s="30">
        <f t="shared" si="233"/>
        <v>55.842911899726701</v>
      </c>
      <c r="AK120" s="30">
        <f t="shared" si="234"/>
        <v>13.520154801040301</v>
      </c>
      <c r="AL120" s="30">
        <f t="shared" si="235"/>
        <v>18.5254893918537</v>
      </c>
      <c r="AM120" s="30" t="str">
        <f t="shared" si="236"/>
        <v/>
      </c>
      <c r="AN120" s="30">
        <f t="shared" si="237"/>
        <v>5.3014200824072004</v>
      </c>
      <c r="AO120" s="30">
        <f t="shared" si="238"/>
        <v>42.184469311385001</v>
      </c>
      <c r="AP120" s="30">
        <f t="shared" si="239"/>
        <v>7.7675132482023397</v>
      </c>
      <c r="AQ120" s="30">
        <f t="shared" si="240"/>
        <v>32.140698549811098</v>
      </c>
      <c r="AR120" s="30" t="str">
        <f t="shared" si="241"/>
        <v/>
      </c>
      <c r="AS120" s="30">
        <f t="shared" si="242"/>
        <v>48.156911536428403</v>
      </c>
      <c r="AV120" s="80"/>
    </row>
    <row r="121" spans="1:48" s="30" customFormat="1" ht="14.45" customHeight="1">
      <c r="A121" s="32" t="s">
        <v>258</v>
      </c>
      <c r="B121" s="32" t="s">
        <v>282</v>
      </c>
      <c r="C121" s="34" t="s">
        <v>267</v>
      </c>
      <c r="E121" s="31" t="s">
        <v>30</v>
      </c>
      <c r="F121" s="79">
        <v>2035</v>
      </c>
      <c r="G121" s="32" t="s">
        <v>131</v>
      </c>
      <c r="H121" s="30">
        <f t="shared" si="206"/>
        <v>30.851828077573689</v>
      </c>
      <c r="I121" s="30">
        <f t="shared" si="247"/>
        <v>20.527077553445501</v>
      </c>
      <c r="J121" s="30" t="str">
        <f t="shared" si="207"/>
        <v/>
      </c>
      <c r="K121" s="30">
        <f t="shared" si="208"/>
        <v>42.184469311385001</v>
      </c>
      <c r="L121" s="30" t="str">
        <f t="shared" si="209"/>
        <v/>
      </c>
      <c r="M121" s="30">
        <f t="shared" si="210"/>
        <v>6.6019088210346704</v>
      </c>
      <c r="N121" s="30" t="str">
        <f t="shared" si="211"/>
        <v/>
      </c>
      <c r="O121" s="30">
        <f t="shared" si="212"/>
        <v>25.260999989859801</v>
      </c>
      <c r="P121" s="30">
        <f t="shared" si="213"/>
        <v>11.1995521527012</v>
      </c>
      <c r="Q121" s="30" t="str">
        <f t="shared" si="214"/>
        <v/>
      </c>
      <c r="R121" s="30">
        <f t="shared" si="215"/>
        <v>17.657511036555</v>
      </c>
      <c r="S121" s="30">
        <f t="shared" si="216"/>
        <v>5.6697277559878598</v>
      </c>
      <c r="T121" s="30">
        <f t="shared" si="217"/>
        <v>20.527077553445501</v>
      </c>
      <c r="U121" s="30">
        <f t="shared" si="218"/>
        <v>91.851086185359804</v>
      </c>
      <c r="V121" s="30">
        <f t="shared" si="219"/>
        <v>17.0761158677773</v>
      </c>
      <c r="W121" s="30">
        <f t="shared" si="220"/>
        <v>32.664252202903</v>
      </c>
      <c r="X121" s="30">
        <f t="shared" si="221"/>
        <v>42.184469311385001</v>
      </c>
      <c r="Y121" s="30">
        <f t="shared" si="222"/>
        <v>10.5305960293705</v>
      </c>
      <c r="Z121" s="30">
        <f t="shared" si="223"/>
        <v>38.282574886307501</v>
      </c>
      <c r="AA121" s="30">
        <f t="shared" si="224"/>
        <v>21.274865988777201</v>
      </c>
      <c r="AB121" s="30">
        <f t="shared" si="225"/>
        <v>5.8481464522486002</v>
      </c>
      <c r="AC121" s="30">
        <f t="shared" si="226"/>
        <v>42.184469311385001</v>
      </c>
      <c r="AD121" s="30">
        <f t="shared" si="227"/>
        <v>16.0480159162361</v>
      </c>
      <c r="AE121" s="30">
        <f t="shared" si="228"/>
        <v>156.34583609258101</v>
      </c>
      <c r="AF121" s="30">
        <f t="shared" si="229"/>
        <v>32.795361387189701</v>
      </c>
      <c r="AG121" s="30">
        <f t="shared" si="230"/>
        <v>20.527077553445501</v>
      </c>
      <c r="AH121" s="30">
        <f t="shared" si="231"/>
        <v>24.874082146975098</v>
      </c>
      <c r="AI121" s="30" t="str">
        <f t="shared" si="232"/>
        <v/>
      </c>
      <c r="AJ121" s="30">
        <f t="shared" si="233"/>
        <v>55.842911899726701</v>
      </c>
      <c r="AK121" s="30">
        <f t="shared" si="234"/>
        <v>13.520154801040301</v>
      </c>
      <c r="AL121" s="30">
        <f t="shared" si="235"/>
        <v>18.5254893918537</v>
      </c>
      <c r="AM121" s="30" t="str">
        <f t="shared" si="236"/>
        <v/>
      </c>
      <c r="AN121" s="30">
        <f t="shared" si="237"/>
        <v>5.3014200824072004</v>
      </c>
      <c r="AO121" s="30">
        <f t="shared" si="238"/>
        <v>42.184469311385001</v>
      </c>
      <c r="AP121" s="30">
        <f t="shared" si="239"/>
        <v>7.7675132482023397</v>
      </c>
      <c r="AQ121" s="30">
        <f t="shared" si="240"/>
        <v>32.140698549811098</v>
      </c>
      <c r="AR121" s="30" t="str">
        <f t="shared" si="241"/>
        <v/>
      </c>
      <c r="AS121" s="30">
        <f t="shared" si="242"/>
        <v>48.156911536428403</v>
      </c>
      <c r="AV121" s="80"/>
    </row>
    <row r="122" spans="1:48" s="30" customFormat="1" ht="14.45" customHeight="1">
      <c r="A122" s="32" t="s">
        <v>258</v>
      </c>
      <c r="B122" s="32" t="s">
        <v>282</v>
      </c>
      <c r="C122" s="34" t="s">
        <v>267</v>
      </c>
      <c r="E122" s="31" t="s">
        <v>30</v>
      </c>
      <c r="F122" s="39">
        <v>2040</v>
      </c>
      <c r="G122" s="32" t="s">
        <v>131</v>
      </c>
      <c r="H122" s="30">
        <f t="shared" si="206"/>
        <v>30.851828077573689</v>
      </c>
      <c r="I122" s="30">
        <f t="shared" si="247"/>
        <v>20.527077553445501</v>
      </c>
      <c r="J122" s="30" t="str">
        <f t="shared" si="207"/>
        <v/>
      </c>
      <c r="K122" s="30">
        <f t="shared" si="208"/>
        <v>42.184469311385001</v>
      </c>
      <c r="L122" s="30" t="str">
        <f t="shared" si="209"/>
        <v/>
      </c>
      <c r="M122" s="30">
        <f t="shared" si="210"/>
        <v>6.6019088210346704</v>
      </c>
      <c r="N122" s="30" t="str">
        <f t="shared" si="211"/>
        <v/>
      </c>
      <c r="O122" s="30">
        <f t="shared" si="212"/>
        <v>25.260999989859801</v>
      </c>
      <c r="P122" s="30">
        <f t="shared" si="213"/>
        <v>11.1995521527012</v>
      </c>
      <c r="Q122" s="30" t="str">
        <f t="shared" si="214"/>
        <v/>
      </c>
      <c r="R122" s="30">
        <f t="shared" si="215"/>
        <v>17.657511036555</v>
      </c>
      <c r="S122" s="30">
        <f t="shared" si="216"/>
        <v>5.6697277559878598</v>
      </c>
      <c r="T122" s="30">
        <f t="shared" si="217"/>
        <v>20.527077553445501</v>
      </c>
      <c r="U122" s="30">
        <f t="shared" si="218"/>
        <v>91.851086185359804</v>
      </c>
      <c r="V122" s="30">
        <f t="shared" si="219"/>
        <v>17.0761158677773</v>
      </c>
      <c r="W122" s="30">
        <f t="shared" si="220"/>
        <v>32.664252202903</v>
      </c>
      <c r="X122" s="30">
        <f t="shared" si="221"/>
        <v>42.184469311385001</v>
      </c>
      <c r="Y122" s="30">
        <f t="shared" si="222"/>
        <v>10.5305960293705</v>
      </c>
      <c r="Z122" s="30">
        <f t="shared" si="223"/>
        <v>38.282574886307501</v>
      </c>
      <c r="AA122" s="30">
        <f t="shared" si="224"/>
        <v>21.274865988777201</v>
      </c>
      <c r="AB122" s="30">
        <f t="shared" si="225"/>
        <v>5.8481464522486002</v>
      </c>
      <c r="AC122" s="30">
        <f t="shared" si="226"/>
        <v>42.184469311385001</v>
      </c>
      <c r="AD122" s="30">
        <f t="shared" si="227"/>
        <v>16.0480159162361</v>
      </c>
      <c r="AE122" s="30">
        <f t="shared" si="228"/>
        <v>156.34583609258101</v>
      </c>
      <c r="AF122" s="30">
        <f t="shared" si="229"/>
        <v>32.795361387189701</v>
      </c>
      <c r="AG122" s="30">
        <f t="shared" si="230"/>
        <v>20.527077553445501</v>
      </c>
      <c r="AH122" s="30">
        <f t="shared" si="231"/>
        <v>24.874082146975098</v>
      </c>
      <c r="AI122" s="30" t="str">
        <f t="shared" si="232"/>
        <v/>
      </c>
      <c r="AJ122" s="30">
        <f t="shared" si="233"/>
        <v>55.842911899726701</v>
      </c>
      <c r="AK122" s="30">
        <f t="shared" si="234"/>
        <v>13.520154801040301</v>
      </c>
      <c r="AL122" s="30">
        <f t="shared" si="235"/>
        <v>18.5254893918537</v>
      </c>
      <c r="AM122" s="30" t="str">
        <f t="shared" si="236"/>
        <v/>
      </c>
      <c r="AN122" s="30">
        <f t="shared" si="237"/>
        <v>5.3014200824072004</v>
      </c>
      <c r="AO122" s="30">
        <f t="shared" si="238"/>
        <v>42.184469311385001</v>
      </c>
      <c r="AP122" s="30">
        <f t="shared" si="239"/>
        <v>7.7675132482023397</v>
      </c>
      <c r="AQ122" s="30">
        <f t="shared" si="240"/>
        <v>32.140698549811098</v>
      </c>
      <c r="AR122" s="30" t="str">
        <f t="shared" si="241"/>
        <v/>
      </c>
      <c r="AS122" s="30">
        <f t="shared" si="242"/>
        <v>48.156911536428403</v>
      </c>
      <c r="AV122" s="80"/>
    </row>
    <row r="123" spans="1:48" s="46" customFormat="1" ht="14.45" customHeight="1">
      <c r="A123" s="51" t="s">
        <v>258</v>
      </c>
      <c r="B123" s="51" t="s">
        <v>282</v>
      </c>
      <c r="C123" s="56" t="s">
        <v>267</v>
      </c>
      <c r="E123" s="47" t="s">
        <v>30</v>
      </c>
      <c r="F123" s="48">
        <v>2050</v>
      </c>
      <c r="G123" s="51" t="s">
        <v>131</v>
      </c>
      <c r="H123" s="46">
        <f t="shared" si="206"/>
        <v>30.851828077573689</v>
      </c>
      <c r="I123" s="46">
        <f t="shared" si="247"/>
        <v>20.527077553445501</v>
      </c>
      <c r="J123" s="46" t="str">
        <f t="shared" si="207"/>
        <v/>
      </c>
      <c r="K123" s="46">
        <f t="shared" si="208"/>
        <v>42.184469311385001</v>
      </c>
      <c r="L123" s="46" t="str">
        <f t="shared" si="209"/>
        <v/>
      </c>
      <c r="M123" s="46">
        <f t="shared" si="210"/>
        <v>6.6019088210346704</v>
      </c>
      <c r="N123" s="46" t="str">
        <f t="shared" si="211"/>
        <v/>
      </c>
      <c r="O123" s="46">
        <f t="shared" si="212"/>
        <v>25.260999989859801</v>
      </c>
      <c r="P123" s="46">
        <f t="shared" si="213"/>
        <v>11.1995521527012</v>
      </c>
      <c r="Q123" s="46" t="str">
        <f t="shared" si="214"/>
        <v/>
      </c>
      <c r="R123" s="46">
        <f t="shared" si="215"/>
        <v>17.657511036555</v>
      </c>
      <c r="S123" s="46">
        <f t="shared" si="216"/>
        <v>5.6697277559878598</v>
      </c>
      <c r="T123" s="46">
        <f t="shared" si="217"/>
        <v>20.527077553445501</v>
      </c>
      <c r="U123" s="46">
        <f t="shared" si="218"/>
        <v>91.851086185359804</v>
      </c>
      <c r="V123" s="46">
        <f t="shared" si="219"/>
        <v>17.0761158677773</v>
      </c>
      <c r="W123" s="46">
        <f t="shared" si="220"/>
        <v>32.664252202903</v>
      </c>
      <c r="X123" s="46">
        <f t="shared" si="221"/>
        <v>42.184469311385001</v>
      </c>
      <c r="Y123" s="46">
        <f t="shared" si="222"/>
        <v>10.5305960293705</v>
      </c>
      <c r="Z123" s="46">
        <f t="shared" si="223"/>
        <v>38.282574886307501</v>
      </c>
      <c r="AA123" s="46">
        <f t="shared" si="224"/>
        <v>21.274865988777201</v>
      </c>
      <c r="AB123" s="46">
        <f t="shared" si="225"/>
        <v>5.8481464522486002</v>
      </c>
      <c r="AC123" s="46">
        <f t="shared" si="226"/>
        <v>42.184469311385001</v>
      </c>
      <c r="AD123" s="46">
        <f t="shared" si="227"/>
        <v>16.0480159162361</v>
      </c>
      <c r="AE123" s="46">
        <f t="shared" si="228"/>
        <v>156.34583609258101</v>
      </c>
      <c r="AF123" s="46">
        <f t="shared" si="229"/>
        <v>32.795361387189701</v>
      </c>
      <c r="AG123" s="46">
        <f t="shared" si="230"/>
        <v>20.527077553445501</v>
      </c>
      <c r="AH123" s="46">
        <f t="shared" si="231"/>
        <v>24.874082146975098</v>
      </c>
      <c r="AI123" s="46" t="str">
        <f t="shared" si="232"/>
        <v/>
      </c>
      <c r="AJ123" s="46">
        <f t="shared" si="233"/>
        <v>55.842911899726701</v>
      </c>
      <c r="AK123" s="46">
        <f t="shared" si="234"/>
        <v>13.520154801040301</v>
      </c>
      <c r="AL123" s="46">
        <f t="shared" si="235"/>
        <v>18.5254893918537</v>
      </c>
      <c r="AM123" s="46" t="str">
        <f t="shared" si="236"/>
        <v/>
      </c>
      <c r="AN123" s="46">
        <f t="shared" si="237"/>
        <v>5.3014200824072004</v>
      </c>
      <c r="AO123" s="46">
        <f t="shared" si="238"/>
        <v>42.184469311385001</v>
      </c>
      <c r="AP123" s="46">
        <f t="shared" si="239"/>
        <v>7.7675132482023397</v>
      </c>
      <c r="AQ123" s="46">
        <f t="shared" si="240"/>
        <v>32.140698549811098</v>
      </c>
      <c r="AR123" s="46" t="str">
        <f t="shared" si="241"/>
        <v/>
      </c>
      <c r="AS123" s="46">
        <f t="shared" si="242"/>
        <v>48.156911536428403</v>
      </c>
      <c r="AV123" s="81"/>
    </row>
    <row r="124" spans="1:48" s="30" customFormat="1" ht="14.45" customHeight="1">
      <c r="A124" s="32" t="s">
        <v>258</v>
      </c>
      <c r="B124" s="32" t="s">
        <v>282</v>
      </c>
      <c r="C124" s="34" t="s">
        <v>268</v>
      </c>
      <c r="E124" s="31" t="s">
        <v>30</v>
      </c>
      <c r="F124" s="39">
        <v>2010</v>
      </c>
      <c r="G124" s="32" t="s">
        <v>281</v>
      </c>
      <c r="H124" s="30">
        <f t="shared" si="206"/>
        <v>30.851828077573689</v>
      </c>
      <c r="I124" s="30">
        <v>20.527077553445501</v>
      </c>
      <c r="J124" s="30" t="s">
        <v>275</v>
      </c>
      <c r="K124" s="30">
        <v>42.184469311385001</v>
      </c>
      <c r="L124" s="30" t="s">
        <v>275</v>
      </c>
      <c r="M124" s="30">
        <v>6.6019088210346704</v>
      </c>
      <c r="N124" s="30" t="s">
        <v>275</v>
      </c>
      <c r="O124" s="30">
        <v>25.260999989859801</v>
      </c>
      <c r="P124" s="30">
        <v>11.1995521527012</v>
      </c>
      <c r="Q124" s="30" t="s">
        <v>275</v>
      </c>
      <c r="R124" s="30">
        <v>17.657511036555</v>
      </c>
      <c r="S124" s="30">
        <v>5.6697277559878598</v>
      </c>
      <c r="T124" s="30">
        <v>20.527077553445501</v>
      </c>
      <c r="U124" s="30">
        <v>91.851086185359804</v>
      </c>
      <c r="V124" s="30">
        <v>17.0761158677773</v>
      </c>
      <c r="W124" s="30">
        <v>32.664252202903</v>
      </c>
      <c r="X124" s="30">
        <v>42.184469311385001</v>
      </c>
      <c r="Y124" s="30">
        <v>10.5305960293705</v>
      </c>
      <c r="Z124" s="30">
        <v>38.282574886307501</v>
      </c>
      <c r="AA124" s="30">
        <v>21.274865988777201</v>
      </c>
      <c r="AB124" s="30">
        <v>5.8481464522486002</v>
      </c>
      <c r="AC124" s="30">
        <v>42.184469311385001</v>
      </c>
      <c r="AD124" s="30">
        <v>16.0480159162361</v>
      </c>
      <c r="AE124" s="30">
        <v>156.34583609258101</v>
      </c>
      <c r="AF124" s="30">
        <v>32.795361387189701</v>
      </c>
      <c r="AG124" s="30">
        <v>20.527077553445501</v>
      </c>
      <c r="AH124" s="30">
        <v>24.874082146975098</v>
      </c>
      <c r="AI124" s="30" t="s">
        <v>275</v>
      </c>
      <c r="AJ124" s="30">
        <v>55.842911899726701</v>
      </c>
      <c r="AK124" s="30">
        <v>13.520154801040301</v>
      </c>
      <c r="AL124" s="30">
        <v>18.5254893918537</v>
      </c>
      <c r="AM124" s="30" t="s">
        <v>275</v>
      </c>
      <c r="AN124" s="30">
        <v>5.3014200824072004</v>
      </c>
      <c r="AO124" s="30">
        <v>42.184469311385001</v>
      </c>
      <c r="AP124" s="30">
        <v>7.7675132482023397</v>
      </c>
      <c r="AQ124" s="30">
        <v>32.140698549811098</v>
      </c>
      <c r="AR124" s="30" t="s">
        <v>275</v>
      </c>
      <c r="AS124" s="30">
        <v>48.156911536428403</v>
      </c>
      <c r="AV124" s="80"/>
    </row>
    <row r="125" spans="1:48" s="30" customFormat="1" ht="14.45" customHeight="1">
      <c r="A125" s="32" t="s">
        <v>258</v>
      </c>
      <c r="B125" s="32" t="s">
        <v>282</v>
      </c>
      <c r="C125" s="34" t="s">
        <v>268</v>
      </c>
      <c r="E125" s="31" t="s">
        <v>30</v>
      </c>
      <c r="F125" s="79">
        <v>2020</v>
      </c>
      <c r="G125" s="32" t="s">
        <v>281</v>
      </c>
      <c r="H125" s="30">
        <f t="shared" si="206"/>
        <v>30.851828077573689</v>
      </c>
      <c r="I125" s="30">
        <f>I124</f>
        <v>20.527077553445501</v>
      </c>
      <c r="J125" s="30" t="str">
        <f t="shared" si="207"/>
        <v/>
      </c>
      <c r="K125" s="30">
        <f t="shared" si="208"/>
        <v>42.184469311385001</v>
      </c>
      <c r="L125" s="30" t="str">
        <f t="shared" si="209"/>
        <v/>
      </c>
      <c r="M125" s="30">
        <f t="shared" si="210"/>
        <v>6.6019088210346704</v>
      </c>
      <c r="N125" s="30" t="str">
        <f t="shared" si="211"/>
        <v/>
      </c>
      <c r="O125" s="30">
        <f t="shared" si="212"/>
        <v>25.260999989859801</v>
      </c>
      <c r="P125" s="30">
        <f t="shared" si="213"/>
        <v>11.1995521527012</v>
      </c>
      <c r="Q125" s="30" t="str">
        <f t="shared" si="214"/>
        <v/>
      </c>
      <c r="R125" s="30">
        <f t="shared" si="215"/>
        <v>17.657511036555</v>
      </c>
      <c r="S125" s="30">
        <f t="shared" si="216"/>
        <v>5.6697277559878598</v>
      </c>
      <c r="T125" s="30">
        <f t="shared" si="217"/>
        <v>20.527077553445501</v>
      </c>
      <c r="U125" s="30">
        <f t="shared" si="218"/>
        <v>91.851086185359804</v>
      </c>
      <c r="V125" s="30">
        <f t="shared" si="219"/>
        <v>17.0761158677773</v>
      </c>
      <c r="W125" s="30">
        <f t="shared" si="220"/>
        <v>32.664252202903</v>
      </c>
      <c r="X125" s="30">
        <f t="shared" si="221"/>
        <v>42.184469311385001</v>
      </c>
      <c r="Y125" s="30">
        <f t="shared" si="222"/>
        <v>10.5305960293705</v>
      </c>
      <c r="Z125" s="30">
        <f t="shared" si="223"/>
        <v>38.282574886307501</v>
      </c>
      <c r="AA125" s="30">
        <f t="shared" si="224"/>
        <v>21.274865988777201</v>
      </c>
      <c r="AB125" s="30">
        <f t="shared" si="225"/>
        <v>5.8481464522486002</v>
      </c>
      <c r="AC125" s="30">
        <f t="shared" si="226"/>
        <v>42.184469311385001</v>
      </c>
      <c r="AD125" s="30">
        <f t="shared" si="227"/>
        <v>16.0480159162361</v>
      </c>
      <c r="AE125" s="30">
        <f t="shared" si="228"/>
        <v>156.34583609258101</v>
      </c>
      <c r="AF125" s="30">
        <f t="shared" si="229"/>
        <v>32.795361387189701</v>
      </c>
      <c r="AG125" s="30">
        <f t="shared" si="230"/>
        <v>20.527077553445501</v>
      </c>
      <c r="AH125" s="30">
        <f t="shared" si="231"/>
        <v>24.874082146975098</v>
      </c>
      <c r="AI125" s="30" t="str">
        <f t="shared" si="232"/>
        <v/>
      </c>
      <c r="AJ125" s="30">
        <f t="shared" si="233"/>
        <v>55.842911899726701</v>
      </c>
      <c r="AK125" s="30">
        <f t="shared" si="234"/>
        <v>13.520154801040301</v>
      </c>
      <c r="AL125" s="30">
        <f t="shared" si="235"/>
        <v>18.5254893918537</v>
      </c>
      <c r="AM125" s="30" t="str">
        <f t="shared" si="236"/>
        <v/>
      </c>
      <c r="AN125" s="30">
        <f t="shared" si="237"/>
        <v>5.3014200824072004</v>
      </c>
      <c r="AO125" s="30">
        <f t="shared" si="238"/>
        <v>42.184469311385001</v>
      </c>
      <c r="AP125" s="30">
        <f t="shared" si="239"/>
        <v>7.7675132482023397</v>
      </c>
      <c r="AQ125" s="30">
        <f t="shared" si="240"/>
        <v>32.140698549811098</v>
      </c>
      <c r="AR125" s="30" t="str">
        <f t="shared" si="241"/>
        <v/>
      </c>
      <c r="AS125" s="30">
        <f t="shared" si="242"/>
        <v>48.156911536428403</v>
      </c>
      <c r="AV125" s="80"/>
    </row>
    <row r="126" spans="1:48" s="30" customFormat="1" ht="14.45" customHeight="1">
      <c r="A126" s="32" t="s">
        <v>258</v>
      </c>
      <c r="B126" s="32" t="s">
        <v>282</v>
      </c>
      <c r="C126" s="34" t="s">
        <v>268</v>
      </c>
      <c r="E126" s="31" t="s">
        <v>30</v>
      </c>
      <c r="F126" s="79">
        <v>2025</v>
      </c>
      <c r="G126" s="32" t="s">
        <v>281</v>
      </c>
      <c r="H126" s="30">
        <f t="shared" si="206"/>
        <v>30.851828077573689</v>
      </c>
      <c r="I126" s="30">
        <f t="shared" si="248" ref="I126:I130">I125</f>
        <v>20.527077553445501</v>
      </c>
      <c r="J126" s="30" t="str">
        <f t="shared" si="207"/>
        <v/>
      </c>
      <c r="K126" s="30">
        <f t="shared" si="208"/>
        <v>42.184469311385001</v>
      </c>
      <c r="L126" s="30" t="str">
        <f t="shared" si="209"/>
        <v/>
      </c>
      <c r="M126" s="30">
        <f t="shared" si="210"/>
        <v>6.6019088210346704</v>
      </c>
      <c r="N126" s="30" t="str">
        <f t="shared" si="211"/>
        <v/>
      </c>
      <c r="O126" s="30">
        <f t="shared" si="212"/>
        <v>25.260999989859801</v>
      </c>
      <c r="P126" s="30">
        <f t="shared" si="213"/>
        <v>11.1995521527012</v>
      </c>
      <c r="Q126" s="30" t="str">
        <f t="shared" si="214"/>
        <v/>
      </c>
      <c r="R126" s="30">
        <f t="shared" si="215"/>
        <v>17.657511036555</v>
      </c>
      <c r="S126" s="30">
        <f t="shared" si="216"/>
        <v>5.6697277559878598</v>
      </c>
      <c r="T126" s="30">
        <f t="shared" si="217"/>
        <v>20.527077553445501</v>
      </c>
      <c r="U126" s="30">
        <f t="shared" si="218"/>
        <v>91.851086185359804</v>
      </c>
      <c r="V126" s="30">
        <f t="shared" si="219"/>
        <v>17.0761158677773</v>
      </c>
      <c r="W126" s="30">
        <f t="shared" si="220"/>
        <v>32.664252202903</v>
      </c>
      <c r="X126" s="30">
        <f t="shared" si="221"/>
        <v>42.184469311385001</v>
      </c>
      <c r="Y126" s="30">
        <f t="shared" si="222"/>
        <v>10.5305960293705</v>
      </c>
      <c r="Z126" s="30">
        <f t="shared" si="223"/>
        <v>38.282574886307501</v>
      </c>
      <c r="AA126" s="30">
        <f t="shared" si="224"/>
        <v>21.274865988777201</v>
      </c>
      <c r="AB126" s="30">
        <f t="shared" si="225"/>
        <v>5.8481464522486002</v>
      </c>
      <c r="AC126" s="30">
        <f t="shared" si="226"/>
        <v>42.184469311385001</v>
      </c>
      <c r="AD126" s="30">
        <f t="shared" si="227"/>
        <v>16.0480159162361</v>
      </c>
      <c r="AE126" s="30">
        <f t="shared" si="228"/>
        <v>156.34583609258101</v>
      </c>
      <c r="AF126" s="30">
        <f t="shared" si="229"/>
        <v>32.795361387189701</v>
      </c>
      <c r="AG126" s="30">
        <f t="shared" si="230"/>
        <v>20.527077553445501</v>
      </c>
      <c r="AH126" s="30">
        <f t="shared" si="231"/>
        <v>24.874082146975098</v>
      </c>
      <c r="AI126" s="30" t="str">
        <f t="shared" si="232"/>
        <v/>
      </c>
      <c r="AJ126" s="30">
        <f t="shared" si="233"/>
        <v>55.842911899726701</v>
      </c>
      <c r="AK126" s="30">
        <f t="shared" si="234"/>
        <v>13.520154801040301</v>
      </c>
      <c r="AL126" s="30">
        <f t="shared" si="235"/>
        <v>18.5254893918537</v>
      </c>
      <c r="AM126" s="30" t="str">
        <f t="shared" si="236"/>
        <v/>
      </c>
      <c r="AN126" s="30">
        <f t="shared" si="237"/>
        <v>5.3014200824072004</v>
      </c>
      <c r="AO126" s="30">
        <f t="shared" si="238"/>
        <v>42.184469311385001</v>
      </c>
      <c r="AP126" s="30">
        <f t="shared" si="239"/>
        <v>7.7675132482023397</v>
      </c>
      <c r="AQ126" s="30">
        <f t="shared" si="240"/>
        <v>32.140698549811098</v>
      </c>
      <c r="AR126" s="30" t="str">
        <f t="shared" si="241"/>
        <v/>
      </c>
      <c r="AS126" s="30">
        <f t="shared" si="242"/>
        <v>48.156911536428403</v>
      </c>
      <c r="AV126" s="80"/>
    </row>
    <row r="127" spans="1:48" s="30" customFormat="1" ht="14.45" customHeight="1">
      <c r="A127" s="32" t="s">
        <v>258</v>
      </c>
      <c r="B127" s="32" t="s">
        <v>282</v>
      </c>
      <c r="C127" s="34" t="s">
        <v>268</v>
      </c>
      <c r="E127" s="31" t="s">
        <v>30</v>
      </c>
      <c r="F127" s="79">
        <v>2030</v>
      </c>
      <c r="G127" s="32" t="s">
        <v>281</v>
      </c>
      <c r="H127" s="30">
        <f t="shared" si="206"/>
        <v>30.851828077573689</v>
      </c>
      <c r="I127" s="30">
        <f t="shared" si="248"/>
        <v>20.527077553445501</v>
      </c>
      <c r="J127" s="30" t="str">
        <f t="shared" si="207"/>
        <v/>
      </c>
      <c r="K127" s="30">
        <f t="shared" si="208"/>
        <v>42.184469311385001</v>
      </c>
      <c r="L127" s="30" t="str">
        <f t="shared" si="209"/>
        <v/>
      </c>
      <c r="M127" s="30">
        <f t="shared" si="210"/>
        <v>6.6019088210346704</v>
      </c>
      <c r="N127" s="30" t="str">
        <f t="shared" si="211"/>
        <v/>
      </c>
      <c r="O127" s="30">
        <f t="shared" si="212"/>
        <v>25.260999989859801</v>
      </c>
      <c r="P127" s="30">
        <f t="shared" si="213"/>
        <v>11.1995521527012</v>
      </c>
      <c r="Q127" s="30" t="str">
        <f t="shared" si="214"/>
        <v/>
      </c>
      <c r="R127" s="30">
        <f t="shared" si="215"/>
        <v>17.657511036555</v>
      </c>
      <c r="S127" s="30">
        <f t="shared" si="216"/>
        <v>5.6697277559878598</v>
      </c>
      <c r="T127" s="30">
        <f t="shared" si="217"/>
        <v>20.527077553445501</v>
      </c>
      <c r="U127" s="30">
        <f t="shared" si="218"/>
        <v>91.851086185359804</v>
      </c>
      <c r="V127" s="30">
        <f t="shared" si="219"/>
        <v>17.0761158677773</v>
      </c>
      <c r="W127" s="30">
        <f t="shared" si="220"/>
        <v>32.664252202903</v>
      </c>
      <c r="X127" s="30">
        <f t="shared" si="221"/>
        <v>42.184469311385001</v>
      </c>
      <c r="Y127" s="30">
        <f t="shared" si="222"/>
        <v>10.5305960293705</v>
      </c>
      <c r="Z127" s="30">
        <f t="shared" si="223"/>
        <v>38.282574886307501</v>
      </c>
      <c r="AA127" s="30">
        <f t="shared" si="224"/>
        <v>21.274865988777201</v>
      </c>
      <c r="AB127" s="30">
        <f t="shared" si="225"/>
        <v>5.8481464522486002</v>
      </c>
      <c r="AC127" s="30">
        <f t="shared" si="226"/>
        <v>42.184469311385001</v>
      </c>
      <c r="AD127" s="30">
        <f t="shared" si="227"/>
        <v>16.0480159162361</v>
      </c>
      <c r="AE127" s="30">
        <f t="shared" si="228"/>
        <v>156.34583609258101</v>
      </c>
      <c r="AF127" s="30">
        <f t="shared" si="229"/>
        <v>32.795361387189701</v>
      </c>
      <c r="AG127" s="30">
        <f t="shared" si="230"/>
        <v>20.527077553445501</v>
      </c>
      <c r="AH127" s="30">
        <f t="shared" si="231"/>
        <v>24.874082146975098</v>
      </c>
      <c r="AI127" s="30" t="str">
        <f t="shared" si="232"/>
        <v/>
      </c>
      <c r="AJ127" s="30">
        <f t="shared" si="233"/>
        <v>55.842911899726701</v>
      </c>
      <c r="AK127" s="30">
        <f t="shared" si="234"/>
        <v>13.520154801040301</v>
      </c>
      <c r="AL127" s="30">
        <f t="shared" si="235"/>
        <v>18.5254893918537</v>
      </c>
      <c r="AM127" s="30" t="str">
        <f t="shared" si="236"/>
        <v/>
      </c>
      <c r="AN127" s="30">
        <f t="shared" si="237"/>
        <v>5.3014200824072004</v>
      </c>
      <c r="AO127" s="30">
        <f t="shared" si="238"/>
        <v>42.184469311385001</v>
      </c>
      <c r="AP127" s="30">
        <f t="shared" si="239"/>
        <v>7.7675132482023397</v>
      </c>
      <c r="AQ127" s="30">
        <f t="shared" si="240"/>
        <v>32.140698549811098</v>
      </c>
      <c r="AR127" s="30" t="str">
        <f t="shared" si="241"/>
        <v/>
      </c>
      <c r="AS127" s="30">
        <f t="shared" si="242"/>
        <v>48.156911536428403</v>
      </c>
      <c r="AV127" s="80"/>
    </row>
    <row r="128" spans="1:48" s="30" customFormat="1" ht="14.45" customHeight="1">
      <c r="A128" s="32" t="s">
        <v>258</v>
      </c>
      <c r="B128" s="32" t="s">
        <v>282</v>
      </c>
      <c r="C128" s="34" t="s">
        <v>268</v>
      </c>
      <c r="E128" s="31" t="s">
        <v>30</v>
      </c>
      <c r="F128" s="79">
        <v>2035</v>
      </c>
      <c r="G128" s="32" t="s">
        <v>281</v>
      </c>
      <c r="H128" s="30">
        <f t="shared" si="206"/>
        <v>30.851828077573689</v>
      </c>
      <c r="I128" s="30">
        <f t="shared" si="248"/>
        <v>20.527077553445501</v>
      </c>
      <c r="J128" s="30" t="str">
        <f t="shared" si="207"/>
        <v/>
      </c>
      <c r="K128" s="30">
        <f t="shared" si="208"/>
        <v>42.184469311385001</v>
      </c>
      <c r="L128" s="30" t="str">
        <f t="shared" si="209"/>
        <v/>
      </c>
      <c r="M128" s="30">
        <f t="shared" si="210"/>
        <v>6.6019088210346704</v>
      </c>
      <c r="N128" s="30" t="str">
        <f t="shared" si="211"/>
        <v/>
      </c>
      <c r="O128" s="30">
        <f t="shared" si="212"/>
        <v>25.260999989859801</v>
      </c>
      <c r="P128" s="30">
        <f t="shared" si="213"/>
        <v>11.1995521527012</v>
      </c>
      <c r="Q128" s="30" t="str">
        <f t="shared" si="214"/>
        <v/>
      </c>
      <c r="R128" s="30">
        <f t="shared" si="215"/>
        <v>17.657511036555</v>
      </c>
      <c r="S128" s="30">
        <f t="shared" si="216"/>
        <v>5.6697277559878598</v>
      </c>
      <c r="T128" s="30">
        <f t="shared" si="217"/>
        <v>20.527077553445501</v>
      </c>
      <c r="U128" s="30">
        <f t="shared" si="218"/>
        <v>91.851086185359804</v>
      </c>
      <c r="V128" s="30">
        <f t="shared" si="219"/>
        <v>17.0761158677773</v>
      </c>
      <c r="W128" s="30">
        <f t="shared" si="220"/>
        <v>32.664252202903</v>
      </c>
      <c r="X128" s="30">
        <f t="shared" si="221"/>
        <v>42.184469311385001</v>
      </c>
      <c r="Y128" s="30">
        <f t="shared" si="222"/>
        <v>10.5305960293705</v>
      </c>
      <c r="Z128" s="30">
        <f t="shared" si="223"/>
        <v>38.282574886307501</v>
      </c>
      <c r="AA128" s="30">
        <f t="shared" si="224"/>
        <v>21.274865988777201</v>
      </c>
      <c r="AB128" s="30">
        <f t="shared" si="225"/>
        <v>5.8481464522486002</v>
      </c>
      <c r="AC128" s="30">
        <f t="shared" si="226"/>
        <v>42.184469311385001</v>
      </c>
      <c r="AD128" s="30">
        <f t="shared" si="227"/>
        <v>16.0480159162361</v>
      </c>
      <c r="AE128" s="30">
        <f t="shared" si="228"/>
        <v>156.34583609258101</v>
      </c>
      <c r="AF128" s="30">
        <f t="shared" si="229"/>
        <v>32.795361387189701</v>
      </c>
      <c r="AG128" s="30">
        <f t="shared" si="230"/>
        <v>20.527077553445501</v>
      </c>
      <c r="AH128" s="30">
        <f t="shared" si="231"/>
        <v>24.874082146975098</v>
      </c>
      <c r="AI128" s="30" t="str">
        <f t="shared" si="232"/>
        <v/>
      </c>
      <c r="AJ128" s="30">
        <f t="shared" si="233"/>
        <v>55.842911899726701</v>
      </c>
      <c r="AK128" s="30">
        <f t="shared" si="234"/>
        <v>13.520154801040301</v>
      </c>
      <c r="AL128" s="30">
        <f t="shared" si="235"/>
        <v>18.5254893918537</v>
      </c>
      <c r="AM128" s="30" t="str">
        <f t="shared" si="236"/>
        <v/>
      </c>
      <c r="AN128" s="30">
        <f t="shared" si="237"/>
        <v>5.3014200824072004</v>
      </c>
      <c r="AO128" s="30">
        <f t="shared" si="238"/>
        <v>42.184469311385001</v>
      </c>
      <c r="AP128" s="30">
        <f t="shared" si="239"/>
        <v>7.7675132482023397</v>
      </c>
      <c r="AQ128" s="30">
        <f t="shared" si="240"/>
        <v>32.140698549811098</v>
      </c>
      <c r="AR128" s="30" t="str">
        <f t="shared" si="241"/>
        <v/>
      </c>
      <c r="AS128" s="30">
        <f t="shared" si="242"/>
        <v>48.156911536428403</v>
      </c>
      <c r="AV128" s="80"/>
    </row>
    <row r="129" spans="1:48" s="30" customFormat="1" ht="14.45" customHeight="1">
      <c r="A129" s="32" t="s">
        <v>258</v>
      </c>
      <c r="B129" s="32" t="s">
        <v>282</v>
      </c>
      <c r="C129" s="34" t="s">
        <v>268</v>
      </c>
      <c r="E129" s="31" t="s">
        <v>30</v>
      </c>
      <c r="F129" s="39">
        <v>2040</v>
      </c>
      <c r="G129" s="32" t="s">
        <v>281</v>
      </c>
      <c r="H129" s="30">
        <f t="shared" si="206"/>
        <v>30.851828077573689</v>
      </c>
      <c r="I129" s="30">
        <f t="shared" si="248"/>
        <v>20.527077553445501</v>
      </c>
      <c r="J129" s="30" t="str">
        <f t="shared" si="207"/>
        <v/>
      </c>
      <c r="K129" s="30">
        <f t="shared" si="208"/>
        <v>42.184469311385001</v>
      </c>
      <c r="L129" s="30" t="str">
        <f t="shared" si="209"/>
        <v/>
      </c>
      <c r="M129" s="30">
        <f t="shared" si="210"/>
        <v>6.6019088210346704</v>
      </c>
      <c r="N129" s="30" t="str">
        <f t="shared" si="211"/>
        <v/>
      </c>
      <c r="O129" s="30">
        <f t="shared" si="212"/>
        <v>25.260999989859801</v>
      </c>
      <c r="P129" s="30">
        <f t="shared" si="213"/>
        <v>11.1995521527012</v>
      </c>
      <c r="Q129" s="30" t="str">
        <f t="shared" si="214"/>
        <v/>
      </c>
      <c r="R129" s="30">
        <f t="shared" si="215"/>
        <v>17.657511036555</v>
      </c>
      <c r="S129" s="30">
        <f t="shared" si="216"/>
        <v>5.6697277559878598</v>
      </c>
      <c r="T129" s="30">
        <f t="shared" si="217"/>
        <v>20.527077553445501</v>
      </c>
      <c r="U129" s="30">
        <f t="shared" si="218"/>
        <v>91.851086185359804</v>
      </c>
      <c r="V129" s="30">
        <f t="shared" si="219"/>
        <v>17.0761158677773</v>
      </c>
      <c r="W129" s="30">
        <f t="shared" si="220"/>
        <v>32.664252202903</v>
      </c>
      <c r="X129" s="30">
        <f t="shared" si="221"/>
        <v>42.184469311385001</v>
      </c>
      <c r="Y129" s="30">
        <f t="shared" si="222"/>
        <v>10.5305960293705</v>
      </c>
      <c r="Z129" s="30">
        <f t="shared" si="223"/>
        <v>38.282574886307501</v>
      </c>
      <c r="AA129" s="30">
        <f t="shared" si="224"/>
        <v>21.274865988777201</v>
      </c>
      <c r="AB129" s="30">
        <f t="shared" si="225"/>
        <v>5.8481464522486002</v>
      </c>
      <c r="AC129" s="30">
        <f t="shared" si="226"/>
        <v>42.184469311385001</v>
      </c>
      <c r="AD129" s="30">
        <f t="shared" si="227"/>
        <v>16.0480159162361</v>
      </c>
      <c r="AE129" s="30">
        <f t="shared" si="228"/>
        <v>156.34583609258101</v>
      </c>
      <c r="AF129" s="30">
        <f t="shared" si="229"/>
        <v>32.795361387189701</v>
      </c>
      <c r="AG129" s="30">
        <f t="shared" si="230"/>
        <v>20.527077553445501</v>
      </c>
      <c r="AH129" s="30">
        <f t="shared" si="231"/>
        <v>24.874082146975098</v>
      </c>
      <c r="AI129" s="30" t="str">
        <f t="shared" si="232"/>
        <v/>
      </c>
      <c r="AJ129" s="30">
        <f t="shared" si="233"/>
        <v>55.842911899726701</v>
      </c>
      <c r="AK129" s="30">
        <f t="shared" si="234"/>
        <v>13.520154801040301</v>
      </c>
      <c r="AL129" s="30">
        <f t="shared" si="235"/>
        <v>18.5254893918537</v>
      </c>
      <c r="AM129" s="30" t="str">
        <f t="shared" si="236"/>
        <v/>
      </c>
      <c r="AN129" s="30">
        <f t="shared" si="237"/>
        <v>5.3014200824072004</v>
      </c>
      <c r="AO129" s="30">
        <f t="shared" si="238"/>
        <v>42.184469311385001</v>
      </c>
      <c r="AP129" s="30">
        <f t="shared" si="239"/>
        <v>7.7675132482023397</v>
      </c>
      <c r="AQ129" s="30">
        <f t="shared" si="240"/>
        <v>32.140698549811098</v>
      </c>
      <c r="AR129" s="30" t="str">
        <f t="shared" si="241"/>
        <v/>
      </c>
      <c r="AS129" s="30">
        <f t="shared" si="242"/>
        <v>48.156911536428403</v>
      </c>
      <c r="AV129" s="80"/>
    </row>
    <row r="130" spans="1:48" s="46" customFormat="1" ht="14.45" customHeight="1">
      <c r="A130" s="51" t="s">
        <v>258</v>
      </c>
      <c r="B130" s="51" t="s">
        <v>282</v>
      </c>
      <c r="C130" s="56" t="s">
        <v>268</v>
      </c>
      <c r="E130" s="47" t="s">
        <v>30</v>
      </c>
      <c r="F130" s="48">
        <v>2050</v>
      </c>
      <c r="G130" s="51" t="s">
        <v>281</v>
      </c>
      <c r="H130" s="46">
        <f t="shared" si="206"/>
        <v>30.851828077573689</v>
      </c>
      <c r="I130" s="46">
        <f t="shared" si="248"/>
        <v>20.527077553445501</v>
      </c>
      <c r="J130" s="46" t="str">
        <f t="shared" si="207"/>
        <v/>
      </c>
      <c r="K130" s="46">
        <f t="shared" si="208"/>
        <v>42.184469311385001</v>
      </c>
      <c r="L130" s="46" t="str">
        <f t="shared" si="209"/>
        <v/>
      </c>
      <c r="M130" s="46">
        <f t="shared" si="210"/>
        <v>6.6019088210346704</v>
      </c>
      <c r="N130" s="46" t="str">
        <f t="shared" si="211"/>
        <v/>
      </c>
      <c r="O130" s="46">
        <f t="shared" si="212"/>
        <v>25.260999989859801</v>
      </c>
      <c r="P130" s="46">
        <f t="shared" si="213"/>
        <v>11.1995521527012</v>
      </c>
      <c r="Q130" s="46" t="str">
        <f t="shared" si="214"/>
        <v/>
      </c>
      <c r="R130" s="46">
        <f t="shared" si="215"/>
        <v>17.657511036555</v>
      </c>
      <c r="S130" s="46">
        <f t="shared" si="216"/>
        <v>5.6697277559878598</v>
      </c>
      <c r="T130" s="46">
        <f t="shared" si="217"/>
        <v>20.527077553445501</v>
      </c>
      <c r="U130" s="46">
        <f t="shared" si="218"/>
        <v>91.851086185359804</v>
      </c>
      <c r="V130" s="46">
        <f t="shared" si="219"/>
        <v>17.0761158677773</v>
      </c>
      <c r="W130" s="46">
        <f t="shared" si="220"/>
        <v>32.664252202903</v>
      </c>
      <c r="X130" s="46">
        <f t="shared" si="221"/>
        <v>42.184469311385001</v>
      </c>
      <c r="Y130" s="46">
        <f t="shared" si="222"/>
        <v>10.5305960293705</v>
      </c>
      <c r="Z130" s="46">
        <f t="shared" si="223"/>
        <v>38.282574886307501</v>
      </c>
      <c r="AA130" s="46">
        <f t="shared" si="224"/>
        <v>21.274865988777201</v>
      </c>
      <c r="AB130" s="46">
        <f t="shared" si="225"/>
        <v>5.8481464522486002</v>
      </c>
      <c r="AC130" s="46">
        <f t="shared" si="226"/>
        <v>42.184469311385001</v>
      </c>
      <c r="AD130" s="46">
        <f t="shared" si="227"/>
        <v>16.0480159162361</v>
      </c>
      <c r="AE130" s="46">
        <f t="shared" si="228"/>
        <v>156.34583609258101</v>
      </c>
      <c r="AF130" s="46">
        <f t="shared" si="229"/>
        <v>32.795361387189701</v>
      </c>
      <c r="AG130" s="46">
        <f t="shared" si="230"/>
        <v>20.527077553445501</v>
      </c>
      <c r="AH130" s="46">
        <f t="shared" si="231"/>
        <v>24.874082146975098</v>
      </c>
      <c r="AI130" s="46" t="str">
        <f t="shared" si="232"/>
        <v/>
      </c>
      <c r="AJ130" s="46">
        <f t="shared" si="233"/>
        <v>55.842911899726701</v>
      </c>
      <c r="AK130" s="46">
        <f t="shared" si="234"/>
        <v>13.520154801040301</v>
      </c>
      <c r="AL130" s="46">
        <f t="shared" si="235"/>
        <v>18.5254893918537</v>
      </c>
      <c r="AM130" s="46" t="str">
        <f t="shared" si="236"/>
        <v/>
      </c>
      <c r="AN130" s="46">
        <f t="shared" si="237"/>
        <v>5.3014200824072004</v>
      </c>
      <c r="AO130" s="46">
        <f t="shared" si="238"/>
        <v>42.184469311385001</v>
      </c>
      <c r="AP130" s="46">
        <f t="shared" si="239"/>
        <v>7.7675132482023397</v>
      </c>
      <c r="AQ130" s="46">
        <f t="shared" si="240"/>
        <v>32.140698549811098</v>
      </c>
      <c r="AR130" s="46" t="str">
        <f t="shared" si="241"/>
        <v/>
      </c>
      <c r="AS130" s="46">
        <f t="shared" si="242"/>
        <v>48.156911536428403</v>
      </c>
      <c r="AV130" s="81"/>
    </row>
    <row r="131" spans="1:48" s="27" customFormat="1" ht="14.45" customHeight="1">
      <c r="A131" s="29" t="s">
        <v>258</v>
      </c>
      <c r="B131" s="29" t="s">
        <v>283</v>
      </c>
      <c r="C131" s="29" t="s">
        <v>269</v>
      </c>
      <c r="E131" s="28" t="s">
        <v>30</v>
      </c>
      <c r="F131" s="40">
        <v>2010</v>
      </c>
      <c r="G131" s="29" t="s">
        <v>161</v>
      </c>
      <c r="H131" s="27">
        <f t="shared" si="206"/>
        <v>52.94271809441738</v>
      </c>
      <c r="I131" s="27">
        <v>30.821991173218901</v>
      </c>
      <c r="J131" s="27">
        <v>106.043198696044</v>
      </c>
      <c r="K131" s="27">
        <v>42.566525259170703</v>
      </c>
      <c r="L131" s="27">
        <v>68.136525827162401</v>
      </c>
      <c r="M131" s="27">
        <v>15.2715301838104</v>
      </c>
      <c r="N131" s="27">
        <v>76.375920685751495</v>
      </c>
      <c r="O131" s="27">
        <v>20.348355673481802</v>
      </c>
      <c r="P131" s="27">
        <v>37.320740979023697</v>
      </c>
      <c r="Q131" s="27">
        <v>62.920187646285903</v>
      </c>
      <c r="R131" s="27">
        <v>71.129504112703302</v>
      </c>
      <c r="S131" s="27">
        <v>39.310311565708503</v>
      </c>
      <c r="T131" s="27">
        <v>30.821991173218901</v>
      </c>
      <c r="U131" s="27">
        <v>78.334836520018897</v>
      </c>
      <c r="V131" s="27">
        <v>38.4776781541632</v>
      </c>
      <c r="W131" s="27">
        <v>59.866648711085197</v>
      </c>
      <c r="X131" s="27">
        <v>42.566525259170703</v>
      </c>
      <c r="Y131" s="27">
        <v>47.321164179705498</v>
      </c>
      <c r="Z131" s="27">
        <v>57.429951888954001</v>
      </c>
      <c r="AA131" s="27">
        <v>20.275159446338201</v>
      </c>
      <c r="AB131" s="27">
        <v>35.667308738078098</v>
      </c>
      <c r="AC131" s="27">
        <v>42.566525259170703</v>
      </c>
      <c r="AD131" s="27">
        <v>31.204106879401198</v>
      </c>
      <c r="AE131" s="27">
        <v>237.667752520102</v>
      </c>
      <c r="AF131" s="27">
        <v>71.914907156954996</v>
      </c>
      <c r="AG131" s="27">
        <v>30.821991173218901</v>
      </c>
      <c r="AH131" s="27">
        <v>57.072939562297101</v>
      </c>
      <c r="AI131" s="27">
        <v>27.354661778424301</v>
      </c>
      <c r="AJ131" s="27">
        <v>73.940931803873994</v>
      </c>
      <c r="AK131" s="27">
        <v>25.3190614242903</v>
      </c>
      <c r="AL131" s="27">
        <v>42.6653942006498</v>
      </c>
      <c r="AM131" s="27">
        <v>31.938506174463399</v>
      </c>
      <c r="AN131" s="27">
        <v>22.6961555955526</v>
      </c>
      <c r="AO131" s="27">
        <v>42.566525259170703</v>
      </c>
      <c r="AP131" s="27">
        <v>44.569396743717803</v>
      </c>
      <c r="AQ131" s="27">
        <v>77.516104603355799</v>
      </c>
      <c r="AR131" s="27">
        <v>56.275935662917902</v>
      </c>
      <c r="AS131" s="27">
        <v>61.783617822788003</v>
      </c>
      <c r="AV131" s="82"/>
    </row>
    <row r="132" spans="1:48" s="27" customFormat="1" ht="14.45" customHeight="1">
      <c r="A132" s="29" t="s">
        <v>258</v>
      </c>
      <c r="B132" s="29" t="s">
        <v>283</v>
      </c>
      <c r="C132" s="29" t="s">
        <v>269</v>
      </c>
      <c r="E132" s="28" t="s">
        <v>30</v>
      </c>
      <c r="F132" s="42">
        <v>2020</v>
      </c>
      <c r="G132" s="29" t="s">
        <v>161</v>
      </c>
      <c r="H132" s="27">
        <f t="shared" si="206"/>
        <v>52.94271809441738</v>
      </c>
      <c r="I132" s="27">
        <f>I131</f>
        <v>30.821991173218901</v>
      </c>
      <c r="J132" s="27">
        <f t="shared" si="207"/>
        <v>106.043198696044</v>
      </c>
      <c r="K132" s="27">
        <f t="shared" si="208"/>
        <v>42.566525259170703</v>
      </c>
      <c r="L132" s="27">
        <f t="shared" si="209"/>
        <v>68.136525827162401</v>
      </c>
      <c r="M132" s="27">
        <f t="shared" si="210"/>
        <v>15.2715301838104</v>
      </c>
      <c r="N132" s="27">
        <f t="shared" si="211"/>
        <v>76.375920685751495</v>
      </c>
      <c r="O132" s="27">
        <f t="shared" si="212"/>
        <v>20.348355673481802</v>
      </c>
      <c r="P132" s="27">
        <f t="shared" si="213"/>
        <v>37.320740979023697</v>
      </c>
      <c r="Q132" s="27">
        <f t="shared" si="214"/>
        <v>62.920187646285903</v>
      </c>
      <c r="R132" s="27">
        <f t="shared" si="215"/>
        <v>71.129504112703302</v>
      </c>
      <c r="S132" s="27">
        <f t="shared" si="216"/>
        <v>39.310311565708503</v>
      </c>
      <c r="T132" s="27">
        <f t="shared" si="217"/>
        <v>30.821991173218901</v>
      </c>
      <c r="U132" s="27">
        <f t="shared" si="218"/>
        <v>78.334836520018897</v>
      </c>
      <c r="V132" s="27">
        <f t="shared" si="219"/>
        <v>38.4776781541632</v>
      </c>
      <c r="W132" s="27">
        <f t="shared" si="220"/>
        <v>59.866648711085197</v>
      </c>
      <c r="X132" s="27">
        <f t="shared" si="221"/>
        <v>42.566525259170703</v>
      </c>
      <c r="Y132" s="27">
        <f t="shared" si="222"/>
        <v>47.321164179705498</v>
      </c>
      <c r="Z132" s="27">
        <f t="shared" si="223"/>
        <v>57.429951888954001</v>
      </c>
      <c r="AA132" s="27">
        <f t="shared" si="224"/>
        <v>20.275159446338201</v>
      </c>
      <c r="AB132" s="27">
        <f t="shared" si="225"/>
        <v>35.667308738078098</v>
      </c>
      <c r="AC132" s="27">
        <f t="shared" si="226"/>
        <v>42.566525259170703</v>
      </c>
      <c r="AD132" s="27">
        <f t="shared" si="227"/>
        <v>31.204106879401198</v>
      </c>
      <c r="AE132" s="27">
        <f t="shared" si="228"/>
        <v>237.667752520102</v>
      </c>
      <c r="AF132" s="27">
        <f t="shared" si="229"/>
        <v>71.914907156954996</v>
      </c>
      <c r="AG132" s="27">
        <f t="shared" si="230"/>
        <v>30.821991173218901</v>
      </c>
      <c r="AH132" s="27">
        <f t="shared" si="231"/>
        <v>57.072939562297101</v>
      </c>
      <c r="AI132" s="27">
        <f t="shared" si="232"/>
        <v>27.354661778424301</v>
      </c>
      <c r="AJ132" s="27">
        <f t="shared" si="233"/>
        <v>73.940931803873994</v>
      </c>
      <c r="AK132" s="27">
        <f t="shared" si="234"/>
        <v>25.3190614242903</v>
      </c>
      <c r="AL132" s="27">
        <f t="shared" si="235"/>
        <v>42.6653942006498</v>
      </c>
      <c r="AM132" s="27">
        <f t="shared" si="236"/>
        <v>31.938506174463399</v>
      </c>
      <c r="AN132" s="27">
        <f t="shared" si="237"/>
        <v>22.6961555955526</v>
      </c>
      <c r="AO132" s="27">
        <f t="shared" si="238"/>
        <v>42.566525259170703</v>
      </c>
      <c r="AP132" s="27">
        <f t="shared" si="239"/>
        <v>44.569396743717803</v>
      </c>
      <c r="AQ132" s="27">
        <f t="shared" si="240"/>
        <v>77.516104603355799</v>
      </c>
      <c r="AR132" s="27">
        <f t="shared" si="241"/>
        <v>56.275935662917902</v>
      </c>
      <c r="AS132" s="27">
        <f t="shared" si="242"/>
        <v>61.783617822788003</v>
      </c>
      <c r="AV132" s="82"/>
    </row>
    <row r="133" spans="1:48" s="27" customFormat="1" ht="14.45" customHeight="1">
      <c r="A133" s="29" t="s">
        <v>258</v>
      </c>
      <c r="B133" s="29" t="s">
        <v>283</v>
      </c>
      <c r="C133" s="29" t="s">
        <v>269</v>
      </c>
      <c r="E133" s="28" t="s">
        <v>30</v>
      </c>
      <c r="F133" s="42">
        <v>2025</v>
      </c>
      <c r="G133" s="29" t="s">
        <v>161</v>
      </c>
      <c r="H133" s="27">
        <f t="shared" si="206"/>
        <v>52.94271809441738</v>
      </c>
      <c r="I133" s="27">
        <f t="shared" si="249" ref="I133:I137">I132</f>
        <v>30.821991173218901</v>
      </c>
      <c r="J133" s="27">
        <f t="shared" si="207"/>
        <v>106.043198696044</v>
      </c>
      <c r="K133" s="27">
        <f t="shared" si="208"/>
        <v>42.566525259170703</v>
      </c>
      <c r="L133" s="27">
        <f t="shared" si="209"/>
        <v>68.136525827162401</v>
      </c>
      <c r="M133" s="27">
        <f t="shared" si="210"/>
        <v>15.2715301838104</v>
      </c>
      <c r="N133" s="27">
        <f t="shared" si="211"/>
        <v>76.375920685751495</v>
      </c>
      <c r="O133" s="27">
        <f t="shared" si="212"/>
        <v>20.348355673481802</v>
      </c>
      <c r="P133" s="27">
        <f t="shared" si="213"/>
        <v>37.320740979023697</v>
      </c>
      <c r="Q133" s="27">
        <f t="shared" si="214"/>
        <v>62.920187646285903</v>
      </c>
      <c r="R133" s="27">
        <f t="shared" si="215"/>
        <v>71.129504112703302</v>
      </c>
      <c r="S133" s="27">
        <f t="shared" si="216"/>
        <v>39.310311565708503</v>
      </c>
      <c r="T133" s="27">
        <f t="shared" si="217"/>
        <v>30.821991173218901</v>
      </c>
      <c r="U133" s="27">
        <f t="shared" si="218"/>
        <v>78.334836520018897</v>
      </c>
      <c r="V133" s="27">
        <f t="shared" si="219"/>
        <v>38.4776781541632</v>
      </c>
      <c r="W133" s="27">
        <f t="shared" si="220"/>
        <v>59.866648711085197</v>
      </c>
      <c r="X133" s="27">
        <f t="shared" si="221"/>
        <v>42.566525259170703</v>
      </c>
      <c r="Y133" s="27">
        <f t="shared" si="222"/>
        <v>47.321164179705498</v>
      </c>
      <c r="Z133" s="27">
        <f t="shared" si="223"/>
        <v>57.429951888954001</v>
      </c>
      <c r="AA133" s="27">
        <f t="shared" si="224"/>
        <v>20.275159446338201</v>
      </c>
      <c r="AB133" s="27">
        <f t="shared" si="225"/>
        <v>35.667308738078098</v>
      </c>
      <c r="AC133" s="27">
        <f t="shared" si="226"/>
        <v>42.566525259170703</v>
      </c>
      <c r="AD133" s="27">
        <f t="shared" si="227"/>
        <v>31.204106879401198</v>
      </c>
      <c r="AE133" s="27">
        <f t="shared" si="228"/>
        <v>237.667752520102</v>
      </c>
      <c r="AF133" s="27">
        <f t="shared" si="229"/>
        <v>71.914907156954996</v>
      </c>
      <c r="AG133" s="27">
        <f t="shared" si="230"/>
        <v>30.821991173218901</v>
      </c>
      <c r="AH133" s="27">
        <f t="shared" si="231"/>
        <v>57.072939562297101</v>
      </c>
      <c r="AI133" s="27">
        <f t="shared" si="232"/>
        <v>27.354661778424301</v>
      </c>
      <c r="AJ133" s="27">
        <f t="shared" si="233"/>
        <v>73.940931803873994</v>
      </c>
      <c r="AK133" s="27">
        <f t="shared" si="234"/>
        <v>25.3190614242903</v>
      </c>
      <c r="AL133" s="27">
        <f t="shared" si="235"/>
        <v>42.6653942006498</v>
      </c>
      <c r="AM133" s="27">
        <f t="shared" si="236"/>
        <v>31.938506174463399</v>
      </c>
      <c r="AN133" s="27">
        <f t="shared" si="237"/>
        <v>22.6961555955526</v>
      </c>
      <c r="AO133" s="27">
        <f t="shared" si="238"/>
        <v>42.566525259170703</v>
      </c>
      <c r="AP133" s="27">
        <f t="shared" si="239"/>
        <v>44.569396743717803</v>
      </c>
      <c r="AQ133" s="27">
        <f t="shared" si="240"/>
        <v>77.516104603355799</v>
      </c>
      <c r="AR133" s="27">
        <f t="shared" si="241"/>
        <v>56.275935662917902</v>
      </c>
      <c r="AS133" s="27">
        <f t="shared" si="242"/>
        <v>61.783617822788003</v>
      </c>
      <c r="AV133" s="82"/>
    </row>
    <row r="134" spans="1:48" s="27" customFormat="1" ht="14.45" customHeight="1">
      <c r="A134" s="29" t="s">
        <v>258</v>
      </c>
      <c r="B134" s="29" t="s">
        <v>283</v>
      </c>
      <c r="C134" s="29" t="s">
        <v>269</v>
      </c>
      <c r="E134" s="28" t="s">
        <v>30</v>
      </c>
      <c r="F134" s="42">
        <v>2030</v>
      </c>
      <c r="G134" s="29" t="s">
        <v>161</v>
      </c>
      <c r="H134" s="27">
        <f t="shared" si="206"/>
        <v>52.94271809441738</v>
      </c>
      <c r="I134" s="27">
        <f t="shared" si="249"/>
        <v>30.821991173218901</v>
      </c>
      <c r="J134" s="27">
        <f t="shared" si="207"/>
        <v>106.043198696044</v>
      </c>
      <c r="K134" s="27">
        <f t="shared" si="208"/>
        <v>42.566525259170703</v>
      </c>
      <c r="L134" s="27">
        <f t="shared" si="209"/>
        <v>68.136525827162401</v>
      </c>
      <c r="M134" s="27">
        <f t="shared" si="210"/>
        <v>15.2715301838104</v>
      </c>
      <c r="N134" s="27">
        <f t="shared" si="211"/>
        <v>76.375920685751495</v>
      </c>
      <c r="O134" s="27">
        <f t="shared" si="212"/>
        <v>20.348355673481802</v>
      </c>
      <c r="P134" s="27">
        <f t="shared" si="213"/>
        <v>37.320740979023697</v>
      </c>
      <c r="Q134" s="27">
        <f t="shared" si="214"/>
        <v>62.920187646285903</v>
      </c>
      <c r="R134" s="27">
        <f t="shared" si="215"/>
        <v>71.129504112703302</v>
      </c>
      <c r="S134" s="27">
        <f t="shared" si="216"/>
        <v>39.310311565708503</v>
      </c>
      <c r="T134" s="27">
        <f t="shared" si="217"/>
        <v>30.821991173218901</v>
      </c>
      <c r="U134" s="27">
        <f t="shared" si="218"/>
        <v>78.334836520018897</v>
      </c>
      <c r="V134" s="27">
        <f t="shared" si="219"/>
        <v>38.4776781541632</v>
      </c>
      <c r="W134" s="27">
        <f t="shared" si="220"/>
        <v>59.866648711085197</v>
      </c>
      <c r="X134" s="27">
        <f t="shared" si="221"/>
        <v>42.566525259170703</v>
      </c>
      <c r="Y134" s="27">
        <f t="shared" si="222"/>
        <v>47.321164179705498</v>
      </c>
      <c r="Z134" s="27">
        <f t="shared" si="223"/>
        <v>57.429951888954001</v>
      </c>
      <c r="AA134" s="27">
        <f t="shared" si="224"/>
        <v>20.275159446338201</v>
      </c>
      <c r="AB134" s="27">
        <f t="shared" si="225"/>
        <v>35.667308738078098</v>
      </c>
      <c r="AC134" s="27">
        <f t="shared" si="226"/>
        <v>42.566525259170703</v>
      </c>
      <c r="AD134" s="27">
        <f t="shared" si="227"/>
        <v>31.204106879401198</v>
      </c>
      <c r="AE134" s="27">
        <f t="shared" si="228"/>
        <v>237.667752520102</v>
      </c>
      <c r="AF134" s="27">
        <f t="shared" si="229"/>
        <v>71.914907156954996</v>
      </c>
      <c r="AG134" s="27">
        <f t="shared" si="230"/>
        <v>30.821991173218901</v>
      </c>
      <c r="AH134" s="27">
        <f t="shared" si="231"/>
        <v>57.072939562297101</v>
      </c>
      <c r="AI134" s="27">
        <f t="shared" si="232"/>
        <v>27.354661778424301</v>
      </c>
      <c r="AJ134" s="27">
        <f t="shared" si="233"/>
        <v>73.940931803873994</v>
      </c>
      <c r="AK134" s="27">
        <f t="shared" si="234"/>
        <v>25.3190614242903</v>
      </c>
      <c r="AL134" s="27">
        <f t="shared" si="235"/>
        <v>42.6653942006498</v>
      </c>
      <c r="AM134" s="27">
        <f t="shared" si="236"/>
        <v>31.938506174463399</v>
      </c>
      <c r="AN134" s="27">
        <f t="shared" si="237"/>
        <v>22.6961555955526</v>
      </c>
      <c r="AO134" s="27">
        <f t="shared" si="238"/>
        <v>42.566525259170703</v>
      </c>
      <c r="AP134" s="27">
        <f t="shared" si="239"/>
        <v>44.569396743717803</v>
      </c>
      <c r="AQ134" s="27">
        <f t="shared" si="240"/>
        <v>77.516104603355799</v>
      </c>
      <c r="AR134" s="27">
        <f t="shared" si="241"/>
        <v>56.275935662917902</v>
      </c>
      <c r="AS134" s="27">
        <f t="shared" si="242"/>
        <v>61.783617822788003</v>
      </c>
      <c r="AV134" s="82"/>
    </row>
    <row r="135" spans="1:48" s="27" customFormat="1" ht="14.45" customHeight="1">
      <c r="A135" s="29" t="s">
        <v>258</v>
      </c>
      <c r="B135" s="29" t="s">
        <v>283</v>
      </c>
      <c r="C135" s="29" t="s">
        <v>269</v>
      </c>
      <c r="E135" s="28" t="s">
        <v>30</v>
      </c>
      <c r="F135" s="42">
        <v>2035</v>
      </c>
      <c r="G135" s="29" t="s">
        <v>161</v>
      </c>
      <c r="H135" s="27">
        <f t="shared" si="206"/>
        <v>52.94271809441738</v>
      </c>
      <c r="I135" s="27">
        <f t="shared" si="249"/>
        <v>30.821991173218901</v>
      </c>
      <c r="J135" s="27">
        <f t="shared" si="207"/>
        <v>106.043198696044</v>
      </c>
      <c r="K135" s="27">
        <f t="shared" si="208"/>
        <v>42.566525259170703</v>
      </c>
      <c r="L135" s="27">
        <f t="shared" si="209"/>
        <v>68.136525827162401</v>
      </c>
      <c r="M135" s="27">
        <f t="shared" si="210"/>
        <v>15.2715301838104</v>
      </c>
      <c r="N135" s="27">
        <f t="shared" si="211"/>
        <v>76.375920685751495</v>
      </c>
      <c r="O135" s="27">
        <f t="shared" si="212"/>
        <v>20.348355673481802</v>
      </c>
      <c r="P135" s="27">
        <f t="shared" si="213"/>
        <v>37.320740979023697</v>
      </c>
      <c r="Q135" s="27">
        <f t="shared" si="214"/>
        <v>62.920187646285903</v>
      </c>
      <c r="R135" s="27">
        <f t="shared" si="215"/>
        <v>71.129504112703302</v>
      </c>
      <c r="S135" s="27">
        <f t="shared" si="216"/>
        <v>39.310311565708503</v>
      </c>
      <c r="T135" s="27">
        <f t="shared" si="217"/>
        <v>30.821991173218901</v>
      </c>
      <c r="U135" s="27">
        <f t="shared" si="218"/>
        <v>78.334836520018897</v>
      </c>
      <c r="V135" s="27">
        <f t="shared" si="219"/>
        <v>38.4776781541632</v>
      </c>
      <c r="W135" s="27">
        <f t="shared" si="220"/>
        <v>59.866648711085197</v>
      </c>
      <c r="X135" s="27">
        <f t="shared" si="221"/>
        <v>42.566525259170703</v>
      </c>
      <c r="Y135" s="27">
        <f t="shared" si="222"/>
        <v>47.321164179705498</v>
      </c>
      <c r="Z135" s="27">
        <f t="shared" si="223"/>
        <v>57.429951888954001</v>
      </c>
      <c r="AA135" s="27">
        <f t="shared" si="224"/>
        <v>20.275159446338201</v>
      </c>
      <c r="AB135" s="27">
        <f t="shared" si="225"/>
        <v>35.667308738078098</v>
      </c>
      <c r="AC135" s="27">
        <f t="shared" si="226"/>
        <v>42.566525259170703</v>
      </c>
      <c r="AD135" s="27">
        <f t="shared" si="227"/>
        <v>31.204106879401198</v>
      </c>
      <c r="AE135" s="27">
        <f t="shared" si="228"/>
        <v>237.667752520102</v>
      </c>
      <c r="AF135" s="27">
        <f t="shared" si="229"/>
        <v>71.914907156954996</v>
      </c>
      <c r="AG135" s="27">
        <f t="shared" si="230"/>
        <v>30.821991173218901</v>
      </c>
      <c r="AH135" s="27">
        <f t="shared" si="231"/>
        <v>57.072939562297101</v>
      </c>
      <c r="AI135" s="27">
        <f t="shared" si="232"/>
        <v>27.354661778424301</v>
      </c>
      <c r="AJ135" s="27">
        <f t="shared" si="233"/>
        <v>73.940931803873994</v>
      </c>
      <c r="AK135" s="27">
        <f t="shared" si="234"/>
        <v>25.3190614242903</v>
      </c>
      <c r="AL135" s="27">
        <f t="shared" si="235"/>
        <v>42.6653942006498</v>
      </c>
      <c r="AM135" s="27">
        <f t="shared" si="236"/>
        <v>31.938506174463399</v>
      </c>
      <c r="AN135" s="27">
        <f t="shared" si="237"/>
        <v>22.6961555955526</v>
      </c>
      <c r="AO135" s="27">
        <f t="shared" si="238"/>
        <v>42.566525259170703</v>
      </c>
      <c r="AP135" s="27">
        <f t="shared" si="239"/>
        <v>44.569396743717803</v>
      </c>
      <c r="AQ135" s="27">
        <f t="shared" si="240"/>
        <v>77.516104603355799</v>
      </c>
      <c r="AR135" s="27">
        <f t="shared" si="241"/>
        <v>56.275935662917902</v>
      </c>
      <c r="AS135" s="27">
        <f t="shared" si="242"/>
        <v>61.783617822788003</v>
      </c>
      <c r="AV135" s="82"/>
    </row>
    <row r="136" spans="1:48" s="27" customFormat="1" ht="14.45" customHeight="1">
      <c r="A136" s="29" t="s">
        <v>258</v>
      </c>
      <c r="B136" s="29" t="s">
        <v>283</v>
      </c>
      <c r="C136" s="29" t="s">
        <v>269</v>
      </c>
      <c r="E136" s="28" t="s">
        <v>30</v>
      </c>
      <c r="F136" s="40">
        <v>2040</v>
      </c>
      <c r="G136" s="29" t="s">
        <v>161</v>
      </c>
      <c r="H136" s="27">
        <f t="shared" si="206"/>
        <v>52.94271809441738</v>
      </c>
      <c r="I136" s="27">
        <f t="shared" si="249"/>
        <v>30.821991173218901</v>
      </c>
      <c r="J136" s="27">
        <f t="shared" si="207"/>
        <v>106.043198696044</v>
      </c>
      <c r="K136" s="27">
        <f t="shared" si="208"/>
        <v>42.566525259170703</v>
      </c>
      <c r="L136" s="27">
        <f t="shared" si="209"/>
        <v>68.136525827162401</v>
      </c>
      <c r="M136" s="27">
        <f t="shared" si="210"/>
        <v>15.2715301838104</v>
      </c>
      <c r="N136" s="27">
        <f t="shared" si="211"/>
        <v>76.375920685751495</v>
      </c>
      <c r="O136" s="27">
        <f t="shared" si="212"/>
        <v>20.348355673481802</v>
      </c>
      <c r="P136" s="27">
        <f t="shared" si="213"/>
        <v>37.320740979023697</v>
      </c>
      <c r="Q136" s="27">
        <f t="shared" si="214"/>
        <v>62.920187646285903</v>
      </c>
      <c r="R136" s="27">
        <f t="shared" si="215"/>
        <v>71.129504112703302</v>
      </c>
      <c r="S136" s="27">
        <f t="shared" si="216"/>
        <v>39.310311565708503</v>
      </c>
      <c r="T136" s="27">
        <f t="shared" si="217"/>
        <v>30.821991173218901</v>
      </c>
      <c r="U136" s="27">
        <f t="shared" si="218"/>
        <v>78.334836520018897</v>
      </c>
      <c r="V136" s="27">
        <f t="shared" si="219"/>
        <v>38.4776781541632</v>
      </c>
      <c r="W136" s="27">
        <f t="shared" si="220"/>
        <v>59.866648711085197</v>
      </c>
      <c r="X136" s="27">
        <f t="shared" si="221"/>
        <v>42.566525259170703</v>
      </c>
      <c r="Y136" s="27">
        <f t="shared" si="222"/>
        <v>47.321164179705498</v>
      </c>
      <c r="Z136" s="27">
        <f t="shared" si="223"/>
        <v>57.429951888954001</v>
      </c>
      <c r="AA136" s="27">
        <f t="shared" si="224"/>
        <v>20.275159446338201</v>
      </c>
      <c r="AB136" s="27">
        <f t="shared" si="225"/>
        <v>35.667308738078098</v>
      </c>
      <c r="AC136" s="27">
        <f t="shared" si="226"/>
        <v>42.566525259170703</v>
      </c>
      <c r="AD136" s="27">
        <f t="shared" si="227"/>
        <v>31.204106879401198</v>
      </c>
      <c r="AE136" s="27">
        <f t="shared" si="228"/>
        <v>237.667752520102</v>
      </c>
      <c r="AF136" s="27">
        <f t="shared" si="229"/>
        <v>71.914907156954996</v>
      </c>
      <c r="AG136" s="27">
        <f t="shared" si="230"/>
        <v>30.821991173218901</v>
      </c>
      <c r="AH136" s="27">
        <f t="shared" si="231"/>
        <v>57.072939562297101</v>
      </c>
      <c r="AI136" s="27">
        <f t="shared" si="232"/>
        <v>27.354661778424301</v>
      </c>
      <c r="AJ136" s="27">
        <f t="shared" si="233"/>
        <v>73.940931803873994</v>
      </c>
      <c r="AK136" s="27">
        <f t="shared" si="234"/>
        <v>25.3190614242903</v>
      </c>
      <c r="AL136" s="27">
        <f t="shared" si="235"/>
        <v>42.6653942006498</v>
      </c>
      <c r="AM136" s="27">
        <f t="shared" si="236"/>
        <v>31.938506174463399</v>
      </c>
      <c r="AN136" s="27">
        <f t="shared" si="237"/>
        <v>22.6961555955526</v>
      </c>
      <c r="AO136" s="27">
        <f t="shared" si="238"/>
        <v>42.566525259170703</v>
      </c>
      <c r="AP136" s="27">
        <f t="shared" si="239"/>
        <v>44.569396743717803</v>
      </c>
      <c r="AQ136" s="27">
        <f t="shared" si="240"/>
        <v>77.516104603355799</v>
      </c>
      <c r="AR136" s="27">
        <f t="shared" si="241"/>
        <v>56.275935662917902</v>
      </c>
      <c r="AS136" s="27">
        <f t="shared" si="242"/>
        <v>61.783617822788003</v>
      </c>
      <c r="AV136" s="82"/>
    </row>
    <row r="137" spans="1:48" s="53" customFormat="1" ht="14.45" customHeight="1">
      <c r="A137" s="52" t="s">
        <v>258</v>
      </c>
      <c r="B137" s="52" t="s">
        <v>283</v>
      </c>
      <c r="C137" s="52" t="s">
        <v>269</v>
      </c>
      <c r="E137" s="54" t="s">
        <v>30</v>
      </c>
      <c r="F137" s="55">
        <v>2050</v>
      </c>
      <c r="G137" s="52" t="s">
        <v>161</v>
      </c>
      <c r="H137" s="53">
        <f t="shared" si="206"/>
        <v>52.94271809441738</v>
      </c>
      <c r="I137" s="53">
        <f t="shared" si="249"/>
        <v>30.821991173218901</v>
      </c>
      <c r="J137" s="53">
        <f t="shared" si="207"/>
        <v>106.043198696044</v>
      </c>
      <c r="K137" s="53">
        <f t="shared" si="208"/>
        <v>42.566525259170703</v>
      </c>
      <c r="L137" s="53">
        <f t="shared" si="209"/>
        <v>68.136525827162401</v>
      </c>
      <c r="M137" s="53">
        <f t="shared" si="210"/>
        <v>15.2715301838104</v>
      </c>
      <c r="N137" s="53">
        <f t="shared" si="211"/>
        <v>76.375920685751495</v>
      </c>
      <c r="O137" s="53">
        <f t="shared" si="212"/>
        <v>20.348355673481802</v>
      </c>
      <c r="P137" s="53">
        <f t="shared" si="213"/>
        <v>37.320740979023697</v>
      </c>
      <c r="Q137" s="53">
        <f t="shared" si="214"/>
        <v>62.920187646285903</v>
      </c>
      <c r="R137" s="53">
        <f t="shared" si="215"/>
        <v>71.129504112703302</v>
      </c>
      <c r="S137" s="53">
        <f t="shared" si="216"/>
        <v>39.310311565708503</v>
      </c>
      <c r="T137" s="53">
        <f t="shared" si="217"/>
        <v>30.821991173218901</v>
      </c>
      <c r="U137" s="53">
        <f t="shared" si="218"/>
        <v>78.334836520018897</v>
      </c>
      <c r="V137" s="53">
        <f t="shared" si="219"/>
        <v>38.4776781541632</v>
      </c>
      <c r="W137" s="53">
        <f t="shared" si="220"/>
        <v>59.866648711085197</v>
      </c>
      <c r="X137" s="53">
        <f t="shared" si="221"/>
        <v>42.566525259170703</v>
      </c>
      <c r="Y137" s="53">
        <f t="shared" si="222"/>
        <v>47.321164179705498</v>
      </c>
      <c r="Z137" s="53">
        <f t="shared" si="223"/>
        <v>57.429951888954001</v>
      </c>
      <c r="AA137" s="53">
        <f t="shared" si="224"/>
        <v>20.275159446338201</v>
      </c>
      <c r="AB137" s="53">
        <f t="shared" si="225"/>
        <v>35.667308738078098</v>
      </c>
      <c r="AC137" s="53">
        <f t="shared" si="226"/>
        <v>42.566525259170703</v>
      </c>
      <c r="AD137" s="53">
        <f t="shared" si="227"/>
        <v>31.204106879401198</v>
      </c>
      <c r="AE137" s="53">
        <f t="shared" si="228"/>
        <v>237.667752520102</v>
      </c>
      <c r="AF137" s="53">
        <f t="shared" si="229"/>
        <v>71.914907156954996</v>
      </c>
      <c r="AG137" s="53">
        <f t="shared" si="230"/>
        <v>30.821991173218901</v>
      </c>
      <c r="AH137" s="53">
        <f t="shared" si="231"/>
        <v>57.072939562297101</v>
      </c>
      <c r="AI137" s="53">
        <f t="shared" si="232"/>
        <v>27.354661778424301</v>
      </c>
      <c r="AJ137" s="53">
        <f t="shared" si="233"/>
        <v>73.940931803873994</v>
      </c>
      <c r="AK137" s="53">
        <f t="shared" si="234"/>
        <v>25.3190614242903</v>
      </c>
      <c r="AL137" s="53">
        <f t="shared" si="235"/>
        <v>42.6653942006498</v>
      </c>
      <c r="AM137" s="53">
        <f t="shared" si="236"/>
        <v>31.938506174463399</v>
      </c>
      <c r="AN137" s="53">
        <f t="shared" si="237"/>
        <v>22.6961555955526</v>
      </c>
      <c r="AO137" s="53">
        <f t="shared" si="238"/>
        <v>42.566525259170703</v>
      </c>
      <c r="AP137" s="53">
        <f t="shared" si="239"/>
        <v>44.569396743717803</v>
      </c>
      <c r="AQ137" s="53">
        <f t="shared" si="240"/>
        <v>77.516104603355799</v>
      </c>
      <c r="AR137" s="53">
        <f t="shared" si="241"/>
        <v>56.275935662917902</v>
      </c>
      <c r="AS137" s="53">
        <f t="shared" si="242"/>
        <v>61.783617822788003</v>
      </c>
      <c r="AV137" s="83"/>
    </row>
    <row r="138" spans="1:48" s="27" customFormat="1" ht="14.45" customHeight="1">
      <c r="A138" s="29" t="s">
        <v>258</v>
      </c>
      <c r="B138" s="29" t="s">
        <v>283</v>
      </c>
      <c r="C138" s="29" t="s">
        <v>271</v>
      </c>
      <c r="E138" s="28" t="s">
        <v>30</v>
      </c>
      <c r="F138" s="40">
        <v>2010</v>
      </c>
      <c r="G138" s="29" t="s">
        <v>162</v>
      </c>
      <c r="H138" s="27">
        <f t="shared" si="206"/>
        <v>52.94271809441738</v>
      </c>
      <c r="I138" s="27">
        <v>30.821991173218901</v>
      </c>
      <c r="J138" s="27">
        <v>106.043198696044</v>
      </c>
      <c r="K138" s="27">
        <v>42.566525259170703</v>
      </c>
      <c r="L138" s="27">
        <v>68.136525827162401</v>
      </c>
      <c r="M138" s="27">
        <v>15.2715301838104</v>
      </c>
      <c r="N138" s="27">
        <v>76.375920685751495</v>
      </c>
      <c r="O138" s="27">
        <v>20.348355673481802</v>
      </c>
      <c r="P138" s="27">
        <v>37.320740979023697</v>
      </c>
      <c r="Q138" s="27">
        <v>62.920187646285903</v>
      </c>
      <c r="R138" s="27">
        <v>71.129504112703302</v>
      </c>
      <c r="S138" s="27">
        <v>39.310311565708503</v>
      </c>
      <c r="T138" s="27">
        <v>30.821991173218901</v>
      </c>
      <c r="U138" s="27">
        <v>78.334836520018897</v>
      </c>
      <c r="V138" s="27">
        <v>38.4776781541632</v>
      </c>
      <c r="W138" s="27">
        <v>59.866648711085197</v>
      </c>
      <c r="X138" s="27">
        <v>42.566525259170703</v>
      </c>
      <c r="Y138" s="27">
        <v>47.321164179705498</v>
      </c>
      <c r="Z138" s="27">
        <v>57.429951888954001</v>
      </c>
      <c r="AA138" s="27">
        <v>20.275159446338201</v>
      </c>
      <c r="AB138" s="27">
        <v>35.667308738078098</v>
      </c>
      <c r="AC138" s="27">
        <v>42.566525259170703</v>
      </c>
      <c r="AD138" s="27">
        <v>31.204106879401198</v>
      </c>
      <c r="AE138" s="27">
        <v>237.667752520102</v>
      </c>
      <c r="AF138" s="27">
        <v>71.914907156954996</v>
      </c>
      <c r="AG138" s="27">
        <v>30.821991173218901</v>
      </c>
      <c r="AH138" s="27">
        <v>57.072939562297101</v>
      </c>
      <c r="AI138" s="27">
        <v>27.354661778424301</v>
      </c>
      <c r="AJ138" s="27">
        <v>73.940931803873994</v>
      </c>
      <c r="AK138" s="27">
        <v>25.3190614242903</v>
      </c>
      <c r="AL138" s="27">
        <v>42.6653942006498</v>
      </c>
      <c r="AM138" s="27">
        <v>31.938506174463399</v>
      </c>
      <c r="AN138" s="27">
        <v>22.6961555955526</v>
      </c>
      <c r="AO138" s="27">
        <v>42.566525259170703</v>
      </c>
      <c r="AP138" s="27">
        <v>44.569396743717803</v>
      </c>
      <c r="AQ138" s="27">
        <v>77.516104603355799</v>
      </c>
      <c r="AR138" s="27">
        <v>56.275935662917902</v>
      </c>
      <c r="AS138" s="27">
        <v>61.783617822788003</v>
      </c>
      <c r="AV138" s="82"/>
    </row>
    <row r="139" spans="1:48" s="27" customFormat="1" ht="14.45" customHeight="1">
      <c r="A139" s="29" t="s">
        <v>258</v>
      </c>
      <c r="B139" s="29" t="s">
        <v>283</v>
      </c>
      <c r="C139" s="29" t="s">
        <v>271</v>
      </c>
      <c r="E139" s="28" t="s">
        <v>30</v>
      </c>
      <c r="F139" s="42">
        <v>2020</v>
      </c>
      <c r="G139" s="29" t="s">
        <v>162</v>
      </c>
      <c r="H139" s="27">
        <f t="shared" si="206"/>
        <v>52.94271809441738</v>
      </c>
      <c r="I139" s="27">
        <f>I138</f>
        <v>30.821991173218901</v>
      </c>
      <c r="J139" s="27">
        <f t="shared" si="207"/>
        <v>106.043198696044</v>
      </c>
      <c r="K139" s="27">
        <f t="shared" si="208"/>
        <v>42.566525259170703</v>
      </c>
      <c r="L139" s="27">
        <f t="shared" si="209"/>
        <v>68.136525827162401</v>
      </c>
      <c r="M139" s="27">
        <f t="shared" si="210"/>
        <v>15.2715301838104</v>
      </c>
      <c r="N139" s="27">
        <f t="shared" si="211"/>
        <v>76.375920685751495</v>
      </c>
      <c r="O139" s="27">
        <f t="shared" si="212"/>
        <v>20.348355673481802</v>
      </c>
      <c r="P139" s="27">
        <f t="shared" si="213"/>
        <v>37.320740979023697</v>
      </c>
      <c r="Q139" s="27">
        <f t="shared" si="214"/>
        <v>62.920187646285903</v>
      </c>
      <c r="R139" s="27">
        <f t="shared" si="215"/>
        <v>71.129504112703302</v>
      </c>
      <c r="S139" s="27">
        <f t="shared" si="216"/>
        <v>39.310311565708503</v>
      </c>
      <c r="T139" s="27">
        <f t="shared" si="217"/>
        <v>30.821991173218901</v>
      </c>
      <c r="U139" s="27">
        <f t="shared" si="218"/>
        <v>78.334836520018897</v>
      </c>
      <c r="V139" s="27">
        <f t="shared" si="219"/>
        <v>38.4776781541632</v>
      </c>
      <c r="W139" s="27">
        <f t="shared" si="220"/>
        <v>59.866648711085197</v>
      </c>
      <c r="X139" s="27">
        <f t="shared" si="221"/>
        <v>42.566525259170703</v>
      </c>
      <c r="Y139" s="27">
        <f t="shared" si="222"/>
        <v>47.321164179705498</v>
      </c>
      <c r="Z139" s="27">
        <f t="shared" si="223"/>
        <v>57.429951888954001</v>
      </c>
      <c r="AA139" s="27">
        <f t="shared" si="224"/>
        <v>20.275159446338201</v>
      </c>
      <c r="AB139" s="27">
        <f t="shared" si="225"/>
        <v>35.667308738078098</v>
      </c>
      <c r="AC139" s="27">
        <f t="shared" si="226"/>
        <v>42.566525259170703</v>
      </c>
      <c r="AD139" s="27">
        <f t="shared" si="227"/>
        <v>31.204106879401198</v>
      </c>
      <c r="AE139" s="27">
        <f t="shared" si="228"/>
        <v>237.667752520102</v>
      </c>
      <c r="AF139" s="27">
        <f t="shared" si="229"/>
        <v>71.914907156954996</v>
      </c>
      <c r="AG139" s="27">
        <f t="shared" si="230"/>
        <v>30.821991173218901</v>
      </c>
      <c r="AH139" s="27">
        <f t="shared" si="231"/>
        <v>57.072939562297101</v>
      </c>
      <c r="AI139" s="27">
        <f t="shared" si="232"/>
        <v>27.354661778424301</v>
      </c>
      <c r="AJ139" s="27">
        <f t="shared" si="233"/>
        <v>73.940931803873994</v>
      </c>
      <c r="AK139" s="27">
        <f t="shared" si="234"/>
        <v>25.3190614242903</v>
      </c>
      <c r="AL139" s="27">
        <f t="shared" si="235"/>
        <v>42.6653942006498</v>
      </c>
      <c r="AM139" s="27">
        <f t="shared" si="236"/>
        <v>31.938506174463399</v>
      </c>
      <c r="AN139" s="27">
        <f t="shared" si="237"/>
        <v>22.6961555955526</v>
      </c>
      <c r="AO139" s="27">
        <f t="shared" si="238"/>
        <v>42.566525259170703</v>
      </c>
      <c r="AP139" s="27">
        <f t="shared" si="239"/>
        <v>44.569396743717803</v>
      </c>
      <c r="AQ139" s="27">
        <f t="shared" si="240"/>
        <v>77.516104603355799</v>
      </c>
      <c r="AR139" s="27">
        <f t="shared" si="241"/>
        <v>56.275935662917902</v>
      </c>
      <c r="AS139" s="27">
        <f t="shared" si="242"/>
        <v>61.783617822788003</v>
      </c>
      <c r="AV139" s="82"/>
    </row>
    <row r="140" spans="1:48" s="27" customFormat="1" ht="14.45" customHeight="1">
      <c r="A140" s="29" t="s">
        <v>258</v>
      </c>
      <c r="B140" s="29" t="s">
        <v>283</v>
      </c>
      <c r="C140" s="29" t="s">
        <v>271</v>
      </c>
      <c r="E140" s="28" t="s">
        <v>30</v>
      </c>
      <c r="F140" s="42">
        <v>2025</v>
      </c>
      <c r="G140" s="29" t="s">
        <v>162</v>
      </c>
      <c r="H140" s="27">
        <f t="shared" si="206"/>
        <v>52.94271809441738</v>
      </c>
      <c r="I140" s="27">
        <f t="shared" si="250" ref="I140:I144">I139</f>
        <v>30.821991173218901</v>
      </c>
      <c r="J140" s="27">
        <f t="shared" si="207"/>
        <v>106.043198696044</v>
      </c>
      <c r="K140" s="27">
        <f t="shared" si="208"/>
        <v>42.566525259170703</v>
      </c>
      <c r="L140" s="27">
        <f t="shared" si="209"/>
        <v>68.136525827162401</v>
      </c>
      <c r="M140" s="27">
        <f t="shared" si="210"/>
        <v>15.2715301838104</v>
      </c>
      <c r="N140" s="27">
        <f t="shared" si="211"/>
        <v>76.375920685751495</v>
      </c>
      <c r="O140" s="27">
        <f t="shared" si="212"/>
        <v>20.348355673481802</v>
      </c>
      <c r="P140" s="27">
        <f t="shared" si="213"/>
        <v>37.320740979023697</v>
      </c>
      <c r="Q140" s="27">
        <f t="shared" si="214"/>
        <v>62.920187646285903</v>
      </c>
      <c r="R140" s="27">
        <f t="shared" si="215"/>
        <v>71.129504112703302</v>
      </c>
      <c r="S140" s="27">
        <f t="shared" si="216"/>
        <v>39.310311565708503</v>
      </c>
      <c r="T140" s="27">
        <f t="shared" si="217"/>
        <v>30.821991173218901</v>
      </c>
      <c r="U140" s="27">
        <f t="shared" si="218"/>
        <v>78.334836520018897</v>
      </c>
      <c r="V140" s="27">
        <f t="shared" si="219"/>
        <v>38.4776781541632</v>
      </c>
      <c r="W140" s="27">
        <f t="shared" si="220"/>
        <v>59.866648711085197</v>
      </c>
      <c r="X140" s="27">
        <f t="shared" si="221"/>
        <v>42.566525259170703</v>
      </c>
      <c r="Y140" s="27">
        <f t="shared" si="222"/>
        <v>47.321164179705498</v>
      </c>
      <c r="Z140" s="27">
        <f t="shared" si="223"/>
        <v>57.429951888954001</v>
      </c>
      <c r="AA140" s="27">
        <f t="shared" si="224"/>
        <v>20.275159446338201</v>
      </c>
      <c r="AB140" s="27">
        <f t="shared" si="225"/>
        <v>35.667308738078098</v>
      </c>
      <c r="AC140" s="27">
        <f t="shared" si="226"/>
        <v>42.566525259170703</v>
      </c>
      <c r="AD140" s="27">
        <f t="shared" si="227"/>
        <v>31.204106879401198</v>
      </c>
      <c r="AE140" s="27">
        <f t="shared" si="228"/>
        <v>237.667752520102</v>
      </c>
      <c r="AF140" s="27">
        <f t="shared" si="229"/>
        <v>71.914907156954996</v>
      </c>
      <c r="AG140" s="27">
        <f t="shared" si="230"/>
        <v>30.821991173218901</v>
      </c>
      <c r="AH140" s="27">
        <f t="shared" si="231"/>
        <v>57.072939562297101</v>
      </c>
      <c r="AI140" s="27">
        <f t="shared" si="232"/>
        <v>27.354661778424301</v>
      </c>
      <c r="AJ140" s="27">
        <f t="shared" si="233"/>
        <v>73.940931803873994</v>
      </c>
      <c r="AK140" s="27">
        <f t="shared" si="234"/>
        <v>25.3190614242903</v>
      </c>
      <c r="AL140" s="27">
        <f t="shared" si="235"/>
        <v>42.6653942006498</v>
      </c>
      <c r="AM140" s="27">
        <f t="shared" si="236"/>
        <v>31.938506174463399</v>
      </c>
      <c r="AN140" s="27">
        <f t="shared" si="237"/>
        <v>22.6961555955526</v>
      </c>
      <c r="AO140" s="27">
        <f t="shared" si="238"/>
        <v>42.566525259170703</v>
      </c>
      <c r="AP140" s="27">
        <f t="shared" si="239"/>
        <v>44.569396743717803</v>
      </c>
      <c r="AQ140" s="27">
        <f t="shared" si="240"/>
        <v>77.516104603355799</v>
      </c>
      <c r="AR140" s="27">
        <f t="shared" si="241"/>
        <v>56.275935662917902</v>
      </c>
      <c r="AS140" s="27">
        <f t="shared" si="242"/>
        <v>61.783617822788003</v>
      </c>
      <c r="AV140" s="82"/>
    </row>
    <row r="141" spans="1:48" s="27" customFormat="1" ht="14.45" customHeight="1">
      <c r="A141" s="29" t="s">
        <v>258</v>
      </c>
      <c r="B141" s="29" t="s">
        <v>283</v>
      </c>
      <c r="C141" s="29" t="s">
        <v>271</v>
      </c>
      <c r="E141" s="28" t="s">
        <v>30</v>
      </c>
      <c r="F141" s="42">
        <v>2030</v>
      </c>
      <c r="G141" s="29" t="s">
        <v>162</v>
      </c>
      <c r="H141" s="27">
        <f t="shared" si="206"/>
        <v>52.94271809441738</v>
      </c>
      <c r="I141" s="27">
        <f t="shared" si="250"/>
        <v>30.821991173218901</v>
      </c>
      <c r="J141" s="27">
        <f t="shared" si="207"/>
        <v>106.043198696044</v>
      </c>
      <c r="K141" s="27">
        <f t="shared" si="208"/>
        <v>42.566525259170703</v>
      </c>
      <c r="L141" s="27">
        <f t="shared" si="209"/>
        <v>68.136525827162401</v>
      </c>
      <c r="M141" s="27">
        <f t="shared" si="210"/>
        <v>15.2715301838104</v>
      </c>
      <c r="N141" s="27">
        <f t="shared" si="211"/>
        <v>76.375920685751495</v>
      </c>
      <c r="O141" s="27">
        <f t="shared" si="212"/>
        <v>20.348355673481802</v>
      </c>
      <c r="P141" s="27">
        <f t="shared" si="213"/>
        <v>37.320740979023697</v>
      </c>
      <c r="Q141" s="27">
        <f t="shared" si="214"/>
        <v>62.920187646285903</v>
      </c>
      <c r="R141" s="27">
        <f t="shared" si="215"/>
        <v>71.129504112703302</v>
      </c>
      <c r="S141" s="27">
        <f t="shared" si="216"/>
        <v>39.310311565708503</v>
      </c>
      <c r="T141" s="27">
        <f t="shared" si="217"/>
        <v>30.821991173218901</v>
      </c>
      <c r="U141" s="27">
        <f t="shared" si="218"/>
        <v>78.334836520018897</v>
      </c>
      <c r="V141" s="27">
        <f t="shared" si="219"/>
        <v>38.4776781541632</v>
      </c>
      <c r="W141" s="27">
        <f t="shared" si="220"/>
        <v>59.866648711085197</v>
      </c>
      <c r="X141" s="27">
        <f t="shared" si="221"/>
        <v>42.566525259170703</v>
      </c>
      <c r="Y141" s="27">
        <f t="shared" si="222"/>
        <v>47.321164179705498</v>
      </c>
      <c r="Z141" s="27">
        <f t="shared" si="223"/>
        <v>57.429951888954001</v>
      </c>
      <c r="AA141" s="27">
        <f t="shared" si="224"/>
        <v>20.275159446338201</v>
      </c>
      <c r="AB141" s="27">
        <f t="shared" si="225"/>
        <v>35.667308738078098</v>
      </c>
      <c r="AC141" s="27">
        <f t="shared" si="226"/>
        <v>42.566525259170703</v>
      </c>
      <c r="AD141" s="27">
        <f t="shared" si="227"/>
        <v>31.204106879401198</v>
      </c>
      <c r="AE141" s="27">
        <f t="shared" si="228"/>
        <v>237.667752520102</v>
      </c>
      <c r="AF141" s="27">
        <f t="shared" si="229"/>
        <v>71.914907156954996</v>
      </c>
      <c r="AG141" s="27">
        <f t="shared" si="230"/>
        <v>30.821991173218901</v>
      </c>
      <c r="AH141" s="27">
        <f t="shared" si="231"/>
        <v>57.072939562297101</v>
      </c>
      <c r="AI141" s="27">
        <f t="shared" si="232"/>
        <v>27.354661778424301</v>
      </c>
      <c r="AJ141" s="27">
        <f t="shared" si="233"/>
        <v>73.940931803873994</v>
      </c>
      <c r="AK141" s="27">
        <f t="shared" si="234"/>
        <v>25.3190614242903</v>
      </c>
      <c r="AL141" s="27">
        <f t="shared" si="235"/>
        <v>42.6653942006498</v>
      </c>
      <c r="AM141" s="27">
        <f t="shared" si="236"/>
        <v>31.938506174463399</v>
      </c>
      <c r="AN141" s="27">
        <f t="shared" si="237"/>
        <v>22.6961555955526</v>
      </c>
      <c r="AO141" s="27">
        <f t="shared" si="238"/>
        <v>42.566525259170703</v>
      </c>
      <c r="AP141" s="27">
        <f t="shared" si="239"/>
        <v>44.569396743717803</v>
      </c>
      <c r="AQ141" s="27">
        <f t="shared" si="240"/>
        <v>77.516104603355799</v>
      </c>
      <c r="AR141" s="27">
        <f t="shared" si="241"/>
        <v>56.275935662917902</v>
      </c>
      <c r="AS141" s="27">
        <f t="shared" si="242"/>
        <v>61.783617822788003</v>
      </c>
      <c r="AV141" s="82"/>
    </row>
    <row r="142" spans="1:48" s="27" customFormat="1" ht="14.45" customHeight="1">
      <c r="A142" s="29" t="s">
        <v>258</v>
      </c>
      <c r="B142" s="29" t="s">
        <v>283</v>
      </c>
      <c r="C142" s="29" t="s">
        <v>271</v>
      </c>
      <c r="E142" s="28" t="s">
        <v>30</v>
      </c>
      <c r="F142" s="42">
        <v>2035</v>
      </c>
      <c r="G142" s="29" t="s">
        <v>162</v>
      </c>
      <c r="H142" s="27">
        <f t="shared" si="206"/>
        <v>52.94271809441738</v>
      </c>
      <c r="I142" s="27">
        <f t="shared" si="250"/>
        <v>30.821991173218901</v>
      </c>
      <c r="J142" s="27">
        <f t="shared" si="207"/>
        <v>106.043198696044</v>
      </c>
      <c r="K142" s="27">
        <f t="shared" si="208"/>
        <v>42.566525259170703</v>
      </c>
      <c r="L142" s="27">
        <f t="shared" si="209"/>
        <v>68.136525827162401</v>
      </c>
      <c r="M142" s="27">
        <f t="shared" si="210"/>
        <v>15.2715301838104</v>
      </c>
      <c r="N142" s="27">
        <f t="shared" si="211"/>
        <v>76.375920685751495</v>
      </c>
      <c r="O142" s="27">
        <f t="shared" si="212"/>
        <v>20.348355673481802</v>
      </c>
      <c r="P142" s="27">
        <f t="shared" si="213"/>
        <v>37.320740979023697</v>
      </c>
      <c r="Q142" s="27">
        <f t="shared" si="214"/>
        <v>62.920187646285903</v>
      </c>
      <c r="R142" s="27">
        <f t="shared" si="215"/>
        <v>71.129504112703302</v>
      </c>
      <c r="S142" s="27">
        <f t="shared" si="216"/>
        <v>39.310311565708503</v>
      </c>
      <c r="T142" s="27">
        <f t="shared" si="217"/>
        <v>30.821991173218901</v>
      </c>
      <c r="U142" s="27">
        <f t="shared" si="218"/>
        <v>78.334836520018897</v>
      </c>
      <c r="V142" s="27">
        <f t="shared" si="219"/>
        <v>38.4776781541632</v>
      </c>
      <c r="W142" s="27">
        <f t="shared" si="220"/>
        <v>59.866648711085197</v>
      </c>
      <c r="X142" s="27">
        <f t="shared" si="221"/>
        <v>42.566525259170703</v>
      </c>
      <c r="Y142" s="27">
        <f t="shared" si="222"/>
        <v>47.321164179705498</v>
      </c>
      <c r="Z142" s="27">
        <f t="shared" si="223"/>
        <v>57.429951888954001</v>
      </c>
      <c r="AA142" s="27">
        <f t="shared" si="224"/>
        <v>20.275159446338201</v>
      </c>
      <c r="AB142" s="27">
        <f t="shared" si="225"/>
        <v>35.667308738078098</v>
      </c>
      <c r="AC142" s="27">
        <f t="shared" si="226"/>
        <v>42.566525259170703</v>
      </c>
      <c r="AD142" s="27">
        <f t="shared" si="227"/>
        <v>31.204106879401198</v>
      </c>
      <c r="AE142" s="27">
        <f t="shared" si="228"/>
        <v>237.667752520102</v>
      </c>
      <c r="AF142" s="27">
        <f t="shared" si="229"/>
        <v>71.914907156954996</v>
      </c>
      <c r="AG142" s="27">
        <f t="shared" si="230"/>
        <v>30.821991173218901</v>
      </c>
      <c r="AH142" s="27">
        <f t="shared" si="231"/>
        <v>57.072939562297101</v>
      </c>
      <c r="AI142" s="27">
        <f t="shared" si="232"/>
        <v>27.354661778424301</v>
      </c>
      <c r="AJ142" s="27">
        <f t="shared" si="233"/>
        <v>73.940931803873994</v>
      </c>
      <c r="AK142" s="27">
        <f t="shared" si="234"/>
        <v>25.3190614242903</v>
      </c>
      <c r="AL142" s="27">
        <f t="shared" si="235"/>
        <v>42.6653942006498</v>
      </c>
      <c r="AM142" s="27">
        <f t="shared" si="236"/>
        <v>31.938506174463399</v>
      </c>
      <c r="AN142" s="27">
        <f t="shared" si="237"/>
        <v>22.6961555955526</v>
      </c>
      <c r="AO142" s="27">
        <f t="shared" si="238"/>
        <v>42.566525259170703</v>
      </c>
      <c r="AP142" s="27">
        <f t="shared" si="239"/>
        <v>44.569396743717803</v>
      </c>
      <c r="AQ142" s="27">
        <f t="shared" si="240"/>
        <v>77.516104603355799</v>
      </c>
      <c r="AR142" s="27">
        <f t="shared" si="241"/>
        <v>56.275935662917902</v>
      </c>
      <c r="AS142" s="27">
        <f t="shared" si="242"/>
        <v>61.783617822788003</v>
      </c>
      <c r="AV142" s="82"/>
    </row>
    <row r="143" spans="1:48" s="27" customFormat="1" ht="14.45" customHeight="1">
      <c r="A143" s="29" t="s">
        <v>258</v>
      </c>
      <c r="B143" s="29" t="s">
        <v>283</v>
      </c>
      <c r="C143" s="29" t="s">
        <v>271</v>
      </c>
      <c r="E143" s="28" t="s">
        <v>30</v>
      </c>
      <c r="F143" s="40">
        <v>2040</v>
      </c>
      <c r="G143" s="29" t="s">
        <v>162</v>
      </c>
      <c r="H143" s="27">
        <f t="shared" si="206"/>
        <v>52.94271809441738</v>
      </c>
      <c r="I143" s="27">
        <f t="shared" si="250"/>
        <v>30.821991173218901</v>
      </c>
      <c r="J143" s="27">
        <f t="shared" si="207"/>
        <v>106.043198696044</v>
      </c>
      <c r="K143" s="27">
        <f t="shared" si="208"/>
        <v>42.566525259170703</v>
      </c>
      <c r="L143" s="27">
        <f t="shared" si="209"/>
        <v>68.136525827162401</v>
      </c>
      <c r="M143" s="27">
        <f t="shared" si="210"/>
        <v>15.2715301838104</v>
      </c>
      <c r="N143" s="27">
        <f t="shared" si="211"/>
        <v>76.375920685751495</v>
      </c>
      <c r="O143" s="27">
        <f t="shared" si="212"/>
        <v>20.348355673481802</v>
      </c>
      <c r="P143" s="27">
        <f t="shared" si="213"/>
        <v>37.320740979023697</v>
      </c>
      <c r="Q143" s="27">
        <f t="shared" si="214"/>
        <v>62.920187646285903</v>
      </c>
      <c r="R143" s="27">
        <f t="shared" si="215"/>
        <v>71.129504112703302</v>
      </c>
      <c r="S143" s="27">
        <f t="shared" si="216"/>
        <v>39.310311565708503</v>
      </c>
      <c r="T143" s="27">
        <f t="shared" si="217"/>
        <v>30.821991173218901</v>
      </c>
      <c r="U143" s="27">
        <f t="shared" si="218"/>
        <v>78.334836520018897</v>
      </c>
      <c r="V143" s="27">
        <f t="shared" si="219"/>
        <v>38.4776781541632</v>
      </c>
      <c r="W143" s="27">
        <f t="shared" si="220"/>
        <v>59.866648711085197</v>
      </c>
      <c r="X143" s="27">
        <f t="shared" si="221"/>
        <v>42.566525259170703</v>
      </c>
      <c r="Y143" s="27">
        <f t="shared" si="222"/>
        <v>47.321164179705498</v>
      </c>
      <c r="Z143" s="27">
        <f t="shared" si="223"/>
        <v>57.429951888954001</v>
      </c>
      <c r="AA143" s="27">
        <f t="shared" si="224"/>
        <v>20.275159446338201</v>
      </c>
      <c r="AB143" s="27">
        <f t="shared" si="225"/>
        <v>35.667308738078098</v>
      </c>
      <c r="AC143" s="27">
        <f t="shared" si="226"/>
        <v>42.566525259170703</v>
      </c>
      <c r="AD143" s="27">
        <f t="shared" si="227"/>
        <v>31.204106879401198</v>
      </c>
      <c r="AE143" s="27">
        <f t="shared" si="228"/>
        <v>237.667752520102</v>
      </c>
      <c r="AF143" s="27">
        <f t="shared" si="229"/>
        <v>71.914907156954996</v>
      </c>
      <c r="AG143" s="27">
        <f t="shared" si="230"/>
        <v>30.821991173218901</v>
      </c>
      <c r="AH143" s="27">
        <f t="shared" si="231"/>
        <v>57.072939562297101</v>
      </c>
      <c r="AI143" s="27">
        <f t="shared" si="232"/>
        <v>27.354661778424301</v>
      </c>
      <c r="AJ143" s="27">
        <f t="shared" si="233"/>
        <v>73.940931803873994</v>
      </c>
      <c r="AK143" s="27">
        <f t="shared" si="234"/>
        <v>25.3190614242903</v>
      </c>
      <c r="AL143" s="27">
        <f t="shared" si="235"/>
        <v>42.6653942006498</v>
      </c>
      <c r="AM143" s="27">
        <f t="shared" si="236"/>
        <v>31.938506174463399</v>
      </c>
      <c r="AN143" s="27">
        <f t="shared" si="237"/>
        <v>22.6961555955526</v>
      </c>
      <c r="AO143" s="27">
        <f t="shared" si="238"/>
        <v>42.566525259170703</v>
      </c>
      <c r="AP143" s="27">
        <f t="shared" si="239"/>
        <v>44.569396743717803</v>
      </c>
      <c r="AQ143" s="27">
        <f t="shared" si="240"/>
        <v>77.516104603355799</v>
      </c>
      <c r="AR143" s="27">
        <f t="shared" si="241"/>
        <v>56.275935662917902</v>
      </c>
      <c r="AS143" s="27">
        <f t="shared" si="242"/>
        <v>61.783617822788003</v>
      </c>
      <c r="AV143" s="82"/>
    </row>
    <row r="144" spans="1:48" s="53" customFormat="1" ht="14.45" customHeight="1">
      <c r="A144" s="52" t="s">
        <v>258</v>
      </c>
      <c r="B144" s="52" t="s">
        <v>283</v>
      </c>
      <c r="C144" s="52" t="s">
        <v>271</v>
      </c>
      <c r="E144" s="54" t="s">
        <v>30</v>
      </c>
      <c r="F144" s="55">
        <v>2050</v>
      </c>
      <c r="G144" s="52" t="s">
        <v>162</v>
      </c>
      <c r="H144" s="53">
        <f t="shared" si="206"/>
        <v>52.94271809441738</v>
      </c>
      <c r="I144" s="53">
        <f t="shared" si="250"/>
        <v>30.821991173218901</v>
      </c>
      <c r="J144" s="53">
        <f t="shared" si="207"/>
        <v>106.043198696044</v>
      </c>
      <c r="K144" s="53">
        <f t="shared" si="208"/>
        <v>42.566525259170703</v>
      </c>
      <c r="L144" s="53">
        <f t="shared" si="209"/>
        <v>68.136525827162401</v>
      </c>
      <c r="M144" s="53">
        <f t="shared" si="210"/>
        <v>15.2715301838104</v>
      </c>
      <c r="N144" s="53">
        <f t="shared" si="211"/>
        <v>76.375920685751495</v>
      </c>
      <c r="O144" s="53">
        <f t="shared" si="212"/>
        <v>20.348355673481802</v>
      </c>
      <c r="P144" s="53">
        <f t="shared" si="213"/>
        <v>37.320740979023697</v>
      </c>
      <c r="Q144" s="53">
        <f t="shared" si="214"/>
        <v>62.920187646285903</v>
      </c>
      <c r="R144" s="53">
        <f t="shared" si="215"/>
        <v>71.129504112703302</v>
      </c>
      <c r="S144" s="53">
        <f t="shared" si="216"/>
        <v>39.310311565708503</v>
      </c>
      <c r="T144" s="53">
        <f t="shared" si="217"/>
        <v>30.821991173218901</v>
      </c>
      <c r="U144" s="53">
        <f t="shared" si="218"/>
        <v>78.334836520018897</v>
      </c>
      <c r="V144" s="53">
        <f t="shared" si="219"/>
        <v>38.4776781541632</v>
      </c>
      <c r="W144" s="53">
        <f t="shared" si="220"/>
        <v>59.866648711085197</v>
      </c>
      <c r="X144" s="53">
        <f t="shared" si="221"/>
        <v>42.566525259170703</v>
      </c>
      <c r="Y144" s="53">
        <f t="shared" si="222"/>
        <v>47.321164179705498</v>
      </c>
      <c r="Z144" s="53">
        <f t="shared" si="223"/>
        <v>57.429951888954001</v>
      </c>
      <c r="AA144" s="53">
        <f t="shared" si="224"/>
        <v>20.275159446338201</v>
      </c>
      <c r="AB144" s="53">
        <f t="shared" si="225"/>
        <v>35.667308738078098</v>
      </c>
      <c r="AC144" s="53">
        <f t="shared" si="226"/>
        <v>42.566525259170703</v>
      </c>
      <c r="AD144" s="53">
        <f t="shared" si="227"/>
        <v>31.204106879401198</v>
      </c>
      <c r="AE144" s="53">
        <f t="shared" si="228"/>
        <v>237.667752520102</v>
      </c>
      <c r="AF144" s="53">
        <f t="shared" si="229"/>
        <v>71.914907156954996</v>
      </c>
      <c r="AG144" s="53">
        <f t="shared" si="230"/>
        <v>30.821991173218901</v>
      </c>
      <c r="AH144" s="53">
        <f t="shared" si="231"/>
        <v>57.072939562297101</v>
      </c>
      <c r="AI144" s="53">
        <f t="shared" si="232"/>
        <v>27.354661778424301</v>
      </c>
      <c r="AJ144" s="53">
        <f t="shared" si="233"/>
        <v>73.940931803873994</v>
      </c>
      <c r="AK144" s="53">
        <f t="shared" si="234"/>
        <v>25.3190614242903</v>
      </c>
      <c r="AL144" s="53">
        <f t="shared" si="235"/>
        <v>42.6653942006498</v>
      </c>
      <c r="AM144" s="53">
        <f t="shared" si="236"/>
        <v>31.938506174463399</v>
      </c>
      <c r="AN144" s="53">
        <f t="shared" si="237"/>
        <v>22.6961555955526</v>
      </c>
      <c r="AO144" s="53">
        <f t="shared" si="238"/>
        <v>42.566525259170703</v>
      </c>
      <c r="AP144" s="53">
        <f t="shared" si="239"/>
        <v>44.569396743717803</v>
      </c>
      <c r="AQ144" s="53">
        <f t="shared" si="240"/>
        <v>77.516104603355799</v>
      </c>
      <c r="AR144" s="53">
        <f t="shared" si="241"/>
        <v>56.275935662917902</v>
      </c>
      <c r="AS144" s="53">
        <f t="shared" si="242"/>
        <v>61.783617822788003</v>
      </c>
      <c r="AV144" s="83"/>
    </row>
    <row r="145" spans="1:45" s="27" customFormat="1" ht="14.45" customHeight="1">
      <c r="A145" s="29" t="s">
        <v>258</v>
      </c>
      <c r="B145" s="29" t="s">
        <v>283</v>
      </c>
      <c r="C145" s="29" t="s">
        <v>272</v>
      </c>
      <c r="E145" s="28" t="s">
        <v>30</v>
      </c>
      <c r="F145" s="40">
        <v>2010</v>
      </c>
      <c r="G145" s="29" t="s">
        <v>280</v>
      </c>
      <c r="H145" s="27">
        <f t="shared" si="206"/>
        <v>52.94271809441738</v>
      </c>
      <c r="I145" s="27">
        <v>30.821991173218901</v>
      </c>
      <c r="J145" s="27">
        <v>106.043198696044</v>
      </c>
      <c r="K145" s="27">
        <v>42.566525259170703</v>
      </c>
      <c r="L145" s="27">
        <v>68.136525827162401</v>
      </c>
      <c r="M145" s="27">
        <v>15.2715301838104</v>
      </c>
      <c r="N145" s="27">
        <v>76.375920685751495</v>
      </c>
      <c r="O145" s="27">
        <v>20.348355673481802</v>
      </c>
      <c r="P145" s="27">
        <v>37.320740979023697</v>
      </c>
      <c r="Q145" s="27">
        <v>62.920187646285903</v>
      </c>
      <c r="R145" s="27">
        <v>71.129504112703302</v>
      </c>
      <c r="S145" s="27">
        <v>39.310311565708503</v>
      </c>
      <c r="T145" s="27">
        <v>30.821991173218901</v>
      </c>
      <c r="U145" s="27">
        <v>78.334836520018897</v>
      </c>
      <c r="V145" s="27">
        <v>38.4776781541632</v>
      </c>
      <c r="W145" s="27">
        <v>59.866648711085197</v>
      </c>
      <c r="X145" s="27">
        <v>42.566525259170703</v>
      </c>
      <c r="Y145" s="27">
        <v>47.321164179705498</v>
      </c>
      <c r="Z145" s="27">
        <v>57.429951888954001</v>
      </c>
      <c r="AA145" s="27">
        <v>20.275159446338201</v>
      </c>
      <c r="AB145" s="27">
        <v>35.667308738078098</v>
      </c>
      <c r="AC145" s="27">
        <v>42.566525259170703</v>
      </c>
      <c r="AD145" s="27">
        <v>31.204106879401198</v>
      </c>
      <c r="AE145" s="27">
        <v>237.667752520102</v>
      </c>
      <c r="AF145" s="27">
        <v>71.914907156954996</v>
      </c>
      <c r="AG145" s="27">
        <v>30.821991173218901</v>
      </c>
      <c r="AH145" s="27">
        <v>57.072939562297101</v>
      </c>
      <c r="AI145" s="27">
        <v>27.354661778424301</v>
      </c>
      <c r="AJ145" s="27">
        <v>73.940931803873994</v>
      </c>
      <c r="AK145" s="27">
        <v>25.3190614242903</v>
      </c>
      <c r="AL145" s="27">
        <v>42.6653942006498</v>
      </c>
      <c r="AM145" s="27">
        <v>31.938506174463399</v>
      </c>
      <c r="AN145" s="27">
        <v>22.6961555955526</v>
      </c>
      <c r="AO145" s="27">
        <v>42.566525259170703</v>
      </c>
      <c r="AP145" s="27">
        <v>44.569396743717803</v>
      </c>
      <c r="AQ145" s="27">
        <v>77.516104603355799</v>
      </c>
      <c r="AR145" s="27">
        <v>56.275935662917902</v>
      </c>
      <c r="AS145" s="27">
        <v>61.783617822788003</v>
      </c>
    </row>
    <row r="146" spans="1:45" s="27" customFormat="1" ht="14.45" customHeight="1">
      <c r="A146" s="29" t="s">
        <v>258</v>
      </c>
      <c r="B146" s="29" t="s">
        <v>283</v>
      </c>
      <c r="C146" s="27" t="s">
        <v>272</v>
      </c>
      <c r="E146" s="28" t="s">
        <v>30</v>
      </c>
      <c r="F146" s="42">
        <v>2020</v>
      </c>
      <c r="G146" s="29" t="s">
        <v>280</v>
      </c>
      <c r="H146" s="27">
        <f t="shared" si="206"/>
        <v>52.94271809441738</v>
      </c>
      <c r="I146" s="27">
        <f>I145</f>
        <v>30.821991173218901</v>
      </c>
      <c r="J146" s="27">
        <f t="shared" si="207"/>
        <v>106.043198696044</v>
      </c>
      <c r="K146" s="27">
        <f t="shared" si="208"/>
        <v>42.566525259170703</v>
      </c>
      <c r="L146" s="27">
        <f t="shared" si="209"/>
        <v>68.136525827162401</v>
      </c>
      <c r="M146" s="27">
        <f t="shared" si="210"/>
        <v>15.2715301838104</v>
      </c>
      <c r="N146" s="27">
        <f t="shared" si="211"/>
        <v>76.375920685751495</v>
      </c>
      <c r="O146" s="27">
        <f t="shared" si="212"/>
        <v>20.348355673481802</v>
      </c>
      <c r="P146" s="27">
        <f t="shared" si="213"/>
        <v>37.320740979023697</v>
      </c>
      <c r="Q146" s="27">
        <f t="shared" si="214"/>
        <v>62.920187646285903</v>
      </c>
      <c r="R146" s="27">
        <f t="shared" si="215"/>
        <v>71.129504112703302</v>
      </c>
      <c r="S146" s="27">
        <f t="shared" si="216"/>
        <v>39.310311565708503</v>
      </c>
      <c r="T146" s="27">
        <f t="shared" si="217"/>
        <v>30.821991173218901</v>
      </c>
      <c r="U146" s="27">
        <f t="shared" si="218"/>
        <v>78.334836520018897</v>
      </c>
      <c r="V146" s="27">
        <f t="shared" si="219"/>
        <v>38.4776781541632</v>
      </c>
      <c r="W146" s="27">
        <f t="shared" si="220"/>
        <v>59.866648711085197</v>
      </c>
      <c r="X146" s="27">
        <f t="shared" si="221"/>
        <v>42.566525259170703</v>
      </c>
      <c r="Y146" s="27">
        <f t="shared" si="222"/>
        <v>47.321164179705498</v>
      </c>
      <c r="Z146" s="27">
        <f t="shared" si="223"/>
        <v>57.429951888954001</v>
      </c>
      <c r="AA146" s="27">
        <f t="shared" si="224"/>
        <v>20.275159446338201</v>
      </c>
      <c r="AB146" s="27">
        <f t="shared" si="225"/>
        <v>35.667308738078098</v>
      </c>
      <c r="AC146" s="27">
        <f t="shared" si="226"/>
        <v>42.566525259170703</v>
      </c>
      <c r="AD146" s="27">
        <f t="shared" si="227"/>
        <v>31.204106879401198</v>
      </c>
      <c r="AE146" s="27">
        <f t="shared" si="228"/>
        <v>237.667752520102</v>
      </c>
      <c r="AF146" s="27">
        <f t="shared" si="229"/>
        <v>71.914907156954996</v>
      </c>
      <c r="AG146" s="27">
        <f t="shared" si="230"/>
        <v>30.821991173218901</v>
      </c>
      <c r="AH146" s="27">
        <f t="shared" si="231"/>
        <v>57.072939562297101</v>
      </c>
      <c r="AI146" s="27">
        <f t="shared" si="232"/>
        <v>27.354661778424301</v>
      </c>
      <c r="AJ146" s="27">
        <f t="shared" si="233"/>
        <v>73.940931803873994</v>
      </c>
      <c r="AK146" s="27">
        <f t="shared" si="234"/>
        <v>25.3190614242903</v>
      </c>
      <c r="AL146" s="27">
        <f t="shared" si="235"/>
        <v>42.6653942006498</v>
      </c>
      <c r="AM146" s="27">
        <f t="shared" si="236"/>
        <v>31.938506174463399</v>
      </c>
      <c r="AN146" s="27">
        <f t="shared" si="237"/>
        <v>22.6961555955526</v>
      </c>
      <c r="AO146" s="27">
        <f t="shared" si="238"/>
        <v>42.566525259170703</v>
      </c>
      <c r="AP146" s="27">
        <f t="shared" si="239"/>
        <v>44.569396743717803</v>
      </c>
      <c r="AQ146" s="27">
        <f t="shared" si="240"/>
        <v>77.516104603355799</v>
      </c>
      <c r="AR146" s="27">
        <f t="shared" si="241"/>
        <v>56.275935662917902</v>
      </c>
      <c r="AS146" s="27">
        <f t="shared" si="242"/>
        <v>61.783617822788003</v>
      </c>
    </row>
    <row r="147" spans="1:45" s="27" customFormat="1" ht="14.45" customHeight="1">
      <c r="A147" s="29" t="s">
        <v>258</v>
      </c>
      <c r="B147" s="29" t="s">
        <v>283</v>
      </c>
      <c r="C147" s="27" t="s">
        <v>272</v>
      </c>
      <c r="E147" s="28" t="s">
        <v>30</v>
      </c>
      <c r="F147" s="42">
        <v>2025</v>
      </c>
      <c r="G147" s="29" t="s">
        <v>280</v>
      </c>
      <c r="H147" s="27">
        <f t="shared" si="206"/>
        <v>52.94271809441738</v>
      </c>
      <c r="I147" s="27">
        <f t="shared" si="251" ref="I147:I151">I146</f>
        <v>30.821991173218901</v>
      </c>
      <c r="J147" s="27">
        <f t="shared" si="207"/>
        <v>106.043198696044</v>
      </c>
      <c r="K147" s="27">
        <f t="shared" si="208"/>
        <v>42.566525259170703</v>
      </c>
      <c r="L147" s="27">
        <f t="shared" si="209"/>
        <v>68.136525827162401</v>
      </c>
      <c r="M147" s="27">
        <f t="shared" si="210"/>
        <v>15.2715301838104</v>
      </c>
      <c r="N147" s="27">
        <f t="shared" si="211"/>
        <v>76.375920685751495</v>
      </c>
      <c r="O147" s="27">
        <f t="shared" si="212"/>
        <v>20.348355673481802</v>
      </c>
      <c r="P147" s="27">
        <f t="shared" si="213"/>
        <v>37.320740979023697</v>
      </c>
      <c r="Q147" s="27">
        <f t="shared" si="214"/>
        <v>62.920187646285903</v>
      </c>
      <c r="R147" s="27">
        <f t="shared" si="215"/>
        <v>71.129504112703302</v>
      </c>
      <c r="S147" s="27">
        <f t="shared" si="216"/>
        <v>39.310311565708503</v>
      </c>
      <c r="T147" s="27">
        <f t="shared" si="217"/>
        <v>30.821991173218901</v>
      </c>
      <c r="U147" s="27">
        <f t="shared" si="218"/>
        <v>78.334836520018897</v>
      </c>
      <c r="V147" s="27">
        <f t="shared" si="219"/>
        <v>38.4776781541632</v>
      </c>
      <c r="W147" s="27">
        <f t="shared" si="220"/>
        <v>59.866648711085197</v>
      </c>
      <c r="X147" s="27">
        <f t="shared" si="221"/>
        <v>42.566525259170703</v>
      </c>
      <c r="Y147" s="27">
        <f t="shared" si="222"/>
        <v>47.321164179705498</v>
      </c>
      <c r="Z147" s="27">
        <f t="shared" si="223"/>
        <v>57.429951888954001</v>
      </c>
      <c r="AA147" s="27">
        <f t="shared" si="224"/>
        <v>20.275159446338201</v>
      </c>
      <c r="AB147" s="27">
        <f t="shared" si="225"/>
        <v>35.667308738078098</v>
      </c>
      <c r="AC147" s="27">
        <f t="shared" si="226"/>
        <v>42.566525259170703</v>
      </c>
      <c r="AD147" s="27">
        <f t="shared" si="227"/>
        <v>31.204106879401198</v>
      </c>
      <c r="AE147" s="27">
        <f t="shared" si="228"/>
        <v>237.667752520102</v>
      </c>
      <c r="AF147" s="27">
        <f t="shared" si="229"/>
        <v>71.914907156954996</v>
      </c>
      <c r="AG147" s="27">
        <f t="shared" si="230"/>
        <v>30.821991173218901</v>
      </c>
      <c r="AH147" s="27">
        <f t="shared" si="231"/>
        <v>57.072939562297101</v>
      </c>
      <c r="AI147" s="27">
        <f t="shared" si="232"/>
        <v>27.354661778424301</v>
      </c>
      <c r="AJ147" s="27">
        <f t="shared" si="233"/>
        <v>73.940931803873994</v>
      </c>
      <c r="AK147" s="27">
        <f t="shared" si="234"/>
        <v>25.3190614242903</v>
      </c>
      <c r="AL147" s="27">
        <f t="shared" si="235"/>
        <v>42.6653942006498</v>
      </c>
      <c r="AM147" s="27">
        <f t="shared" si="236"/>
        <v>31.938506174463399</v>
      </c>
      <c r="AN147" s="27">
        <f t="shared" si="237"/>
        <v>22.6961555955526</v>
      </c>
      <c r="AO147" s="27">
        <f t="shared" si="238"/>
        <v>42.566525259170703</v>
      </c>
      <c r="AP147" s="27">
        <f t="shared" si="239"/>
        <v>44.569396743717803</v>
      </c>
      <c r="AQ147" s="27">
        <f t="shared" si="240"/>
        <v>77.516104603355799</v>
      </c>
      <c r="AR147" s="27">
        <f t="shared" si="241"/>
        <v>56.275935662917902</v>
      </c>
      <c r="AS147" s="27">
        <f t="shared" si="242"/>
        <v>61.783617822788003</v>
      </c>
    </row>
    <row r="148" spans="1:45" s="27" customFormat="1" ht="14.45" customHeight="1">
      <c r="A148" s="29" t="s">
        <v>258</v>
      </c>
      <c r="B148" s="29" t="s">
        <v>283</v>
      </c>
      <c r="C148" s="27" t="s">
        <v>272</v>
      </c>
      <c r="E148" s="28" t="s">
        <v>30</v>
      </c>
      <c r="F148" s="42">
        <v>2030</v>
      </c>
      <c r="G148" s="29" t="s">
        <v>280</v>
      </c>
      <c r="H148" s="27">
        <f t="shared" si="206"/>
        <v>52.94271809441738</v>
      </c>
      <c r="I148" s="27">
        <f t="shared" si="251"/>
        <v>30.821991173218901</v>
      </c>
      <c r="J148" s="27">
        <f t="shared" si="207"/>
        <v>106.043198696044</v>
      </c>
      <c r="K148" s="27">
        <f t="shared" si="208"/>
        <v>42.566525259170703</v>
      </c>
      <c r="L148" s="27">
        <f t="shared" si="209"/>
        <v>68.136525827162401</v>
      </c>
      <c r="M148" s="27">
        <f t="shared" si="210"/>
        <v>15.2715301838104</v>
      </c>
      <c r="N148" s="27">
        <f t="shared" si="211"/>
        <v>76.375920685751495</v>
      </c>
      <c r="O148" s="27">
        <f t="shared" si="212"/>
        <v>20.348355673481802</v>
      </c>
      <c r="P148" s="27">
        <f t="shared" si="213"/>
        <v>37.320740979023697</v>
      </c>
      <c r="Q148" s="27">
        <f t="shared" si="214"/>
        <v>62.920187646285903</v>
      </c>
      <c r="R148" s="27">
        <f t="shared" si="215"/>
        <v>71.129504112703302</v>
      </c>
      <c r="S148" s="27">
        <f t="shared" si="216"/>
        <v>39.310311565708503</v>
      </c>
      <c r="T148" s="27">
        <f t="shared" si="217"/>
        <v>30.821991173218901</v>
      </c>
      <c r="U148" s="27">
        <f t="shared" si="218"/>
        <v>78.334836520018897</v>
      </c>
      <c r="V148" s="27">
        <f t="shared" si="219"/>
        <v>38.4776781541632</v>
      </c>
      <c r="W148" s="27">
        <f t="shared" si="220"/>
        <v>59.866648711085197</v>
      </c>
      <c r="X148" s="27">
        <f t="shared" si="221"/>
        <v>42.566525259170703</v>
      </c>
      <c r="Y148" s="27">
        <f t="shared" si="222"/>
        <v>47.321164179705498</v>
      </c>
      <c r="Z148" s="27">
        <f t="shared" si="223"/>
        <v>57.429951888954001</v>
      </c>
      <c r="AA148" s="27">
        <f t="shared" si="224"/>
        <v>20.275159446338201</v>
      </c>
      <c r="AB148" s="27">
        <f t="shared" si="225"/>
        <v>35.667308738078098</v>
      </c>
      <c r="AC148" s="27">
        <f t="shared" si="226"/>
        <v>42.566525259170703</v>
      </c>
      <c r="AD148" s="27">
        <f t="shared" si="227"/>
        <v>31.204106879401198</v>
      </c>
      <c r="AE148" s="27">
        <f t="shared" si="228"/>
        <v>237.667752520102</v>
      </c>
      <c r="AF148" s="27">
        <f t="shared" si="229"/>
        <v>71.914907156954996</v>
      </c>
      <c r="AG148" s="27">
        <f t="shared" si="230"/>
        <v>30.821991173218901</v>
      </c>
      <c r="AH148" s="27">
        <f t="shared" si="231"/>
        <v>57.072939562297101</v>
      </c>
      <c r="AI148" s="27">
        <f t="shared" si="232"/>
        <v>27.354661778424301</v>
      </c>
      <c r="AJ148" s="27">
        <f t="shared" si="233"/>
        <v>73.940931803873994</v>
      </c>
      <c r="AK148" s="27">
        <f t="shared" si="234"/>
        <v>25.3190614242903</v>
      </c>
      <c r="AL148" s="27">
        <f t="shared" si="235"/>
        <v>42.6653942006498</v>
      </c>
      <c r="AM148" s="27">
        <f t="shared" si="236"/>
        <v>31.938506174463399</v>
      </c>
      <c r="AN148" s="27">
        <f t="shared" si="237"/>
        <v>22.6961555955526</v>
      </c>
      <c r="AO148" s="27">
        <f t="shared" si="238"/>
        <v>42.566525259170703</v>
      </c>
      <c r="AP148" s="27">
        <f t="shared" si="239"/>
        <v>44.569396743717803</v>
      </c>
      <c r="AQ148" s="27">
        <f t="shared" si="240"/>
        <v>77.516104603355799</v>
      </c>
      <c r="AR148" s="27">
        <f t="shared" si="241"/>
        <v>56.275935662917902</v>
      </c>
      <c r="AS148" s="27">
        <f t="shared" si="242"/>
        <v>61.783617822788003</v>
      </c>
    </row>
    <row r="149" spans="1:45" s="27" customFormat="1" ht="14.45" customHeight="1">
      <c r="A149" s="29" t="s">
        <v>258</v>
      </c>
      <c r="B149" s="29" t="s">
        <v>283</v>
      </c>
      <c r="C149" s="41" t="s">
        <v>272</v>
      </c>
      <c r="E149" s="28" t="s">
        <v>30</v>
      </c>
      <c r="F149" s="42">
        <v>2035</v>
      </c>
      <c r="G149" s="29" t="s">
        <v>280</v>
      </c>
      <c r="H149" s="27">
        <f t="shared" si="206"/>
        <v>52.94271809441738</v>
      </c>
      <c r="I149" s="27">
        <f t="shared" si="251"/>
        <v>30.821991173218901</v>
      </c>
      <c r="J149" s="27">
        <f t="shared" si="207"/>
        <v>106.043198696044</v>
      </c>
      <c r="K149" s="27">
        <f t="shared" si="208"/>
        <v>42.566525259170703</v>
      </c>
      <c r="L149" s="27">
        <f t="shared" si="209"/>
        <v>68.136525827162401</v>
      </c>
      <c r="M149" s="27">
        <f t="shared" si="210"/>
        <v>15.2715301838104</v>
      </c>
      <c r="N149" s="27">
        <f t="shared" si="211"/>
        <v>76.375920685751495</v>
      </c>
      <c r="O149" s="27">
        <f t="shared" si="212"/>
        <v>20.348355673481802</v>
      </c>
      <c r="P149" s="27">
        <f t="shared" si="213"/>
        <v>37.320740979023697</v>
      </c>
      <c r="Q149" s="27">
        <f t="shared" si="214"/>
        <v>62.920187646285903</v>
      </c>
      <c r="R149" s="27">
        <f t="shared" si="215"/>
        <v>71.129504112703302</v>
      </c>
      <c r="S149" s="27">
        <f t="shared" si="216"/>
        <v>39.310311565708503</v>
      </c>
      <c r="T149" s="27">
        <f t="shared" si="217"/>
        <v>30.821991173218901</v>
      </c>
      <c r="U149" s="27">
        <f t="shared" si="218"/>
        <v>78.334836520018897</v>
      </c>
      <c r="V149" s="27">
        <f t="shared" si="219"/>
        <v>38.4776781541632</v>
      </c>
      <c r="W149" s="27">
        <f t="shared" si="220"/>
        <v>59.866648711085197</v>
      </c>
      <c r="X149" s="27">
        <f t="shared" si="221"/>
        <v>42.566525259170703</v>
      </c>
      <c r="Y149" s="27">
        <f t="shared" si="222"/>
        <v>47.321164179705498</v>
      </c>
      <c r="Z149" s="27">
        <f t="shared" si="223"/>
        <v>57.429951888954001</v>
      </c>
      <c r="AA149" s="27">
        <f t="shared" si="224"/>
        <v>20.275159446338201</v>
      </c>
      <c r="AB149" s="27">
        <f t="shared" si="225"/>
        <v>35.667308738078098</v>
      </c>
      <c r="AC149" s="27">
        <f t="shared" si="226"/>
        <v>42.566525259170703</v>
      </c>
      <c r="AD149" s="27">
        <f t="shared" si="227"/>
        <v>31.204106879401198</v>
      </c>
      <c r="AE149" s="27">
        <f t="shared" si="228"/>
        <v>237.667752520102</v>
      </c>
      <c r="AF149" s="27">
        <f t="shared" si="229"/>
        <v>71.914907156954996</v>
      </c>
      <c r="AG149" s="27">
        <f t="shared" si="230"/>
        <v>30.821991173218901</v>
      </c>
      <c r="AH149" s="27">
        <f t="shared" si="231"/>
        <v>57.072939562297101</v>
      </c>
      <c r="AI149" s="27">
        <f t="shared" si="232"/>
        <v>27.354661778424301</v>
      </c>
      <c r="AJ149" s="27">
        <f t="shared" si="233"/>
        <v>73.940931803873994</v>
      </c>
      <c r="AK149" s="27">
        <f t="shared" si="234"/>
        <v>25.3190614242903</v>
      </c>
      <c r="AL149" s="27">
        <f t="shared" si="235"/>
        <v>42.6653942006498</v>
      </c>
      <c r="AM149" s="27">
        <f t="shared" si="236"/>
        <v>31.938506174463399</v>
      </c>
      <c r="AN149" s="27">
        <f t="shared" si="237"/>
        <v>22.6961555955526</v>
      </c>
      <c r="AO149" s="27">
        <f t="shared" si="238"/>
        <v>42.566525259170703</v>
      </c>
      <c r="AP149" s="27">
        <f t="shared" si="239"/>
        <v>44.569396743717803</v>
      </c>
      <c r="AQ149" s="27">
        <f t="shared" si="240"/>
        <v>77.516104603355799</v>
      </c>
      <c r="AR149" s="27">
        <f t="shared" si="241"/>
        <v>56.275935662917902</v>
      </c>
      <c r="AS149" s="27">
        <f t="shared" si="242"/>
        <v>61.783617822788003</v>
      </c>
    </row>
    <row r="150" spans="1:45" s="27" customFormat="1" ht="14.45" customHeight="1">
      <c r="A150" s="29" t="s">
        <v>258</v>
      </c>
      <c r="B150" s="29" t="s">
        <v>283</v>
      </c>
      <c r="C150" s="41" t="s">
        <v>272</v>
      </c>
      <c r="E150" s="28" t="s">
        <v>30</v>
      </c>
      <c r="F150" s="40">
        <v>2040</v>
      </c>
      <c r="G150" s="29" t="s">
        <v>280</v>
      </c>
      <c r="H150" s="27">
        <f t="shared" si="206"/>
        <v>52.94271809441738</v>
      </c>
      <c r="I150" s="27">
        <f t="shared" si="251"/>
        <v>30.821991173218901</v>
      </c>
      <c r="J150" s="27">
        <f t="shared" si="207"/>
        <v>106.043198696044</v>
      </c>
      <c r="K150" s="27">
        <f t="shared" si="208"/>
        <v>42.566525259170703</v>
      </c>
      <c r="L150" s="27">
        <f t="shared" si="209"/>
        <v>68.136525827162401</v>
      </c>
      <c r="M150" s="27">
        <f t="shared" si="210"/>
        <v>15.2715301838104</v>
      </c>
      <c r="N150" s="27">
        <f t="shared" si="211"/>
        <v>76.375920685751495</v>
      </c>
      <c r="O150" s="27">
        <f t="shared" si="212"/>
        <v>20.348355673481802</v>
      </c>
      <c r="P150" s="27">
        <f t="shared" si="213"/>
        <v>37.320740979023697</v>
      </c>
      <c r="Q150" s="27">
        <f t="shared" si="214"/>
        <v>62.920187646285903</v>
      </c>
      <c r="R150" s="27">
        <f t="shared" si="215"/>
        <v>71.129504112703302</v>
      </c>
      <c r="S150" s="27">
        <f t="shared" si="216"/>
        <v>39.310311565708503</v>
      </c>
      <c r="T150" s="27">
        <f t="shared" si="217"/>
        <v>30.821991173218901</v>
      </c>
      <c r="U150" s="27">
        <f t="shared" si="218"/>
        <v>78.334836520018897</v>
      </c>
      <c r="V150" s="27">
        <f t="shared" si="219"/>
        <v>38.4776781541632</v>
      </c>
      <c r="W150" s="27">
        <f t="shared" si="220"/>
        <v>59.866648711085197</v>
      </c>
      <c r="X150" s="27">
        <f t="shared" si="221"/>
        <v>42.566525259170703</v>
      </c>
      <c r="Y150" s="27">
        <f t="shared" si="222"/>
        <v>47.321164179705498</v>
      </c>
      <c r="Z150" s="27">
        <f t="shared" si="223"/>
        <v>57.429951888954001</v>
      </c>
      <c r="AA150" s="27">
        <f t="shared" si="224"/>
        <v>20.275159446338201</v>
      </c>
      <c r="AB150" s="27">
        <f t="shared" si="225"/>
        <v>35.667308738078098</v>
      </c>
      <c r="AC150" s="27">
        <f t="shared" si="226"/>
        <v>42.566525259170703</v>
      </c>
      <c r="AD150" s="27">
        <f t="shared" si="227"/>
        <v>31.204106879401198</v>
      </c>
      <c r="AE150" s="27">
        <f t="shared" si="228"/>
        <v>237.667752520102</v>
      </c>
      <c r="AF150" s="27">
        <f t="shared" si="229"/>
        <v>71.914907156954996</v>
      </c>
      <c r="AG150" s="27">
        <f t="shared" si="230"/>
        <v>30.821991173218901</v>
      </c>
      <c r="AH150" s="27">
        <f t="shared" si="231"/>
        <v>57.072939562297101</v>
      </c>
      <c r="AI150" s="27">
        <f t="shared" si="232"/>
        <v>27.354661778424301</v>
      </c>
      <c r="AJ150" s="27">
        <f t="shared" si="233"/>
        <v>73.940931803873994</v>
      </c>
      <c r="AK150" s="27">
        <f t="shared" si="234"/>
        <v>25.3190614242903</v>
      </c>
      <c r="AL150" s="27">
        <f t="shared" si="235"/>
        <v>42.6653942006498</v>
      </c>
      <c r="AM150" s="27">
        <f t="shared" si="236"/>
        <v>31.938506174463399</v>
      </c>
      <c r="AN150" s="27">
        <f t="shared" si="237"/>
        <v>22.6961555955526</v>
      </c>
      <c r="AO150" s="27">
        <f t="shared" si="238"/>
        <v>42.566525259170703</v>
      </c>
      <c r="AP150" s="27">
        <f t="shared" si="239"/>
        <v>44.569396743717803</v>
      </c>
      <c r="AQ150" s="27">
        <f t="shared" si="240"/>
        <v>77.516104603355799</v>
      </c>
      <c r="AR150" s="27">
        <f t="shared" si="241"/>
        <v>56.275935662917902</v>
      </c>
      <c r="AS150" s="27">
        <f t="shared" si="242"/>
        <v>61.783617822788003</v>
      </c>
    </row>
    <row r="151" spans="1:45" s="53" customFormat="1" ht="14.45" customHeight="1">
      <c r="A151" s="52" t="s">
        <v>258</v>
      </c>
      <c r="B151" s="52" t="s">
        <v>283</v>
      </c>
      <c r="C151" s="57" t="s">
        <v>272</v>
      </c>
      <c r="E151" s="54" t="s">
        <v>30</v>
      </c>
      <c r="F151" s="55">
        <v>2050</v>
      </c>
      <c r="G151" s="52" t="s">
        <v>280</v>
      </c>
      <c r="H151" s="53">
        <f t="shared" si="206"/>
        <v>52.94271809441738</v>
      </c>
      <c r="I151" s="53">
        <f t="shared" si="251"/>
        <v>30.821991173218901</v>
      </c>
      <c r="J151" s="53">
        <f t="shared" si="207"/>
        <v>106.043198696044</v>
      </c>
      <c r="K151" s="53">
        <f t="shared" si="208"/>
        <v>42.566525259170703</v>
      </c>
      <c r="L151" s="53">
        <f t="shared" si="209"/>
        <v>68.136525827162401</v>
      </c>
      <c r="M151" s="53">
        <f t="shared" si="210"/>
        <v>15.2715301838104</v>
      </c>
      <c r="N151" s="53">
        <f t="shared" si="211"/>
        <v>76.375920685751495</v>
      </c>
      <c r="O151" s="53">
        <f t="shared" si="212"/>
        <v>20.348355673481802</v>
      </c>
      <c r="P151" s="53">
        <f t="shared" si="213"/>
        <v>37.320740979023697</v>
      </c>
      <c r="Q151" s="53">
        <f t="shared" si="214"/>
        <v>62.920187646285903</v>
      </c>
      <c r="R151" s="53">
        <f t="shared" si="215"/>
        <v>71.129504112703302</v>
      </c>
      <c r="S151" s="53">
        <f t="shared" si="216"/>
        <v>39.310311565708503</v>
      </c>
      <c r="T151" s="53">
        <f t="shared" si="217"/>
        <v>30.821991173218901</v>
      </c>
      <c r="U151" s="53">
        <f t="shared" si="218"/>
        <v>78.334836520018897</v>
      </c>
      <c r="V151" s="53">
        <f t="shared" si="219"/>
        <v>38.4776781541632</v>
      </c>
      <c r="W151" s="53">
        <f t="shared" si="220"/>
        <v>59.866648711085197</v>
      </c>
      <c r="X151" s="53">
        <f t="shared" si="221"/>
        <v>42.566525259170703</v>
      </c>
      <c r="Y151" s="53">
        <f t="shared" si="222"/>
        <v>47.321164179705498</v>
      </c>
      <c r="Z151" s="53">
        <f t="shared" si="223"/>
        <v>57.429951888954001</v>
      </c>
      <c r="AA151" s="53">
        <f t="shared" si="224"/>
        <v>20.275159446338201</v>
      </c>
      <c r="AB151" s="53">
        <f t="shared" si="225"/>
        <v>35.667308738078098</v>
      </c>
      <c r="AC151" s="53">
        <f t="shared" si="226"/>
        <v>42.566525259170703</v>
      </c>
      <c r="AD151" s="53">
        <f t="shared" si="227"/>
        <v>31.204106879401198</v>
      </c>
      <c r="AE151" s="53">
        <f t="shared" si="228"/>
        <v>237.667752520102</v>
      </c>
      <c r="AF151" s="53">
        <f t="shared" si="229"/>
        <v>71.914907156954996</v>
      </c>
      <c r="AG151" s="53">
        <f t="shared" si="230"/>
        <v>30.821991173218901</v>
      </c>
      <c r="AH151" s="53">
        <f t="shared" si="231"/>
        <v>57.072939562297101</v>
      </c>
      <c r="AI151" s="53">
        <f t="shared" si="232"/>
        <v>27.354661778424301</v>
      </c>
      <c r="AJ151" s="53">
        <f t="shared" si="233"/>
        <v>73.940931803873994</v>
      </c>
      <c r="AK151" s="53">
        <f t="shared" si="234"/>
        <v>25.3190614242903</v>
      </c>
      <c r="AL151" s="53">
        <f t="shared" si="235"/>
        <v>42.6653942006498</v>
      </c>
      <c r="AM151" s="53">
        <f t="shared" si="236"/>
        <v>31.938506174463399</v>
      </c>
      <c r="AN151" s="53">
        <f t="shared" si="237"/>
        <v>22.6961555955526</v>
      </c>
      <c r="AO151" s="53">
        <f t="shared" si="238"/>
        <v>42.566525259170703</v>
      </c>
      <c r="AP151" s="53">
        <f t="shared" si="239"/>
        <v>44.569396743717803</v>
      </c>
      <c r="AQ151" s="53">
        <f t="shared" si="240"/>
        <v>77.516104603355799</v>
      </c>
      <c r="AR151" s="53">
        <f t="shared" si="241"/>
        <v>56.275935662917902</v>
      </c>
      <c r="AS151" s="53">
        <f t="shared" si="242"/>
        <v>61.783617822788003</v>
      </c>
    </row>
    <row r="152" spans="1:8" s="36" customFormat="1" ht="14.45" customHeight="1">
      <c r="A152" s="35" t="s">
        <v>248</v>
      </c>
      <c r="B152" s="35" t="s">
        <v>255</v>
      </c>
      <c r="C152" s="35"/>
      <c r="E152" s="37" t="s">
        <v>30</v>
      </c>
      <c r="F152" s="69">
        <v>0</v>
      </c>
      <c r="G152" s="38" t="s">
        <v>88</v>
      </c>
      <c r="H152" s="36">
        <v>5</v>
      </c>
    </row>
    <row r="153" spans="1:8" s="36" customFormat="1" ht="14.45" customHeight="1">
      <c r="A153" s="38" t="s">
        <v>257</v>
      </c>
      <c r="B153" s="35" t="s">
        <v>255</v>
      </c>
      <c r="C153" s="35"/>
      <c r="E153" s="37" t="s">
        <v>30</v>
      </c>
      <c r="F153" s="69">
        <v>0</v>
      </c>
      <c r="G153" s="38" t="s">
        <v>89</v>
      </c>
      <c r="H153" s="36">
        <v>5</v>
      </c>
    </row>
    <row r="154" spans="1:8" s="36" customFormat="1" ht="14.45" customHeight="1">
      <c r="A154" s="38" t="s">
        <v>258</v>
      </c>
      <c r="B154" s="35" t="s">
        <v>255</v>
      </c>
      <c r="C154" s="35"/>
      <c r="E154" s="37" t="s">
        <v>30</v>
      </c>
      <c r="F154" s="69">
        <v>0</v>
      </c>
      <c r="G154" s="38" t="s">
        <v>90</v>
      </c>
      <c r="H154" s="36">
        <v>5</v>
      </c>
    </row>
    <row r="155" spans="1:8" s="36" customFormat="1" ht="14.45" customHeight="1">
      <c r="A155" s="38" t="s">
        <v>259</v>
      </c>
      <c r="B155" s="35" t="s">
        <v>255</v>
      </c>
      <c r="C155" s="35"/>
      <c r="E155" s="37" t="s">
        <v>30</v>
      </c>
      <c r="F155" s="69">
        <v>0</v>
      </c>
      <c r="G155" s="38" t="s">
        <v>91</v>
      </c>
      <c r="H155" s="36">
        <v>5</v>
      </c>
    </row>
    <row r="156" spans="1:8" s="36" customFormat="1" ht="14.45" customHeight="1">
      <c r="A156" s="38" t="s">
        <v>260</v>
      </c>
      <c r="B156" s="35" t="s">
        <v>255</v>
      </c>
      <c r="C156" s="35"/>
      <c r="E156" s="37" t="s">
        <v>30</v>
      </c>
      <c r="F156" s="69">
        <v>0</v>
      </c>
      <c r="G156" s="38" t="s">
        <v>92</v>
      </c>
      <c r="H156" s="36">
        <v>5</v>
      </c>
    </row>
    <row r="157" spans="1:8" s="36" customFormat="1" ht="14.45" customHeight="1">
      <c r="A157" s="38" t="s">
        <v>261</v>
      </c>
      <c r="B157" s="35" t="s">
        <v>255</v>
      </c>
      <c r="C157" s="35"/>
      <c r="E157" s="37" t="s">
        <v>30</v>
      </c>
      <c r="F157" s="69">
        <v>0</v>
      </c>
      <c r="G157" s="38" t="s">
        <v>93</v>
      </c>
      <c r="H157" s="36">
        <v>5</v>
      </c>
    </row>
    <row r="158" spans="1:8" s="60" customFormat="1" ht="14.45" customHeight="1">
      <c r="A158" s="58" t="s">
        <v>262</v>
      </c>
      <c r="B158" s="59" t="s">
        <v>255</v>
      </c>
      <c r="C158" s="59"/>
      <c r="E158" s="61" t="s">
        <v>30</v>
      </c>
      <c r="F158" s="70">
        <v>0</v>
      </c>
      <c r="G158" s="58" t="s">
        <v>256</v>
      </c>
      <c r="H158" s="60">
        <v>5</v>
      </c>
    </row>
    <row r="159" spans="1:45" ht="12.75">
      <c r="A159" s="72" t="s">
        <v>277</v>
      </c>
      <c r="C159" s="68" t="s">
        <v>106</v>
      </c>
      <c r="E159" s="18" t="s">
        <v>30</v>
      </c>
      <c r="F159" s="71">
        <v>2010</v>
      </c>
      <c r="G159" s="18" t="s">
        <v>106</v>
      </c>
      <c r="H159" s="66"/>
      <c r="I159" s="66">
        <v>17.187329003884749</v>
      </c>
      <c r="J159" s="66">
        <v>25.025052622429936</v>
      </c>
      <c r="K159" s="66">
        <v>19.086663508829385</v>
      </c>
      <c r="L159" s="66">
        <v>19.086560929096091</v>
      </c>
      <c r="M159" s="66">
        <v>12.279247755569884</v>
      </c>
      <c r="N159" s="66">
        <v>15.980351221889968</v>
      </c>
      <c r="O159" s="66">
        <v>16.797328923766816</v>
      </c>
      <c r="P159" s="66">
        <v>16.09814741142873</v>
      </c>
      <c r="Q159" s="66">
        <v>18.973079059253344</v>
      </c>
      <c r="R159" s="66">
        <v>25.580764212634229</v>
      </c>
      <c r="S159" s="66">
        <v>19.16955287420161</v>
      </c>
      <c r="T159" s="66">
        <v>12.271629817813764</v>
      </c>
      <c r="U159" s="66">
        <v>17.275072779413662</v>
      </c>
      <c r="V159" s="67">
        <v>16.134107967980523</v>
      </c>
      <c r="W159" s="66">
        <v>17.783225475773321</v>
      </c>
      <c r="X159" s="66">
        <v>18.53311182091182</v>
      </c>
      <c r="Y159" s="66">
        <v>20.661307100157313</v>
      </c>
      <c r="Z159" s="66">
        <v>21.550370986433663</v>
      </c>
      <c r="AA159" s="66">
        <v>14.125697567114095</v>
      </c>
      <c r="AB159" s="66">
        <v>14.629349395111811</v>
      </c>
      <c r="AC159" s="66">
        <v>19.411908193682176</v>
      </c>
      <c r="AD159" s="66">
        <v>6.4624578459343782</v>
      </c>
      <c r="AE159" s="66">
        <v>60.259427732769758</v>
      </c>
      <c r="AF159" s="66">
        <v>20.309185585323238</v>
      </c>
      <c r="AG159" s="66">
        <v>15.344308751665046</v>
      </c>
      <c r="AH159" s="66">
        <v>22.461738661417325</v>
      </c>
      <c r="AI159" s="66">
        <v>4.7024503111111109</v>
      </c>
      <c r="AJ159" s="66">
        <v>16.794994469426101</v>
      </c>
      <c r="AK159" s="66">
        <v>14.026452987965319</v>
      </c>
      <c r="AL159" s="66">
        <v>10.81800855527951</v>
      </c>
      <c r="AM159" s="66">
        <v>18.55396921662453</v>
      </c>
      <c r="AN159" s="66">
        <v>9.1725655702249203</v>
      </c>
      <c r="AO159" s="66">
        <v>19.978034651652312</v>
      </c>
      <c r="AP159" s="66">
        <v>17.350521880216299</v>
      </c>
      <c r="AQ159" s="66">
        <v>22.498549324469224</v>
      </c>
      <c r="AR159" s="66">
        <v>12.115085790082409</v>
      </c>
      <c r="AS159" s="66">
        <v>17.313498269740187</v>
      </c>
    </row>
    <row r="160" spans="3:45" ht="12.75">
      <c r="C160" s="68" t="s">
        <v>107</v>
      </c>
      <c r="E160" s="18" t="s">
        <v>30</v>
      </c>
      <c r="F160" s="71">
        <v>2010</v>
      </c>
      <c r="G160" s="18" t="s">
        <v>107</v>
      </c>
      <c r="H160" s="66"/>
      <c r="I160" s="66">
        <v>11.231087114664275</v>
      </c>
      <c r="J160" s="66">
        <v>22.244048618155091</v>
      </c>
      <c r="K160" s="66">
        <v>16.42471030778432</v>
      </c>
      <c r="L160" s="66">
        <v>19.891649283964757</v>
      </c>
      <c r="M160" s="66">
        <v>10.901197551335713</v>
      </c>
      <c r="N160" s="66">
        <v>14.007953539760289</v>
      </c>
      <c r="O160" s="66">
        <v>13.758117371890284</v>
      </c>
      <c r="P160" s="66">
        <v>12.746347121999223</v>
      </c>
      <c r="Q160" s="66">
        <v>14.291636032899783</v>
      </c>
      <c r="R160" s="66">
        <v>18.955415998406256</v>
      </c>
      <c r="S160" s="66">
        <v>15.723121041017654</v>
      </c>
      <c r="T160" s="66">
        <v>9.6830639435569275</v>
      </c>
      <c r="U160" s="66">
        <v>12.678180886874376</v>
      </c>
      <c r="V160" s="67">
        <v>12.143734491772449</v>
      </c>
      <c r="W160" s="66">
        <v>16.087815823558863</v>
      </c>
      <c r="X160" s="66">
        <v>15.777693507232247</v>
      </c>
      <c r="Y160" s="66">
        <v>15.226527818723538</v>
      </c>
      <c r="Z160" s="66">
        <v>18.891178816087223</v>
      </c>
      <c r="AA160" s="66">
        <v>13.908331858407079</v>
      </c>
      <c r="AB160" s="66">
        <v>12.880904086296288</v>
      </c>
      <c r="AC160" s="66">
        <v>16.8641645188744</v>
      </c>
      <c r="AD160" s="66">
        <v>4.5663864566836079</v>
      </c>
      <c r="AE160" s="66">
        <v>60.513667289150504</v>
      </c>
      <c r="AF160" s="66">
        <v>15.206679130901289</v>
      </c>
      <c r="AG160" s="66">
        <v>10.449953078657643</v>
      </c>
      <c r="AH160" s="66">
        <v>14.316233678794557</v>
      </c>
      <c r="AI160" s="66">
        <v>5.7965102895027627</v>
      </c>
      <c r="AJ160" s="66">
        <v>15.127654895177955</v>
      </c>
      <c r="AK160" s="66">
        <v>14.506015783274441</v>
      </c>
      <c r="AL160" s="66">
        <v>9.3650665260818684</v>
      </c>
      <c r="AM160" s="66">
        <v>17.0671114268408</v>
      </c>
      <c r="AN160" s="66">
        <v>7.3714097802608078</v>
      </c>
      <c r="AO160" s="66">
        <v>17.646700627252056</v>
      </c>
      <c r="AP160" s="66">
        <v>15.662784427351433</v>
      </c>
      <c r="AQ160" s="66">
        <v>20.842831337813077</v>
      </c>
      <c r="AR160" s="66">
        <v>9.8494029998184125</v>
      </c>
      <c r="AS160" s="66">
        <v>15.161497015908354</v>
      </c>
    </row>
    <row r="161" spans="3:45" ht="12.75">
      <c r="C161" s="68" t="s">
        <v>108</v>
      </c>
      <c r="E161" s="18" t="s">
        <v>30</v>
      </c>
      <c r="F161" s="71">
        <v>2010</v>
      </c>
      <c r="G161" s="18" t="s">
        <v>108</v>
      </c>
      <c r="H161" s="66"/>
      <c r="I161" s="66">
        <v>7.1153892898945754</v>
      </c>
      <c r="J161" s="66">
        <v>19.046218031019158</v>
      </c>
      <c r="K161" s="66">
        <v>13.907251607963026</v>
      </c>
      <c r="L161" s="66">
        <v>15.699539365821733</v>
      </c>
      <c r="M161" s="66">
        <v>8.6603503456274833</v>
      </c>
      <c r="N161" s="66">
        <v>12.080379378702526</v>
      </c>
      <c r="O161" s="66">
        <v>12.118160426656232</v>
      </c>
      <c r="P161" s="66">
        <v>10.153642297486675</v>
      </c>
      <c r="Q161" s="66">
        <v>11.891510641645281</v>
      </c>
      <c r="R161" s="66">
        <v>17.294506025445777</v>
      </c>
      <c r="S161" s="66">
        <v>15.477056713955788</v>
      </c>
      <c r="T161" s="66">
        <v>6.7264821240877559</v>
      </c>
      <c r="U161" s="66">
        <v>11.29255016067237</v>
      </c>
      <c r="V161" s="67">
        <v>13.142548793132425</v>
      </c>
      <c r="W161" s="66">
        <v>13.398263828780863</v>
      </c>
      <c r="X161" s="66">
        <v>13.250472537429653</v>
      </c>
      <c r="Y161" s="66">
        <v>11.48912308859947</v>
      </c>
      <c r="Z161" s="66">
        <v>18.400087257973201</v>
      </c>
      <c r="AA161" s="66">
        <v>13.82816482240437</v>
      </c>
      <c r="AB161" s="66">
        <v>9.4055545752053789</v>
      </c>
      <c r="AC161" s="66">
        <v>14.207133380446304</v>
      </c>
      <c r="AD161" s="66">
        <v>4.3530321962187957</v>
      </c>
      <c r="AE161" s="66">
        <v>58.462971338757399</v>
      </c>
      <c r="AF161" s="66">
        <v>17.80032329414129</v>
      </c>
      <c r="AG161" s="66">
        <v>6.904828971386566</v>
      </c>
      <c r="AH161" s="66">
        <v>11.115743412584051</v>
      </c>
      <c r="AI161" s="66">
        <v>7.3052660023146743</v>
      </c>
      <c r="AJ161" s="66">
        <v>13.267237590574732</v>
      </c>
      <c r="AK161" s="66">
        <v>13.729387949778152</v>
      </c>
      <c r="AL161" s="66">
        <v>7.5615301989604831</v>
      </c>
      <c r="AM161" s="66">
        <v>12.278672046364283</v>
      </c>
      <c r="AN161" s="66">
        <v>5.6036277219646493</v>
      </c>
      <c r="AO161" s="66">
        <v>14.594461539777287</v>
      </c>
      <c r="AP161" s="66">
        <v>15.707090146793464</v>
      </c>
      <c r="AQ161" s="66">
        <v>14.48901706527155</v>
      </c>
      <c r="AR161" s="66">
        <v>9.0724184923026314</v>
      </c>
      <c r="AS161" s="66">
        <v>12.891664931184952</v>
      </c>
    </row>
    <row r="162" spans="3:45" ht="12.75">
      <c r="C162" s="68" t="s">
        <v>109</v>
      </c>
      <c r="E162" s="18" t="s">
        <v>30</v>
      </c>
      <c r="F162" s="71">
        <v>2010</v>
      </c>
      <c r="G162" s="18" t="s">
        <v>109</v>
      </c>
      <c r="H162" s="66"/>
      <c r="I162" s="66">
        <v>11.979463627417346</v>
      </c>
      <c r="J162" s="66">
        <v>22.586000785233029</v>
      </c>
      <c r="K162" s="66">
        <v>16.601808729771438</v>
      </c>
      <c r="L162" s="66">
        <v>18.840383976560062</v>
      </c>
      <c r="M162" s="66">
        <v>8.9216805281293077</v>
      </c>
      <c r="N162" s="66">
        <v>13.941752252489593</v>
      </c>
      <c r="O162" s="66">
        <v>13.332813301719028</v>
      </c>
      <c r="P162" s="66">
        <v>12.806798341212225</v>
      </c>
      <c r="Q162" s="66">
        <v>14.595800046458264</v>
      </c>
      <c r="R162" s="66">
        <v>18.620476413875664</v>
      </c>
      <c r="S162" s="66">
        <v>16.361826867400119</v>
      </c>
      <c r="T162" s="66">
        <v>10.150511348013517</v>
      </c>
      <c r="U162" s="66">
        <v>12.453836754688188</v>
      </c>
      <c r="V162" s="67">
        <v>11.99363126834997</v>
      </c>
      <c r="W162" s="66">
        <v>16.433393323500013</v>
      </c>
      <c r="X162" s="66">
        <v>15.80229603721155</v>
      </c>
      <c r="Y162" s="66">
        <v>15.097961658447872</v>
      </c>
      <c r="Z162" s="66">
        <v>20.006307041088583</v>
      </c>
      <c r="AA162" s="66">
        <v>14.174238681130458</v>
      </c>
      <c r="AB162" s="66">
        <v>12.91138750282413</v>
      </c>
      <c r="AC162" s="66">
        <v>17.030395017604405</v>
      </c>
      <c r="AD162" s="66">
        <v>4.5457640264475874</v>
      </c>
      <c r="AE162" s="66">
        <v>63.725923083739481</v>
      </c>
      <c r="AF162" s="66">
        <v>15.977938952027754</v>
      </c>
      <c r="AG162" s="66">
        <v>11.062872673867675</v>
      </c>
      <c r="AH162" s="66">
        <v>14.420115180327869</v>
      </c>
      <c r="AI162" s="66">
        <v>5.6424041744701832</v>
      </c>
      <c r="AJ162" s="66">
        <v>15.094557383770121</v>
      </c>
      <c r="AK162" s="66">
        <v>14.206396758090095</v>
      </c>
      <c r="AL162" s="66">
        <v>9.2524250327592252</v>
      </c>
      <c r="AM162" s="66">
        <v>17.067061941554286</v>
      </c>
      <c r="AN162" s="66">
        <v>7.3489137858842204</v>
      </c>
      <c r="AO162" s="66">
        <v>17.715759300409051</v>
      </c>
      <c r="AP162" s="66">
        <v>16.132104648494625</v>
      </c>
      <c r="AQ162" s="66">
        <v>19.993092098092642</v>
      </c>
      <c r="AR162" s="66">
        <v>9.6833938056118019</v>
      </c>
      <c r="AS162" s="66">
        <v>16.114876109981896</v>
      </c>
    </row>
    <row r="163" spans="3:45" ht="12.75">
      <c r="C163" s="68" t="s">
        <v>110</v>
      </c>
      <c r="E163" s="18" t="s">
        <v>30</v>
      </c>
      <c r="F163" s="71">
        <v>2010</v>
      </c>
      <c r="G163" s="18" t="s">
        <v>110</v>
      </c>
      <c r="H163" s="66"/>
      <c r="I163" s="66">
        <v>17.137329003884748</v>
      </c>
      <c r="J163" s="66">
        <v>24.975052622429935</v>
      </c>
      <c r="K163" s="66">
        <v>19.036663508829385</v>
      </c>
      <c r="L163" s="66">
        <v>19.03656092909609</v>
      </c>
      <c r="M163" s="66">
        <v>12.229247755569883</v>
      </c>
      <c r="N163" s="66">
        <v>15.930351221889968</v>
      </c>
      <c r="O163" s="66">
        <v>16.747328923766815</v>
      </c>
      <c r="P163" s="66">
        <v>16.048147411428729</v>
      </c>
      <c r="Q163" s="66">
        <v>18.923079059253343</v>
      </c>
      <c r="R163" s="66">
        <v>25.530764212634228</v>
      </c>
      <c r="S163" s="66">
        <v>19.119552874201609</v>
      </c>
      <c r="T163" s="66">
        <v>12.221629817813763</v>
      </c>
      <c r="U163" s="66">
        <v>17.225072779413662</v>
      </c>
      <c r="V163" s="67">
        <v>16.084107967980522</v>
      </c>
      <c r="W163" s="66">
        <v>17.73322547577332</v>
      </c>
      <c r="X163" s="66">
        <v>18.483111820911819</v>
      </c>
      <c r="Y163" s="66">
        <v>20.611307100157312</v>
      </c>
      <c r="Z163" s="66">
        <v>21.500370986433662</v>
      </c>
      <c r="AA163" s="66">
        <v>14.075697567114094</v>
      </c>
      <c r="AB163" s="66">
        <v>14.57934939511181</v>
      </c>
      <c r="AC163" s="66">
        <v>19.361908193682176</v>
      </c>
      <c r="AD163" s="66">
        <v>6.4124578459343784</v>
      </c>
      <c r="AE163" s="66">
        <v>60.209427732769761</v>
      </c>
      <c r="AF163" s="66">
        <v>20.259185585323237</v>
      </c>
      <c r="AG163" s="66">
        <v>15.294308751665046</v>
      </c>
      <c r="AH163" s="66">
        <v>22.411738661417324</v>
      </c>
      <c r="AI163" s="66">
        <v>4.6524503111111111</v>
      </c>
      <c r="AJ163" s="66">
        <v>16.7449944694261</v>
      </c>
      <c r="AK163" s="66">
        <v>13.976452987965319</v>
      </c>
      <c r="AL163" s="66">
        <v>10.76800855527951</v>
      </c>
      <c r="AM163" s="66">
        <v>18.50396921662453</v>
      </c>
      <c r="AN163" s="66">
        <v>9.1225655702249195</v>
      </c>
      <c r="AO163" s="66">
        <v>19.928034651652311</v>
      </c>
      <c r="AP163" s="66">
        <v>17.300521880216298</v>
      </c>
      <c r="AQ163" s="66">
        <v>22.448549324469223</v>
      </c>
      <c r="AR163" s="66">
        <v>12.065085790082408</v>
      </c>
      <c r="AS163" s="66">
        <v>17.263498269740186</v>
      </c>
    </row>
    <row r="164" spans="3:45" ht="12.75">
      <c r="C164" s="68" t="s">
        <v>111</v>
      </c>
      <c r="E164" s="18" t="s">
        <v>30</v>
      </c>
      <c r="F164" s="71">
        <v>2010</v>
      </c>
      <c r="G164" s="18" t="s">
        <v>111</v>
      </c>
      <c r="H164" s="66"/>
      <c r="I164" s="66">
        <v>11.181087114664274</v>
      </c>
      <c r="J164" s="66">
        <v>22.19404861815509</v>
      </c>
      <c r="K164" s="66">
        <v>16.374710307784319</v>
      </c>
      <c r="L164" s="66">
        <v>19.841649283964756</v>
      </c>
      <c r="M164" s="66">
        <v>10.851197551335712</v>
      </c>
      <c r="N164" s="66">
        <v>13.957953539760288</v>
      </c>
      <c r="O164" s="66">
        <v>13.708117371890284</v>
      </c>
      <c r="P164" s="66">
        <v>12.696347121999223</v>
      </c>
      <c r="Q164" s="66">
        <v>14.241636032899782</v>
      </c>
      <c r="R164" s="66">
        <v>18.905415998406255</v>
      </c>
      <c r="S164" s="66">
        <v>15.673121041017653</v>
      </c>
      <c r="T164" s="66">
        <v>9.6330639435569267</v>
      </c>
      <c r="U164" s="66">
        <v>12.628180886874375</v>
      </c>
      <c r="V164" s="67">
        <v>12.093734491772448</v>
      </c>
      <c r="W164" s="66">
        <v>16.037815823558862</v>
      </c>
      <c r="X164" s="66">
        <v>15.727693507232246</v>
      </c>
      <c r="Y164" s="66">
        <v>15.176527818723537</v>
      </c>
      <c r="Z164" s="66">
        <v>18.841178816087222</v>
      </c>
      <c r="AA164" s="66">
        <v>13.858331858407078</v>
      </c>
      <c r="AB164" s="66">
        <v>12.830904086296288</v>
      </c>
      <c r="AC164" s="66">
        <v>16.814164518874399</v>
      </c>
      <c r="AD164" s="66">
        <v>4.5163864566836081</v>
      </c>
      <c r="AE164" s="66">
        <v>60.463667289150507</v>
      </c>
      <c r="AF164" s="66">
        <v>15.156679130901288</v>
      </c>
      <c r="AG164" s="66">
        <v>10.399953078657642</v>
      </c>
      <c r="AH164" s="66">
        <v>14.266233678794556</v>
      </c>
      <c r="AI164" s="66">
        <v>5.7465102895027629</v>
      </c>
      <c r="AJ164" s="66">
        <v>15.077654895177954</v>
      </c>
      <c r="AK164" s="66">
        <v>14.45601578327444</v>
      </c>
      <c r="AL164" s="66">
        <v>9.3150665260818677</v>
      </c>
      <c r="AM164" s="66">
        <v>17.017111426840799</v>
      </c>
      <c r="AN164" s="66">
        <v>7.321409780260808</v>
      </c>
      <c r="AO164" s="66">
        <v>17.596700627252055</v>
      </c>
      <c r="AP164" s="66">
        <v>15.612784427351432</v>
      </c>
      <c r="AQ164" s="66">
        <v>20.792831337813077</v>
      </c>
      <c r="AR164" s="66">
        <v>9.7994029998184118</v>
      </c>
      <c r="AS164" s="66">
        <v>15.111497015908354</v>
      </c>
    </row>
    <row r="165" spans="3:45" ht="12.75">
      <c r="C165" s="68" t="s">
        <v>112</v>
      </c>
      <c r="E165" s="18" t="s">
        <v>30</v>
      </c>
      <c r="F165" s="71">
        <v>2010</v>
      </c>
      <c r="G165" s="18" t="s">
        <v>112</v>
      </c>
      <c r="H165" s="66"/>
      <c r="I165" s="66">
        <v>7.0653892898945756</v>
      </c>
      <c r="J165" s="66">
        <v>18.996218031019158</v>
      </c>
      <c r="K165" s="66">
        <v>13.857251607963025</v>
      </c>
      <c r="L165" s="66">
        <v>15.649539365821733</v>
      </c>
      <c r="M165" s="66">
        <v>8.6103503456274826</v>
      </c>
      <c r="N165" s="66">
        <v>12.030379378702525</v>
      </c>
      <c r="O165" s="66">
        <v>12.068160426656231</v>
      </c>
      <c r="P165" s="66">
        <v>10.103642297486674</v>
      </c>
      <c r="Q165" s="66">
        <v>11.84151064164528</v>
      </c>
      <c r="R165" s="66">
        <v>17.244506025445776</v>
      </c>
      <c r="S165" s="66">
        <v>15.427056713955787</v>
      </c>
      <c r="T165" s="66">
        <v>6.6764821240877561</v>
      </c>
      <c r="U165" s="66">
        <v>11.242550160672369</v>
      </c>
      <c r="V165" s="67">
        <v>13.092548793132424</v>
      </c>
      <c r="W165" s="66">
        <v>13.348263828780862</v>
      </c>
      <c r="X165" s="66">
        <v>13.200472537429652</v>
      </c>
      <c r="Y165" s="66">
        <v>11.439123088599469</v>
      </c>
      <c r="Z165" s="66">
        <v>18.3500872579732</v>
      </c>
      <c r="AA165" s="66">
        <v>13.778164822404369</v>
      </c>
      <c r="AB165" s="66">
        <v>9.3555545752053781</v>
      </c>
      <c r="AC165" s="66">
        <v>14.157133380446304</v>
      </c>
      <c r="AD165" s="66">
        <v>4.3030321962187958</v>
      </c>
      <c r="AE165" s="66">
        <v>58.412971338757401</v>
      </c>
      <c r="AF165" s="66">
        <v>17.750323294141289</v>
      </c>
      <c r="AG165" s="66">
        <v>6.8548289713865662</v>
      </c>
      <c r="AH165" s="66">
        <v>11.06574341258405</v>
      </c>
      <c r="AI165" s="66">
        <v>7.2552660023146744</v>
      </c>
      <c r="AJ165" s="66">
        <v>13.217237590574731</v>
      </c>
      <c r="AK165" s="66">
        <v>13.679387949778151</v>
      </c>
      <c r="AL165" s="66">
        <v>7.5115301989604832</v>
      </c>
      <c r="AM165" s="66">
        <v>12.228672046364283</v>
      </c>
      <c r="AN165" s="66">
        <v>5.5536277219646495</v>
      </c>
      <c r="AO165" s="66">
        <v>14.544461539777286</v>
      </c>
      <c r="AP165" s="66">
        <v>15.657090146793463</v>
      </c>
      <c r="AQ165" s="66">
        <v>14.43901706527155</v>
      </c>
      <c r="AR165" s="66">
        <v>9.0224184923026307</v>
      </c>
      <c r="AS165" s="66">
        <v>12.841664931184951</v>
      </c>
    </row>
    <row r="166" spans="3:45" ht="12.75">
      <c r="C166" s="68" t="s">
        <v>113</v>
      </c>
      <c r="E166" s="18" t="s">
        <v>30</v>
      </c>
      <c r="F166" s="71">
        <v>2010</v>
      </c>
      <c r="G166" s="18" t="s">
        <v>113</v>
      </c>
      <c r="H166" s="66"/>
      <c r="I166" s="66">
        <v>11.929463627417345</v>
      </c>
      <c r="J166" s="66">
        <v>22.536000785233028</v>
      </c>
      <c r="K166" s="66">
        <v>16.551808729771437</v>
      </c>
      <c r="L166" s="66">
        <v>18.790383976560062</v>
      </c>
      <c r="M166" s="66">
        <v>8.871680528129307</v>
      </c>
      <c r="N166" s="66">
        <v>13.891752252489592</v>
      </c>
      <c r="O166" s="66">
        <v>13.282813301719028</v>
      </c>
      <c r="P166" s="66">
        <v>12.756798341212225</v>
      </c>
      <c r="Q166" s="66">
        <v>14.545800046458263</v>
      </c>
      <c r="R166" s="66">
        <v>18.570476413875664</v>
      </c>
      <c r="S166" s="66">
        <v>16.311826867400118</v>
      </c>
      <c r="T166" s="66">
        <v>10.100511348013516</v>
      </c>
      <c r="U166" s="66">
        <v>12.403836754688188</v>
      </c>
      <c r="V166" s="67">
        <v>11.94363126834997</v>
      </c>
      <c r="W166" s="66">
        <v>16.383393323500012</v>
      </c>
      <c r="X166" s="66">
        <v>15.752296037211549</v>
      </c>
      <c r="Y166" s="66">
        <v>15.047961658447871</v>
      </c>
      <c r="Z166" s="66">
        <v>19.956307041088582</v>
      </c>
      <c r="AA166" s="66">
        <v>14.124238681130457</v>
      </c>
      <c r="AB166" s="66">
        <v>12.86138750282413</v>
      </c>
      <c r="AC166" s="66">
        <v>16.980395017604405</v>
      </c>
      <c r="AD166" s="66">
        <v>4.4957640264475875</v>
      </c>
      <c r="AE166" s="66">
        <v>63.675923083739484</v>
      </c>
      <c r="AF166" s="66">
        <v>15.927938952027754</v>
      </c>
      <c r="AG166" s="66">
        <v>11.012872673867674</v>
      </c>
      <c r="AH166" s="66">
        <v>14.370115180327868</v>
      </c>
      <c r="AI166" s="66">
        <v>5.5924041744701833</v>
      </c>
      <c r="AJ166" s="66">
        <v>15.044557383770121</v>
      </c>
      <c r="AK166" s="66">
        <v>14.156396758090095</v>
      </c>
      <c r="AL166" s="66">
        <v>9.2024250327592245</v>
      </c>
      <c r="AM166" s="66">
        <v>17.017061941554285</v>
      </c>
      <c r="AN166" s="66">
        <v>7.2989137858842206</v>
      </c>
      <c r="AO166" s="66">
        <v>17.66575930040905</v>
      </c>
      <c r="AP166" s="66">
        <v>16.082104648494624</v>
      </c>
      <c r="AQ166" s="66">
        <v>19.943092098092642</v>
      </c>
      <c r="AR166" s="66">
        <v>9.6333938056118011</v>
      </c>
      <c r="AS166" s="66">
        <v>16.064876109981896</v>
      </c>
    </row>
    <row r="167" spans="3:45" ht="12.75">
      <c r="C167" s="68" t="s">
        <v>114</v>
      </c>
      <c r="E167" s="18" t="s">
        <v>30</v>
      </c>
      <c r="F167" s="71">
        <v>2010</v>
      </c>
      <c r="G167" s="18" t="s">
        <v>114</v>
      </c>
      <c r="H167" s="66"/>
      <c r="I167" s="66">
        <v>17.087329003884747</v>
      </c>
      <c r="J167" s="66">
        <v>24.925052622429934</v>
      </c>
      <c r="K167" s="66">
        <v>18.986663508829384</v>
      </c>
      <c r="L167" s="66">
        <v>18.98656092909609</v>
      </c>
      <c r="M167" s="66">
        <v>12.179247755569882</v>
      </c>
      <c r="N167" s="66">
        <v>15.880351221889967</v>
      </c>
      <c r="O167" s="66">
        <v>16.697328923766815</v>
      </c>
      <c r="P167" s="66">
        <v>15.998147411428729</v>
      </c>
      <c r="Q167" s="66">
        <v>18.873079059253342</v>
      </c>
      <c r="R167" s="66">
        <v>25.480764212634227</v>
      </c>
      <c r="S167" s="66">
        <v>19.069552874201609</v>
      </c>
      <c r="T167" s="66">
        <v>12.171629817813763</v>
      </c>
      <c r="U167" s="66">
        <v>17.175072779413661</v>
      </c>
      <c r="V167" s="67">
        <v>16.034107967980521</v>
      </c>
      <c r="W167" s="66">
        <v>17.68322547577332</v>
      </c>
      <c r="X167" s="66">
        <v>18.433111820911819</v>
      </c>
      <c r="Y167" s="66">
        <v>20.561307100157311</v>
      </c>
      <c r="Z167" s="66">
        <v>21.450370986433661</v>
      </c>
      <c r="AA167" s="66">
        <v>14.025697567114094</v>
      </c>
      <c r="AB167" s="66">
        <v>14.52934939511181</v>
      </c>
      <c r="AC167" s="66">
        <v>19.311908193682175</v>
      </c>
      <c r="AD167" s="66">
        <v>6.3624578459343786</v>
      </c>
      <c r="AE167" s="66">
        <v>60.159427732769764</v>
      </c>
      <c r="AF167" s="66">
        <v>20.209185585323237</v>
      </c>
      <c r="AG167" s="66">
        <v>15.244308751665045</v>
      </c>
      <c r="AH167" s="66">
        <v>22.361738661417323</v>
      </c>
      <c r="AI167" s="66">
        <v>4.6024503111111112</v>
      </c>
      <c r="AJ167" s="66">
        <v>16.694994469426099</v>
      </c>
      <c r="AK167" s="66">
        <v>13.926452987965318</v>
      </c>
      <c r="AL167" s="66">
        <v>10.718008555279509</v>
      </c>
      <c r="AM167" s="66">
        <v>18.453969216624529</v>
      </c>
      <c r="AN167" s="66">
        <v>9.0725655702249188</v>
      </c>
      <c r="AO167" s="66">
        <v>19.87803465165231</v>
      </c>
      <c r="AP167" s="66">
        <v>17.250521880216297</v>
      </c>
      <c r="AQ167" s="66">
        <v>22.398549324469222</v>
      </c>
      <c r="AR167" s="66">
        <v>12.015085790082408</v>
      </c>
      <c r="AS167" s="66">
        <v>17.213498269740185</v>
      </c>
    </row>
    <row r="168" spans="3:45" ht="12.75">
      <c r="C168" s="68" t="s">
        <v>115</v>
      </c>
      <c r="E168" s="18" t="s">
        <v>30</v>
      </c>
      <c r="F168" s="71">
        <v>2010</v>
      </c>
      <c r="G168" s="18" t="s">
        <v>115</v>
      </c>
      <c r="H168" s="66"/>
      <c r="I168" s="66">
        <v>11.131087114664274</v>
      </c>
      <c r="J168" s="66">
        <v>22.14404861815509</v>
      </c>
      <c r="K168" s="66">
        <v>16.324710307784319</v>
      </c>
      <c r="L168" s="66">
        <v>19.791649283964755</v>
      </c>
      <c r="M168" s="66">
        <v>10.801197551335711</v>
      </c>
      <c r="N168" s="66">
        <v>13.907953539760287</v>
      </c>
      <c r="O168" s="66">
        <v>13.658117371890283</v>
      </c>
      <c r="P168" s="66">
        <v>12.646347121999222</v>
      </c>
      <c r="Q168" s="66">
        <v>14.191636032899781</v>
      </c>
      <c r="R168" s="66">
        <v>18.855415998406254</v>
      </c>
      <c r="S168" s="66">
        <v>15.623121041017653</v>
      </c>
      <c r="T168" s="66">
        <v>9.583063943556926</v>
      </c>
      <c r="U168" s="66">
        <v>12.578180886874375</v>
      </c>
      <c r="V168" s="67">
        <v>12.043734491772447</v>
      </c>
      <c r="W168" s="66">
        <v>15.987815823558861</v>
      </c>
      <c r="X168" s="66">
        <v>15.677693507232245</v>
      </c>
      <c r="Y168" s="66">
        <v>15.126527818723536</v>
      </c>
      <c r="Z168" s="66">
        <v>18.791178816087221</v>
      </c>
      <c r="AA168" s="66">
        <v>13.808331858407078</v>
      </c>
      <c r="AB168" s="66">
        <v>12.780904086296287</v>
      </c>
      <c r="AC168" s="66">
        <v>16.764164518874399</v>
      </c>
      <c r="AD168" s="66">
        <v>4.4663864566836082</v>
      </c>
      <c r="AE168" s="66">
        <v>60.41366728915051</v>
      </c>
      <c r="AF168" s="66">
        <v>15.106679130901288</v>
      </c>
      <c r="AG168" s="66">
        <v>10.349953078657641</v>
      </c>
      <c r="AH168" s="66">
        <v>14.216233678794556</v>
      </c>
      <c r="AI168" s="66">
        <v>5.6965102895027631</v>
      </c>
      <c r="AJ168" s="66">
        <v>15.027654895177953</v>
      </c>
      <c r="AK168" s="66">
        <v>14.406015783274439</v>
      </c>
      <c r="AL168" s="66">
        <v>9.265066526081867</v>
      </c>
      <c r="AM168" s="66">
        <v>16.967111426840798</v>
      </c>
      <c r="AN168" s="66">
        <v>7.2714097802608082</v>
      </c>
      <c r="AO168" s="66">
        <v>17.546700627252054</v>
      </c>
      <c r="AP168" s="66">
        <v>15.562784427351431</v>
      </c>
      <c r="AQ168" s="66">
        <v>20.742831337813076</v>
      </c>
      <c r="AR168" s="66">
        <v>9.7494029998184111</v>
      </c>
      <c r="AS168" s="66">
        <v>15.061497015908353</v>
      </c>
    </row>
    <row r="169" spans="3:45" ht="12.75">
      <c r="C169" s="68" t="s">
        <v>116</v>
      </c>
      <c r="E169" s="18" t="s">
        <v>30</v>
      </c>
      <c r="F169" s="71">
        <v>2010</v>
      </c>
      <c r="G169" s="18" t="s">
        <v>116</v>
      </c>
      <c r="H169" s="66"/>
      <c r="I169" s="66">
        <v>7.0153892898945758</v>
      </c>
      <c r="J169" s="66">
        <v>18.946218031019157</v>
      </c>
      <c r="K169" s="66">
        <v>13.807251607963025</v>
      </c>
      <c r="L169" s="66">
        <v>15.599539365821732</v>
      </c>
      <c r="M169" s="66">
        <v>8.5603503456274819</v>
      </c>
      <c r="N169" s="66">
        <v>11.980379378702525</v>
      </c>
      <c r="O169" s="66">
        <v>12.01816042665623</v>
      </c>
      <c r="P169" s="66">
        <v>10.053642297486673</v>
      </c>
      <c r="Q169" s="66">
        <v>11.79151064164528</v>
      </c>
      <c r="R169" s="66">
        <v>17.194506025445776</v>
      </c>
      <c r="S169" s="66">
        <v>15.377056713955787</v>
      </c>
      <c r="T169" s="66">
        <v>6.6264821240877563</v>
      </c>
      <c r="U169" s="66">
        <v>11.192550160672369</v>
      </c>
      <c r="V169" s="67">
        <v>13.042548793132424</v>
      </c>
      <c r="W169" s="66">
        <v>13.298263828780861</v>
      </c>
      <c r="X169" s="66">
        <v>13.150472537429652</v>
      </c>
      <c r="Y169" s="66">
        <v>11.389123088599469</v>
      </c>
      <c r="Z169" s="66">
        <v>18.3000872579732</v>
      </c>
      <c r="AA169" s="66">
        <v>13.728164822404368</v>
      </c>
      <c r="AB169" s="66">
        <v>9.3055545752053774</v>
      </c>
      <c r="AC169" s="66">
        <v>14.107133380446303</v>
      </c>
      <c r="AD169" s="66">
        <v>4.253032196218796</v>
      </c>
      <c r="AE169" s="66">
        <v>58.362971338757404</v>
      </c>
      <c r="AF169" s="66">
        <v>17.700323294141288</v>
      </c>
      <c r="AG169" s="66">
        <v>6.8048289713865664</v>
      </c>
      <c r="AH169" s="66">
        <v>11.015743412584049</v>
      </c>
      <c r="AI169" s="66">
        <v>7.2052660023146746</v>
      </c>
      <c r="AJ169" s="66">
        <v>13.167237590574731</v>
      </c>
      <c r="AK169" s="66">
        <v>13.629387949778151</v>
      </c>
      <c r="AL169" s="66">
        <v>7.4615301989604834</v>
      </c>
      <c r="AM169" s="66">
        <v>12.178672046364282</v>
      </c>
      <c r="AN169" s="66">
        <v>5.5036277219646497</v>
      </c>
      <c r="AO169" s="66">
        <v>14.494461539777285</v>
      </c>
      <c r="AP169" s="66">
        <v>15.607090146793462</v>
      </c>
      <c r="AQ169" s="66">
        <v>14.389017065271549</v>
      </c>
      <c r="AR169" s="66">
        <v>8.97241849230263</v>
      </c>
      <c r="AS169" s="66">
        <v>12.79166493118495</v>
      </c>
    </row>
    <row r="170" spans="3:45" ht="12.75">
      <c r="C170" s="68" t="s">
        <v>117</v>
      </c>
      <c r="E170" s="18" t="s">
        <v>30</v>
      </c>
      <c r="F170" s="71">
        <v>2010</v>
      </c>
      <c r="G170" s="18" t="s">
        <v>117</v>
      </c>
      <c r="H170" s="66"/>
      <c r="I170" s="66">
        <v>11.879463627417344</v>
      </c>
      <c r="J170" s="66">
        <v>22.486000785233028</v>
      </c>
      <c r="K170" s="66">
        <v>16.501808729771437</v>
      </c>
      <c r="L170" s="66">
        <v>18.740383976560061</v>
      </c>
      <c r="M170" s="66">
        <v>8.8216805281293063</v>
      </c>
      <c r="N170" s="66">
        <v>13.841752252489592</v>
      </c>
      <c r="O170" s="66">
        <v>13.232813301719027</v>
      </c>
      <c r="P170" s="66">
        <v>12.706798341212224</v>
      </c>
      <c r="Q170" s="66">
        <v>14.495800046458262</v>
      </c>
      <c r="R170" s="66">
        <v>18.520476413875663</v>
      </c>
      <c r="S170" s="66">
        <v>16.261826867400117</v>
      </c>
      <c r="T170" s="66">
        <v>10.050511348013515</v>
      </c>
      <c r="U170" s="66">
        <v>12.353836754688187</v>
      </c>
      <c r="V170" s="67">
        <v>11.893631268349969</v>
      </c>
      <c r="W170" s="66">
        <v>16.333393323500012</v>
      </c>
      <c r="X170" s="66">
        <v>15.702296037211548</v>
      </c>
      <c r="Y170" s="66">
        <v>14.997961658447871</v>
      </c>
      <c r="Z170" s="66">
        <v>19.906307041088581</v>
      </c>
      <c r="AA170" s="66">
        <v>14.074238681130456</v>
      </c>
      <c r="AB170" s="66">
        <v>12.811387502824129</v>
      </c>
      <c r="AC170" s="66">
        <v>16.930395017604404</v>
      </c>
      <c r="AD170" s="66">
        <v>4.4457640264475877</v>
      </c>
      <c r="AE170" s="66">
        <v>63.625923083739487</v>
      </c>
      <c r="AF170" s="66">
        <v>15.877938952027753</v>
      </c>
      <c r="AG170" s="66">
        <v>10.962872673867674</v>
      </c>
      <c r="AH170" s="66">
        <v>14.320115180327868</v>
      </c>
      <c r="AI170" s="66">
        <v>5.5424041744701835</v>
      </c>
      <c r="AJ170" s="66">
        <v>14.99455738377012</v>
      </c>
      <c r="AK170" s="66">
        <v>14.106396758090094</v>
      </c>
      <c r="AL170" s="66">
        <v>9.1524250327592238</v>
      </c>
      <c r="AM170" s="66">
        <v>16.967061941554284</v>
      </c>
      <c r="AN170" s="66">
        <v>7.2489137858842208</v>
      </c>
      <c r="AO170" s="66">
        <v>17.615759300409049</v>
      </c>
      <c r="AP170" s="66">
        <v>16.032104648494624</v>
      </c>
      <c r="AQ170" s="66">
        <v>19.893092098092641</v>
      </c>
      <c r="AR170" s="66">
        <v>9.5833938056118004</v>
      </c>
      <c r="AS170" s="66">
        <v>16.014876109981895</v>
      </c>
    </row>
    <row r="171" spans="3:45" ht="12.75">
      <c r="C171" s="68" t="s">
        <v>118</v>
      </c>
      <c r="E171" s="18" t="s">
        <v>30</v>
      </c>
      <c r="F171" s="71">
        <v>2010</v>
      </c>
      <c r="G171" s="18" t="s">
        <v>118</v>
      </c>
      <c r="H171" s="66"/>
      <c r="I171" s="66">
        <v>17.037329003884746</v>
      </c>
      <c r="J171" s="66">
        <v>24.875052622429934</v>
      </c>
      <c r="K171" s="66">
        <v>18.936663508829383</v>
      </c>
      <c r="L171" s="66">
        <v>18.936560929096089</v>
      </c>
      <c r="M171" s="66">
        <v>12.129247755569882</v>
      </c>
      <c r="N171" s="66">
        <v>15.830351221889966</v>
      </c>
      <c r="O171" s="66">
        <v>16.647328923766814</v>
      </c>
      <c r="P171" s="66">
        <v>15.948147411428728</v>
      </c>
      <c r="Q171" s="66">
        <v>18.823079059253342</v>
      </c>
      <c r="R171" s="66">
        <v>25.430764212634227</v>
      </c>
      <c r="S171" s="66">
        <v>19.019552874201608</v>
      </c>
      <c r="T171" s="66">
        <v>12.121629817813762</v>
      </c>
      <c r="U171" s="66">
        <v>17.12507277941366</v>
      </c>
      <c r="V171" s="67">
        <v>15.98410796798052</v>
      </c>
      <c r="W171" s="66">
        <v>17.633225475773319</v>
      </c>
      <c r="X171" s="66">
        <v>18.383111820911818</v>
      </c>
      <c r="Y171" s="66">
        <v>20.51130710015731</v>
      </c>
      <c r="Z171" s="66">
        <v>21.400370986433661</v>
      </c>
      <c r="AA171" s="66">
        <v>13.975697567114093</v>
      </c>
      <c r="AB171" s="66">
        <v>14.479349395111809</v>
      </c>
      <c r="AC171" s="66">
        <v>19.261908193682174</v>
      </c>
      <c r="AD171" s="66">
        <v>6.3124578459343788</v>
      </c>
      <c r="AE171" s="66">
        <v>60.109427732769767</v>
      </c>
      <c r="AF171" s="66">
        <v>20.159185585323236</v>
      </c>
      <c r="AG171" s="66">
        <v>15.194308751665044</v>
      </c>
      <c r="AH171" s="66">
        <v>22.311738661417323</v>
      </c>
      <c r="AI171" s="66">
        <v>4.5524503111111114</v>
      </c>
      <c r="AJ171" s="66">
        <v>16.644994469426099</v>
      </c>
      <c r="AK171" s="66">
        <v>13.876452987965317</v>
      </c>
      <c r="AL171" s="66">
        <v>10.668008555279508</v>
      </c>
      <c r="AM171" s="66">
        <v>18.403969216624528</v>
      </c>
      <c r="AN171" s="66">
        <v>9.0225655702249181</v>
      </c>
      <c r="AO171" s="66">
        <v>19.82803465165231</v>
      </c>
      <c r="AP171" s="66">
        <v>17.200521880216296</v>
      </c>
      <c r="AQ171" s="66">
        <v>22.348549324469221</v>
      </c>
      <c r="AR171" s="66">
        <v>11.965085790082407</v>
      </c>
      <c r="AS171" s="66">
        <v>17.163498269740185</v>
      </c>
    </row>
    <row r="172" spans="3:45" ht="12.75">
      <c r="C172" s="68" t="s">
        <v>119</v>
      </c>
      <c r="E172" s="18" t="s">
        <v>30</v>
      </c>
      <c r="F172" s="71">
        <v>2010</v>
      </c>
      <c r="G172" s="18" t="s">
        <v>119</v>
      </c>
      <c r="H172" s="66"/>
      <c r="I172" s="66">
        <v>11.081087114664273</v>
      </c>
      <c r="J172" s="66">
        <v>22.094048618155089</v>
      </c>
      <c r="K172" s="66">
        <v>16.274710307784318</v>
      </c>
      <c r="L172" s="66">
        <v>19.741649283964755</v>
      </c>
      <c r="M172" s="66">
        <v>10.751197551335711</v>
      </c>
      <c r="N172" s="66">
        <v>13.857953539760286</v>
      </c>
      <c r="O172" s="66">
        <v>13.608117371890282</v>
      </c>
      <c r="P172" s="66">
        <v>12.596347121999221</v>
      </c>
      <c r="Q172" s="66">
        <v>14.141636032899781</v>
      </c>
      <c r="R172" s="66">
        <v>18.805415998406254</v>
      </c>
      <c r="S172" s="66">
        <v>15.573121041017652</v>
      </c>
      <c r="T172" s="66">
        <v>9.5330639435569253</v>
      </c>
      <c r="U172" s="66">
        <v>12.528180886874374</v>
      </c>
      <c r="V172" s="67">
        <v>11.993734491772447</v>
      </c>
      <c r="W172" s="66">
        <v>15.937815823558861</v>
      </c>
      <c r="X172" s="66">
        <v>15.627693507232244</v>
      </c>
      <c r="Y172" s="66">
        <v>15.076527818723536</v>
      </c>
      <c r="Z172" s="66">
        <v>18.741178816087221</v>
      </c>
      <c r="AA172" s="66">
        <v>13.758331858407077</v>
      </c>
      <c r="AB172" s="66">
        <v>12.730904086296286</v>
      </c>
      <c r="AC172" s="66">
        <v>16.714164518874398</v>
      </c>
      <c r="AD172" s="66">
        <v>4.4163864566836084</v>
      </c>
      <c r="AE172" s="66">
        <v>60.363667289150513</v>
      </c>
      <c r="AF172" s="66">
        <v>15.056679130901287</v>
      </c>
      <c r="AG172" s="66">
        <v>10.299953078657641</v>
      </c>
      <c r="AH172" s="66">
        <v>14.166233678794555</v>
      </c>
      <c r="AI172" s="66">
        <v>5.6465102895027632</v>
      </c>
      <c r="AJ172" s="66">
        <v>14.977654895177952</v>
      </c>
      <c r="AK172" s="66">
        <v>14.356015783274438</v>
      </c>
      <c r="AL172" s="66">
        <v>9.2150665260818663</v>
      </c>
      <c r="AM172" s="66">
        <v>16.917111426840798</v>
      </c>
      <c r="AN172" s="66">
        <v>7.2214097802608084</v>
      </c>
      <c r="AO172" s="66">
        <v>17.496700627252054</v>
      </c>
      <c r="AP172" s="66">
        <v>15.512784427351431</v>
      </c>
      <c r="AQ172" s="66">
        <v>20.692831337813075</v>
      </c>
      <c r="AR172" s="66">
        <v>9.6994029998184104</v>
      </c>
      <c r="AS172" s="66">
        <v>15.011497015908352</v>
      </c>
    </row>
    <row r="173" spans="3:45" ht="12.75">
      <c r="C173" s="68" t="s">
        <v>120</v>
      </c>
      <c r="E173" s="18" t="s">
        <v>30</v>
      </c>
      <c r="F173" s="71">
        <v>2010</v>
      </c>
      <c r="G173" s="18" t="s">
        <v>120</v>
      </c>
      <c r="H173" s="66"/>
      <c r="I173" s="66">
        <v>6.965389289894576</v>
      </c>
      <c r="J173" s="66">
        <v>18.896218031019156</v>
      </c>
      <c r="K173" s="66">
        <v>13.757251607963024</v>
      </c>
      <c r="L173" s="66">
        <v>15.549539365821731</v>
      </c>
      <c r="M173" s="66">
        <v>8.5103503456274812</v>
      </c>
      <c r="N173" s="66">
        <v>11.930379378702524</v>
      </c>
      <c r="O173" s="66">
        <v>11.96816042665623</v>
      </c>
      <c r="P173" s="66">
        <v>10.003642297486673</v>
      </c>
      <c r="Q173" s="66">
        <v>11.741510641645279</v>
      </c>
      <c r="R173" s="66">
        <v>17.144506025445775</v>
      </c>
      <c r="S173" s="66">
        <v>15.327056713955786</v>
      </c>
      <c r="T173" s="66">
        <v>6.5764821240877565</v>
      </c>
      <c r="U173" s="66">
        <v>11.142550160672368</v>
      </c>
      <c r="V173" s="67">
        <v>12.992548793132423</v>
      </c>
      <c r="W173" s="66">
        <v>13.248263828780861</v>
      </c>
      <c r="X173" s="66">
        <v>13.100472537429651</v>
      </c>
      <c r="Y173" s="66">
        <v>11.339123088599468</v>
      </c>
      <c r="Z173" s="66">
        <v>18.250087257973199</v>
      </c>
      <c r="AA173" s="66">
        <v>13.678164822404367</v>
      </c>
      <c r="AB173" s="66">
        <v>9.2555545752053767</v>
      </c>
      <c r="AC173" s="66">
        <v>14.057133380446302</v>
      </c>
      <c r="AD173" s="66">
        <v>4.2030321962187962</v>
      </c>
      <c r="AE173" s="66">
        <v>58.312971338757407</v>
      </c>
      <c r="AF173" s="66">
        <v>17.650323294141288</v>
      </c>
      <c r="AG173" s="66">
        <v>6.7548289713865666</v>
      </c>
      <c r="AH173" s="66">
        <v>10.965743412584048</v>
      </c>
      <c r="AI173" s="66">
        <v>7.1552660023146748</v>
      </c>
      <c r="AJ173" s="66">
        <v>13.11723759057473</v>
      </c>
      <c r="AK173" s="66">
        <v>13.57938794977815</v>
      </c>
      <c r="AL173" s="66">
        <v>7.4115301989604836</v>
      </c>
      <c r="AM173" s="66">
        <v>12.128672046364281</v>
      </c>
      <c r="AN173" s="66">
        <v>5.4536277219646498</v>
      </c>
      <c r="AO173" s="66">
        <v>14.444461539777285</v>
      </c>
      <c r="AP173" s="66">
        <v>15.557090146793461</v>
      </c>
      <c r="AQ173" s="66">
        <v>14.339017065271548</v>
      </c>
      <c r="AR173" s="66">
        <v>8.9224184923026293</v>
      </c>
      <c r="AS173" s="66">
        <v>12.74166493118495</v>
      </c>
    </row>
    <row r="174" spans="3:45" ht="12.75">
      <c r="C174" s="68" t="s">
        <v>121</v>
      </c>
      <c r="E174" s="18" t="s">
        <v>30</v>
      </c>
      <c r="F174" s="71">
        <v>2010</v>
      </c>
      <c r="G174" s="18" t="s">
        <v>121</v>
      </c>
      <c r="H174" s="66"/>
      <c r="I174" s="66">
        <v>11.829463627417343</v>
      </c>
      <c r="J174" s="66">
        <v>22.436000785233027</v>
      </c>
      <c r="K174" s="66">
        <v>16.451808729771436</v>
      </c>
      <c r="L174" s="66">
        <v>18.69038397656006</v>
      </c>
      <c r="M174" s="66">
        <v>8.7716805281293055</v>
      </c>
      <c r="N174" s="66">
        <v>13.791752252489591</v>
      </c>
      <c r="O174" s="66">
        <v>13.182813301719026</v>
      </c>
      <c r="P174" s="66">
        <v>12.656798341212223</v>
      </c>
      <c r="Q174" s="66">
        <v>14.445800046458261</v>
      </c>
      <c r="R174" s="66">
        <v>18.470476413875662</v>
      </c>
      <c r="S174" s="66">
        <v>16.211826867400116</v>
      </c>
      <c r="T174" s="66">
        <v>10.000511348013514</v>
      </c>
      <c r="U174" s="66">
        <v>12.303836754688186</v>
      </c>
      <c r="V174" s="67">
        <v>11.843631268349968</v>
      </c>
      <c r="W174" s="66">
        <v>16.283393323500011</v>
      </c>
      <c r="X174" s="66">
        <v>15.652296037211547</v>
      </c>
      <c r="Y174" s="66">
        <v>14.94796165844787</v>
      </c>
      <c r="Z174" s="66">
        <v>19.856307041088581</v>
      </c>
      <c r="AA174" s="66">
        <v>14.024238681130456</v>
      </c>
      <c r="AB174" s="66">
        <v>12.761387502824128</v>
      </c>
      <c r="AC174" s="66">
        <v>16.880395017604403</v>
      </c>
      <c r="AD174" s="66">
        <v>4.3957640264475879</v>
      </c>
      <c r="AE174" s="66">
        <v>63.57592308373949</v>
      </c>
      <c r="AF174" s="66">
        <v>15.827938952027752</v>
      </c>
      <c r="AG174" s="66">
        <v>10.912872673867673</v>
      </c>
      <c r="AH174" s="66">
        <v>14.270115180327867</v>
      </c>
      <c r="AI174" s="66">
        <v>5.4924041744701837</v>
      </c>
      <c r="AJ174" s="66">
        <v>14.944557383770119</v>
      </c>
      <c r="AK174" s="66">
        <v>14.056396758090093</v>
      </c>
      <c r="AL174" s="66">
        <v>9.1024250327592231</v>
      </c>
      <c r="AM174" s="66">
        <v>16.917061941554284</v>
      </c>
      <c r="AN174" s="66">
        <v>7.1989137858842209</v>
      </c>
      <c r="AO174" s="66">
        <v>17.565759300409049</v>
      </c>
      <c r="AP174" s="66">
        <v>15.982104648494623</v>
      </c>
      <c r="AQ174" s="66">
        <v>19.84309209809264</v>
      </c>
      <c r="AR174" s="66">
        <v>9.5333938056117997</v>
      </c>
      <c r="AS174" s="66">
        <v>15.964876109981894</v>
      </c>
    </row>
    <row r="175" spans="3:45" ht="12.75">
      <c r="C175" s="68" t="s">
        <v>122</v>
      </c>
      <c r="E175" s="18" t="s">
        <v>30</v>
      </c>
      <c r="F175" s="71">
        <v>2010</v>
      </c>
      <c r="G175" s="18" t="s">
        <v>122</v>
      </c>
      <c r="H175" s="66"/>
      <c r="I175" s="66">
        <v>16.987329003884746</v>
      </c>
      <c r="J175" s="66">
        <v>24.825052622429933</v>
      </c>
      <c r="K175" s="66">
        <v>18.886663508829383</v>
      </c>
      <c r="L175" s="66">
        <v>18.886560929096088</v>
      </c>
      <c r="M175" s="66">
        <v>12.079247755569881</v>
      </c>
      <c r="N175" s="66">
        <v>15.780351221889966</v>
      </c>
      <c r="O175" s="66">
        <v>16.597328923766813</v>
      </c>
      <c r="P175" s="66">
        <v>15.898147411428727</v>
      </c>
      <c r="Q175" s="66">
        <v>18.773079059253341</v>
      </c>
      <c r="R175" s="66">
        <v>25.380764212634226</v>
      </c>
      <c r="S175" s="66">
        <v>18.969552874201607</v>
      </c>
      <c r="T175" s="66">
        <v>12.071629817813761</v>
      </c>
      <c r="U175" s="66">
        <v>17.075072779413659</v>
      </c>
      <c r="V175" s="67">
        <v>15.93410796798052</v>
      </c>
      <c r="W175" s="66">
        <v>17.583225475773318</v>
      </c>
      <c r="X175" s="66">
        <v>18.333111820911817</v>
      </c>
      <c r="Y175" s="66">
        <v>20.46130710015731</v>
      </c>
      <c r="Z175" s="66">
        <v>21.35037098643366</v>
      </c>
      <c r="AA175" s="66">
        <v>13.925697567114092</v>
      </c>
      <c r="AB175" s="66">
        <v>14.429349395111808</v>
      </c>
      <c r="AC175" s="66">
        <v>19.211908193682174</v>
      </c>
      <c r="AD175" s="66">
        <v>6.2624578459343789</v>
      </c>
      <c r="AE175" s="66">
        <v>60.05942773276977</v>
      </c>
      <c r="AF175" s="66">
        <v>20.109185585323235</v>
      </c>
      <c r="AG175" s="66">
        <v>15.144308751665044</v>
      </c>
      <c r="AH175" s="66">
        <v>22.261738661417322</v>
      </c>
      <c r="AI175" s="66">
        <v>4.5024503111111116</v>
      </c>
      <c r="AJ175" s="66">
        <v>16.594994469426098</v>
      </c>
      <c r="AK175" s="66">
        <v>13.826452987965316</v>
      </c>
      <c r="AL175" s="66">
        <v>10.618008555279507</v>
      </c>
      <c r="AM175" s="66">
        <v>18.353969216624527</v>
      </c>
      <c r="AN175" s="66">
        <v>8.9725655702249174</v>
      </c>
      <c r="AO175" s="66">
        <v>19.778034651652309</v>
      </c>
      <c r="AP175" s="66">
        <v>17.150521880216296</v>
      </c>
      <c r="AQ175" s="66">
        <v>22.298549324469221</v>
      </c>
      <c r="AR175" s="66">
        <v>11.915085790082406</v>
      </c>
      <c r="AS175" s="66">
        <v>17.113498269740184</v>
      </c>
    </row>
    <row r="176" spans="3:45" ht="12.75">
      <c r="C176" s="68" t="s">
        <v>123</v>
      </c>
      <c r="E176" s="18" t="s">
        <v>30</v>
      </c>
      <c r="F176" s="71">
        <v>2010</v>
      </c>
      <c r="G176" s="18" t="s">
        <v>123</v>
      </c>
      <c r="H176" s="66"/>
      <c r="I176" s="66">
        <v>11.031087114664272</v>
      </c>
      <c r="J176" s="66">
        <v>22.044048618155088</v>
      </c>
      <c r="K176" s="66">
        <v>16.224710307784317</v>
      </c>
      <c r="L176" s="66">
        <v>19.691649283964754</v>
      </c>
      <c r="M176" s="66">
        <v>10.70119755133571</v>
      </c>
      <c r="N176" s="66">
        <v>13.807953539760286</v>
      </c>
      <c r="O176" s="66">
        <v>13.558117371890281</v>
      </c>
      <c r="P176" s="66">
        <v>12.54634712199922</v>
      </c>
      <c r="Q176" s="66">
        <v>14.09163603289978</v>
      </c>
      <c r="R176" s="66">
        <v>18.755415998406253</v>
      </c>
      <c r="S176" s="66">
        <v>15.523121041017651</v>
      </c>
      <c r="T176" s="66">
        <v>9.4830639435569246</v>
      </c>
      <c r="U176" s="66">
        <v>12.478180886874373</v>
      </c>
      <c r="V176" s="67">
        <v>11.943734491772446</v>
      </c>
      <c r="W176" s="66">
        <v>15.88781582355886</v>
      </c>
      <c r="X176" s="66">
        <v>15.577693507232244</v>
      </c>
      <c r="Y176" s="66">
        <v>15.026527818723535</v>
      </c>
      <c r="Z176" s="66">
        <v>18.69117881608722</v>
      </c>
      <c r="AA176" s="66">
        <v>13.708331858407076</v>
      </c>
      <c r="AB176" s="66">
        <v>12.680904086296286</v>
      </c>
      <c r="AC176" s="66">
        <v>16.664164518874397</v>
      </c>
      <c r="AD176" s="66">
        <v>4.3663864566836086</v>
      </c>
      <c r="AE176" s="66">
        <v>60.313667289150516</v>
      </c>
      <c r="AF176" s="66">
        <v>15.006679130901286</v>
      </c>
      <c r="AG176" s="66">
        <v>10.24995307865764</v>
      </c>
      <c r="AH176" s="66">
        <v>14.116233678794554</v>
      </c>
      <c r="AI176" s="66">
        <v>5.5965102895027634</v>
      </c>
      <c r="AJ176" s="66">
        <v>14.927654895177952</v>
      </c>
      <c r="AK176" s="66">
        <v>14.306015783274438</v>
      </c>
      <c r="AL176" s="66">
        <v>9.1650665260818656</v>
      </c>
      <c r="AM176" s="66">
        <v>16.867111426840797</v>
      </c>
      <c r="AN176" s="66">
        <v>7.1714097802608086</v>
      </c>
      <c r="AO176" s="66">
        <v>17.446700627252053</v>
      </c>
      <c r="AP176" s="66">
        <v>15.46278442735143</v>
      </c>
      <c r="AQ176" s="66">
        <v>20.642831337813075</v>
      </c>
      <c r="AR176" s="66">
        <v>9.6494029998184097</v>
      </c>
      <c r="AS176" s="66">
        <v>14.961497015908352</v>
      </c>
    </row>
    <row r="177" spans="3:45" ht="12.75">
      <c r="C177" s="68" t="s">
        <v>124</v>
      </c>
      <c r="E177" s="18" t="s">
        <v>30</v>
      </c>
      <c r="F177" s="71">
        <v>2010</v>
      </c>
      <c r="G177" s="18" t="s">
        <v>124</v>
      </c>
      <c r="H177" s="66"/>
      <c r="I177" s="66">
        <v>6.9153892898945761</v>
      </c>
      <c r="J177" s="66">
        <v>18.846218031019156</v>
      </c>
      <c r="K177" s="66">
        <v>13.707251607963023</v>
      </c>
      <c r="L177" s="66">
        <v>15.499539365821731</v>
      </c>
      <c r="M177" s="66">
        <v>8.4603503456274805</v>
      </c>
      <c r="N177" s="66">
        <v>11.880379378702523</v>
      </c>
      <c r="O177" s="66">
        <v>11.918160426656229</v>
      </c>
      <c r="P177" s="66">
        <v>9.9536422974866721</v>
      </c>
      <c r="Q177" s="66">
        <v>11.691510641645278</v>
      </c>
      <c r="R177" s="66">
        <v>17.094506025445774</v>
      </c>
      <c r="S177" s="66">
        <v>15.277056713955785</v>
      </c>
      <c r="T177" s="66">
        <v>6.5264821240877566</v>
      </c>
      <c r="U177" s="66">
        <v>11.092550160672367</v>
      </c>
      <c r="V177" s="67">
        <v>12.942548793132422</v>
      </c>
      <c r="W177" s="66">
        <v>13.19826382878086</v>
      </c>
      <c r="X177" s="66">
        <v>13.05047253742965</v>
      </c>
      <c r="Y177" s="66">
        <v>11.289123088599467</v>
      </c>
      <c r="Z177" s="66">
        <v>18.200087257973198</v>
      </c>
      <c r="AA177" s="66">
        <v>13.628164822404367</v>
      </c>
      <c r="AB177" s="66">
        <v>9.205554575205376</v>
      </c>
      <c r="AC177" s="66">
        <v>14.007133380446302</v>
      </c>
      <c r="AD177" s="66">
        <v>4.1530321962187964</v>
      </c>
      <c r="AE177" s="66">
        <v>58.26297133875741</v>
      </c>
      <c r="AF177" s="66">
        <v>17.600323294141287</v>
      </c>
      <c r="AG177" s="66">
        <v>6.7048289713865667</v>
      </c>
      <c r="AH177" s="66">
        <v>10.915743412584048</v>
      </c>
      <c r="AI177" s="66">
        <v>7.105266002314675</v>
      </c>
      <c r="AJ177" s="66">
        <v>13.067237590574729</v>
      </c>
      <c r="AK177" s="66">
        <v>13.529387949778149</v>
      </c>
      <c r="AL177" s="66">
        <v>7.3615301989604838</v>
      </c>
      <c r="AM177" s="66">
        <v>12.07867204636428</v>
      </c>
      <c r="AN177" s="66">
        <v>5.40362772196465</v>
      </c>
      <c r="AO177" s="66">
        <v>14.394461539777284</v>
      </c>
      <c r="AP177" s="66">
        <v>15.507090146793461</v>
      </c>
      <c r="AQ177" s="66">
        <v>14.289017065271548</v>
      </c>
      <c r="AR177" s="66">
        <v>8.8724184923026286</v>
      </c>
      <c r="AS177" s="66">
        <v>12.691664931184949</v>
      </c>
    </row>
    <row r="178" spans="3:45" ht="12.75">
      <c r="C178" s="68" t="s">
        <v>125</v>
      </c>
      <c r="E178" s="18" t="s">
        <v>30</v>
      </c>
      <c r="F178" s="71">
        <v>2010</v>
      </c>
      <c r="G178" s="18" t="s">
        <v>125</v>
      </c>
      <c r="H178" s="66"/>
      <c r="I178" s="66">
        <v>11.779463627417343</v>
      </c>
      <c r="J178" s="66">
        <v>22.386000785233026</v>
      </c>
      <c r="K178" s="66">
        <v>16.401808729771435</v>
      </c>
      <c r="L178" s="66">
        <v>18.640383976560059</v>
      </c>
      <c r="M178" s="66">
        <v>8.7216805281293048</v>
      </c>
      <c r="N178" s="66">
        <v>13.74175225248959</v>
      </c>
      <c r="O178" s="66">
        <v>13.132813301719025</v>
      </c>
      <c r="P178" s="66">
        <v>12.606798341212222</v>
      </c>
      <c r="Q178" s="66">
        <v>14.395800046458261</v>
      </c>
      <c r="R178" s="66">
        <v>18.420476413875662</v>
      </c>
      <c r="S178" s="66">
        <v>16.161826867400116</v>
      </c>
      <c r="T178" s="66">
        <v>9.9505113480135137</v>
      </c>
      <c r="U178" s="66">
        <v>12.253836754688185</v>
      </c>
      <c r="V178" s="67">
        <v>11.793631268349968</v>
      </c>
      <c r="W178" s="66">
        <v>16.23339332350001</v>
      </c>
      <c r="X178" s="66">
        <v>15.602296037211547</v>
      </c>
      <c r="Y178" s="66">
        <v>14.897961658447869</v>
      </c>
      <c r="Z178" s="66">
        <v>19.80630704108858</v>
      </c>
      <c r="AA178" s="66">
        <v>13.974238681130455</v>
      </c>
      <c r="AB178" s="66">
        <v>12.711387502824127</v>
      </c>
      <c r="AC178" s="66">
        <v>16.830395017604403</v>
      </c>
      <c r="AD178" s="66">
        <v>4.3457640264475881</v>
      </c>
      <c r="AE178" s="66">
        <v>63.525923083739492</v>
      </c>
      <c r="AF178" s="66">
        <v>15.777938952027752</v>
      </c>
      <c r="AG178" s="66">
        <v>10.862872673867672</v>
      </c>
      <c r="AH178" s="66">
        <v>14.220115180327866</v>
      </c>
      <c r="AI178" s="66">
        <v>5.4424041744701839</v>
      </c>
      <c r="AJ178" s="66">
        <v>14.894557383770119</v>
      </c>
      <c r="AK178" s="66">
        <v>14.006396758090093</v>
      </c>
      <c r="AL178" s="66">
        <v>9.0524250327592224</v>
      </c>
      <c r="AM178" s="66">
        <v>16.867061941554283</v>
      </c>
      <c r="AN178" s="66">
        <v>7.1489137858842211</v>
      </c>
      <c r="AO178" s="66">
        <v>17.515759300409048</v>
      </c>
      <c r="AP178" s="66">
        <v>15.932104648494622</v>
      </c>
      <c r="AQ178" s="66">
        <v>19.793092098092639</v>
      </c>
      <c r="AR178" s="66">
        <v>9.483393805611799</v>
      </c>
      <c r="AS178" s="66">
        <v>15.914876109981893</v>
      </c>
    </row>
    <row r="179" spans="3:45" ht="12.75">
      <c r="C179" s="68" t="s">
        <v>126</v>
      </c>
      <c r="E179" s="18" t="s">
        <v>30</v>
      </c>
      <c r="F179" s="71">
        <v>2010</v>
      </c>
      <c r="G179" s="18" t="s">
        <v>126</v>
      </c>
      <c r="H179" s="66"/>
      <c r="I179" s="66">
        <v>16.937329003884745</v>
      </c>
      <c r="J179" s="66">
        <v>24.775052622429932</v>
      </c>
      <c r="K179" s="66">
        <v>18.836663508829382</v>
      </c>
      <c r="L179" s="66">
        <v>18.836560929096088</v>
      </c>
      <c r="M179" s="66">
        <v>12.02924775556988</v>
      </c>
      <c r="N179" s="66">
        <v>15.730351221889965</v>
      </c>
      <c r="O179" s="66">
        <v>16.547328923766813</v>
      </c>
      <c r="P179" s="66">
        <v>15.848147411428727</v>
      </c>
      <c r="Q179" s="66">
        <v>18.72307905925334</v>
      </c>
      <c r="R179" s="66">
        <v>25.330764212634225</v>
      </c>
      <c r="S179" s="66">
        <v>18.919552874201607</v>
      </c>
      <c r="T179" s="66">
        <v>12.021629817813761</v>
      </c>
      <c r="U179" s="66">
        <v>17.025072779413659</v>
      </c>
      <c r="V179" s="67">
        <v>15.884107967980519</v>
      </c>
      <c r="W179" s="66">
        <v>17.533225475773317</v>
      </c>
      <c r="X179" s="66">
        <v>18.283111820911817</v>
      </c>
      <c r="Y179" s="66">
        <v>20.411307100157309</v>
      </c>
      <c r="Z179" s="66">
        <v>21.300370986433659</v>
      </c>
      <c r="AA179" s="66">
        <v>13.875697567114091</v>
      </c>
      <c r="AB179" s="66">
        <v>14.379349395111808</v>
      </c>
      <c r="AC179" s="66">
        <v>19.161908193682173</v>
      </c>
      <c r="AD179" s="66">
        <v>6.2124578459343791</v>
      </c>
      <c r="AE179" s="66">
        <v>60.009427732769772</v>
      </c>
      <c r="AF179" s="66">
        <v>20.059185585323235</v>
      </c>
      <c r="AG179" s="66">
        <v>15.094308751665043</v>
      </c>
      <c r="AH179" s="66">
        <v>22.211738661417321</v>
      </c>
      <c r="AI179" s="66">
        <v>4.4524503111111118</v>
      </c>
      <c r="AJ179" s="66">
        <v>16.544994469426097</v>
      </c>
      <c r="AK179" s="66">
        <v>13.776452987965316</v>
      </c>
      <c r="AL179" s="66">
        <v>10.568008555279507</v>
      </c>
      <c r="AM179" s="66">
        <v>18.303969216624527</v>
      </c>
      <c r="AN179" s="66">
        <v>8.9225655702249167</v>
      </c>
      <c r="AO179" s="66">
        <v>19.728034651652308</v>
      </c>
      <c r="AP179" s="66">
        <v>17.100521880216295</v>
      </c>
      <c r="AQ179" s="66">
        <v>22.24854932446922</v>
      </c>
      <c r="AR179" s="66">
        <v>11.865085790082405</v>
      </c>
      <c r="AS179" s="66">
        <v>17.063498269740183</v>
      </c>
    </row>
    <row r="180" spans="3:45" ht="12.75">
      <c r="C180" s="68" t="s">
        <v>127</v>
      </c>
      <c r="E180" s="18" t="s">
        <v>30</v>
      </c>
      <c r="F180" s="71">
        <v>2010</v>
      </c>
      <c r="G180" s="18" t="s">
        <v>127</v>
      </c>
      <c r="H180" s="66"/>
      <c r="I180" s="66">
        <v>10.981087114664271</v>
      </c>
      <c r="J180" s="66">
        <v>21.994048618155087</v>
      </c>
      <c r="K180" s="66">
        <v>16.174710307784316</v>
      </c>
      <c r="L180" s="66">
        <v>19.641649283964753</v>
      </c>
      <c r="M180" s="66">
        <v>10.651197551335709</v>
      </c>
      <c r="N180" s="66">
        <v>13.757953539760285</v>
      </c>
      <c r="O180" s="66">
        <v>13.508117371890281</v>
      </c>
      <c r="P180" s="66">
        <v>12.49634712199922</v>
      </c>
      <c r="Q180" s="66">
        <v>14.041636032899779</v>
      </c>
      <c r="R180" s="66">
        <v>18.705415998406252</v>
      </c>
      <c r="S180" s="66">
        <v>15.473121041017651</v>
      </c>
      <c r="T180" s="66">
        <v>9.4330639435569239</v>
      </c>
      <c r="U180" s="66">
        <v>12.428180886874372</v>
      </c>
      <c r="V180" s="67">
        <v>11.893734491772445</v>
      </c>
      <c r="W180" s="66">
        <v>15.837815823558859</v>
      </c>
      <c r="X180" s="66">
        <v>15.527693507232243</v>
      </c>
      <c r="Y180" s="66">
        <v>14.976527818723534</v>
      </c>
      <c r="Z180" s="66">
        <v>18.641178816087219</v>
      </c>
      <c r="AA180" s="66">
        <v>13.658331858407076</v>
      </c>
      <c r="AB180" s="66">
        <v>12.630904086296285</v>
      </c>
      <c r="AC180" s="66">
        <v>16.614164518874396</v>
      </c>
      <c r="AD180" s="66">
        <v>4.3163864566836088</v>
      </c>
      <c r="AE180" s="66">
        <v>60.263667289150519</v>
      </c>
      <c r="AF180" s="66">
        <v>14.956679130901286</v>
      </c>
      <c r="AG180" s="66">
        <v>10.199953078657639</v>
      </c>
      <c r="AH180" s="66">
        <v>14.066233678794553</v>
      </c>
      <c r="AI180" s="66">
        <v>5.5465102895027636</v>
      </c>
      <c r="AJ180" s="66">
        <v>14.877654895177951</v>
      </c>
      <c r="AK180" s="66">
        <v>14.256015783274437</v>
      </c>
      <c r="AL180" s="66">
        <v>9.1150665260818649</v>
      </c>
      <c r="AM180" s="66">
        <v>16.817111426840796</v>
      </c>
      <c r="AN180" s="66">
        <v>7.1214097802608087</v>
      </c>
      <c r="AO180" s="66">
        <v>17.396700627252052</v>
      </c>
      <c r="AP180" s="66">
        <v>15.412784427351429</v>
      </c>
      <c r="AQ180" s="66">
        <v>20.592831337813074</v>
      </c>
      <c r="AR180" s="66">
        <v>9.5994029998184089</v>
      </c>
      <c r="AS180" s="66">
        <v>14.911497015908351</v>
      </c>
    </row>
    <row r="181" spans="3:45" ht="12.75">
      <c r="C181" s="68" t="s">
        <v>128</v>
      </c>
      <c r="E181" s="18" t="s">
        <v>30</v>
      </c>
      <c r="F181" s="71">
        <v>2010</v>
      </c>
      <c r="G181" s="18" t="s">
        <v>128</v>
      </c>
      <c r="H181" s="66"/>
      <c r="I181" s="66">
        <v>6.8653892898945763</v>
      </c>
      <c r="J181" s="66">
        <v>18.796218031019155</v>
      </c>
      <c r="K181" s="66">
        <v>13.657251607963023</v>
      </c>
      <c r="L181" s="66">
        <v>15.44953936582173</v>
      </c>
      <c r="M181" s="66">
        <v>8.4103503456274797</v>
      </c>
      <c r="N181" s="66">
        <v>11.830379378702522</v>
      </c>
      <c r="O181" s="66">
        <v>11.868160426656228</v>
      </c>
      <c r="P181" s="66">
        <v>9.9036422974866714</v>
      </c>
      <c r="Q181" s="66">
        <v>11.641510641645278</v>
      </c>
      <c r="R181" s="66">
        <v>17.044506025445774</v>
      </c>
      <c r="S181" s="66">
        <v>15.227056713955784</v>
      </c>
      <c r="T181" s="66">
        <v>6.4764821240877568</v>
      </c>
      <c r="U181" s="66">
        <v>11.042550160672366</v>
      </c>
      <c r="V181" s="67">
        <v>12.892548793132422</v>
      </c>
      <c r="W181" s="66">
        <v>13.148263828780859</v>
      </c>
      <c r="X181" s="66">
        <v>13.000472537429649</v>
      </c>
      <c r="Y181" s="66">
        <v>11.239123088599467</v>
      </c>
      <c r="Z181" s="66">
        <v>18.150087257973198</v>
      </c>
      <c r="AA181" s="66">
        <v>13.578164822404366</v>
      </c>
      <c r="AB181" s="66">
        <v>9.1555545752053753</v>
      </c>
      <c r="AC181" s="66">
        <v>13.957133380446301</v>
      </c>
      <c r="AD181" s="66">
        <v>4.1030321962187966</v>
      </c>
      <c r="AE181" s="66">
        <v>58.212971338757413</v>
      </c>
      <c r="AF181" s="66">
        <v>17.550323294141286</v>
      </c>
      <c r="AG181" s="66">
        <v>6.6548289713865669</v>
      </c>
      <c r="AH181" s="66">
        <v>10.865743412584047</v>
      </c>
      <c r="AI181" s="66">
        <v>7.0552660023146752</v>
      </c>
      <c r="AJ181" s="66">
        <v>13.017237590574728</v>
      </c>
      <c r="AK181" s="66">
        <v>13.479387949778149</v>
      </c>
      <c r="AL181" s="66">
        <v>7.311530198960484</v>
      </c>
      <c r="AM181" s="66">
        <v>12.02867204636428</v>
      </c>
      <c r="AN181" s="66">
        <v>5.3536277219646502</v>
      </c>
      <c r="AO181" s="66">
        <v>14.344461539777283</v>
      </c>
      <c r="AP181" s="66">
        <v>15.45709014679346</v>
      </c>
      <c r="AQ181" s="66">
        <v>14.239017065271547</v>
      </c>
      <c r="AR181" s="66">
        <v>8.8224184923026279</v>
      </c>
      <c r="AS181" s="66">
        <v>12.641664931184948</v>
      </c>
    </row>
    <row r="182" spans="3:45" ht="12.75">
      <c r="C182" s="68" t="s">
        <v>129</v>
      </c>
      <c r="E182" s="18" t="s">
        <v>30</v>
      </c>
      <c r="F182" s="71">
        <v>2010</v>
      </c>
      <c r="G182" s="18" t="s">
        <v>129</v>
      </c>
      <c r="H182" s="66"/>
      <c r="I182" s="66">
        <v>11.729463627417342</v>
      </c>
      <c r="J182" s="66">
        <v>22.336000785233026</v>
      </c>
      <c r="K182" s="66">
        <v>16.351808729771435</v>
      </c>
      <c r="L182" s="66">
        <v>18.590383976560059</v>
      </c>
      <c r="M182" s="66">
        <v>8.6716805281293041</v>
      </c>
      <c r="N182" s="66">
        <v>13.691752252489589</v>
      </c>
      <c r="O182" s="66">
        <v>13.082813301719025</v>
      </c>
      <c r="P182" s="66">
        <v>12.556798341212222</v>
      </c>
      <c r="Q182" s="66">
        <v>14.34580004645826</v>
      </c>
      <c r="R182" s="66">
        <v>18.370476413875661</v>
      </c>
      <c r="S182" s="66">
        <v>16.111826867400115</v>
      </c>
      <c r="T182" s="66">
        <v>9.900511348013513</v>
      </c>
      <c r="U182" s="66">
        <v>12.203836754688185</v>
      </c>
      <c r="V182" s="67">
        <v>11.743631268349967</v>
      </c>
      <c r="W182" s="66">
        <v>16.18339332350001</v>
      </c>
      <c r="X182" s="66">
        <v>15.552296037211546</v>
      </c>
      <c r="Y182" s="66">
        <v>14.847961658447868</v>
      </c>
      <c r="Z182" s="66">
        <v>19.756307041088579</v>
      </c>
      <c r="AA182" s="66">
        <v>13.924238681130454</v>
      </c>
      <c r="AB182" s="66">
        <v>12.661387502824127</v>
      </c>
      <c r="AC182" s="66">
        <v>16.780395017604402</v>
      </c>
      <c r="AD182" s="66">
        <v>4.2957640264475883</v>
      </c>
      <c r="AE182" s="66">
        <v>63.475923083739495</v>
      </c>
      <c r="AF182" s="66">
        <v>15.727938952027751</v>
      </c>
      <c r="AG182" s="66">
        <v>10.812872673867671</v>
      </c>
      <c r="AH182" s="66">
        <v>14.170115180327866</v>
      </c>
      <c r="AI182" s="66">
        <v>5.3924041744701841</v>
      </c>
      <c r="AJ182" s="66">
        <v>14.844557383770118</v>
      </c>
      <c r="AK182" s="66">
        <v>13.956396758090092</v>
      </c>
      <c r="AL182" s="66">
        <v>9.0024250327592217</v>
      </c>
      <c r="AM182" s="66">
        <v>16.817061941554282</v>
      </c>
      <c r="AN182" s="66">
        <v>7.0989137858842213</v>
      </c>
      <c r="AO182" s="66">
        <v>17.465759300409047</v>
      </c>
      <c r="AP182" s="66">
        <v>15.882104648494622</v>
      </c>
      <c r="AQ182" s="66">
        <v>19.743092098092639</v>
      </c>
      <c r="AR182" s="66">
        <v>9.4333938056117983</v>
      </c>
      <c r="AS182" s="66">
        <v>15.864876109981893</v>
      </c>
    </row>
    <row r="183" spans="3:45" ht="12.75">
      <c r="C183" s="68" t="s">
        <v>132</v>
      </c>
      <c r="E183" s="18" t="s">
        <v>30</v>
      </c>
      <c r="F183" s="71">
        <v>2010</v>
      </c>
      <c r="G183" s="18" t="s">
        <v>132</v>
      </c>
      <c r="H183" s="66">
        <v>16.92091353382277</v>
      </c>
      <c r="I183" s="66" t="s">
        <v>275</v>
      </c>
      <c r="J183" s="66" t="s">
        <v>275</v>
      </c>
      <c r="K183" s="66" t="s">
        <v>275</v>
      </c>
      <c r="L183" s="66" t="s">
        <v>275</v>
      </c>
      <c r="M183" s="66" t="s">
        <v>275</v>
      </c>
      <c r="N183" s="66">
        <v>13.7096791532894</v>
      </c>
      <c r="O183" s="66" t="s">
        <v>275</v>
      </c>
      <c r="P183" s="66" t="s">
        <v>275</v>
      </c>
      <c r="Q183" s="66">
        <v>26.398945369338801</v>
      </c>
      <c r="R183" s="66" t="s">
        <v>275</v>
      </c>
      <c r="S183" s="66" t="s">
        <v>275</v>
      </c>
      <c r="T183" s="66" t="s">
        <v>275</v>
      </c>
      <c r="U183" s="66" t="s">
        <v>275</v>
      </c>
      <c r="V183" s="67" t="s">
        <v>275</v>
      </c>
      <c r="W183" s="66" t="s">
        <v>275</v>
      </c>
      <c r="X183" s="66" t="s">
        <v>275</v>
      </c>
      <c r="Y183" s="66" t="s">
        <v>275</v>
      </c>
      <c r="Z183" s="66" t="s">
        <v>275</v>
      </c>
      <c r="AA183" s="66" t="s">
        <v>275</v>
      </c>
      <c r="AB183" s="66" t="s">
        <v>275</v>
      </c>
      <c r="AC183" s="66" t="s">
        <v>275</v>
      </c>
      <c r="AD183" s="66" t="s">
        <v>275</v>
      </c>
      <c r="AE183" s="66" t="s">
        <v>275</v>
      </c>
      <c r="AF183" s="66" t="s">
        <v>275</v>
      </c>
      <c r="AG183" s="66" t="s">
        <v>275</v>
      </c>
      <c r="AH183" s="66" t="s">
        <v>275</v>
      </c>
      <c r="AI183" s="66" t="s">
        <v>275</v>
      </c>
      <c r="AJ183" s="66">
        <v>10.654116078840101</v>
      </c>
      <c r="AK183" s="66" t="s">
        <v>275</v>
      </c>
      <c r="AL183" s="66" t="s">
        <v>275</v>
      </c>
      <c r="AM183" s="66" t="s">
        <v>275</v>
      </c>
      <c r="AN183" s="66" t="s">
        <v>275</v>
      </c>
      <c r="AO183" s="66" t="s">
        <v>275</v>
      </c>
      <c r="AP183" s="66" t="s">
        <v>275</v>
      </c>
      <c r="AQ183" s="66" t="s">
        <v>275</v>
      </c>
      <c r="AR183" s="66" t="s">
        <v>275</v>
      </c>
      <c r="AS183" s="66" t="s">
        <v>275</v>
      </c>
    </row>
    <row r="184" spans="3:45" ht="12.75">
      <c r="C184" s="68" t="s">
        <v>133</v>
      </c>
      <c r="E184" s="18" t="s">
        <v>30</v>
      </c>
      <c r="F184" s="71">
        <v>2010</v>
      </c>
      <c r="G184" s="18" t="s">
        <v>133</v>
      </c>
      <c r="H184" s="66">
        <v>26.488345641474996</v>
      </c>
      <c r="I184" s="66">
        <v>21.486584748049701</v>
      </c>
      <c r="J184" s="66">
        <v>35.614100468510898</v>
      </c>
      <c r="K184" s="66">
        <v>33.003087063524397</v>
      </c>
      <c r="L184" s="66">
        <v>22.067710513481799</v>
      </c>
      <c r="M184" s="66">
        <v>10.033842399063101</v>
      </c>
      <c r="N184" s="66">
        <v>13.8805170508109</v>
      </c>
      <c r="O184" s="66">
        <v>16.622691349572001</v>
      </c>
      <c r="P184" s="66">
        <v>18.591443622826102</v>
      </c>
      <c r="Q184" s="66">
        <v>22.085670997916299</v>
      </c>
      <c r="R184" s="66">
        <v>28.0699338606072</v>
      </c>
      <c r="S184" s="66">
        <v>22.754270406549299</v>
      </c>
      <c r="T184" s="66">
        <v>21.486584748049701</v>
      </c>
      <c r="U184" s="66">
        <v>5.2471854015496602</v>
      </c>
      <c r="V184" s="67">
        <v>16.0973231917859</v>
      </c>
      <c r="W184" s="66">
        <v>19.134382646872499</v>
      </c>
      <c r="X184" s="66">
        <v>33.003087063524397</v>
      </c>
      <c r="Y184" s="66">
        <v>24.279792931373098</v>
      </c>
      <c r="Z184" s="66">
        <v>50.308454844194102</v>
      </c>
      <c r="AA184" s="66">
        <v>17.0508823040938</v>
      </c>
      <c r="AB184" s="66">
        <v>22.293931022226701</v>
      </c>
      <c r="AC184" s="66">
        <v>33.003087063524397</v>
      </c>
      <c r="AD184" s="66">
        <v>21.037093562088401</v>
      </c>
      <c r="AE184" s="66">
        <v>148.15590955150901</v>
      </c>
      <c r="AF184" s="66">
        <v>40.243872277319397</v>
      </c>
      <c r="AG184" s="66">
        <v>21.486584748049701</v>
      </c>
      <c r="AH184" s="66">
        <v>29.506745368165401</v>
      </c>
      <c r="AI184" s="66">
        <v>5.03151459125095</v>
      </c>
      <c r="AJ184" s="66">
        <v>23.376997486467701</v>
      </c>
      <c r="AK184" s="66">
        <v>22.145325321043899</v>
      </c>
      <c r="AL184" s="66">
        <v>10.092945370533499</v>
      </c>
      <c r="AM184" s="66">
        <v>17.2548893861793</v>
      </c>
      <c r="AN184" s="66">
        <v>13.4355009663301</v>
      </c>
      <c r="AO184" s="66">
        <v>33.003087063524397</v>
      </c>
      <c r="AP184" s="66">
        <v>28.965916606556799</v>
      </c>
      <c r="AQ184" s="66">
        <v>40.540523129910298</v>
      </c>
      <c r="AR184" s="66">
        <v>18.320939540396601</v>
      </c>
      <c r="AS184" s="66">
        <v>21.3563800671437</v>
      </c>
    </row>
    <row r="185" spans="3:45" ht="12.75">
      <c r="C185" s="68" t="s">
        <v>134</v>
      </c>
      <c r="E185" s="18" t="s">
        <v>30</v>
      </c>
      <c r="F185" s="71">
        <v>2010</v>
      </c>
      <c r="G185" s="18" t="s">
        <v>134</v>
      </c>
      <c r="H185" s="66">
        <v>17.705282367524912</v>
      </c>
      <c r="I185" s="66">
        <v>15.109813351659801</v>
      </c>
      <c r="J185" s="66">
        <v>21.288196384263799</v>
      </c>
      <c r="K185" s="66">
        <v>23.753692793365001</v>
      </c>
      <c r="L185" s="66">
        <v>5.9949092065691403</v>
      </c>
      <c r="M185" s="66">
        <v>10.3738011367706</v>
      </c>
      <c r="N185" s="66">
        <v>9.7831353866159994</v>
      </c>
      <c r="O185" s="66">
        <v>14.054175587048</v>
      </c>
      <c r="P185" s="66">
        <v>11.1713473818292</v>
      </c>
      <c r="Q185" s="66">
        <v>14.4649606266766</v>
      </c>
      <c r="R185" s="66">
        <v>17.279089044774999</v>
      </c>
      <c r="S185" s="66">
        <v>15.8305235940675</v>
      </c>
      <c r="T185" s="66">
        <v>15.109813351659801</v>
      </c>
      <c r="U185" s="66">
        <v>0.840801522921234</v>
      </c>
      <c r="V185" s="67">
        <v>7.2490837309838296</v>
      </c>
      <c r="W185" s="66">
        <v>26.374219940342201</v>
      </c>
      <c r="X185" s="66">
        <v>23.753692793365001</v>
      </c>
      <c r="Y185" s="66">
        <v>12.8865198650668</v>
      </c>
      <c r="Z185" s="66">
        <v>39.423867570026999</v>
      </c>
      <c r="AA185" s="66">
        <v>11.584974407499599</v>
      </c>
      <c r="AB185" s="66">
        <v>11.550832670949699</v>
      </c>
      <c r="AC185" s="66">
        <v>23.753692793365001</v>
      </c>
      <c r="AD185" s="66">
        <v>5.4670076083707402</v>
      </c>
      <c r="AE185" s="66">
        <v>98.418932416963202</v>
      </c>
      <c r="AF185" s="66">
        <v>27.754772306555498</v>
      </c>
      <c r="AG185" s="66">
        <v>15.109813351659801</v>
      </c>
      <c r="AH185" s="66">
        <v>13.023325050350101</v>
      </c>
      <c r="AI185" s="66">
        <v>11.533115073411899</v>
      </c>
      <c r="AJ185" s="66">
        <v>12.8854582455693</v>
      </c>
      <c r="AK185" s="66">
        <v>10.130714412369</v>
      </c>
      <c r="AL185" s="66">
        <v>4.3840428760374301</v>
      </c>
      <c r="AM185" s="66">
        <v>11.8118496882158</v>
      </c>
      <c r="AN185" s="66">
        <v>7.4305456097544997</v>
      </c>
      <c r="AO185" s="66">
        <v>23.753692793365001</v>
      </c>
      <c r="AP185" s="66">
        <v>10.540587303090501</v>
      </c>
      <c r="AQ185" s="66">
        <v>40.920709413244701</v>
      </c>
      <c r="AR185" s="66">
        <v>13.346382329003999</v>
      </c>
      <c r="AS185" s="66">
        <v>16.953355980639301</v>
      </c>
    </row>
    <row r="186" spans="3:45" ht="12.75">
      <c r="C186" s="68" t="s">
        <v>135</v>
      </c>
      <c r="E186" s="18" t="s">
        <v>30</v>
      </c>
      <c r="F186" s="71">
        <v>2010</v>
      </c>
      <c r="G186" s="18" t="s">
        <v>135</v>
      </c>
      <c r="H186" s="66">
        <v>18.91401125590864</v>
      </c>
      <c r="I186" s="66" t="s">
        <v>275</v>
      </c>
      <c r="J186" s="66" t="s">
        <v>275</v>
      </c>
      <c r="K186" s="66" t="s">
        <v>275</v>
      </c>
      <c r="L186" s="66" t="s">
        <v>275</v>
      </c>
      <c r="M186" s="66" t="s">
        <v>275</v>
      </c>
      <c r="N186" s="66" t="s">
        <v>275</v>
      </c>
      <c r="O186" s="66" t="s">
        <v>275</v>
      </c>
      <c r="P186" s="66" t="s">
        <v>275</v>
      </c>
      <c r="Q186" s="66">
        <v>18.696217922535801</v>
      </c>
      <c r="R186" s="66">
        <v>14.3865908909723</v>
      </c>
      <c r="S186" s="66" t="s">
        <v>275</v>
      </c>
      <c r="T186" s="66" t="s">
        <v>275</v>
      </c>
      <c r="U186" s="66" t="s">
        <v>275</v>
      </c>
      <c r="V186" s="67" t="s">
        <v>275</v>
      </c>
      <c r="W186" s="66" t="s">
        <v>275</v>
      </c>
      <c r="X186" s="66" t="s">
        <v>275</v>
      </c>
      <c r="Y186" s="66" t="s">
        <v>275</v>
      </c>
      <c r="Z186" s="66" t="s">
        <v>275</v>
      </c>
      <c r="AA186" s="66" t="s">
        <v>275</v>
      </c>
      <c r="AB186" s="66" t="s">
        <v>275</v>
      </c>
      <c r="AC186" s="66" t="s">
        <v>275</v>
      </c>
      <c r="AD186" s="66" t="s">
        <v>275</v>
      </c>
      <c r="AE186" s="66" t="s">
        <v>275</v>
      </c>
      <c r="AF186" s="66">
        <v>23.244303740467402</v>
      </c>
      <c r="AG186" s="66" t="s">
        <v>275</v>
      </c>
      <c r="AH186" s="66" t="s">
        <v>275</v>
      </c>
      <c r="AI186" s="66" t="s">
        <v>275</v>
      </c>
      <c r="AJ186" s="66">
        <v>16.066108133822802</v>
      </c>
      <c r="AK186" s="66" t="s">
        <v>275</v>
      </c>
      <c r="AL186" s="66">
        <v>8.2811861014813797</v>
      </c>
      <c r="AM186" s="66">
        <v>13.661108598079</v>
      </c>
      <c r="AN186" s="66" t="s">
        <v>275</v>
      </c>
      <c r="AO186" s="66" t="s">
        <v>275</v>
      </c>
      <c r="AP186" s="66" t="s">
        <v>275</v>
      </c>
      <c r="AQ186" s="66" t="s">
        <v>275</v>
      </c>
      <c r="AR186" s="66" t="s">
        <v>275</v>
      </c>
      <c r="AS186" s="66">
        <v>38.0625634040018</v>
      </c>
    </row>
    <row r="187" spans="3:45" ht="12.75">
      <c r="C187" s="68" t="s">
        <v>133</v>
      </c>
      <c r="E187" s="18" t="s">
        <v>30</v>
      </c>
      <c r="F187" s="71">
        <v>2010</v>
      </c>
      <c r="G187" s="18" t="s">
        <v>158</v>
      </c>
      <c r="H187" s="66">
        <v>26.488345641474996</v>
      </c>
      <c r="I187" s="66">
        <v>21.486584748049701</v>
      </c>
      <c r="J187" s="66">
        <v>35.614100468510898</v>
      </c>
      <c r="K187" s="66">
        <v>33.003087063524397</v>
      </c>
      <c r="L187" s="66">
        <v>22.067710513481799</v>
      </c>
      <c r="M187" s="66">
        <v>10.033842399063101</v>
      </c>
      <c r="N187" s="66">
        <v>13.8805170508109</v>
      </c>
      <c r="O187" s="66">
        <v>16.622691349572001</v>
      </c>
      <c r="P187" s="66">
        <v>18.591443622826102</v>
      </c>
      <c r="Q187" s="66">
        <v>22.085670997916299</v>
      </c>
      <c r="R187" s="66">
        <v>28.0699338606072</v>
      </c>
      <c r="S187" s="66">
        <v>22.754270406549299</v>
      </c>
      <c r="T187" s="66">
        <v>21.486584748049701</v>
      </c>
      <c r="U187" s="66">
        <v>5.2471854015496602</v>
      </c>
      <c r="V187" s="67">
        <v>16.0973231917859</v>
      </c>
      <c r="W187" s="66">
        <v>19.134382646872499</v>
      </c>
      <c r="X187" s="66">
        <v>33.003087063524397</v>
      </c>
      <c r="Y187" s="66">
        <v>24.279792931373098</v>
      </c>
      <c r="Z187" s="66">
        <v>50.308454844194102</v>
      </c>
      <c r="AA187" s="66">
        <v>17.0508823040938</v>
      </c>
      <c r="AB187" s="66">
        <v>22.293931022226701</v>
      </c>
      <c r="AC187" s="66">
        <v>33.003087063524397</v>
      </c>
      <c r="AD187" s="66">
        <v>21.037093562088401</v>
      </c>
      <c r="AE187" s="66">
        <v>148.15590955150901</v>
      </c>
      <c r="AF187" s="66">
        <v>40.243872277319397</v>
      </c>
      <c r="AG187" s="66">
        <v>21.486584748049701</v>
      </c>
      <c r="AH187" s="66">
        <v>29.506745368165401</v>
      </c>
      <c r="AI187" s="66">
        <v>5.03151459125095</v>
      </c>
      <c r="AJ187" s="66">
        <v>23.376997486467701</v>
      </c>
      <c r="AK187" s="66">
        <v>22.145325321043899</v>
      </c>
      <c r="AL187" s="66">
        <v>10.092945370533499</v>
      </c>
      <c r="AM187" s="66">
        <v>17.2548893861793</v>
      </c>
      <c r="AN187" s="66">
        <v>13.4355009663301</v>
      </c>
      <c r="AO187" s="66">
        <v>33.003087063524397</v>
      </c>
      <c r="AP187" s="66">
        <v>28.965916606556799</v>
      </c>
      <c r="AQ187" s="66">
        <v>40.540523129910298</v>
      </c>
      <c r="AR187" s="66">
        <v>18.320939540396601</v>
      </c>
      <c r="AS187" s="66">
        <v>21.3563800671437</v>
      </c>
    </row>
    <row r="188" spans="3:45" ht="12.75">
      <c r="C188" s="68" t="s">
        <v>133</v>
      </c>
      <c r="E188" s="18" t="s">
        <v>30</v>
      </c>
      <c r="F188" s="71">
        <v>2010</v>
      </c>
      <c r="G188" s="18" t="s">
        <v>159</v>
      </c>
      <c r="H188" s="66">
        <v>26.488345641474996</v>
      </c>
      <c r="I188" s="66">
        <v>21.486584748049701</v>
      </c>
      <c r="J188" s="66">
        <v>35.614100468510898</v>
      </c>
      <c r="K188" s="66">
        <v>33.003087063524397</v>
      </c>
      <c r="L188" s="66">
        <v>22.067710513481799</v>
      </c>
      <c r="M188" s="66">
        <v>10.033842399063101</v>
      </c>
      <c r="N188" s="66">
        <v>13.8805170508109</v>
      </c>
      <c r="O188" s="66">
        <v>16.622691349572001</v>
      </c>
      <c r="P188" s="66">
        <v>18.591443622826102</v>
      </c>
      <c r="Q188" s="66">
        <v>22.085670997916299</v>
      </c>
      <c r="R188" s="66">
        <v>28.0699338606072</v>
      </c>
      <c r="S188" s="66">
        <v>22.754270406549299</v>
      </c>
      <c r="T188" s="66">
        <v>21.486584748049701</v>
      </c>
      <c r="U188" s="66">
        <v>5.2471854015496602</v>
      </c>
      <c r="V188" s="67">
        <v>16.0973231917859</v>
      </c>
      <c r="W188" s="66">
        <v>19.134382646872499</v>
      </c>
      <c r="X188" s="66">
        <v>33.003087063524397</v>
      </c>
      <c r="Y188" s="66">
        <v>24.279792931373098</v>
      </c>
      <c r="Z188" s="66">
        <v>50.308454844194102</v>
      </c>
      <c r="AA188" s="66">
        <v>17.0508823040938</v>
      </c>
      <c r="AB188" s="66">
        <v>22.293931022226701</v>
      </c>
      <c r="AC188" s="66">
        <v>33.003087063524397</v>
      </c>
      <c r="AD188" s="66">
        <v>21.037093562088401</v>
      </c>
      <c r="AE188" s="66">
        <v>148.15590955150901</v>
      </c>
      <c r="AF188" s="66">
        <v>40.243872277319397</v>
      </c>
      <c r="AG188" s="66">
        <v>21.486584748049701</v>
      </c>
      <c r="AH188" s="66">
        <v>29.506745368165401</v>
      </c>
      <c r="AI188" s="66">
        <v>5.03151459125095</v>
      </c>
      <c r="AJ188" s="66">
        <v>23.376997486467701</v>
      </c>
      <c r="AK188" s="66">
        <v>22.145325321043899</v>
      </c>
      <c r="AL188" s="66">
        <v>10.092945370533499</v>
      </c>
      <c r="AM188" s="66">
        <v>17.2548893861793</v>
      </c>
      <c r="AN188" s="66">
        <v>13.4355009663301</v>
      </c>
      <c r="AO188" s="66">
        <v>33.003087063524397</v>
      </c>
      <c r="AP188" s="66">
        <v>28.965916606556799</v>
      </c>
      <c r="AQ188" s="66">
        <v>40.540523129910298</v>
      </c>
      <c r="AR188" s="66">
        <v>18.320939540396601</v>
      </c>
      <c r="AS188" s="66">
        <v>21.3563800671437</v>
      </c>
    </row>
    <row r="189" spans="3:45" ht="12.75">
      <c r="C189" s="68" t="s">
        <v>133</v>
      </c>
      <c r="E189" s="18" t="s">
        <v>30</v>
      </c>
      <c r="F189" s="71">
        <v>2010</v>
      </c>
      <c r="G189" s="18" t="s">
        <v>160</v>
      </c>
      <c r="H189" s="66">
        <v>26.488345641474996</v>
      </c>
      <c r="I189" s="66">
        <v>21.486584748049701</v>
      </c>
      <c r="J189" s="66">
        <v>35.614100468510898</v>
      </c>
      <c r="K189" s="66">
        <v>33.003087063524397</v>
      </c>
      <c r="L189" s="66">
        <v>22.067710513481799</v>
      </c>
      <c r="M189" s="66">
        <v>10.033842399063101</v>
      </c>
      <c r="N189" s="66">
        <v>13.8805170508109</v>
      </c>
      <c r="O189" s="66">
        <v>16.622691349572001</v>
      </c>
      <c r="P189" s="66">
        <v>18.591443622826102</v>
      </c>
      <c r="Q189" s="66">
        <v>22.085670997916299</v>
      </c>
      <c r="R189" s="66">
        <v>28.0699338606072</v>
      </c>
      <c r="S189" s="66">
        <v>22.754270406549299</v>
      </c>
      <c r="T189" s="66">
        <v>21.486584748049701</v>
      </c>
      <c r="U189" s="66">
        <v>5.2471854015496602</v>
      </c>
      <c r="V189" s="67">
        <v>16.0973231917859</v>
      </c>
      <c r="W189" s="66">
        <v>19.134382646872499</v>
      </c>
      <c r="X189" s="66">
        <v>33.003087063524397</v>
      </c>
      <c r="Y189" s="66">
        <v>24.279792931373098</v>
      </c>
      <c r="Z189" s="66">
        <v>50.308454844194102</v>
      </c>
      <c r="AA189" s="66">
        <v>17.0508823040938</v>
      </c>
      <c r="AB189" s="66">
        <v>22.293931022226701</v>
      </c>
      <c r="AC189" s="66">
        <v>33.003087063524397</v>
      </c>
      <c r="AD189" s="66">
        <v>21.037093562088401</v>
      </c>
      <c r="AE189" s="66">
        <v>148.15590955150901</v>
      </c>
      <c r="AF189" s="66">
        <v>40.243872277319397</v>
      </c>
      <c r="AG189" s="66">
        <v>21.486584748049701</v>
      </c>
      <c r="AH189" s="66">
        <v>29.506745368165401</v>
      </c>
      <c r="AI189" s="66">
        <v>5.03151459125095</v>
      </c>
      <c r="AJ189" s="66">
        <v>23.376997486467701</v>
      </c>
      <c r="AK189" s="66">
        <v>22.145325321043899</v>
      </c>
      <c r="AL189" s="66">
        <v>10.092945370533499</v>
      </c>
      <c r="AM189" s="66">
        <v>17.2548893861793</v>
      </c>
      <c r="AN189" s="66">
        <v>13.4355009663301</v>
      </c>
      <c r="AO189" s="66">
        <v>33.003087063524397</v>
      </c>
      <c r="AP189" s="66">
        <v>28.965916606556799</v>
      </c>
      <c r="AQ189" s="66">
        <v>40.540523129910298</v>
      </c>
      <c r="AR189" s="66">
        <v>18.320939540396601</v>
      </c>
      <c r="AS189" s="66">
        <v>21.3563800671437</v>
      </c>
    </row>
    <row r="190" spans="3:45" ht="12.75">
      <c r="C190" s="68" t="s">
        <v>136</v>
      </c>
      <c r="E190" s="18" t="s">
        <v>30</v>
      </c>
      <c r="F190" s="71">
        <v>2010</v>
      </c>
      <c r="G190" s="18" t="s">
        <v>136</v>
      </c>
      <c r="H190" s="66">
        <v>3.2833248472815857</v>
      </c>
      <c r="I190" s="66">
        <v>3.0595050267446799</v>
      </c>
      <c r="J190" s="66">
        <v>1.5659906112170501</v>
      </c>
      <c r="K190" s="66">
        <v>6.7674854243124702</v>
      </c>
      <c r="L190" s="66">
        <v>0.53522085798034202</v>
      </c>
      <c r="M190" s="66">
        <v>1.1910728367518399</v>
      </c>
      <c r="N190" s="66">
        <v>1.3524993024177501</v>
      </c>
      <c r="O190" s="66">
        <v>5.6488064473686501</v>
      </c>
      <c r="P190" s="66">
        <v>2.15033481324723</v>
      </c>
      <c r="Q190" s="66">
        <v>2.7418781467083901</v>
      </c>
      <c r="R190" s="66">
        <v>1.75315116893009</v>
      </c>
      <c r="S190" s="66" t="s">
        <v>275</v>
      </c>
      <c r="T190" s="66">
        <v>3.0595050267446799</v>
      </c>
      <c r="U190" s="66">
        <v>2.7667343908509601</v>
      </c>
      <c r="V190" s="67">
        <v>1.3416393648706</v>
      </c>
      <c r="W190" s="66">
        <v>2.88422664324156</v>
      </c>
      <c r="X190" s="66">
        <v>6.7674854243124702</v>
      </c>
      <c r="Y190" s="66">
        <v>2.3390040540945098</v>
      </c>
      <c r="Z190" s="66">
        <v>13.301357437826001</v>
      </c>
      <c r="AA190" s="66" t="s">
        <v>275</v>
      </c>
      <c r="AB190" s="66">
        <v>4.7235230506383301</v>
      </c>
      <c r="AC190" s="66">
        <v>6.7674854243124702</v>
      </c>
      <c r="AD190" s="66">
        <v>1.64368201541536</v>
      </c>
      <c r="AE190" s="66">
        <v>4.8530789123324798</v>
      </c>
      <c r="AF190" s="66">
        <v>2.2186425099624598</v>
      </c>
      <c r="AG190" s="66">
        <v>3.0595050267446799</v>
      </c>
      <c r="AH190" s="66" t="s">
        <v>275</v>
      </c>
      <c r="AI190" s="66">
        <v>3.94451367887772</v>
      </c>
      <c r="AJ190" s="66">
        <v>1.4421043952988</v>
      </c>
      <c r="AK190" s="66">
        <v>2.2901493667359798</v>
      </c>
      <c r="AL190" s="66">
        <v>1.0083866953562901</v>
      </c>
      <c r="AM190" s="66">
        <v>2.8941498150512399</v>
      </c>
      <c r="AN190" s="66">
        <v>1.07487178866765</v>
      </c>
      <c r="AO190" s="66">
        <v>6.7674854243124702</v>
      </c>
      <c r="AP190" s="66">
        <v>1.2266647323567601</v>
      </c>
      <c r="AQ190" s="66">
        <v>3.1772114825955802</v>
      </c>
      <c r="AR190" s="66">
        <v>1.7340622981087099</v>
      </c>
      <c r="AS190" s="66">
        <v>3.58163121318765</v>
      </c>
    </row>
    <row r="191" spans="3:45" ht="12.75">
      <c r="C191" s="68" t="s">
        <v>137</v>
      </c>
      <c r="E191" s="18" t="s">
        <v>30</v>
      </c>
      <c r="F191" s="71">
        <v>2010</v>
      </c>
      <c r="G191" s="18" t="s">
        <v>137</v>
      </c>
      <c r="H191" s="66">
        <v>5.3377367314123436</v>
      </c>
      <c r="I191" s="66">
        <v>7.8760562666369296</v>
      </c>
      <c r="J191" s="66">
        <v>3.2445654120714198</v>
      </c>
      <c r="K191" s="66">
        <v>7.6462312480550301</v>
      </c>
      <c r="L191" s="66">
        <v>4.4298610833747603</v>
      </c>
      <c r="M191" s="66">
        <v>3.1484170140394299</v>
      </c>
      <c r="N191" s="66">
        <v>3.0052331033668702</v>
      </c>
      <c r="O191" s="66">
        <v>5.3900111987146797</v>
      </c>
      <c r="P191" s="66">
        <v>4.0744282992761098</v>
      </c>
      <c r="Q191" s="66">
        <v>3.0055854179905599</v>
      </c>
      <c r="R191" s="66">
        <v>3.7974360516926402</v>
      </c>
      <c r="S191" s="66">
        <v>4.7671192412664301</v>
      </c>
      <c r="T191" s="66">
        <v>7.8760562666369296</v>
      </c>
      <c r="U191" s="66">
        <v>5.9261677442778904</v>
      </c>
      <c r="V191" s="67">
        <v>2.8686141582779898</v>
      </c>
      <c r="W191" s="66">
        <v>7.7853274956903</v>
      </c>
      <c r="X191" s="66">
        <v>7.6462312480550301</v>
      </c>
      <c r="Y191" s="66">
        <v>4.6885261033932704</v>
      </c>
      <c r="Z191" s="66">
        <v>18.374716862843901</v>
      </c>
      <c r="AA191" s="66">
        <v>2.15696790636897</v>
      </c>
      <c r="AB191" s="66">
        <v>5.30039647370167</v>
      </c>
      <c r="AC191" s="66">
        <v>7.6462312480550301</v>
      </c>
      <c r="AD191" s="66">
        <v>2.9819981741155499</v>
      </c>
      <c r="AE191" s="66">
        <v>15.9405295386183</v>
      </c>
      <c r="AF191" s="66">
        <v>3.1093269375706898</v>
      </c>
      <c r="AG191" s="66">
        <v>7.8760562666369296</v>
      </c>
      <c r="AH191" s="66">
        <v>2.4954061911657601</v>
      </c>
      <c r="AI191" s="66">
        <v>4.0454531509860203</v>
      </c>
      <c r="AJ191" s="66">
        <v>2.6064476377705699</v>
      </c>
      <c r="AK191" s="66">
        <v>4.6545641281048997</v>
      </c>
      <c r="AL191" s="66">
        <v>2.1108678970240602</v>
      </c>
      <c r="AM191" s="66">
        <v>5.0012979015064003</v>
      </c>
      <c r="AN191" s="66">
        <v>2.3494097086909398</v>
      </c>
      <c r="AO191" s="66">
        <v>7.6462312480550301</v>
      </c>
      <c r="AP191" s="66">
        <v>2.7978689634781202</v>
      </c>
      <c r="AQ191" s="66">
        <v>3.9710831115954699</v>
      </c>
      <c r="AR191" s="66">
        <v>3.1108676086348699</v>
      </c>
      <c r="AS191" s="66">
        <v>6.1446707545172501</v>
      </c>
    </row>
    <row r="192" spans="3:45" ht="12.75">
      <c r="C192" s="68" t="s">
        <v>136</v>
      </c>
      <c r="E192" s="18" t="s">
        <v>30</v>
      </c>
      <c r="F192" s="71">
        <v>2010</v>
      </c>
      <c r="G192" s="18" t="s">
        <v>170</v>
      </c>
      <c r="H192" s="66">
        <v>3.2833248472815857</v>
      </c>
      <c r="I192" s="66">
        <v>3.0595050267446799</v>
      </c>
      <c r="J192" s="66">
        <v>1.5659906112170501</v>
      </c>
      <c r="K192" s="66">
        <v>6.7674854243124702</v>
      </c>
      <c r="L192" s="66">
        <v>0.53522085798034202</v>
      </c>
      <c r="M192" s="66">
        <v>1.1910728367518399</v>
      </c>
      <c r="N192" s="66">
        <v>1.3524993024177501</v>
      </c>
      <c r="O192" s="66">
        <v>5.6488064473686501</v>
      </c>
      <c r="P192" s="66">
        <v>2.15033481324723</v>
      </c>
      <c r="Q192" s="66">
        <v>2.7418781467083901</v>
      </c>
      <c r="R192" s="66">
        <v>1.75315116893009</v>
      </c>
      <c r="S192" s="66" t="s">
        <v>275</v>
      </c>
      <c r="T192" s="66">
        <v>3.0595050267446799</v>
      </c>
      <c r="U192" s="66">
        <v>2.7667343908509601</v>
      </c>
      <c r="V192" s="67">
        <v>1.3416393648706</v>
      </c>
      <c r="W192" s="66">
        <v>2.88422664324156</v>
      </c>
      <c r="X192" s="66">
        <v>6.7674854243124702</v>
      </c>
      <c r="Y192" s="66">
        <v>2.3390040540945098</v>
      </c>
      <c r="Z192" s="66">
        <v>13.301357437826001</v>
      </c>
      <c r="AA192" s="66" t="s">
        <v>275</v>
      </c>
      <c r="AB192" s="66">
        <v>4.7235230506383301</v>
      </c>
      <c r="AC192" s="66">
        <v>6.7674854243124702</v>
      </c>
      <c r="AD192" s="66">
        <v>1.64368201541536</v>
      </c>
      <c r="AE192" s="66">
        <v>4.8530789123324798</v>
      </c>
      <c r="AF192" s="66">
        <v>2.2186425099624598</v>
      </c>
      <c r="AG192" s="66">
        <v>3.0595050267446799</v>
      </c>
      <c r="AH192" s="66" t="s">
        <v>275</v>
      </c>
      <c r="AI192" s="66">
        <v>3.94451367887772</v>
      </c>
      <c r="AJ192" s="66">
        <v>1.4421043952988</v>
      </c>
      <c r="AK192" s="66">
        <v>2.2901493667359798</v>
      </c>
      <c r="AL192" s="66">
        <v>1.0083866953562901</v>
      </c>
      <c r="AM192" s="66">
        <v>2.8941498150512399</v>
      </c>
      <c r="AN192" s="66">
        <v>1.07487178866765</v>
      </c>
      <c r="AO192" s="66">
        <v>6.7674854243124702</v>
      </c>
      <c r="AP192" s="66">
        <v>1.2266647323567601</v>
      </c>
      <c r="AQ192" s="66">
        <v>3.1772114825955802</v>
      </c>
      <c r="AR192" s="66">
        <v>1.7340622981087099</v>
      </c>
      <c r="AS192" s="66">
        <v>3.58163121318765</v>
      </c>
    </row>
    <row r="193" spans="3:45" ht="12.75">
      <c r="C193" s="68" t="s">
        <v>137</v>
      </c>
      <c r="E193" s="18" t="s">
        <v>30</v>
      </c>
      <c r="F193" s="71">
        <v>2010</v>
      </c>
      <c r="G193" s="18" t="s">
        <v>171</v>
      </c>
      <c r="H193" s="66">
        <v>5.3377367314123436</v>
      </c>
      <c r="I193" s="66">
        <v>7.8760562666369296</v>
      </c>
      <c r="J193" s="66">
        <v>3.2445654120714198</v>
      </c>
      <c r="K193" s="66">
        <v>7.6462312480550301</v>
      </c>
      <c r="L193" s="66">
        <v>4.4298610833747603</v>
      </c>
      <c r="M193" s="66">
        <v>3.1484170140394299</v>
      </c>
      <c r="N193" s="66">
        <v>3.0052331033668702</v>
      </c>
      <c r="O193" s="66">
        <v>5.3900111987146797</v>
      </c>
      <c r="P193" s="66">
        <v>4.0744282992761098</v>
      </c>
      <c r="Q193" s="66">
        <v>3.0055854179905599</v>
      </c>
      <c r="R193" s="66">
        <v>3.7974360516926402</v>
      </c>
      <c r="S193" s="66">
        <v>4.7671192412664301</v>
      </c>
      <c r="T193" s="66">
        <v>7.8760562666369296</v>
      </c>
      <c r="U193" s="66">
        <v>5.9261677442778904</v>
      </c>
      <c r="V193" s="67">
        <v>2.8686141582779898</v>
      </c>
      <c r="W193" s="66">
        <v>7.7853274956903</v>
      </c>
      <c r="X193" s="66">
        <v>7.6462312480550301</v>
      </c>
      <c r="Y193" s="66">
        <v>4.6885261033932704</v>
      </c>
      <c r="Z193" s="66">
        <v>18.374716862843901</v>
      </c>
      <c r="AA193" s="66">
        <v>2.15696790636897</v>
      </c>
      <c r="AB193" s="66">
        <v>5.30039647370167</v>
      </c>
      <c r="AC193" s="66">
        <v>7.6462312480550301</v>
      </c>
      <c r="AD193" s="66">
        <v>2.9819981741155499</v>
      </c>
      <c r="AE193" s="66">
        <v>15.9405295386183</v>
      </c>
      <c r="AF193" s="66">
        <v>3.1093269375706898</v>
      </c>
      <c r="AG193" s="66">
        <v>7.8760562666369296</v>
      </c>
      <c r="AH193" s="66">
        <v>2.4954061911657601</v>
      </c>
      <c r="AI193" s="66">
        <v>4.0454531509860203</v>
      </c>
      <c r="AJ193" s="66">
        <v>2.6064476377705699</v>
      </c>
      <c r="AK193" s="66">
        <v>4.6545641281048997</v>
      </c>
      <c r="AL193" s="66">
        <v>2.1108678970240602</v>
      </c>
      <c r="AM193" s="66">
        <v>5.0012979015064003</v>
      </c>
      <c r="AN193" s="66">
        <v>2.3494097086909398</v>
      </c>
      <c r="AO193" s="66">
        <v>7.6462312480550301</v>
      </c>
      <c r="AP193" s="66">
        <v>2.7978689634781202</v>
      </c>
      <c r="AQ193" s="66">
        <v>3.9710831115954699</v>
      </c>
      <c r="AR193" s="66">
        <v>3.1108676086348699</v>
      </c>
      <c r="AS193" s="66">
        <v>6.1446707545172501</v>
      </c>
    </row>
    <row r="194" spans="3:45" ht="12.75">
      <c r="C194" s="68" t="s">
        <v>118</v>
      </c>
      <c r="E194" s="18" t="s">
        <v>30</v>
      </c>
      <c r="F194" s="71">
        <v>2010</v>
      </c>
      <c r="G194" s="18" t="s">
        <v>150</v>
      </c>
      <c r="H194" s="66"/>
      <c r="I194" s="66">
        <v>17.237329003884749</v>
      </c>
      <c r="J194" s="66">
        <v>25.075052622429936</v>
      </c>
      <c r="K194" s="66">
        <v>19.136663508829386</v>
      </c>
      <c r="L194" s="66">
        <v>19.136560929096092</v>
      </c>
      <c r="M194" s="66">
        <v>12.329247755569885</v>
      </c>
      <c r="N194" s="66">
        <v>16.030351221889969</v>
      </c>
      <c r="O194" s="66">
        <v>16.847328923766817</v>
      </c>
      <c r="P194" s="66">
        <v>16.148147411428731</v>
      </c>
      <c r="Q194" s="66">
        <v>19.023079059253345</v>
      </c>
      <c r="R194" s="66">
        <v>25.630764212634229</v>
      </c>
      <c r="S194" s="66">
        <v>19.219552874201611</v>
      </c>
      <c r="T194" s="66">
        <v>12.321629817813765</v>
      </c>
      <c r="U194" s="66">
        <v>17.325072779413663</v>
      </c>
      <c r="V194" s="67">
        <v>16.184107967980523</v>
      </c>
      <c r="W194" s="66">
        <v>17.833225475773322</v>
      </c>
      <c r="X194" s="66">
        <v>18.583111820911821</v>
      </c>
      <c r="Y194" s="66">
        <v>20.711307100157313</v>
      </c>
      <c r="Z194" s="66">
        <v>21.600370986433663</v>
      </c>
      <c r="AA194" s="66">
        <v>14.175697567114096</v>
      </c>
      <c r="AB194" s="66">
        <v>14.679349395111812</v>
      </c>
      <c r="AC194" s="66">
        <v>19.461908193682177</v>
      </c>
      <c r="AD194" s="66">
        <v>6.512457845934378</v>
      </c>
      <c r="AE194" s="66">
        <v>60.309427732769755</v>
      </c>
      <c r="AF194" s="66">
        <v>20.359185585323239</v>
      </c>
      <c r="AG194" s="66">
        <v>15.394308751665047</v>
      </c>
      <c r="AH194" s="66">
        <v>22.511738661417326</v>
      </c>
      <c r="AI194" s="66">
        <v>4.7524503111111107</v>
      </c>
      <c r="AJ194" s="66">
        <v>16.844994469426101</v>
      </c>
      <c r="AK194" s="66">
        <v>14.07645298796532</v>
      </c>
      <c r="AL194" s="66">
        <v>10.868008555279511</v>
      </c>
      <c r="AM194" s="66">
        <v>18.603969216624531</v>
      </c>
      <c r="AN194" s="66">
        <v>9.222565570224921</v>
      </c>
      <c r="AO194" s="66">
        <v>20.028034651652312</v>
      </c>
      <c r="AP194" s="66">
        <v>17.400521880216299</v>
      </c>
      <c r="AQ194" s="66">
        <v>22.548549324469224</v>
      </c>
      <c r="AR194" s="66">
        <v>12.16508579008241</v>
      </c>
      <c r="AS194" s="66">
        <v>17.363498269740187</v>
      </c>
    </row>
    <row r="195" spans="3:45" ht="12.75">
      <c r="C195" s="68" t="s">
        <v>119</v>
      </c>
      <c r="E195" s="18" t="s">
        <v>30</v>
      </c>
      <c r="F195" s="71">
        <v>2010</v>
      </c>
      <c r="G195" s="18" t="s">
        <v>151</v>
      </c>
      <c r="H195" s="66"/>
      <c r="I195" s="66">
        <v>11.281087114664276</v>
      </c>
      <c r="J195" s="66">
        <v>22.294048618155092</v>
      </c>
      <c r="K195" s="66">
        <v>16.474710307784321</v>
      </c>
      <c r="L195" s="66">
        <v>19.941649283964757</v>
      </c>
      <c r="M195" s="66">
        <v>10.951197551335714</v>
      </c>
      <c r="N195" s="66">
        <v>14.057953539760289</v>
      </c>
      <c r="O195" s="66">
        <v>13.808117371890285</v>
      </c>
      <c r="P195" s="66">
        <v>12.796347121999224</v>
      </c>
      <c r="Q195" s="66">
        <v>14.341636032899784</v>
      </c>
      <c r="R195" s="66">
        <v>19.005415998406257</v>
      </c>
      <c r="S195" s="66">
        <v>15.773121041017655</v>
      </c>
      <c r="T195" s="66">
        <v>9.7330639435569282</v>
      </c>
      <c r="U195" s="66">
        <v>12.728180886874377</v>
      </c>
      <c r="V195" s="67">
        <v>12.19373449177245</v>
      </c>
      <c r="W195" s="66">
        <v>16.137815823558864</v>
      </c>
      <c r="X195" s="66">
        <v>15.827693507232247</v>
      </c>
      <c r="Y195" s="66">
        <v>15.276527818723538</v>
      </c>
      <c r="Z195" s="66">
        <v>18.941178816087223</v>
      </c>
      <c r="AA195" s="66">
        <v>13.95833185840708</v>
      </c>
      <c r="AB195" s="66">
        <v>12.930904086296289</v>
      </c>
      <c r="AC195" s="66">
        <v>16.914164518874401</v>
      </c>
      <c r="AD195" s="66">
        <v>4.6163864566836077</v>
      </c>
      <c r="AE195" s="66">
        <v>60.563667289150501</v>
      </c>
      <c r="AF195" s="66">
        <v>15.25667913090129</v>
      </c>
      <c r="AG195" s="66">
        <v>10.499953078657644</v>
      </c>
      <c r="AH195" s="66">
        <v>14.366233678794558</v>
      </c>
      <c r="AI195" s="66">
        <v>5.8465102895027625</v>
      </c>
      <c r="AJ195" s="66">
        <v>15.177654895177955</v>
      </c>
      <c r="AK195" s="66">
        <v>14.556015783274441</v>
      </c>
      <c r="AL195" s="66">
        <v>9.4150665260818691</v>
      </c>
      <c r="AM195" s="66">
        <v>17.1171114268408</v>
      </c>
      <c r="AN195" s="66">
        <v>7.4214097802608077</v>
      </c>
      <c r="AO195" s="66">
        <v>17.696700627252056</v>
      </c>
      <c r="AP195" s="66">
        <v>15.712784427351433</v>
      </c>
      <c r="AQ195" s="66">
        <v>20.892831337813078</v>
      </c>
      <c r="AR195" s="66">
        <v>9.8994029998184132</v>
      </c>
      <c r="AS195" s="66">
        <v>15.211497015908355</v>
      </c>
    </row>
    <row r="196" spans="3:45" ht="12.75">
      <c r="C196" s="68" t="s">
        <v>120</v>
      </c>
      <c r="E196" s="18" t="s">
        <v>30</v>
      </c>
      <c r="F196" s="71">
        <v>2010</v>
      </c>
      <c r="G196" s="18" t="s">
        <v>152</v>
      </c>
      <c r="H196" s="66"/>
      <c r="I196" s="66">
        <v>7.1653892898945752</v>
      </c>
      <c r="J196" s="66">
        <v>19.096218031019159</v>
      </c>
      <c r="K196" s="66">
        <v>13.957251607963027</v>
      </c>
      <c r="L196" s="66">
        <v>15.749539365821734</v>
      </c>
      <c r="M196" s="66">
        <v>8.710350345627484</v>
      </c>
      <c r="N196" s="66">
        <v>12.130379378702527</v>
      </c>
      <c r="O196" s="66">
        <v>12.168160426656232</v>
      </c>
      <c r="P196" s="66">
        <v>10.203642297486676</v>
      </c>
      <c r="Q196" s="66">
        <v>11.941510641645282</v>
      </c>
      <c r="R196" s="66">
        <v>17.344506025445778</v>
      </c>
      <c r="S196" s="66">
        <v>15.527056713955789</v>
      </c>
      <c r="T196" s="66">
        <v>6.7764821240877557</v>
      </c>
      <c r="U196" s="66">
        <v>11.342550160672371</v>
      </c>
      <c r="V196" s="67">
        <v>13.192548793132426</v>
      </c>
      <c r="W196" s="66">
        <v>13.448263828780863</v>
      </c>
      <c r="X196" s="66">
        <v>13.300472537429654</v>
      </c>
      <c r="Y196" s="66">
        <v>11.539123088599471</v>
      </c>
      <c r="Z196" s="66">
        <v>18.450087257973202</v>
      </c>
      <c r="AA196" s="66">
        <v>13.87816482240437</v>
      </c>
      <c r="AB196" s="66">
        <v>9.4555545752053796</v>
      </c>
      <c r="AC196" s="66">
        <v>14.257133380446305</v>
      </c>
      <c r="AD196" s="66">
        <v>4.4030321962187955</v>
      </c>
      <c r="AE196" s="66">
        <v>58.512971338757396</v>
      </c>
      <c r="AF196" s="66">
        <v>17.85032329414129</v>
      </c>
      <c r="AG196" s="66">
        <v>6.9548289713865659</v>
      </c>
      <c r="AH196" s="66">
        <v>11.165743412584051</v>
      </c>
      <c r="AI196" s="66">
        <v>7.3552660023146741</v>
      </c>
      <c r="AJ196" s="66">
        <v>13.317237590574733</v>
      </c>
      <c r="AK196" s="66">
        <v>13.779387949778153</v>
      </c>
      <c r="AL196" s="66">
        <v>7.6115301989604829</v>
      </c>
      <c r="AM196" s="66">
        <v>12.328672046364284</v>
      </c>
      <c r="AN196" s="66">
        <v>5.6536277219646491</v>
      </c>
      <c r="AO196" s="66">
        <v>14.644461539777287</v>
      </c>
      <c r="AP196" s="66">
        <v>15.757090146793464</v>
      </c>
      <c r="AQ196" s="66">
        <v>14.539017065271551</v>
      </c>
      <c r="AR196" s="66">
        <v>9.1224184923026321</v>
      </c>
      <c r="AS196" s="66">
        <v>12.941664931184953</v>
      </c>
    </row>
    <row r="197" spans="3:45" ht="12.75">
      <c r="C197" s="68" t="s">
        <v>121</v>
      </c>
      <c r="E197" s="18" t="s">
        <v>30</v>
      </c>
      <c r="F197" s="71">
        <v>2010</v>
      </c>
      <c r="G197" s="18" t="s">
        <v>153</v>
      </c>
      <c r="H197" s="66"/>
      <c r="I197" s="66">
        <v>12.029463627417346</v>
      </c>
      <c r="J197" s="66">
        <v>22.63600078523303</v>
      </c>
      <c r="K197" s="66">
        <v>16.651808729771439</v>
      </c>
      <c r="L197" s="66">
        <v>18.890383976560063</v>
      </c>
      <c r="M197" s="66">
        <v>8.9716805281293084</v>
      </c>
      <c r="N197" s="66">
        <v>13.991752252489594</v>
      </c>
      <c r="O197" s="66">
        <v>13.382813301719029</v>
      </c>
      <c r="P197" s="66">
        <v>12.856798341212226</v>
      </c>
      <c r="Q197" s="66">
        <v>14.645800046458264</v>
      </c>
      <c r="R197" s="66">
        <v>18.670476413875665</v>
      </c>
      <c r="S197" s="66">
        <v>16.411826867400119</v>
      </c>
      <c r="T197" s="66">
        <v>10.200511348013517</v>
      </c>
      <c r="U197" s="66">
        <v>12.503836754688189</v>
      </c>
      <c r="V197" s="67">
        <v>12.043631268349971</v>
      </c>
      <c r="W197" s="66">
        <v>16.483393323500014</v>
      </c>
      <c r="X197" s="66">
        <v>15.85229603721155</v>
      </c>
      <c r="Y197" s="66">
        <v>15.147961658447873</v>
      </c>
      <c r="Z197" s="66">
        <v>20.056307041088584</v>
      </c>
      <c r="AA197" s="66">
        <v>14.224238681130458</v>
      </c>
      <c r="AB197" s="66">
        <v>12.961387502824131</v>
      </c>
      <c r="AC197" s="66">
        <v>17.080395017604406</v>
      </c>
      <c r="AD197" s="66">
        <v>4.5957640264475872</v>
      </c>
      <c r="AE197" s="66">
        <v>63.775923083739478</v>
      </c>
      <c r="AF197" s="66">
        <v>16.027938952027753</v>
      </c>
      <c r="AG197" s="66">
        <v>11.112872673867676</v>
      </c>
      <c r="AH197" s="66">
        <v>14.47011518032787</v>
      </c>
      <c r="AI197" s="66">
        <v>5.692404174470183</v>
      </c>
      <c r="AJ197" s="66">
        <v>15.144557383770122</v>
      </c>
      <c r="AK197" s="66">
        <v>14.256396758090096</v>
      </c>
      <c r="AL197" s="66">
        <v>9.3024250327592259</v>
      </c>
      <c r="AM197" s="66">
        <v>17.117061941554287</v>
      </c>
      <c r="AN197" s="66">
        <v>7.3989137858842202</v>
      </c>
      <c r="AO197" s="66">
        <v>17.765759300409051</v>
      </c>
      <c r="AP197" s="66">
        <v>16.182104648494626</v>
      </c>
      <c r="AQ197" s="66">
        <v>20.043092098092643</v>
      </c>
      <c r="AR197" s="66">
        <v>9.7333938056118026</v>
      </c>
      <c r="AS197" s="66">
        <v>16.164876109981897</v>
      </c>
    </row>
    <row r="198" spans="3:45" ht="12.75">
      <c r="C198" s="68" t="s">
        <v>118</v>
      </c>
      <c r="E198" s="18" t="s">
        <v>30</v>
      </c>
      <c r="F198" s="71">
        <v>2010</v>
      </c>
      <c r="G198" s="18" t="s">
        <v>142</v>
      </c>
      <c r="H198" s="66"/>
      <c r="I198" s="66">
        <v>17.28732900388475</v>
      </c>
      <c r="J198" s="66">
        <v>25.125052622429937</v>
      </c>
      <c r="K198" s="66">
        <v>19.186663508829387</v>
      </c>
      <c r="L198" s="66">
        <v>19.186560929096093</v>
      </c>
      <c r="M198" s="66">
        <v>12.379247755569885</v>
      </c>
      <c r="N198" s="66">
        <v>16.08035122188997</v>
      </c>
      <c r="O198" s="66">
        <v>16.897328923766818</v>
      </c>
      <c r="P198" s="66">
        <v>16.198147411428732</v>
      </c>
      <c r="Q198" s="66">
        <v>19.073079059253345</v>
      </c>
      <c r="R198" s="66">
        <v>25.68076421263423</v>
      </c>
      <c r="S198" s="66">
        <v>19.269552874201612</v>
      </c>
      <c r="T198" s="66">
        <v>12.371629817813766</v>
      </c>
      <c r="U198" s="66">
        <v>17.375072779413664</v>
      </c>
      <c r="V198" s="67">
        <v>16.234107967980524</v>
      </c>
      <c r="W198" s="66">
        <v>17.883225475773322</v>
      </c>
      <c r="X198" s="66">
        <v>18.633111820911822</v>
      </c>
      <c r="Y198" s="66">
        <v>20.761307100157314</v>
      </c>
      <c r="Z198" s="66">
        <v>21.650370986433664</v>
      </c>
      <c r="AA198" s="66">
        <v>14.225697567114096</v>
      </c>
      <c r="AB198" s="66">
        <v>14.729349395111813</v>
      </c>
      <c r="AC198" s="66">
        <v>19.511908193682178</v>
      </c>
      <c r="AD198" s="66">
        <v>6.5624578459343779</v>
      </c>
      <c r="AE198" s="66">
        <v>60.359427732769753</v>
      </c>
      <c r="AF198" s="66">
        <v>20.40918558532324</v>
      </c>
      <c r="AG198" s="66">
        <v>15.444308751665048</v>
      </c>
      <c r="AH198" s="66">
        <v>22.561738661417326</v>
      </c>
      <c r="AI198" s="66">
        <v>4.8024503111111105</v>
      </c>
      <c r="AJ198" s="66">
        <v>16.894994469426102</v>
      </c>
      <c r="AK198" s="66">
        <v>14.126452987965321</v>
      </c>
      <c r="AL198" s="66">
        <v>10.918008555279512</v>
      </c>
      <c r="AM198" s="66">
        <v>18.653969216624532</v>
      </c>
      <c r="AN198" s="66">
        <v>9.2725655702249217</v>
      </c>
      <c r="AO198" s="66">
        <v>20.078034651652313</v>
      </c>
      <c r="AP198" s="66">
        <v>17.4505218802163</v>
      </c>
      <c r="AQ198" s="66">
        <v>22.598549324469225</v>
      </c>
      <c r="AR198" s="66">
        <v>12.21508579008241</v>
      </c>
      <c r="AS198" s="66">
        <v>17.413498269740188</v>
      </c>
    </row>
    <row r="199" spans="3:45" ht="12.75">
      <c r="C199" s="68" t="s">
        <v>120</v>
      </c>
      <c r="E199" s="18" t="s">
        <v>30</v>
      </c>
      <c r="F199" s="71">
        <v>2010</v>
      </c>
      <c r="G199" s="18" t="s">
        <v>143</v>
      </c>
      <c r="H199" s="66"/>
      <c r="I199" s="66">
        <v>11.331087114664276</v>
      </c>
      <c r="J199" s="66">
        <v>22.344048618155092</v>
      </c>
      <c r="K199" s="66">
        <v>16.524710307784321</v>
      </c>
      <c r="L199" s="66">
        <v>19.991649283964758</v>
      </c>
      <c r="M199" s="66">
        <v>11.001197551335714</v>
      </c>
      <c r="N199" s="66">
        <v>14.10795353976029</v>
      </c>
      <c r="O199" s="66">
        <v>13.858117371890286</v>
      </c>
      <c r="P199" s="66">
        <v>12.846347121999225</v>
      </c>
      <c r="Q199" s="66">
        <v>14.391636032899784</v>
      </c>
      <c r="R199" s="66">
        <v>19.055415998406257</v>
      </c>
      <c r="S199" s="66">
        <v>15.823121041017655</v>
      </c>
      <c r="T199" s="66">
        <v>9.7830639435569289</v>
      </c>
      <c r="U199" s="66">
        <v>12.778180886874377</v>
      </c>
      <c r="V199" s="67">
        <v>12.24373449177245</v>
      </c>
      <c r="W199" s="66">
        <v>16.187815823558864</v>
      </c>
      <c r="X199" s="66">
        <v>15.877693507232248</v>
      </c>
      <c r="Y199" s="66">
        <v>15.326527818723539</v>
      </c>
      <c r="Z199" s="66">
        <v>18.991178816087224</v>
      </c>
      <c r="AA199" s="66">
        <v>14.008331858407081</v>
      </c>
      <c r="AB199" s="66">
        <v>12.98090408629629</v>
      </c>
      <c r="AC199" s="66">
        <v>16.964164518874401</v>
      </c>
      <c r="AD199" s="66">
        <v>4.6663864566836075</v>
      </c>
      <c r="AE199" s="66">
        <v>60.613667289150499</v>
      </c>
      <c r="AF199" s="66">
        <v>15.306679130901291</v>
      </c>
      <c r="AG199" s="66">
        <v>10.549953078657644</v>
      </c>
      <c r="AH199" s="66">
        <v>14.416233678794558</v>
      </c>
      <c r="AI199" s="66">
        <v>5.8965102895027623</v>
      </c>
      <c r="AJ199" s="66">
        <v>15.227654895177956</v>
      </c>
      <c r="AK199" s="66">
        <v>14.606015783274442</v>
      </c>
      <c r="AL199" s="66">
        <v>9.4650665260818698</v>
      </c>
      <c r="AM199" s="66">
        <v>17.167111426840801</v>
      </c>
      <c r="AN199" s="66">
        <v>7.4714097802608075</v>
      </c>
      <c r="AO199" s="66">
        <v>17.746700627252057</v>
      </c>
      <c r="AP199" s="66">
        <v>15.762784427351434</v>
      </c>
      <c r="AQ199" s="66">
        <v>20.942831337813079</v>
      </c>
      <c r="AR199" s="66">
        <v>9.9494029998184139</v>
      </c>
      <c r="AS199" s="66">
        <v>15.261497015908356</v>
      </c>
    </row>
    <row r="200" spans="3:45" ht="12.75">
      <c r="C200" s="68" t="s">
        <v>118</v>
      </c>
      <c r="E200" s="18" t="s">
        <v>30</v>
      </c>
      <c r="F200" s="71">
        <v>2010</v>
      </c>
      <c r="G200" s="18" t="s">
        <v>144</v>
      </c>
      <c r="H200" s="66"/>
      <c r="I200" s="66">
        <v>7.2153892898945751</v>
      </c>
      <c r="J200" s="66">
        <v>19.14621803101916</v>
      </c>
      <c r="K200" s="66">
        <v>14.007251607963028</v>
      </c>
      <c r="L200" s="66">
        <v>15.799539365821735</v>
      </c>
      <c r="M200" s="66">
        <v>8.7603503456274847</v>
      </c>
      <c r="N200" s="66">
        <v>12.180379378702527</v>
      </c>
      <c r="O200" s="66">
        <v>12.218160426656233</v>
      </c>
      <c r="P200" s="66">
        <v>10.253642297486676</v>
      </c>
      <c r="Q200" s="66">
        <v>11.991510641645283</v>
      </c>
      <c r="R200" s="66">
        <v>17.394506025445779</v>
      </c>
      <c r="S200" s="66">
        <v>15.577056713955789</v>
      </c>
      <c r="T200" s="66">
        <v>6.8264821240877556</v>
      </c>
      <c r="U200" s="66">
        <v>11.392550160672371</v>
      </c>
      <c r="V200" s="67">
        <v>13.242548793132427</v>
      </c>
      <c r="W200" s="66">
        <v>13.498263828780864</v>
      </c>
      <c r="X200" s="66">
        <v>13.350472537429654</v>
      </c>
      <c r="Y200" s="66">
        <v>11.589123088599472</v>
      </c>
      <c r="Z200" s="66">
        <v>18.500087257973203</v>
      </c>
      <c r="AA200" s="66">
        <v>13.928164822404371</v>
      </c>
      <c r="AB200" s="66">
        <v>9.5055545752053803</v>
      </c>
      <c r="AC200" s="66">
        <v>14.307133380446306</v>
      </c>
      <c r="AD200" s="66">
        <v>4.4530321962187953</v>
      </c>
      <c r="AE200" s="66">
        <v>58.562971338757393</v>
      </c>
      <c r="AF200" s="66">
        <v>17.900323294141291</v>
      </c>
      <c r="AG200" s="66">
        <v>7.0048289713865657</v>
      </c>
      <c r="AH200" s="66">
        <v>11.215743412584052</v>
      </c>
      <c r="AI200" s="66">
        <v>7.4052660023146739</v>
      </c>
      <c r="AJ200" s="66">
        <v>13.367237590574733</v>
      </c>
      <c r="AK200" s="66">
        <v>13.829387949778154</v>
      </c>
      <c r="AL200" s="66">
        <v>7.6615301989604827</v>
      </c>
      <c r="AM200" s="66">
        <v>12.378672046364285</v>
      </c>
      <c r="AN200" s="66">
        <v>5.703627721964649</v>
      </c>
      <c r="AO200" s="66">
        <v>14.694461539777288</v>
      </c>
      <c r="AP200" s="66">
        <v>15.807090146793465</v>
      </c>
      <c r="AQ200" s="66">
        <v>14.589017065271552</v>
      </c>
      <c r="AR200" s="66">
        <v>9.1724184923026328</v>
      </c>
      <c r="AS200" s="66">
        <v>12.991664931184953</v>
      </c>
    </row>
    <row r="201" spans="3:45" ht="12.75">
      <c r="C201" s="68" t="s">
        <v>120</v>
      </c>
      <c r="E201" s="18" t="s">
        <v>30</v>
      </c>
      <c r="F201" s="71">
        <v>2010</v>
      </c>
      <c r="G201" s="18" t="s">
        <v>145</v>
      </c>
      <c r="H201" s="66"/>
      <c r="I201" s="66">
        <v>12.079463627417347</v>
      </c>
      <c r="J201" s="66">
        <v>22.686000785233031</v>
      </c>
      <c r="K201" s="66">
        <v>16.701808729771439</v>
      </c>
      <c r="L201" s="66">
        <v>18.940383976560064</v>
      </c>
      <c r="M201" s="66">
        <v>9.0216805281293091</v>
      </c>
      <c r="N201" s="66">
        <v>14.041752252489594</v>
      </c>
      <c r="O201" s="66">
        <v>13.43281330171903</v>
      </c>
      <c r="P201" s="66">
        <v>12.906798341212227</v>
      </c>
      <c r="Q201" s="66">
        <v>14.695800046458265</v>
      </c>
      <c r="R201" s="66">
        <v>18.720476413875666</v>
      </c>
      <c r="S201" s="66">
        <v>16.46182686740012</v>
      </c>
      <c r="T201" s="66">
        <v>10.250511348013518</v>
      </c>
      <c r="U201" s="66">
        <v>12.55383675468819</v>
      </c>
      <c r="V201" s="67">
        <v>12.093631268349972</v>
      </c>
      <c r="W201" s="66">
        <v>16.533393323500015</v>
      </c>
      <c r="X201" s="66">
        <v>15.902296037211551</v>
      </c>
      <c r="Y201" s="66">
        <v>15.197961658447873</v>
      </c>
      <c r="Z201" s="66">
        <v>20.106307041088584</v>
      </c>
      <c r="AA201" s="66">
        <v>14.274238681130459</v>
      </c>
      <c r="AB201" s="66">
        <v>13.011387502824132</v>
      </c>
      <c r="AC201" s="66">
        <v>17.130395017604407</v>
      </c>
      <c r="AD201" s="66">
        <v>4.645764026447587</v>
      </c>
      <c r="AE201" s="66">
        <v>63.825923083739475</v>
      </c>
      <c r="AF201" s="66">
        <v>16.077938952027754</v>
      </c>
      <c r="AG201" s="66">
        <v>11.162872673867676</v>
      </c>
      <c r="AH201" s="66">
        <v>14.520115180327871</v>
      </c>
      <c r="AI201" s="66">
        <v>5.7424041744701828</v>
      </c>
      <c r="AJ201" s="66">
        <v>15.194557383770123</v>
      </c>
      <c r="AK201" s="66">
        <v>14.306396758090097</v>
      </c>
      <c r="AL201" s="66">
        <v>9.3524250327592267</v>
      </c>
      <c r="AM201" s="66">
        <v>17.167061941554287</v>
      </c>
      <c r="AN201" s="66">
        <v>7.44891378588422</v>
      </c>
      <c r="AO201" s="66">
        <v>17.815759300409052</v>
      </c>
      <c r="AP201" s="66">
        <v>16.232104648494627</v>
      </c>
      <c r="AQ201" s="66">
        <v>20.093092098092644</v>
      </c>
      <c r="AR201" s="66">
        <v>9.7833938056118033</v>
      </c>
      <c r="AS201" s="66">
        <v>16.214876109981898</v>
      </c>
    </row>
    <row r="202" spans="3:45" ht="12.75">
      <c r="C202" s="68" t="s">
        <v>118</v>
      </c>
      <c r="E202" s="18" t="s">
        <v>30</v>
      </c>
      <c r="F202" s="71">
        <v>2010</v>
      </c>
      <c r="G202" s="18" t="s">
        <v>154</v>
      </c>
      <c r="H202" s="66"/>
      <c r="I202" s="66">
        <v>17.337329003884751</v>
      </c>
      <c r="J202" s="66">
        <v>25.175052622429938</v>
      </c>
      <c r="K202" s="66">
        <v>19.236663508829388</v>
      </c>
      <c r="L202" s="66">
        <v>19.236560929096093</v>
      </c>
      <c r="M202" s="66">
        <v>12.429247755569886</v>
      </c>
      <c r="N202" s="66">
        <v>16.130351221889971</v>
      </c>
      <c r="O202" s="66">
        <v>16.947328923766818</v>
      </c>
      <c r="P202" s="66">
        <v>16.248147411428732</v>
      </c>
      <c r="Q202" s="66">
        <v>19.123079059253346</v>
      </c>
      <c r="R202" s="66">
        <v>25.730764212634231</v>
      </c>
      <c r="S202" s="66">
        <v>19.319552874201612</v>
      </c>
      <c r="T202" s="66">
        <v>12.421629817813766</v>
      </c>
      <c r="U202" s="66">
        <v>17.425072779413664</v>
      </c>
      <c r="V202" s="67">
        <v>16.284107967980525</v>
      </c>
      <c r="W202" s="66">
        <v>17.933225475773323</v>
      </c>
      <c r="X202" s="66">
        <v>18.683111820911822</v>
      </c>
      <c r="Y202" s="66">
        <v>20.811307100157315</v>
      </c>
      <c r="Z202" s="66">
        <v>21.700370986433665</v>
      </c>
      <c r="AA202" s="66">
        <v>14.275697567114097</v>
      </c>
      <c r="AB202" s="66">
        <v>14.779349395111813</v>
      </c>
      <c r="AC202" s="66">
        <v>19.561908193682179</v>
      </c>
      <c r="AD202" s="66">
        <v>6.6124578459343777</v>
      </c>
      <c r="AE202" s="66">
        <v>60.40942773276975</v>
      </c>
      <c r="AF202" s="66">
        <v>20.45918558532324</v>
      </c>
      <c r="AG202" s="66">
        <v>15.494308751665049</v>
      </c>
      <c r="AH202" s="66">
        <v>22.611738661417327</v>
      </c>
      <c r="AI202" s="66">
        <v>4.8524503111111104</v>
      </c>
      <c r="AJ202" s="66">
        <v>16.944994469426103</v>
      </c>
      <c r="AK202" s="66">
        <v>14.176452987965321</v>
      </c>
      <c r="AL202" s="66">
        <v>10.968008555279512</v>
      </c>
      <c r="AM202" s="66">
        <v>18.703969216624532</v>
      </c>
      <c r="AN202" s="66">
        <v>9.3225655702249224</v>
      </c>
      <c r="AO202" s="66">
        <v>20.128034651652314</v>
      </c>
      <c r="AP202" s="66">
        <v>17.500521880216301</v>
      </c>
      <c r="AQ202" s="66">
        <v>22.648549324469226</v>
      </c>
      <c r="AR202" s="66">
        <v>12.265085790082411</v>
      </c>
      <c r="AS202" s="66">
        <v>17.463498269740189</v>
      </c>
    </row>
    <row r="203" spans="3:45" ht="12.75">
      <c r="C203" s="68" t="s">
        <v>119</v>
      </c>
      <c r="E203" s="18" t="s">
        <v>30</v>
      </c>
      <c r="F203" s="71">
        <v>2010</v>
      </c>
      <c r="G203" s="18" t="s">
        <v>155</v>
      </c>
      <c r="H203" s="66"/>
      <c r="I203" s="66">
        <v>11.381087114664277</v>
      </c>
      <c r="J203" s="66">
        <v>22.394048618155093</v>
      </c>
      <c r="K203" s="66">
        <v>16.574710307784322</v>
      </c>
      <c r="L203" s="66">
        <v>20.041649283964759</v>
      </c>
      <c r="M203" s="66">
        <v>11.051197551335715</v>
      </c>
      <c r="N203" s="66">
        <v>14.157953539760291</v>
      </c>
      <c r="O203" s="66">
        <v>13.908117371890286</v>
      </c>
      <c r="P203" s="66">
        <v>12.896347121999225</v>
      </c>
      <c r="Q203" s="66">
        <v>14.441636032899785</v>
      </c>
      <c r="R203" s="66">
        <v>19.105415998406258</v>
      </c>
      <c r="S203" s="66">
        <v>15.873121041017656</v>
      </c>
      <c r="T203" s="66">
        <v>9.8330639435569296</v>
      </c>
      <c r="U203" s="66">
        <v>12.828180886874378</v>
      </c>
      <c r="V203" s="67">
        <v>12.293734491772451</v>
      </c>
      <c r="W203" s="66">
        <v>16.237815823558865</v>
      </c>
      <c r="X203" s="66">
        <v>15.927693507232249</v>
      </c>
      <c r="Y203" s="66">
        <v>15.37652781872354</v>
      </c>
      <c r="Z203" s="66">
        <v>19.041178816087225</v>
      </c>
      <c r="AA203" s="66">
        <v>14.058331858407081</v>
      </c>
      <c r="AB203" s="66">
        <v>13.030904086296291</v>
      </c>
      <c r="AC203" s="66">
        <v>17.014164518874402</v>
      </c>
      <c r="AD203" s="66">
        <v>4.7163864566836073</v>
      </c>
      <c r="AE203" s="66">
        <v>60.663667289150496</v>
      </c>
      <c r="AF203" s="66">
        <v>15.356679130901291</v>
      </c>
      <c r="AG203" s="66">
        <v>10.599953078657645</v>
      </c>
      <c r="AH203" s="66">
        <v>14.466233678794559</v>
      </c>
      <c r="AI203" s="66">
        <v>5.9465102895027622</v>
      </c>
      <c r="AJ203" s="66">
        <v>15.277654895177957</v>
      </c>
      <c r="AK203" s="66">
        <v>14.656015783274443</v>
      </c>
      <c r="AL203" s="66">
        <v>9.5150665260818705</v>
      </c>
      <c r="AM203" s="66">
        <v>17.217111426840802</v>
      </c>
      <c r="AN203" s="66">
        <v>7.5214097802608073</v>
      </c>
      <c r="AO203" s="66">
        <v>17.796700627252058</v>
      </c>
      <c r="AP203" s="66">
        <v>15.812784427351435</v>
      </c>
      <c r="AQ203" s="66">
        <v>20.99283133781308</v>
      </c>
      <c r="AR203" s="66">
        <v>9.9994029998184146</v>
      </c>
      <c r="AS203" s="66">
        <v>15.311497015908357</v>
      </c>
    </row>
    <row r="204" spans="3:45" ht="12.75">
      <c r="C204" s="68" t="s">
        <v>120</v>
      </c>
      <c r="E204" s="18" t="s">
        <v>30</v>
      </c>
      <c r="F204" s="71">
        <v>2010</v>
      </c>
      <c r="G204" s="18" t="s">
        <v>156</v>
      </c>
      <c r="H204" s="66"/>
      <c r="I204" s="66">
        <v>7.2653892898945749</v>
      </c>
      <c r="J204" s="66">
        <v>19.196218031019161</v>
      </c>
      <c r="K204" s="66">
        <v>14.057251607963028</v>
      </c>
      <c r="L204" s="66">
        <v>15.849539365821736</v>
      </c>
      <c r="M204" s="66">
        <v>8.8103503456274854</v>
      </c>
      <c r="N204" s="66">
        <v>12.230379378702528</v>
      </c>
      <c r="O204" s="66">
        <v>12.268160426656234</v>
      </c>
      <c r="P204" s="66">
        <v>10.303642297486677</v>
      </c>
      <c r="Q204" s="66">
        <v>12.041510641645283</v>
      </c>
      <c r="R204" s="66">
        <v>17.444506025445779</v>
      </c>
      <c r="S204" s="66">
        <v>15.62705671395579</v>
      </c>
      <c r="T204" s="66">
        <v>6.8764821240877554</v>
      </c>
      <c r="U204" s="66">
        <v>11.442550160672372</v>
      </c>
      <c r="V204" s="67">
        <v>13.292548793132427</v>
      </c>
      <c r="W204" s="66">
        <v>13.548263828780865</v>
      </c>
      <c r="X204" s="66">
        <v>13.400472537429655</v>
      </c>
      <c r="Y204" s="66">
        <v>11.639123088599472</v>
      </c>
      <c r="Z204" s="66">
        <v>18.550087257973203</v>
      </c>
      <c r="AA204" s="66">
        <v>13.978164822404372</v>
      </c>
      <c r="AB204" s="66">
        <v>9.555554575205381</v>
      </c>
      <c r="AC204" s="66">
        <v>14.357133380446307</v>
      </c>
      <c r="AD204" s="66">
        <v>4.5030321962187951</v>
      </c>
      <c r="AE204" s="66">
        <v>58.61297133875739</v>
      </c>
      <c r="AF204" s="66">
        <v>17.950323294141292</v>
      </c>
      <c r="AG204" s="66">
        <v>7.0548289713865655</v>
      </c>
      <c r="AH204" s="66">
        <v>11.265743412584053</v>
      </c>
      <c r="AI204" s="66">
        <v>7.4552660023146737</v>
      </c>
      <c r="AJ204" s="66">
        <v>13.417237590574734</v>
      </c>
      <c r="AK204" s="66">
        <v>13.879387949778154</v>
      </c>
      <c r="AL204" s="66">
        <v>7.7115301989604825</v>
      </c>
      <c r="AM204" s="66">
        <v>12.428672046364285</v>
      </c>
      <c r="AN204" s="66">
        <v>5.7536277219646488</v>
      </c>
      <c r="AO204" s="66">
        <v>14.744461539777289</v>
      </c>
      <c r="AP204" s="66">
        <v>15.857090146793466</v>
      </c>
      <c r="AQ204" s="66">
        <v>14.639017065271553</v>
      </c>
      <c r="AR204" s="66">
        <v>9.2224184923026336</v>
      </c>
      <c r="AS204" s="66">
        <v>13.041664931184954</v>
      </c>
    </row>
    <row r="205" spans="3:45" ht="12.75">
      <c r="C205" s="68" t="s">
        <v>121</v>
      </c>
      <c r="E205" s="18" t="s">
        <v>30</v>
      </c>
      <c r="F205" s="71">
        <v>2010</v>
      </c>
      <c r="G205" s="18" t="s">
        <v>157</v>
      </c>
      <c r="H205" s="66"/>
      <c r="I205" s="66">
        <v>12.129463627417348</v>
      </c>
      <c r="J205" s="66">
        <v>22.736000785233031</v>
      </c>
      <c r="K205" s="66">
        <v>16.75180872977144</v>
      </c>
      <c r="L205" s="66">
        <v>18.990383976560064</v>
      </c>
      <c r="M205" s="66">
        <v>9.0716805281293098</v>
      </c>
      <c r="N205" s="66">
        <v>14.091752252489595</v>
      </c>
      <c r="O205" s="66">
        <v>13.48281330171903</v>
      </c>
      <c r="P205" s="66">
        <v>12.956798341212227</v>
      </c>
      <c r="Q205" s="66">
        <v>14.745800046458266</v>
      </c>
      <c r="R205" s="66">
        <v>18.770476413875667</v>
      </c>
      <c r="S205" s="66">
        <v>16.511826867400121</v>
      </c>
      <c r="T205" s="66">
        <v>10.300511348013519</v>
      </c>
      <c r="U205" s="66">
        <v>12.60383675468819</v>
      </c>
      <c r="V205" s="67">
        <v>12.143631268349973</v>
      </c>
      <c r="W205" s="66">
        <v>16.583393323500015</v>
      </c>
      <c r="X205" s="66">
        <v>15.952296037211552</v>
      </c>
      <c r="Y205" s="66">
        <v>15.247961658447874</v>
      </c>
      <c r="Z205" s="66">
        <v>20.156307041088585</v>
      </c>
      <c r="AA205" s="66">
        <v>14.32423868113046</v>
      </c>
      <c r="AB205" s="66">
        <v>13.061387502824132</v>
      </c>
      <c r="AC205" s="66">
        <v>17.180395017604408</v>
      </c>
      <c r="AD205" s="66">
        <v>4.6957640264475868</v>
      </c>
      <c r="AE205" s="66">
        <v>63.875923083739472</v>
      </c>
      <c r="AF205" s="66">
        <v>16.127938952027755</v>
      </c>
      <c r="AG205" s="66">
        <v>11.212872673867677</v>
      </c>
      <c r="AH205" s="66">
        <v>14.570115180327871</v>
      </c>
      <c r="AI205" s="66">
        <v>5.7924041744701826</v>
      </c>
      <c r="AJ205" s="66">
        <v>15.244557383770124</v>
      </c>
      <c r="AK205" s="66">
        <v>14.356396758090098</v>
      </c>
      <c r="AL205" s="66">
        <v>9.4024250327592274</v>
      </c>
      <c r="AM205" s="66">
        <v>17.217061941554288</v>
      </c>
      <c r="AN205" s="66">
        <v>7.4989137858842199</v>
      </c>
      <c r="AO205" s="66">
        <v>17.865759300409053</v>
      </c>
      <c r="AP205" s="66">
        <v>16.282104648494627</v>
      </c>
      <c r="AQ205" s="66">
        <v>20.143092098092644</v>
      </c>
      <c r="AR205" s="66">
        <v>9.833393805611804</v>
      </c>
      <c r="AS205" s="66">
        <v>16.264876109981898</v>
      </c>
    </row>
    <row r="206" spans="3:45" ht="12.75">
      <c r="C206" s="68" t="s">
        <v>118</v>
      </c>
      <c r="E206" s="18" t="s">
        <v>30</v>
      </c>
      <c r="F206" s="71">
        <v>2010</v>
      </c>
      <c r="G206" s="18" t="s">
        <v>138</v>
      </c>
      <c r="H206" s="66"/>
      <c r="I206" s="66">
        <v>17.387329003884751</v>
      </c>
      <c r="J206" s="66">
        <v>25.225052622429939</v>
      </c>
      <c r="K206" s="66">
        <v>19.286663508829388</v>
      </c>
      <c r="L206" s="66">
        <v>19.286560929096094</v>
      </c>
      <c r="M206" s="66">
        <v>12.479247755569887</v>
      </c>
      <c r="N206" s="66">
        <v>16.180351221889971</v>
      </c>
      <c r="O206" s="66">
        <v>16.997328923766819</v>
      </c>
      <c r="P206" s="66">
        <v>16.298147411428733</v>
      </c>
      <c r="Q206" s="66">
        <v>19.173079059253347</v>
      </c>
      <c r="R206" s="66">
        <v>25.780764212634232</v>
      </c>
      <c r="S206" s="66">
        <v>19.369552874201613</v>
      </c>
      <c r="T206" s="66">
        <v>12.471629817813767</v>
      </c>
      <c r="U206" s="66">
        <v>17.475072779413665</v>
      </c>
      <c r="V206" s="67">
        <v>16.334107967980525</v>
      </c>
      <c r="W206" s="66">
        <v>17.983225475773324</v>
      </c>
      <c r="X206" s="66">
        <v>18.733111820911823</v>
      </c>
      <c r="Y206" s="66">
        <v>20.861307100157315</v>
      </c>
      <c r="Z206" s="66">
        <v>21.750370986433666</v>
      </c>
      <c r="AA206" s="66">
        <v>14.325697567114098</v>
      </c>
      <c r="AB206" s="66">
        <v>14.829349395111814</v>
      </c>
      <c r="AC206" s="66">
        <v>19.611908193682179</v>
      </c>
      <c r="AD206" s="66">
        <v>6.6624578459343775</v>
      </c>
      <c r="AE206" s="66">
        <v>60.459427732769747</v>
      </c>
      <c r="AF206" s="66">
        <v>20.509185585323241</v>
      </c>
      <c r="AG206" s="66">
        <v>15.544308751665049</v>
      </c>
      <c r="AH206" s="66">
        <v>22.661738661417328</v>
      </c>
      <c r="AI206" s="66">
        <v>4.9024503111111102</v>
      </c>
      <c r="AJ206" s="66">
        <v>16.994994469426103</v>
      </c>
      <c r="AK206" s="66">
        <v>14.226452987965322</v>
      </c>
      <c r="AL206" s="66">
        <v>11.018008555279513</v>
      </c>
      <c r="AM206" s="66">
        <v>18.753969216624533</v>
      </c>
      <c r="AN206" s="66">
        <v>9.3725655702249231</v>
      </c>
      <c r="AO206" s="66">
        <v>20.178034651652315</v>
      </c>
      <c r="AP206" s="66">
        <v>17.550521880216301</v>
      </c>
      <c r="AQ206" s="66">
        <v>22.698549324469226</v>
      </c>
      <c r="AR206" s="66">
        <v>12.315085790082412</v>
      </c>
      <c r="AS206" s="66">
        <v>17.51349826974019</v>
      </c>
    </row>
    <row r="207" spans="3:45" ht="12.75">
      <c r="C207" s="68" t="s">
        <v>119</v>
      </c>
      <c r="E207" s="18" t="s">
        <v>30</v>
      </c>
      <c r="F207" s="71">
        <v>2010</v>
      </c>
      <c r="G207" s="18" t="s">
        <v>139</v>
      </c>
      <c r="H207" s="66"/>
      <c r="I207" s="66">
        <v>11.431087114664278</v>
      </c>
      <c r="J207" s="66">
        <v>22.444048618155094</v>
      </c>
      <c r="K207" s="66">
        <v>16.624710307784323</v>
      </c>
      <c r="L207" s="66">
        <v>20.09164928396476</v>
      </c>
      <c r="M207" s="66">
        <v>11.101197551335716</v>
      </c>
      <c r="N207" s="66">
        <v>14.207953539760291</v>
      </c>
      <c r="O207" s="66">
        <v>13.958117371890287</v>
      </c>
      <c r="P207" s="66">
        <v>12.946347121999226</v>
      </c>
      <c r="Q207" s="66">
        <v>14.491636032899786</v>
      </c>
      <c r="R207" s="66">
        <v>19.155415998406259</v>
      </c>
      <c r="S207" s="66">
        <v>15.923121041017657</v>
      </c>
      <c r="T207" s="66">
        <v>9.8830639435569303</v>
      </c>
      <c r="U207" s="66">
        <v>12.878180886874379</v>
      </c>
      <c r="V207" s="67">
        <v>12.343734491772452</v>
      </c>
      <c r="W207" s="66">
        <v>16.287815823558866</v>
      </c>
      <c r="X207" s="66">
        <v>15.977693507232249</v>
      </c>
      <c r="Y207" s="66">
        <v>15.426527818723541</v>
      </c>
      <c r="Z207" s="66">
        <v>19.091178816087226</v>
      </c>
      <c r="AA207" s="66">
        <v>14.108331858407082</v>
      </c>
      <c r="AB207" s="66">
        <v>13.080904086296291</v>
      </c>
      <c r="AC207" s="66">
        <v>17.064164518874403</v>
      </c>
      <c r="AD207" s="66">
        <v>4.7663864566836072</v>
      </c>
      <c r="AE207" s="66">
        <v>60.713667289150493</v>
      </c>
      <c r="AF207" s="66">
        <v>15.406679130901292</v>
      </c>
      <c r="AG207" s="66">
        <v>10.649953078657646</v>
      </c>
      <c r="AH207" s="66">
        <v>14.51623367879456</v>
      </c>
      <c r="AI207" s="66">
        <v>5.996510289502762</v>
      </c>
      <c r="AJ207" s="66">
        <v>15.327654895177957</v>
      </c>
      <c r="AK207" s="66">
        <v>14.706015783274443</v>
      </c>
      <c r="AL207" s="66">
        <v>9.5650665260818712</v>
      </c>
      <c r="AM207" s="66">
        <v>17.267111426840803</v>
      </c>
      <c r="AN207" s="66">
        <v>7.5714097802608071</v>
      </c>
      <c r="AO207" s="66">
        <v>17.846700627252059</v>
      </c>
      <c r="AP207" s="66">
        <v>15.862784427351436</v>
      </c>
      <c r="AQ207" s="66">
        <v>21.04283133781308</v>
      </c>
      <c r="AR207" s="66">
        <v>10.049402999818415</v>
      </c>
      <c r="AS207" s="66">
        <v>15.361497015908357</v>
      </c>
    </row>
    <row r="208" spans="3:45" ht="12.75">
      <c r="C208" s="68" t="s">
        <v>120</v>
      </c>
      <c r="E208" s="18" t="s">
        <v>30</v>
      </c>
      <c r="F208" s="71">
        <v>2010</v>
      </c>
      <c r="G208" s="18" t="s">
        <v>140</v>
      </c>
      <c r="H208" s="66"/>
      <c r="I208" s="66">
        <v>7.3153892898945747</v>
      </c>
      <c r="J208" s="66">
        <v>19.246218031019161</v>
      </c>
      <c r="K208" s="66">
        <v>14.107251607963029</v>
      </c>
      <c r="L208" s="66">
        <v>15.899539365821736</v>
      </c>
      <c r="M208" s="66">
        <v>8.8603503456274861</v>
      </c>
      <c r="N208" s="66">
        <v>12.280379378702529</v>
      </c>
      <c r="O208" s="66">
        <v>12.318160426656235</v>
      </c>
      <c r="P208" s="66">
        <v>10.353642297486678</v>
      </c>
      <c r="Q208" s="66">
        <v>12.091510641645284</v>
      </c>
      <c r="R208" s="66">
        <v>17.49450602544578</v>
      </c>
      <c r="S208" s="66">
        <v>15.677056713955791</v>
      </c>
      <c r="T208" s="66">
        <v>6.9264821240877552</v>
      </c>
      <c r="U208" s="66">
        <v>11.492550160672373</v>
      </c>
      <c r="V208" s="67">
        <v>13.342548793132428</v>
      </c>
      <c r="W208" s="66">
        <v>13.598263828780865</v>
      </c>
      <c r="X208" s="66">
        <v>13.450472537429656</v>
      </c>
      <c r="Y208" s="66">
        <v>11.689123088599473</v>
      </c>
      <c r="Z208" s="66">
        <v>18.600087257973204</v>
      </c>
      <c r="AA208" s="66">
        <v>14.028164822404372</v>
      </c>
      <c r="AB208" s="66">
        <v>9.6055545752053817</v>
      </c>
      <c r="AC208" s="66">
        <v>14.407133380446307</v>
      </c>
      <c r="AD208" s="66">
        <v>4.553032196218795</v>
      </c>
      <c r="AE208" s="66">
        <v>58.662971338757387</v>
      </c>
      <c r="AF208" s="66">
        <v>18.000323294141293</v>
      </c>
      <c r="AG208" s="66">
        <v>7.1048289713865653</v>
      </c>
      <c r="AH208" s="66">
        <v>11.315743412584053</v>
      </c>
      <c r="AI208" s="66">
        <v>7.5052660023146736</v>
      </c>
      <c r="AJ208" s="66">
        <v>13.467237590574735</v>
      </c>
      <c r="AK208" s="66">
        <v>13.929387949778155</v>
      </c>
      <c r="AL208" s="66">
        <v>7.7615301989604824</v>
      </c>
      <c r="AM208" s="66">
        <v>12.478672046364286</v>
      </c>
      <c r="AN208" s="66">
        <v>5.8036277219646486</v>
      </c>
      <c r="AO208" s="66">
        <v>14.79446153977729</v>
      </c>
      <c r="AP208" s="66">
        <v>15.907090146793466</v>
      </c>
      <c r="AQ208" s="66">
        <v>14.689017065271553</v>
      </c>
      <c r="AR208" s="66">
        <v>9.2724184923026343</v>
      </c>
      <c r="AS208" s="66">
        <v>13.091664931184955</v>
      </c>
    </row>
    <row r="209" spans="3:45" ht="12.75">
      <c r="C209" s="68" t="s">
        <v>121</v>
      </c>
      <c r="E209" s="18" t="s">
        <v>30</v>
      </c>
      <c r="F209" s="71">
        <v>2010</v>
      </c>
      <c r="G209" s="18" t="s">
        <v>141</v>
      </c>
      <c r="H209" s="66"/>
      <c r="I209" s="66">
        <v>12.179463627417348</v>
      </c>
      <c r="J209" s="66">
        <v>22.786000785233032</v>
      </c>
      <c r="K209" s="66">
        <v>16.801808729771441</v>
      </c>
      <c r="L209" s="66">
        <v>19.040383976560065</v>
      </c>
      <c r="M209" s="66">
        <v>9.1216805281293105</v>
      </c>
      <c r="N209" s="66">
        <v>14.141752252489596</v>
      </c>
      <c r="O209" s="66">
        <v>13.532813301719031</v>
      </c>
      <c r="P209" s="66">
        <v>13.006798341212228</v>
      </c>
      <c r="Q209" s="66">
        <v>14.795800046458266</v>
      </c>
      <c r="R209" s="66">
        <v>18.820476413875667</v>
      </c>
      <c r="S209" s="66">
        <v>16.561826867400121</v>
      </c>
      <c r="T209" s="66">
        <v>10.350511348013519</v>
      </c>
      <c r="U209" s="66">
        <v>12.653836754688191</v>
      </c>
      <c r="V209" s="67">
        <v>12.193631268349973</v>
      </c>
      <c r="W209" s="66">
        <v>16.633393323500016</v>
      </c>
      <c r="X209" s="66">
        <v>16.002296037211551</v>
      </c>
      <c r="Y209" s="66">
        <v>15.297961658447875</v>
      </c>
      <c r="Z209" s="66">
        <v>20.206307041088586</v>
      </c>
      <c r="AA209" s="66">
        <v>14.374238681130461</v>
      </c>
      <c r="AB209" s="66">
        <v>13.111387502824133</v>
      </c>
      <c r="AC209" s="66">
        <v>17.230395017604408</v>
      </c>
      <c r="AD209" s="66">
        <v>4.7457640264475867</v>
      </c>
      <c r="AE209" s="66">
        <v>63.92592308373947</v>
      </c>
      <c r="AF209" s="66">
        <v>16.177938952027755</v>
      </c>
      <c r="AG209" s="66">
        <v>11.262872673867678</v>
      </c>
      <c r="AH209" s="66">
        <v>14.620115180327872</v>
      </c>
      <c r="AI209" s="66">
        <v>5.8424041744701825</v>
      </c>
      <c r="AJ209" s="66">
        <v>15.294557383770124</v>
      </c>
      <c r="AK209" s="66">
        <v>14.406396758090098</v>
      </c>
      <c r="AL209" s="66">
        <v>9.4524250327592281</v>
      </c>
      <c r="AM209" s="66">
        <v>17.267061941554289</v>
      </c>
      <c r="AN209" s="66">
        <v>7.5489137858842197</v>
      </c>
      <c r="AO209" s="66">
        <v>17.915759300409054</v>
      </c>
      <c r="AP209" s="66">
        <v>16.332104648494628</v>
      </c>
      <c r="AQ209" s="66">
        <v>20.193092098092645</v>
      </c>
      <c r="AR209" s="66">
        <v>9.8833938056118047</v>
      </c>
      <c r="AS209" s="66">
        <v>16.314876109981899</v>
      </c>
    </row>
    <row r="210" spans="22:22" ht="12.75">
      <c r="V210" s="65"/>
    </row>
  </sheetData>
  <pageMargins left="0.7" right="0.7" top="0.75" bottom="0.75" header="0.3" footer="0.3"/>
  <pageSetup horizontalDpi="300" verticalDpi="300"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7"/>
  <sheetViews>
    <sheetView zoomScale="80" zoomScaleNormal="80" workbookViewId="0" topLeftCell="A1">
      <selection pane="topLeft" activeCell="D41" sqref="D41"/>
    </sheetView>
  </sheetViews>
  <sheetFormatPr defaultColWidth="8.85428571428571" defaultRowHeight="12.75"/>
  <cols>
    <col min="1" max="1" width="21.4285714285714" style="18" bestFit="1" customWidth="1"/>
    <col min="2" max="2" width="8.85714285714286" style="18"/>
    <col min="3" max="3" width="10.1428571428571" style="18" bestFit="1" customWidth="1"/>
    <col min="4" max="4" width="24.1428571428571" style="18" bestFit="1" customWidth="1"/>
    <col min="5" max="5" width="13.1428571428571" style="18" bestFit="1" customWidth="1"/>
    <col min="6" max="6" width="9.85714285714286" style="18" bestFit="1" customWidth="1"/>
    <col min="7" max="8" width="6.57142857142857" style="18" bestFit="1" customWidth="1"/>
    <col min="9" max="9" width="5.57142857142857" style="18" bestFit="1" customWidth="1"/>
    <col min="10" max="10" width="6.57142857142857" style="18" bestFit="1" customWidth="1"/>
    <col min="11" max="11" width="5.57142857142857" style="18" bestFit="1" customWidth="1"/>
    <col min="12" max="12" width="6.57142857142857" style="18" bestFit="1" customWidth="1"/>
    <col min="13" max="14" width="5.57142857142857" style="18" bestFit="1" customWidth="1"/>
    <col min="15" max="16" width="6.57142857142857" style="18" bestFit="1" customWidth="1"/>
    <col min="17" max="17" width="6.28571428571429" style="18" customWidth="1"/>
    <col min="18" max="19" width="6.57142857142857" style="18" bestFit="1" customWidth="1"/>
    <col min="20" max="20" width="7.71428571428571" style="18" customWidth="1"/>
    <col min="21" max="21" width="6.57142857142857" style="18" bestFit="1" customWidth="1"/>
    <col min="22" max="22" width="5.57142857142857" style="18" bestFit="1" customWidth="1"/>
    <col min="23" max="24" width="6.57142857142857" style="18" bestFit="1" customWidth="1"/>
    <col min="25" max="28" width="5.57142857142857" style="18" bestFit="1" customWidth="1"/>
    <col min="29" max="32" width="6.57142857142857" style="18" bestFit="1" customWidth="1"/>
    <col min="33" max="33" width="5.57142857142857" style="18" bestFit="1" customWidth="1"/>
    <col min="34" max="34" width="6.57142857142857" style="18" bestFit="1" customWidth="1"/>
    <col min="35" max="39" width="5.57142857142857" style="18" bestFit="1" customWidth="1"/>
    <col min="40" max="42" width="6.57142857142857" style="18" bestFit="1" customWidth="1"/>
    <col min="43" max="43" width="8.85714285714286" style="18" customWidth="1"/>
    <col min="44" max="44" width="8.85714285714286" style="18"/>
    <col min="45" max="45" width="7.85714285714286" style="18" bestFit="1" customWidth="1"/>
    <col min="46" max="82" width="5" style="18" bestFit="1" customWidth="1"/>
    <col min="83" max="16384" width="8.85714285714286" style="18"/>
  </cols>
  <sheetData>
    <row r="1" spans="1:1" s="78" customFormat="1" ht="15.75">
      <c r="A1" s="22" t="s">
        <v>278</v>
      </c>
    </row>
    <row r="2" spans="1:1" ht="12.75">
      <c r="A2" s="64"/>
    </row>
    <row r="3" spans="3:43" ht="15.75" thickBot="1">
      <c r="C3" s="3" t="s">
        <v>97</v>
      </c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</row>
    <row r="4" spans="3:43" s="63" customFormat="1" ht="12.75">
      <c r="C4" s="23" t="s">
        <v>36</v>
      </c>
      <c r="D4" s="23" t="s">
        <v>94</v>
      </c>
      <c r="E4" s="23" t="s">
        <v>95</v>
      </c>
      <c r="F4" s="23" t="s">
        <v>47</v>
      </c>
      <c r="G4" s="23" t="str">
        <f>RdTRABYVals!M$1</f>
        <v>AT</v>
      </c>
      <c r="H4" s="23" t="str">
        <f>RdTRABYVals!O$1</f>
        <v>BE</v>
      </c>
      <c r="I4" s="23" t="str">
        <f>RdTRABYVals!P$1</f>
        <v>BG</v>
      </c>
      <c r="J4" s="23" t="str">
        <f>RdTRABYVals!Q$1</f>
        <v>CH</v>
      </c>
      <c r="K4" s="23" t="str">
        <f>RdTRABYVals!R$1</f>
        <v>CY</v>
      </c>
      <c r="L4" s="23" t="str">
        <f>RdTRABYVals!S$1</f>
        <v>CZ</v>
      </c>
      <c r="M4" s="23" t="str">
        <f>RdTRABYVals!T$1</f>
        <v>DE</v>
      </c>
      <c r="N4" s="23" t="str">
        <f>RdTRABYVals!U$1</f>
        <v>DK</v>
      </c>
      <c r="O4" s="23" t="str">
        <f>RdTRABYVals!V$1</f>
        <v>EE</v>
      </c>
      <c r="P4" s="23" t="str">
        <f>RdTRABYVals!X$1</f>
        <v>ES</v>
      </c>
      <c r="Q4" s="23" t="str">
        <f>RdTRABYVals!Y$1</f>
        <v>FI</v>
      </c>
      <c r="R4" s="23" t="str">
        <f>RdTRABYVals!Z$1</f>
        <v>FR</v>
      </c>
      <c r="S4" s="23" t="str">
        <f>RdTRABYVals!W$1</f>
        <v>EL</v>
      </c>
      <c r="T4" s="23" t="str">
        <f>RdTRABYVals!AA$1</f>
        <v>HR</v>
      </c>
      <c r="U4" s="23" t="str">
        <f>RdTRABYVals!AB$1</f>
        <v>HU</v>
      </c>
      <c r="V4" s="23" t="str">
        <f>RdTRABYVals!AC$1</f>
        <v>IE</v>
      </c>
      <c r="W4" s="23" t="str">
        <f>RdTRABYVals!AD$1</f>
        <v>IS</v>
      </c>
      <c r="X4" s="23" t="str">
        <f>RdTRABYVals!AE$1</f>
        <v>IT</v>
      </c>
      <c r="Y4" s="23" t="str">
        <f>RdTRABYVals!AG$1</f>
        <v>LT</v>
      </c>
      <c r="Z4" s="23" t="str">
        <f>RdTRABYVals!AH$1</f>
        <v>LU</v>
      </c>
      <c r="AA4" s="23" t="str">
        <f>RdTRABYVals!AI$1</f>
        <v>LV</v>
      </c>
      <c r="AB4" s="23" t="str">
        <f>RdTRABYVals!AK$1</f>
        <v>MK</v>
      </c>
      <c r="AC4" s="23" t="str">
        <f>RdTRABYVals!AL$1</f>
        <v>MT</v>
      </c>
      <c r="AD4" s="23" t="str">
        <f>RdTRABYVals!AM$1</f>
        <v>NL</v>
      </c>
      <c r="AE4" s="23" t="str">
        <f>RdTRABYVals!AN$1</f>
        <v>NO</v>
      </c>
      <c r="AF4" s="23" t="str">
        <f>RdTRABYVals!AO$1</f>
        <v>PL</v>
      </c>
      <c r="AG4" s="23" t="str">
        <f>RdTRABYVals!AP$1</f>
        <v>PT</v>
      </c>
      <c r="AH4" s="23" t="str">
        <f>RdTRABYVals!AQ$1</f>
        <v>RO</v>
      </c>
      <c r="AI4" s="23" t="str">
        <f>RdTRABYVals!AS$1</f>
        <v>SE</v>
      </c>
      <c r="AJ4" s="23" t="str">
        <f>RdTRABYVals!AT$1</f>
        <v>SI</v>
      </c>
      <c r="AK4" s="23" t="str">
        <f>RdTRABYVals!AU$1</f>
        <v>SK</v>
      </c>
      <c r="AL4" s="23" t="str">
        <f>RdTRABYVals!AV$1</f>
        <v>UK</v>
      </c>
      <c r="AM4" s="23" t="str">
        <f>RdTRABYVals!L$1</f>
        <v>AL</v>
      </c>
      <c r="AN4" s="23" t="str">
        <f>RdTRABYVals!N$1</f>
        <v>BA</v>
      </c>
      <c r="AO4" s="23" t="str">
        <f>RdTRABYVals!AJ$1</f>
        <v>ME</v>
      </c>
      <c r="AP4" s="23" t="str">
        <f>RdTRABYVals!AR$1</f>
        <v>RS</v>
      </c>
      <c r="AQ4" s="23" t="str">
        <f>RdTRABYVals!AF$1</f>
        <v>KS</v>
      </c>
    </row>
    <row r="5" spans="1:43" ht="12.75">
      <c r="A5" s="73" t="s">
        <v>88</v>
      </c>
      <c r="C5" s="18" t="s">
        <v>28</v>
      </c>
      <c r="D5" s="18" t="str">
        <f t="shared" si="0" ref="D5:D12">A5</f>
        <v>TRA_Bus*</v>
      </c>
      <c r="E5" s="18" t="s">
        <v>96</v>
      </c>
      <c r="F5" s="66">
        <f t="shared" si="1" ref="F5:F12">AVERAGE(G5:AL5)</f>
        <v>20.686068475246433</v>
      </c>
      <c r="G5" s="66">
        <f>IFERROR(AVERAGEIFS(RdTRABYVals!M$2:M$999,RdTRABYVals!$B$2:$B$999,"="&amp;$C5,RdTRABYVals!$C$2:$C$999,"="&amp;INS_FLO!$A5),"")</f>
        <v>18.844230651855501</v>
      </c>
      <c r="H5" s="66">
        <f>IFERROR(AVERAGEIFS(RdTRABYVals!O$2:O$999,RdTRABYVals!$B$2:$B$999,"="&amp;$C5,RdTRABYVals!$C$2:$C$999,"="&amp;INS_FLO!$A5),"")</f>
        <v>32.8548393249512</v>
      </c>
      <c r="I5" s="66">
        <f>IFERROR(AVERAGEIFS(RdTRABYVals!P$2:P$999,RdTRABYVals!$B$2:$B$999,"="&amp;$C5,RdTRABYVals!$C$2:$C$999,"="&amp;INS_FLO!$A5),"")</f>
        <v>19.464134216308601</v>
      </c>
      <c r="J5" s="66">
        <f>IFERROR(AVERAGEIFS(RdTRABYVals!Q$2:Q$999,RdTRABYVals!$B$2:$B$999,"="&amp;$C5,RdTRABYVals!$C$2:$C$999,"="&amp;INS_FLO!$A5),"")</f>
        <v>22.708028793335</v>
      </c>
      <c r="K5" s="66">
        <f>IFERROR(AVERAGEIFS(RdTRABYVals!R$2:R$999,RdTRABYVals!$B$2:$B$999,"="&amp;$C5,RdTRABYVals!$C$2:$C$999,"="&amp;INS_FLO!$A5),"")</f>
        <v>9.6167755126953107</v>
      </c>
      <c r="L5" s="66">
        <f>IFERROR(AVERAGEIFS(RdTRABYVals!S$2:S$999,RdTRABYVals!$B$2:$B$999,"="&amp;$C5,RdTRABYVals!$C$2:$C$999,"="&amp;INS_FLO!$A5),"")</f>
        <v>24.425664901733398</v>
      </c>
      <c r="M5" s="66">
        <f>IFERROR(AVERAGEIFS(RdTRABYVals!T$2:T$999,RdTRABYVals!$B$2:$B$999,"="&amp;$C5,RdTRABYVals!$C$2:$C$999,"="&amp;INS_FLO!$A5),"")</f>
        <v>20.808900833129901</v>
      </c>
      <c r="N5" s="66">
        <f>IFERROR(AVERAGEIFS(RdTRABYVals!U$2:U$999,RdTRABYVals!$B$2:$B$999,"="&amp;$C5,RdTRABYVals!$C$2:$C$999,"="&amp;INS_FLO!$A5),"")</f>
        <v>12</v>
      </c>
      <c r="O5" s="66">
        <f>IFERROR(AVERAGEIFS(RdTRABYVals!V$2:V$999,RdTRABYVals!$B$2:$B$999,"="&amp;$C5,RdTRABYVals!$C$2:$C$999,"="&amp;INS_FLO!$A5),"")</f>
        <v>11.5324859619141</v>
      </c>
      <c r="P5" s="66">
        <f>IFERROR(AVERAGEIFS(RdTRABYVals!X$2:X$999,RdTRABYVals!$B$2:$B$999,"="&amp;$C5,RdTRABYVals!$C$2:$C$999,"="&amp;INS_FLO!$A5),"")</f>
        <v>24.2999992370606</v>
      </c>
      <c r="Q5" s="66">
        <f>IFERROR(AVERAGEIFS(RdTRABYVals!Y$2:Y$999,RdTRABYVals!$B$2:$B$999,"="&amp;$C5,RdTRABYVals!$C$2:$C$999,"="&amp;INS_FLO!$A5),"")</f>
        <v>13</v>
      </c>
      <c r="R5" s="66">
        <f>IFERROR(AVERAGEIFS(RdTRABYVals!Z$2:Z$999,RdTRABYVals!$B$2:$B$999,"="&amp;$C5,RdTRABYVals!$C$2:$C$999,"="&amp;INS_FLO!$A5),"")</f>
        <v>17.698154449462901</v>
      </c>
      <c r="S5" s="66">
        <f>IFERROR(AVERAGEIFS(RdTRABYVals!W$2:W$999,RdTRABYVals!$B$2:$B$999,"="&amp;$C5,RdTRABYVals!$C$2:$C$999,"="&amp;INS_FLO!$A5),"")</f>
        <v>27.25</v>
      </c>
      <c r="T5" s="66">
        <f>IFERROR(AVERAGEIFS(RdTRABYVals!AA$2:AA$999,RdTRABYVals!$B$2:$B$999,"="&amp;$C5,RdTRABYVals!$C$2:$C$999,"="&amp;INS_FLO!$A5),"")</f>
        <v>8.8645162582397496</v>
      </c>
      <c r="U5" s="66">
        <f>IFERROR(AVERAGEIFS(RdTRABYVals!AB$2:AB$999,RdTRABYVals!$B$2:$B$999,"="&amp;$C5,RdTRABYVals!$C$2:$C$999,"="&amp;INS_FLO!$A5),"")</f>
        <v>30</v>
      </c>
      <c r="V5" s="66">
        <f>IFERROR(AVERAGEIFS(RdTRABYVals!AC$2:AC$999,RdTRABYVals!$B$2:$B$999,"="&amp;$C5,RdTRABYVals!$C$2:$C$999,"="&amp;INS_FLO!$A5),"")</f>
        <v>27.25</v>
      </c>
      <c r="W5" s="66">
        <f>IFERROR(AVERAGEIFS(RdTRABYVals!AD$2:AD$999,RdTRABYVals!$B$2:$B$999,"="&amp;$C5,RdTRABYVals!$C$2:$C$999,"="&amp;INS_FLO!$A5),"")</f>
        <v>9.6172838211059606</v>
      </c>
      <c r="X5" s="66">
        <f>IFERROR(AVERAGEIFS(RdTRABYVals!AE$2:AE$999,RdTRABYVals!$B$2:$B$999,"="&amp;$C5,RdTRABYVals!$C$2:$C$999,"="&amp;INS_FLO!$A5),"")</f>
        <v>18</v>
      </c>
      <c r="Y5" s="66">
        <f>IFERROR(AVERAGEIFS(RdTRABYVals!AG$2:AG$999,RdTRABYVals!$B$2:$B$999,"="&amp;$C5,RdTRABYVals!$C$2:$C$999,"="&amp;INS_FLO!$A5),"")</f>
        <v>31.7471389770507</v>
      </c>
      <c r="Z5" s="66">
        <f>IFERROR(AVERAGEIFS(RdTRABYVals!AH$2:AH$999,RdTRABYVals!$B$2:$B$999,"="&amp;$C5,RdTRABYVals!$C$2:$C$999,"="&amp;INS_FLO!$A5),"")</f>
        <v>32.8548393249512</v>
      </c>
      <c r="AA5" s="66">
        <f>IFERROR(AVERAGEIFS(RdTRABYVals!AI$2:AI$999,RdTRABYVals!$B$2:$B$999,"="&amp;$C5,RdTRABYVals!$C$2:$C$999,"="&amp;INS_FLO!$A5),"")</f>
        <v>12</v>
      </c>
      <c r="AB5" s="66">
        <f>IFERROR(AVERAGEIFS(RdTRABYVals!AK$2:AK$999,RdTRABYVals!$B$2:$B$999,"="&amp;$C5,RdTRABYVals!$C$2:$C$999,"="&amp;INS_FLO!$A5),"")</f>
        <v>35.676471710205099</v>
      </c>
      <c r="AC5" s="66">
        <f>IFERROR(AVERAGEIFS(RdTRABYVals!AL$2:AL$999,RdTRABYVals!$B$2:$B$999,"="&amp;$C5,RdTRABYVals!$C$2:$C$999,"="&amp;INS_FLO!$A5),"")</f>
        <v>32.8548393249512</v>
      </c>
      <c r="AD5" s="66">
        <f>IFERROR(AVERAGEIFS(RdTRABYVals!AM$2:AM$999,RdTRABYVals!$B$2:$B$999,"="&amp;$C5,RdTRABYVals!$C$2:$C$999,"="&amp;INS_FLO!$A5),"")</f>
        <v>32.8548393249512</v>
      </c>
      <c r="AE5" s="66">
        <f>IFERROR(AVERAGEIFS(RdTRABYVals!AN$2:AN$999,RdTRABYVals!$B$2:$B$999,"="&amp;$C5,RdTRABYVals!$C$2:$C$999,"="&amp;INS_FLO!$A5),"")</f>
        <v>12.9441175460815</v>
      </c>
      <c r="AF5" s="66">
        <f>IFERROR(AVERAGEIFS(RdTRABYVals!AO$2:AO$999,RdTRABYVals!$B$2:$B$999,"="&amp;$C5,RdTRABYVals!$C$2:$C$999,"="&amp;INS_FLO!$A5),"")</f>
        <v>9.9356021881103498</v>
      </c>
      <c r="AG5" s="66">
        <f>IFERROR(AVERAGEIFS(RdTRABYVals!AP$2:AP$999,RdTRABYVals!$B$2:$B$999,"="&amp;$C5,RdTRABYVals!$C$2:$C$999,"="&amp;INS_FLO!$A5),"")</f>
        <v>27.800828933715799</v>
      </c>
      <c r="AH5" s="66">
        <f>IFERROR(AVERAGEIFS(RdTRABYVals!AQ$2:AQ$999,RdTRABYVals!$B$2:$B$999,"="&amp;$C5,RdTRABYVals!$C$2:$C$999,"="&amp;INS_FLO!$A5),"")</f>
        <v>19.464134216308601</v>
      </c>
      <c r="AI5" s="66">
        <f>IFERROR(AVERAGEIFS(RdTRABYVals!AS$2:AS$999,RdTRABYVals!$B$2:$B$999,"="&amp;$C5,RdTRABYVals!$C$2:$C$999,"="&amp;INS_FLO!$A5),"")</f>
        <v>9.5039014816284197</v>
      </c>
      <c r="AJ5" s="66">
        <f>IFERROR(AVERAGEIFS(RdTRABYVals!AT$2:AT$999,RdTRABYVals!$B$2:$B$999,"="&amp;$C5,RdTRABYVals!$C$2:$C$999,"="&amp;INS_FLO!$A5),"")</f>
        <v>21.951725006103501</v>
      </c>
      <c r="AK5" s="66">
        <f>IFERROR(AVERAGEIFS(RdTRABYVals!AU$2:AU$999,RdTRABYVals!$B$2:$B$999,"="&amp;$C5,RdTRABYVals!$C$2:$C$999,"="&amp;INS_FLO!$A5),"")</f>
        <v>17.130739212036101</v>
      </c>
      <c r="AL5" s="66">
        <f>IFERROR(AVERAGEIFS(RdTRABYVals!AV$2:AV$999,RdTRABYVals!$B$2:$B$999,"="&amp;$C5,RdTRABYVals!$C$2:$C$999,"="&amp;INS_FLO!$A5),"")</f>
        <v>17</v>
      </c>
      <c r="AM5" s="66">
        <f>IFERROR(AVERAGEIFS(RdTRABYVals!L$2:L$999,RdTRABYVals!$B$2:$B$999,"="&amp;$C5,RdTRABYVals!$C$2:$C$999,"="&amp;INS_FLO!$A5),"")</f>
        <v>27.25</v>
      </c>
      <c r="AN5" s="66">
        <f>IFERROR(AVERAGEIFS(RdTRABYVals!N$2:N$999,RdTRABYVals!$B$2:$B$999,"="&amp;$C5,RdTRABYVals!$C$2:$C$999,"="&amp;INS_FLO!$A5),"")</f>
        <v>8.8645162582397496</v>
      </c>
      <c r="AO5" s="66">
        <f>IFERROR(AVERAGEIFS(RdTRABYVals!AJ$2:AJ$999,RdTRABYVals!$B$2:$B$999,"="&amp;$C5,RdTRABYVals!$C$2:$C$999,"="&amp;INS_FLO!$A5),"")</f>
        <v>27.25</v>
      </c>
      <c r="AP5" s="66">
        <f>IFERROR(AVERAGEIFS(RdTRABYVals!AR$2:AR$999,RdTRABYVals!$B$2:$B$999,"="&amp;$C5,RdTRABYVals!$C$2:$C$999,"="&amp;INS_FLO!$A5),"")</f>
        <v>8.8645162582397496</v>
      </c>
      <c r="AQ5" s="66">
        <f>IFERROR(AVERAGEIFS(RdTRABYVals!AF$2:AF$999,RdTRABYVals!$B$2:$B$999,"="&amp;$C5,RdTRABYVals!$C$2:$C$999,"="&amp;INS_FLO!$A5),"")</f>
        <v>8.8645162582397496</v>
      </c>
    </row>
    <row r="6" spans="1:43" ht="12.75">
      <c r="A6" s="73" t="s">
        <v>89</v>
      </c>
      <c r="C6" s="18" t="s">
        <v>28</v>
      </c>
      <c r="D6" s="18" t="str">
        <f t="shared" si="0"/>
        <v>TRA_Car*</v>
      </c>
      <c r="E6" s="18" t="s">
        <v>96</v>
      </c>
      <c r="F6" s="66">
        <f t="shared" si="1"/>
        <v>1.6016995608806608</v>
      </c>
      <c r="G6" s="66">
        <f>IFERROR(AVERAGEIFS(RdTRABYVals!M$2:M$999,RdTRABYVals!$B$2:$B$999,"="&amp;$C6,RdTRABYVals!$C$2:$C$999,"="&amp;INS_FLO!$A6),"")</f>
        <v>1.1799999475479099</v>
      </c>
      <c r="H6" s="66">
        <f>IFERROR(AVERAGEIFS(RdTRABYVals!O$2:O$999,RdTRABYVals!$B$2:$B$999,"="&amp;$C6,RdTRABYVals!$C$2:$C$999,"="&amp;INS_FLO!$A6),"")</f>
        <v>1.51028192043304</v>
      </c>
      <c r="I6" s="66">
        <f>IFERROR(AVERAGEIFS(RdTRABYVals!P$2:P$999,RdTRABYVals!$B$2:$B$999,"="&amp;$C6,RdTRABYVals!$C$2:$C$999,"="&amp;INS_FLO!$A6),"")</f>
        <v>1.5599999427795399</v>
      </c>
      <c r="J6" s="66">
        <f>IFERROR(AVERAGEIFS(RdTRABYVals!Q$2:Q$999,RdTRABYVals!$B$2:$B$999,"="&amp;$C6,RdTRABYVals!$C$2:$C$999,"="&amp;INS_FLO!$A6),"")</f>
        <v>1.60651648044586</v>
      </c>
      <c r="K6" s="66">
        <f>IFERROR(AVERAGEIFS(RdTRABYVals!R$2:R$999,RdTRABYVals!$B$2:$B$999,"="&amp;$C6,RdTRABYVals!$C$2:$C$999,"="&amp;INS_FLO!$A6),"")</f>
        <v>1.4644458293914799</v>
      </c>
      <c r="L6" s="66">
        <f>IFERROR(AVERAGEIFS(RdTRABYVals!S$2:S$999,RdTRABYVals!$B$2:$B$999,"="&amp;$C6,RdTRABYVals!$C$2:$C$999,"="&amp;INS_FLO!$A6),"")</f>
        <v>1.37999999523163</v>
      </c>
      <c r="M6" s="66">
        <f>IFERROR(AVERAGEIFS(RdTRABYVals!T$2:T$999,RdTRABYVals!$B$2:$B$999,"="&amp;$C6,RdTRABYVals!$C$2:$C$999,"="&amp;INS_FLO!$A6),"")</f>
        <v>1.4904687404632599</v>
      </c>
      <c r="N6" s="66">
        <f>IFERROR(AVERAGEIFS(RdTRABYVals!U$2:U$999,RdTRABYVals!$B$2:$B$999,"="&amp;$C6,RdTRABYVals!$C$2:$C$999,"="&amp;INS_FLO!$A6),"")</f>
        <v>1.5599999427795399</v>
      </c>
      <c r="O6" s="66">
        <f>IFERROR(AVERAGEIFS(RdTRABYVals!V$2:V$999,RdTRABYVals!$B$2:$B$999,"="&amp;$C6,RdTRABYVals!$C$2:$C$999,"="&amp;INS_FLO!$A6),"")</f>
        <v>1.45000004768372</v>
      </c>
      <c r="P6" s="66">
        <f>IFERROR(AVERAGEIFS(RdTRABYVals!X$2:X$999,RdTRABYVals!$B$2:$B$999,"="&amp;$C6,RdTRABYVals!$C$2:$C$999,"="&amp;INS_FLO!$A6),"")</f>
        <v>1.7400000095367401</v>
      </c>
      <c r="Q6" s="66">
        <f>IFERROR(AVERAGEIFS(RdTRABYVals!Y$2:Y$999,RdTRABYVals!$B$2:$B$999,"="&amp;$C6,RdTRABYVals!$C$2:$C$999,"="&amp;INS_FLO!$A6),"")</f>
        <v>1.4000432491302499</v>
      </c>
      <c r="R6" s="66">
        <f>IFERROR(AVERAGEIFS(RdTRABYVals!Z$2:Z$999,RdTRABYVals!$B$2:$B$999,"="&amp;$C6,RdTRABYVals!$C$2:$C$999,"="&amp;INS_FLO!$A6),"")</f>
        <v>1.82858443260193</v>
      </c>
      <c r="S6" s="66">
        <f>IFERROR(AVERAGEIFS(RdTRABYVals!W$2:W$999,RdTRABYVals!$B$2:$B$999,"="&amp;$C6,RdTRABYVals!$C$2:$C$999,"="&amp;INS_FLO!$A6),"")</f>
        <v>1.4975107908248899</v>
      </c>
      <c r="T6" s="66">
        <f>IFERROR(AVERAGEIFS(RdTRABYVals!AA$2:AA$999,RdTRABYVals!$B$2:$B$999,"="&amp;$C6,RdTRABYVals!$C$2:$C$999,"="&amp;INS_FLO!$A6),"")</f>
        <v>1.38246369361877</v>
      </c>
      <c r="U6" s="66">
        <f>IFERROR(AVERAGEIFS(RdTRABYVals!AB$2:AB$999,RdTRABYVals!$B$2:$B$999,"="&amp;$C6,RdTRABYVals!$C$2:$C$999,"="&amp;INS_FLO!$A6),"")</f>
        <v>1.8400000333786</v>
      </c>
      <c r="V6" s="66">
        <f>IFERROR(AVERAGEIFS(RdTRABYVals!AC$2:AC$999,RdTRABYVals!$B$2:$B$999,"="&amp;$C6,RdTRABYVals!$C$2:$C$999,"="&amp;INS_FLO!$A6),"")</f>
        <v>1.4975107908248899</v>
      </c>
      <c r="W6" s="66">
        <f>IFERROR(AVERAGEIFS(RdTRABYVals!AD$2:AD$999,RdTRABYVals!$B$2:$B$999,"="&amp;$C6,RdTRABYVals!$C$2:$C$999,"="&amp;INS_FLO!$A6),"")</f>
        <v>2.0627906322479301</v>
      </c>
      <c r="X6" s="66">
        <f>IFERROR(AVERAGEIFS(RdTRABYVals!AE$2:AE$999,RdTRABYVals!$B$2:$B$999,"="&amp;$C6,RdTRABYVals!$C$2:$C$999,"="&amp;INS_FLO!$A6),"")</f>
        <v>1.71000003814697</v>
      </c>
      <c r="Y6" s="66">
        <f>IFERROR(AVERAGEIFS(RdTRABYVals!AG$2:AG$999,RdTRABYVals!$B$2:$B$999,"="&amp;$C6,RdTRABYVals!$C$2:$C$999,"="&amp;INS_FLO!$A6),"")</f>
        <v>1.9999866485595701</v>
      </c>
      <c r="Z6" s="66">
        <f>IFERROR(AVERAGEIFS(RdTRABYVals!AH$2:AH$999,RdTRABYVals!$B$2:$B$999,"="&amp;$C6,RdTRABYVals!$C$2:$C$999,"="&amp;INS_FLO!$A6),"")</f>
        <v>1.51028192043304</v>
      </c>
      <c r="AA6" s="66">
        <f>IFERROR(AVERAGEIFS(RdTRABYVals!AI$2:AI$999,RdTRABYVals!$B$2:$B$999,"="&amp;$C6,RdTRABYVals!$C$2:$C$999,"="&amp;INS_FLO!$A6),"")</f>
        <v>1.43300044536591</v>
      </c>
      <c r="AB6" s="66">
        <f>IFERROR(AVERAGEIFS(RdTRABYVals!AK$2:AK$999,RdTRABYVals!$B$2:$B$999,"="&amp;$C6,RdTRABYVals!$C$2:$C$999,"="&amp;INS_FLO!$A6),"")</f>
        <v>1.5599999427795399</v>
      </c>
      <c r="AC6" s="66">
        <f>IFERROR(AVERAGEIFS(RdTRABYVals!AL$2:AL$999,RdTRABYVals!$B$2:$B$999,"="&amp;$C6,RdTRABYVals!$C$2:$C$999,"="&amp;INS_FLO!$A6),"")</f>
        <v>1.51028192043304</v>
      </c>
      <c r="AD6" s="66">
        <f>IFERROR(AVERAGEIFS(RdTRABYVals!AM$2:AM$999,RdTRABYVals!$B$2:$B$999,"="&amp;$C6,RdTRABYVals!$C$2:$C$999,"="&amp;INS_FLO!$A6),"")</f>
        <v>1.33000004291534</v>
      </c>
      <c r="AE6" s="66">
        <f>IFERROR(AVERAGEIFS(RdTRABYVals!AN$2:AN$999,RdTRABYVals!$B$2:$B$999,"="&amp;$C6,RdTRABYVals!$C$2:$C$999,"="&amp;INS_FLO!$A6),"")</f>
        <v>1.70000004768371</v>
      </c>
      <c r="AF6" s="66">
        <f>IFERROR(AVERAGEIFS(RdTRABYVals!AO$2:AO$999,RdTRABYVals!$B$2:$B$999,"="&amp;$C6,RdTRABYVals!$C$2:$C$999,"="&amp;INS_FLO!$A6),"")</f>
        <v>1.9665447473526001</v>
      </c>
      <c r="AG6" s="66">
        <f>IFERROR(AVERAGEIFS(RdTRABYVals!AP$2:AP$999,RdTRABYVals!$B$2:$B$999,"="&amp;$C6,RdTRABYVals!$C$2:$C$999,"="&amp;INS_FLO!$A6),"")</f>
        <v>1.4975107908248899</v>
      </c>
      <c r="AH6" s="66">
        <f>IFERROR(AVERAGEIFS(RdTRABYVals!AQ$2:AQ$999,RdTRABYVals!$B$2:$B$999,"="&amp;$C6,RdTRABYVals!$C$2:$C$999,"="&amp;INS_FLO!$A6),"")</f>
        <v>1.9828243255615201</v>
      </c>
      <c r="AI6" s="66">
        <f>IFERROR(AVERAGEIFS(RdTRABYVals!AS$2:AS$999,RdTRABYVals!$B$2:$B$999,"="&amp;$C6,RdTRABYVals!$C$2:$C$999,"="&amp;INS_FLO!$A6),"")</f>
        <v>1.45347416400909</v>
      </c>
      <c r="AJ6" s="66">
        <f>IFERROR(AVERAGEIFS(RdTRABYVals!AT$2:AT$999,RdTRABYVals!$B$2:$B$999,"="&amp;$C6,RdTRABYVals!$C$2:$C$999,"="&amp;INS_FLO!$A6),"")</f>
        <v>1.63986444473267</v>
      </c>
      <c r="AK6" s="66">
        <f>IFERROR(AVERAGEIFS(RdTRABYVals!AU$2:AU$999,RdTRABYVals!$B$2:$B$999,"="&amp;$C6,RdTRABYVals!$C$2:$C$999,"="&amp;INS_FLO!$A6),"")</f>
        <v>1.95000004768372</v>
      </c>
      <c r="AL6" s="66">
        <f>IFERROR(AVERAGEIFS(RdTRABYVals!AV$2:AV$999,RdTRABYVals!$B$2:$B$999,"="&amp;$C6,RdTRABYVals!$C$2:$C$999,"="&amp;INS_FLO!$A6),"")</f>
        <v>1.5599999427795399</v>
      </c>
      <c r="AM6" s="66">
        <f>IFERROR(AVERAGEIFS(RdTRABYVals!L$2:L$999,RdTRABYVals!$B$2:$B$999,"="&amp;$C6,RdTRABYVals!$C$2:$C$999,"="&amp;INS_FLO!$A6),"")</f>
        <v>1.4975107908248899</v>
      </c>
      <c r="AN6" s="66">
        <f>IFERROR(AVERAGEIFS(RdTRABYVals!N$2:N$999,RdTRABYVals!$B$2:$B$999,"="&amp;$C6,RdTRABYVals!$C$2:$C$999,"="&amp;INS_FLO!$A6),"")</f>
        <v>1.38246369361877</v>
      </c>
      <c r="AO6" s="66">
        <f>IFERROR(AVERAGEIFS(RdTRABYVals!AJ$2:AJ$999,RdTRABYVals!$B$2:$B$999,"="&amp;$C6,RdTRABYVals!$C$2:$C$999,"="&amp;INS_FLO!$A6),"")</f>
        <v>1.4975107908248899</v>
      </c>
      <c r="AP6" s="66">
        <f>IFERROR(AVERAGEIFS(RdTRABYVals!AR$2:AR$999,RdTRABYVals!$B$2:$B$999,"="&amp;$C6,RdTRABYVals!$C$2:$C$999,"="&amp;INS_FLO!$A6),"")</f>
        <v>1.38246369361877</v>
      </c>
      <c r="AQ6" s="66">
        <f>IFERROR(AVERAGEIFS(RdTRABYVals!AF$2:AF$999,RdTRABYVals!$B$2:$B$999,"="&amp;$C6,RdTRABYVals!$C$2:$C$999,"="&amp;INS_FLO!$A6),"")</f>
        <v>1.38246369361877</v>
      </c>
    </row>
    <row r="7" spans="1:43" ht="12.75">
      <c r="A7" s="73" t="s">
        <v>130</v>
      </c>
      <c r="C7" s="85" t="s">
        <v>28</v>
      </c>
      <c r="D7" s="85" t="str">
        <f t="shared" si="0"/>
        <v>TRA_Hdt_Dis*</v>
      </c>
      <c r="E7" s="85" t="s">
        <v>96</v>
      </c>
      <c r="F7" s="86">
        <f t="shared" si="1"/>
        <v>9.1347469981692839</v>
      </c>
      <c r="G7" s="86">
        <f>IFERROR(AVERAGEIFS(RdTRABYVals!M$2:M$999,RdTRABYVals!$B$2:$B$999,"="&amp;$C7,RdTRABYVals!$C$2:$C$999,"="&amp;INS_FLO!$A7),"")</f>
        <v>12.6966866442624</v>
      </c>
      <c r="H7" s="86">
        <f>IFERROR(AVERAGEIFS(RdTRABYVals!O$2:O$999,RdTRABYVals!$B$2:$B$999,"="&amp;$C7,RdTRABYVals!$C$2:$C$999,"="&amp;INS_FLO!$A7),"")</f>
        <v>3.6177163587025101</v>
      </c>
      <c r="I7" s="86">
        <f>IFERROR(AVERAGEIFS(RdTRABYVals!P$2:P$999,RdTRABYVals!$B$2:$B$999,"="&amp;$C7,RdTRABYVals!$C$2:$C$999,"="&amp;INS_FLO!$A7),"")</f>
        <v>14.9022221025332</v>
      </c>
      <c r="J7" s="86">
        <f>IFERROR(AVERAGEIFS(RdTRABYVals!Q$2:Q$999,RdTRABYVals!$B$2:$B$999,"="&amp;$C7,RdTRABYVals!$C$2:$C$999,"="&amp;INS_FLO!$A7),"")</f>
        <v>5.0234683731318199</v>
      </c>
      <c r="K7" s="86">
        <f>IFERROR(AVERAGEIFS(RdTRABYVals!R$2:R$999,RdTRABYVals!$B$2:$B$999,"="&amp;$C7,RdTRABYVals!$C$2:$C$999,"="&amp;INS_FLO!$A7),"")</f>
        <v>4.0249713514679204</v>
      </c>
      <c r="L7" s="86">
        <f>IFERROR(AVERAGEIFS(RdTRABYVals!S$2:S$999,RdTRABYVals!$B$2:$B$999,"="&amp;$C7,RdTRABYVals!$C$2:$C$999,"="&amp;INS_FLO!$A7),"")</f>
        <v>9.7457023667068992</v>
      </c>
      <c r="M7" s="86">
        <f>IFERROR(AVERAGEIFS(RdTRABYVals!T$2:T$999,RdTRABYVals!$B$2:$B$999,"="&amp;$C7,RdTRABYVals!$C$2:$C$999,"="&amp;INS_FLO!$A7),"")</f>
        <v>6.2939784162499803</v>
      </c>
      <c r="N7" s="86">
        <f>IFERROR(AVERAGEIFS(RdTRABYVals!U$2:U$999,RdTRABYVals!$B$2:$B$999,"="&amp;$C7,RdTRABYVals!$C$2:$C$999,"="&amp;INS_FLO!$A7),"")</f>
        <v>5.7247237084120997</v>
      </c>
      <c r="O7" s="86">
        <f>IFERROR(AVERAGEIFS(RdTRABYVals!V$2:V$999,RdTRABYVals!$B$2:$B$999,"="&amp;$C7,RdTRABYVals!$C$2:$C$999,"="&amp;INS_FLO!$A7),"")</f>
        <v>10.89725621128</v>
      </c>
      <c r="P7" s="86">
        <f>IFERROR(AVERAGEIFS(RdTRABYVals!X$2:X$999,RdTRABYVals!$B$2:$B$999,"="&amp;$C7,RdTRABYVals!$C$2:$C$999,"="&amp;INS_FLO!$A7),"")</f>
        <v>6.2476243227720296</v>
      </c>
      <c r="Q7" s="86">
        <v>16.50</v>
      </c>
      <c r="R7" s="86">
        <f>IFERROR(AVERAGEIFS(RdTRABYVals!Z$2:Z$999,RdTRABYVals!$B$2:$B$999,"="&amp;$C7,RdTRABYVals!$C$2:$C$999,"="&amp;INS_FLO!$A7),"")</f>
        <v>8.2550465475250707</v>
      </c>
      <c r="S7" s="86">
        <f>IFERROR(AVERAGEIFS(RdTRABYVals!W$2:W$999,RdTRABYVals!$B$2:$B$999,"="&amp;$C7,RdTRABYVals!$C$2:$C$999,"="&amp;INS_FLO!$A7),"")</f>
        <v>6.4732029836269103</v>
      </c>
      <c r="T7" s="86">
        <f>IFERROR(AVERAGEIFS(RdTRABYVals!AA$2:AA$999,RdTRABYVals!$B$2:$B$999,"="&amp;$C7,RdTRABYVals!$C$2:$C$999,"="&amp;INS_FLO!$A7),"")</f>
        <v>10.1545306337892</v>
      </c>
      <c r="U7" s="86">
        <f>IFERROR(AVERAGEIFS(RdTRABYVals!AB$2:AB$999,RdTRABYVals!$B$2:$B$999,"="&amp;$C7,RdTRABYVals!$C$2:$C$999,"="&amp;INS_FLO!$A7),"")</f>
        <v>9.9489386039569503</v>
      </c>
      <c r="V7" s="86">
        <f>IFERROR(AVERAGEIFS(RdTRABYVals!AC$2:AC$999,RdTRABYVals!$B$2:$B$999,"="&amp;$C7,RdTRABYVals!$C$2:$C$999,"="&amp;INS_FLO!$A7),"")</f>
        <v>11.993945793934399</v>
      </c>
      <c r="W7" s="86">
        <f>IFERROR(AVERAGEIFS(RdTRABYVals!AD$2:AD$999,RdTRABYVals!$B$2:$B$999,"="&amp;$C7,RdTRABYVals!$C$2:$C$999,"="&amp;INS_FLO!$A7),"")</f>
        <v>7.0785647772785403</v>
      </c>
      <c r="X7" s="86">
        <f>IFERROR(AVERAGEIFS(RdTRABYVals!AE$2:AE$999,RdTRABYVals!$B$2:$B$999,"="&amp;$C7,RdTRABYVals!$C$2:$C$999,"="&amp;INS_FLO!$A7),"")</f>
        <v>7.5022433654630802</v>
      </c>
      <c r="Y7" s="86">
        <f>IFERROR(AVERAGEIFS(RdTRABYVals!AG$2:AG$999,RdTRABYVals!$B$2:$B$999,"="&amp;$C7,RdTRABYVals!$C$2:$C$999,"="&amp;INS_FLO!$A7),"")</f>
        <v>13.305331947125</v>
      </c>
      <c r="Z7" s="86">
        <f>IFERROR(AVERAGEIFS(RdTRABYVals!AH$2:AH$999,RdTRABYVals!$B$2:$B$999,"="&amp;$C7,RdTRABYVals!$C$2:$C$999,"="&amp;INS_FLO!$A7),"")</f>
        <v>5.2429919003327798</v>
      </c>
      <c r="AA7" s="86">
        <f>IFERROR(AVERAGEIFS(RdTRABYVals!AI$2:AI$999,RdTRABYVals!$B$2:$B$999,"="&amp;$C7,RdTRABYVals!$C$2:$C$999,"="&amp;INS_FLO!$A7),"")</f>
        <v>10.4740889501004</v>
      </c>
      <c r="AB7" s="86">
        <f>IFERROR(AVERAGEIFS(RdTRABYVals!AK$2:AK$999,RdTRABYVals!$B$2:$B$999,"="&amp;$C7,RdTRABYVals!$C$2:$C$999,"="&amp;INS_FLO!$A7),"")</f>
        <v>12.0025614776756</v>
      </c>
      <c r="AC7" s="86">
        <f>IFERROR(AVERAGEIFS(RdTRABYVals!AL$2:AL$999,RdTRABYVals!$B$2:$B$999,"="&amp;$C7,RdTRABYVals!$C$2:$C$999,"="&amp;INS_FLO!$A7),"")</f>
        <v>1.2047109936611</v>
      </c>
      <c r="AD7" s="86">
        <f>IFERROR(AVERAGEIFS(RdTRABYVals!AM$2:AM$999,RdTRABYVals!$B$2:$B$999,"="&amp;$C7,RdTRABYVals!$C$2:$C$999,"="&amp;INS_FLO!$A7),"")</f>
        <v>11.1014949066107</v>
      </c>
      <c r="AE7" s="86">
        <f>IFERROR(AVERAGEIFS(RdTRABYVals!AN$2:AN$999,RdTRABYVals!$B$2:$B$999,"="&amp;$C7,RdTRABYVals!$C$2:$C$999,"="&amp;INS_FLO!$A7),"")</f>
        <v>12.591806582523301</v>
      </c>
      <c r="AF7" s="86">
        <f>IFERROR(AVERAGEIFS(RdTRABYVals!AO$2:AO$999,RdTRABYVals!$B$2:$B$999,"="&amp;$C7,RdTRABYVals!$C$2:$C$999,"="&amp;INS_FLO!$A7),"")</f>
        <v>11.666596909052201</v>
      </c>
      <c r="AG7" s="86">
        <f>IFERROR(AVERAGEIFS(RdTRABYVals!AP$2:AP$999,RdTRABYVals!$B$2:$B$999,"="&amp;$C7,RdTRABYVals!$C$2:$C$999,"="&amp;INS_FLO!$A7),"")</f>
        <v>13.5666403308729</v>
      </c>
      <c r="AH7" s="86">
        <f>IFERROR(AVERAGEIFS(RdTRABYVals!AQ$2:AQ$999,RdTRABYVals!$B$2:$B$999,"="&amp;$C7,RdTRABYVals!$C$2:$C$999,"="&amp;INS_FLO!$A7),"")</f>
        <v>5.68297807152776</v>
      </c>
      <c r="AI7" s="86">
        <f>IFERROR(AVERAGEIFS(RdTRABYVals!AS$2:AS$999,RdTRABYVals!$B$2:$B$999,"="&amp;$C7,RdTRABYVals!$C$2:$C$999,"="&amp;INS_FLO!$A7),"")</f>
        <v>12.879972178480299</v>
      </c>
      <c r="AJ7" s="86">
        <f>IFERROR(AVERAGEIFS(RdTRABYVals!AT$2:AT$999,RdTRABYVals!$B$2:$B$999,"="&amp;$C7,RdTRABYVals!$C$2:$C$999,"="&amp;INS_FLO!$A7),"")</f>
        <v>11.184902755915999</v>
      </c>
      <c r="AK7" s="86">
        <f>IFERROR(AVERAGEIFS(RdTRABYVals!AU$2:AU$999,RdTRABYVals!$B$2:$B$999,"="&amp;$C7,RdTRABYVals!$C$2:$C$999,"="&amp;INS_FLO!$A7),"")</f>
        <v>8.0361798881400901</v>
      </c>
      <c r="AL7" s="86">
        <f>IFERROR(AVERAGEIFS(RdTRABYVals!AV$2:AV$999,RdTRABYVals!$B$2:$B$999,"="&amp;$C7,RdTRABYVals!$C$2:$C$999,"="&amp;INS_FLO!$A7),"")</f>
        <v>6.2908244883060602</v>
      </c>
      <c r="AM7" s="86">
        <f>IFERROR(AVERAGEIFS(RdTRABYVals!L$2:L$999,RdTRABYVals!$B$2:$B$999,"="&amp;$C7,RdTRABYVals!$C$2:$C$999,"="&amp;INS_FLO!$A7),"")</f>
        <v>6.4732029836269103</v>
      </c>
      <c r="AN7" s="86">
        <f>IFERROR(AVERAGEIFS(RdTRABYVals!N$2:N$999,RdTRABYVals!$B$2:$B$999,"="&amp;$C7,RdTRABYVals!$C$2:$C$999,"="&amp;INS_FLO!$A7),"")</f>
        <v>10.1545306337892</v>
      </c>
      <c r="AO7" s="86">
        <f>IFERROR(AVERAGEIFS(RdTRABYVals!AJ$2:AJ$999,RdTRABYVals!$B$2:$B$999,"="&amp;$C7,RdTRABYVals!$C$2:$C$999,"="&amp;INS_FLO!$A7),"")</f>
        <v>6.4732029836269103</v>
      </c>
      <c r="AP7" s="86">
        <f>IFERROR(AVERAGEIFS(RdTRABYVals!AR$2:AR$999,RdTRABYVals!$B$2:$B$999,"="&amp;$C7,RdTRABYVals!$C$2:$C$999,"="&amp;INS_FLO!$A7),"")</f>
        <v>10.1545306337892</v>
      </c>
      <c r="AQ7" s="86">
        <f>IFERROR(AVERAGEIFS(RdTRABYVals!AF$2:AF$999,RdTRABYVals!$B$2:$B$999,"="&amp;$C7,RdTRABYVals!$C$2:$C$999,"="&amp;INS_FLO!$A7),"")</f>
        <v>10.1545306337892</v>
      </c>
    </row>
    <row r="8" spans="1:43" ht="12.75">
      <c r="A8" s="73" t="s">
        <v>131</v>
      </c>
      <c r="C8" s="85" t="s">
        <v>28</v>
      </c>
      <c r="D8" s="85" t="str">
        <f t="shared" si="0"/>
        <v>TRA_Hdt_Gas*</v>
      </c>
      <c r="E8" s="85" t="s">
        <v>96</v>
      </c>
      <c r="F8" s="86">
        <f t="shared" si="2" ref="F8:F10">AVERAGE(G8:AL8)</f>
        <v>1.8364431827545162</v>
      </c>
      <c r="G8" s="86">
        <v>1.836443182754516</v>
      </c>
      <c r="H8" s="86">
        <v>1.836443182754516</v>
      </c>
      <c r="I8" s="86">
        <f>IFERROR(AVERAGEIFS(RdTRABYVals!P$2:P$999,RdTRABYVals!$B$2:$B$999,"="&amp;$C8,RdTRABYVals!$C$2:$C$999,"="&amp;INS_FLO!$A8),"")</f>
        <v>2.4181893920898401</v>
      </c>
      <c r="J8" s="86">
        <v>1.8364431827545162</v>
      </c>
      <c r="K8" s="86">
        <f>IFERROR(AVERAGEIFS(RdTRABYVals!R$2:R$999,RdTRABYVals!$B$2:$B$999,"="&amp;$C8,RdTRABYVals!$C$2:$C$999,"="&amp;INS_FLO!$A8),"")</f>
        <v>0.97858094215393099</v>
      </c>
      <c r="L8" s="86">
        <f>IFERROR(AVERAGEIFS(RdTRABYVals!S$2:S$999,RdTRABYVals!$B$2:$B$999,"="&amp;$C8,RdTRABYVals!$C$2:$C$999,"="&amp;INS_FLO!$A8),"")</f>
        <v>1.6805942726135299</v>
      </c>
      <c r="M8" s="86">
        <v>1.8364431827545162</v>
      </c>
      <c r="N8" s="86">
        <f>IFERROR(AVERAGEIFS(RdTRABYVals!U$2:U$999,RdTRABYVals!$B$2:$B$999,"="&amp;$C8,RdTRABYVals!$C$2:$C$999,"="&amp;INS_FLO!$A8),"")</f>
        <v>0.71403723716735801</v>
      </c>
      <c r="O8" s="86">
        <f>IFERROR(AVERAGEIFS(RdTRABYVals!V$2:V$999,RdTRABYVals!$B$2:$B$999,"="&amp;$C8,RdTRABYVals!$C$2:$C$999,"="&amp;INS_FLO!$A8),"")</f>
        <v>2.0055233383178699</v>
      </c>
      <c r="P8" s="86">
        <f>IFERROR(AVERAGEIFS(RdTRABYVals!X$2:X$999,RdTRABYVals!$B$2:$B$999,"="&amp;$C8,RdTRABYVals!$C$2:$C$999,"="&amp;INS_FLO!$A8),"")</f>
        <v>0.89578972816467295</v>
      </c>
      <c r="Q8" s="86">
        <f>IFERROR(AVERAGEIFS(RdTRABYVals!Y$2:Y$999,RdTRABYVals!$B$2:$B$999,"="&amp;$C8,RdTRABYVals!$C$2:$C$999,"="&amp;INS_FLO!$A8),"")</f>
        <v>1.6817709350585901</v>
      </c>
      <c r="R8" s="86">
        <f>IFERROR(AVERAGEIFS(RdTRABYVals!Z$2:Z$999,RdTRABYVals!$B$2:$B$999,"="&amp;$C8,RdTRABYVals!$C$2:$C$999,"="&amp;INS_FLO!$A8),"")</f>
        <v>1.0801119709014899</v>
      </c>
      <c r="S8" s="86">
        <f>IFERROR(AVERAGEIFS(RdTRABYVals!W$2:W$999,RdTRABYVals!$B$2:$B$999,"="&amp;$C8,RdTRABYVals!$C$2:$C$999,"="&amp;INS_FLO!$A8),"")</f>
        <v>1.52727527618408</v>
      </c>
      <c r="T8" s="86">
        <f>IFERROR(AVERAGEIFS(RdTRABYVals!AA$2:AA$999,RdTRABYVals!$B$2:$B$999,"="&amp;$C8,RdTRABYVals!$C$2:$C$999,"="&amp;INS_FLO!$A8),"")</f>
        <v>2.7867569732666002</v>
      </c>
      <c r="U8" s="86">
        <f>IFERROR(AVERAGEIFS(RdTRABYVals!AB$2:AB$999,RdTRABYVals!$B$2:$B$999,"="&amp;$C8,RdTRABYVals!$C$2:$C$999,"="&amp;INS_FLO!$A8),"")</f>
        <v>1.7156412696838399</v>
      </c>
      <c r="V8" s="86">
        <f>IFERROR(AVERAGEIFS(RdTRABYVals!AC$2:AC$999,RdTRABYVals!$B$2:$B$999,"="&amp;$C8,RdTRABYVals!$C$2:$C$999,"="&amp;INS_FLO!$A8),"")</f>
        <v>4.5393498229980498</v>
      </c>
      <c r="W8" s="86">
        <f>IFERROR(AVERAGEIFS(RdTRABYVals!AD$2:AD$999,RdTRABYVals!$B$2:$B$999,"="&amp;$C8,RdTRABYVals!$C$2:$C$999,"="&amp;INS_FLO!$A8),"")</f>
        <v>1.3488346099853501</v>
      </c>
      <c r="X8" s="86">
        <f>IFERROR(AVERAGEIFS(RdTRABYVals!AE$2:AE$999,RdTRABYVals!$B$2:$B$999,"="&amp;$C8,RdTRABYVals!$C$2:$C$999,"="&amp;INS_FLO!$A8),"")</f>
        <v>1.3574516296386701</v>
      </c>
      <c r="Y8" s="86">
        <f>IFERROR(AVERAGEIFS(RdTRABYVals!AG$2:AG$999,RdTRABYVals!$B$2:$B$999,"="&amp;$C8,RdTRABYVals!$C$2:$C$999,"="&amp;INS_FLO!$A8),"")</f>
        <v>3.3123500442504898</v>
      </c>
      <c r="Z8" s="86">
        <f>IFERROR(AVERAGEIFS(RdTRABYVals!AH$2:AH$999,RdTRABYVals!$B$2:$B$999,"="&amp;$C8,RdTRABYVals!$C$2:$C$999,"="&amp;INS_FLO!$A8),"")</f>
        <v>0.85835562705993695</v>
      </c>
      <c r="AA8" s="86">
        <f>IFERROR(AVERAGEIFS(RdTRABYVals!AI$2:AI$999,RdTRABYVals!$B$2:$B$999,"="&amp;$C8,RdTRABYVals!$C$2:$C$999,"="&amp;INS_FLO!$A8),"")</f>
        <v>1.9958584976196301</v>
      </c>
      <c r="AB8" s="86">
        <f>IFERROR(AVERAGEIFS(RdTRABYVals!AK$2:AK$999,RdTRABYVals!$B$2:$B$999,"="&amp;$C8,RdTRABYVals!$C$2:$C$999,"="&amp;INS_FLO!$A8),"")</f>
        <v>1.9476603317260699</v>
      </c>
      <c r="AC8" s="86">
        <v>1.8364431827545165</v>
      </c>
      <c r="AD8" s="86">
        <f>IFERROR(AVERAGEIFS(RdTRABYVals!AM$2:AM$999,RdTRABYVals!$B$2:$B$999,"="&amp;$C8,RdTRABYVals!$C$2:$C$999,"="&amp;INS_FLO!$A8),"")</f>
        <v>1.8240133094787601</v>
      </c>
      <c r="AE8" s="86">
        <f>IFERROR(AVERAGEIFS(RdTRABYVals!AN$2:AN$999,RdTRABYVals!$B$2:$B$999,"="&amp;$C8,RdTRABYVals!$C$2:$C$999,"="&amp;INS_FLO!$A8),"")</f>
        <v>2.8752834320068401</v>
      </c>
      <c r="AF8" s="86">
        <f>IFERROR(AVERAGEIFS(RdTRABYVals!AO$2:AO$999,RdTRABYVals!$B$2:$B$999,"="&amp;$C8,RdTRABYVals!$C$2:$C$999,"="&amp;INS_FLO!$A8),"")</f>
        <v>2.28312622070312</v>
      </c>
      <c r="AG8" s="86">
        <v>1.8364431827545162</v>
      </c>
      <c r="AH8" s="86">
        <f>IFERROR(AVERAGEIFS(RdTRABYVals!AQ$2:AQ$999,RdTRABYVals!$B$2:$B$999,"="&amp;$C8,RdTRABYVals!$C$2:$C$999,"="&amp;INS_FLO!$A8),"")</f>
        <v>1.27366680145264</v>
      </c>
      <c r="AI8" s="86">
        <f>IFERROR(AVERAGEIFS(RdTRABYVals!AS$2:AS$999,RdTRABYVals!$B$2:$B$999,"="&amp;$C8,RdTRABYVals!$C$2:$C$999,"="&amp;INS_FLO!$A8),"")</f>
        <v>1.97689477920532</v>
      </c>
      <c r="AJ8" s="86">
        <f>IFERROR(AVERAGEIFS(RdTRABYVals!AT$2:AT$999,RdTRABYVals!$B$2:$B$999,"="&amp;$C8,RdTRABYVals!$C$2:$C$999,"="&amp;INS_FLO!$A8),"")</f>
        <v>1.92983709335327</v>
      </c>
      <c r="AK8" s="86">
        <v>1.8364431827545162</v>
      </c>
      <c r="AL8" s="86">
        <f>IFERROR(AVERAGEIFS(RdTRABYVals!AV$2:AV$999,RdTRABYVals!$B$2:$B$999,"="&amp;$C8,RdTRABYVals!$C$2:$C$999,"="&amp;INS_FLO!$A8),"")</f>
        <v>0.90412603378295897</v>
      </c>
      <c r="AM8" s="86">
        <f>IFERROR(AVERAGEIFS(RdTRABYVals!L$2:L$999,RdTRABYVals!$B$2:$B$999,"="&amp;$C8,RdTRABYVals!$C$2:$C$999,"="&amp;INS_FLO!$A8),"")</f>
        <v>1.52727527618408</v>
      </c>
      <c r="AN8" s="86">
        <f>IFERROR(AVERAGEIFS(RdTRABYVals!N$2:N$999,RdTRABYVals!$B$2:$B$999,"="&amp;$C8,RdTRABYVals!$C$2:$C$999,"="&amp;INS_FLO!$A8),"")</f>
        <v>2.7867569732666002</v>
      </c>
      <c r="AO8" s="86">
        <f>IFERROR(AVERAGEIFS(RdTRABYVals!AJ$2:AJ$999,RdTRABYVals!$B$2:$B$999,"="&amp;$C8,RdTRABYVals!$C$2:$C$999,"="&amp;INS_FLO!$A8),"")</f>
        <v>1.52727527618408</v>
      </c>
      <c r="AP8" s="86">
        <f>IFERROR(AVERAGEIFS(RdTRABYVals!AR$2:AR$999,RdTRABYVals!$B$2:$B$999,"="&amp;$C8,RdTRABYVals!$C$2:$C$999,"="&amp;INS_FLO!$A8),"")</f>
        <v>2.7867569732666002</v>
      </c>
      <c r="AQ8" s="86">
        <f>IFERROR(AVERAGEIFS(RdTRABYVals!AF$2:AF$999,RdTRABYVals!$B$2:$B$999,"="&amp;$C8,RdTRABYVals!$C$2:$C$999,"="&amp;INS_FLO!$A8),"")</f>
        <v>2.7867569732666002</v>
      </c>
    </row>
    <row r="9" spans="1:43" ht="12.75">
      <c r="A9" s="73" t="s">
        <v>286</v>
      </c>
      <c r="C9" s="85" t="s">
        <v>28</v>
      </c>
      <c r="D9" s="85" t="str">
        <f t="shared" si="0"/>
        <v>TRA_Hdt_Cng*,TRA_Hdt_Elc*,TRA_Hdt_GH2*,TRA_Hdt_Lpg*</v>
      </c>
      <c r="E9" s="85" t="s">
        <v>96</v>
      </c>
      <c r="F9" s="86">
        <f t="shared" si="2"/>
        <v>5.1981273250270732</v>
      </c>
      <c r="G9" s="86">
        <f>G7/2</f>
        <v>6.3483433221311998</v>
      </c>
      <c r="H9" s="86">
        <f>H7/2</f>
        <v>1.808858179351255</v>
      </c>
      <c r="I9" s="86">
        <v>8.6602057473115206</v>
      </c>
      <c r="J9" s="86">
        <f>J7/2</f>
        <v>2.51173418656591</v>
      </c>
      <c r="K9" s="86">
        <v>2.5017761468109256</v>
      </c>
      <c r="L9" s="86">
        <v>5.7131483196602142</v>
      </c>
      <c r="M9" s="86">
        <f>M7/2</f>
        <v>3.1469892081249902</v>
      </c>
      <c r="N9" s="86">
        <v>3.2193804727897288</v>
      </c>
      <c r="O9" s="86">
        <v>6.4513897747989351</v>
      </c>
      <c r="P9" s="86">
        <v>3.5717070254683514</v>
      </c>
      <c r="Q9" s="86">
        <v>6.3194681132555957</v>
      </c>
      <c r="R9" s="86">
        <v>4.6675792592132801</v>
      </c>
      <c r="S9" s="86">
        <v>4.0002391299054949</v>
      </c>
      <c r="T9" s="86">
        <v>6.4706438035279001</v>
      </c>
      <c r="U9" s="86">
        <v>5.8322899368203949</v>
      </c>
      <c r="V9" s="86">
        <v>8.2666478084662245</v>
      </c>
      <c r="W9" s="86">
        <v>4.2136996936319449</v>
      </c>
      <c r="X9" s="86">
        <v>4.4298474975508748</v>
      </c>
      <c r="Y9" s="86">
        <v>8.3088409956877456</v>
      </c>
      <c r="Z9" s="86">
        <v>3.0506737636963583</v>
      </c>
      <c r="AA9" s="86">
        <v>6.2349737238600156</v>
      </c>
      <c r="AB9" s="86">
        <v>6.9751109047008351</v>
      </c>
      <c r="AC9" s="86">
        <f>AC7/2</f>
        <v>0.60235549683055001</v>
      </c>
      <c r="AD9" s="86">
        <v>6.4627541080447299</v>
      </c>
      <c r="AE9" s="86">
        <v>7.7335450072650707</v>
      </c>
      <c r="AF9" s="86">
        <v>6.97486156487766</v>
      </c>
      <c r="AG9" s="86">
        <f>AG7/2</f>
        <v>6.7833201654364501</v>
      </c>
      <c r="AH9" s="86">
        <v>3.4783224364901999</v>
      </c>
      <c r="AI9" s="86">
        <v>7.4284334788428099</v>
      </c>
      <c r="AJ9" s="86">
        <v>6.5573699246346351</v>
      </c>
      <c r="AK9" s="86">
        <f>AK7/2</f>
        <v>4.018089944070045</v>
      </c>
      <c r="AL9" s="86">
        <v>3.5974752610445098</v>
      </c>
      <c r="AM9" s="86">
        <v>4.0002391299054949</v>
      </c>
      <c r="AN9" s="86">
        <v>6.4706438035279001</v>
      </c>
      <c r="AO9" s="86">
        <v>4.0002391299054949</v>
      </c>
      <c r="AP9" s="86">
        <v>6.4706438035279001</v>
      </c>
      <c r="AQ9" s="86">
        <v>6.4706438035279001</v>
      </c>
    </row>
    <row r="10" spans="1:43" ht="12.75">
      <c r="A10" s="73" t="s">
        <v>91</v>
      </c>
      <c r="C10" s="18" t="s">
        <v>28</v>
      </c>
      <c r="D10" s="18" t="str">
        <f t="shared" si="0"/>
        <v>TRA_Lcv*</v>
      </c>
      <c r="E10" s="18" t="s">
        <v>96</v>
      </c>
      <c r="F10" s="66">
        <f t="shared" si="2"/>
        <v>0.5</v>
      </c>
      <c r="G10" s="66">
        <f>IFERROR(AVERAGEIFS(RdTRABYVals!M$2:M$999,RdTRABYVals!$B$2:$B$999,"="&amp;$C10,RdTRABYVals!$C$2:$C$999,"="&amp;INS_FLO!$A10),"")</f>
        <v>0.5</v>
      </c>
      <c r="H10" s="66">
        <f>IFERROR(AVERAGEIFS(RdTRABYVals!O$2:O$999,RdTRABYVals!$B$2:$B$999,"="&amp;$C10,RdTRABYVals!$C$2:$C$999,"="&amp;INS_FLO!$A10),"")</f>
        <v>0.5</v>
      </c>
      <c r="I10" s="66">
        <f>IFERROR(AVERAGEIFS(RdTRABYVals!P$2:P$999,RdTRABYVals!$B$2:$B$999,"="&amp;$C10,RdTRABYVals!$C$2:$C$999,"="&amp;INS_FLO!$A10),"")</f>
        <v>0.5</v>
      </c>
      <c r="J10" s="66">
        <f>IFERROR(AVERAGEIFS(RdTRABYVals!Q$2:Q$999,RdTRABYVals!$B$2:$B$999,"="&amp;$C10,RdTRABYVals!$C$2:$C$999,"="&amp;INS_FLO!$A10),"")</f>
        <v>0.5</v>
      </c>
      <c r="K10" s="66">
        <f>IFERROR(AVERAGEIFS(RdTRABYVals!R$2:R$999,RdTRABYVals!$B$2:$B$999,"="&amp;$C10,RdTRABYVals!$C$2:$C$999,"="&amp;INS_FLO!$A10),"")</f>
        <v>0.5</v>
      </c>
      <c r="L10" s="66">
        <f>IFERROR(AVERAGEIFS(RdTRABYVals!S$2:S$999,RdTRABYVals!$B$2:$B$999,"="&amp;$C10,RdTRABYVals!$C$2:$C$999,"="&amp;INS_FLO!$A10),"")</f>
        <v>0.5</v>
      </c>
      <c r="M10" s="66">
        <f>IFERROR(AVERAGEIFS(RdTRABYVals!T$2:T$999,RdTRABYVals!$B$2:$B$999,"="&amp;$C10,RdTRABYVals!$C$2:$C$999,"="&amp;INS_FLO!$A10),"")</f>
        <v>0.5</v>
      </c>
      <c r="N10" s="66">
        <f>IFERROR(AVERAGEIFS(RdTRABYVals!U$2:U$999,RdTRABYVals!$B$2:$B$999,"="&amp;$C10,RdTRABYVals!$C$2:$C$999,"="&amp;INS_FLO!$A10),"")</f>
        <v>0.5</v>
      </c>
      <c r="O10" s="66">
        <f>IFERROR(AVERAGEIFS(RdTRABYVals!V$2:V$999,RdTRABYVals!$B$2:$B$999,"="&amp;$C10,RdTRABYVals!$C$2:$C$999,"="&amp;INS_FLO!$A10),"")</f>
        <v>0.5</v>
      </c>
      <c r="P10" s="66">
        <f>IFERROR(AVERAGEIFS(RdTRABYVals!X$2:X$999,RdTRABYVals!$B$2:$B$999,"="&amp;$C10,RdTRABYVals!$C$2:$C$999,"="&amp;INS_FLO!$A10),"")</f>
        <v>0.5</v>
      </c>
      <c r="Q10" s="66">
        <f>IFERROR(AVERAGEIFS(RdTRABYVals!Y$2:Y$999,RdTRABYVals!$B$2:$B$999,"="&amp;$C10,RdTRABYVals!$C$2:$C$999,"="&amp;INS_FLO!$A10),"")</f>
        <v>0.5</v>
      </c>
      <c r="R10" s="66">
        <f>IFERROR(AVERAGEIFS(RdTRABYVals!Z$2:Z$999,RdTRABYVals!$B$2:$B$999,"="&amp;$C10,RdTRABYVals!$C$2:$C$999,"="&amp;INS_FLO!$A10),"")</f>
        <v>0.5</v>
      </c>
      <c r="S10" s="66">
        <f>IFERROR(AVERAGEIFS(RdTRABYVals!W$2:W$999,RdTRABYVals!$B$2:$B$999,"="&amp;$C10,RdTRABYVals!$C$2:$C$999,"="&amp;INS_FLO!$A10),"")</f>
        <v>0.5</v>
      </c>
      <c r="T10" s="66">
        <f>IFERROR(AVERAGEIFS(RdTRABYVals!AA$2:AA$999,RdTRABYVals!$B$2:$B$999,"="&amp;$C10,RdTRABYVals!$C$2:$C$999,"="&amp;INS_FLO!$A10),"")</f>
        <v>0.5</v>
      </c>
      <c r="U10" s="66">
        <f>IFERROR(AVERAGEIFS(RdTRABYVals!AB$2:AB$999,RdTRABYVals!$B$2:$B$999,"="&amp;$C10,RdTRABYVals!$C$2:$C$999,"="&amp;INS_FLO!$A10),"")</f>
        <v>0.5</v>
      </c>
      <c r="V10" s="66">
        <f>IFERROR(AVERAGEIFS(RdTRABYVals!AC$2:AC$999,RdTRABYVals!$B$2:$B$999,"="&amp;$C10,RdTRABYVals!$C$2:$C$999,"="&amp;INS_FLO!$A10),"")</f>
        <v>0.5</v>
      </c>
      <c r="W10" s="66">
        <f>IFERROR(AVERAGEIFS(RdTRABYVals!AD$2:AD$999,RdTRABYVals!$B$2:$B$999,"="&amp;$C10,RdTRABYVals!$C$2:$C$999,"="&amp;INS_FLO!$A10),"")</f>
        <v>0.5</v>
      </c>
      <c r="X10" s="66">
        <f>IFERROR(AVERAGEIFS(RdTRABYVals!AE$2:AE$999,RdTRABYVals!$B$2:$B$999,"="&amp;$C10,RdTRABYVals!$C$2:$C$999,"="&amp;INS_FLO!$A10),"")</f>
        <v>0.5</v>
      </c>
      <c r="Y10" s="66">
        <f>IFERROR(AVERAGEIFS(RdTRABYVals!AG$2:AG$999,RdTRABYVals!$B$2:$B$999,"="&amp;$C10,RdTRABYVals!$C$2:$C$999,"="&amp;INS_FLO!$A10),"")</f>
        <v>0.5</v>
      </c>
      <c r="Z10" s="66">
        <f>IFERROR(AVERAGEIFS(RdTRABYVals!AH$2:AH$999,RdTRABYVals!$B$2:$B$999,"="&amp;$C10,RdTRABYVals!$C$2:$C$999,"="&amp;INS_FLO!$A10),"")</f>
        <v>0.5</v>
      </c>
      <c r="AA10" s="66">
        <f>IFERROR(AVERAGEIFS(RdTRABYVals!AI$2:AI$999,RdTRABYVals!$B$2:$B$999,"="&amp;$C10,RdTRABYVals!$C$2:$C$999,"="&amp;INS_FLO!$A10),"")</f>
        <v>0.5</v>
      </c>
      <c r="AB10" s="66">
        <f>IFERROR(AVERAGEIFS(RdTRABYVals!AK$2:AK$999,RdTRABYVals!$B$2:$B$999,"="&amp;$C10,RdTRABYVals!$C$2:$C$999,"="&amp;INS_FLO!$A10),"")</f>
        <v>0.5</v>
      </c>
      <c r="AC10" s="66">
        <f>IFERROR(AVERAGEIFS(RdTRABYVals!AL$2:AL$999,RdTRABYVals!$B$2:$B$999,"="&amp;$C10,RdTRABYVals!$C$2:$C$999,"="&amp;INS_FLO!$A10),"")</f>
        <v>0.5</v>
      </c>
      <c r="AD10" s="66">
        <f>IFERROR(AVERAGEIFS(RdTRABYVals!AM$2:AM$999,RdTRABYVals!$B$2:$B$999,"="&amp;$C10,RdTRABYVals!$C$2:$C$999,"="&amp;INS_FLO!$A10),"")</f>
        <v>0.5</v>
      </c>
      <c r="AE10" s="66">
        <f>IFERROR(AVERAGEIFS(RdTRABYVals!AN$2:AN$999,RdTRABYVals!$B$2:$B$999,"="&amp;$C10,RdTRABYVals!$C$2:$C$999,"="&amp;INS_FLO!$A10),"")</f>
        <v>0.5</v>
      </c>
      <c r="AF10" s="66">
        <f>IFERROR(AVERAGEIFS(RdTRABYVals!AO$2:AO$999,RdTRABYVals!$B$2:$B$999,"="&amp;$C10,RdTRABYVals!$C$2:$C$999,"="&amp;INS_FLO!$A10),"")</f>
        <v>0.5</v>
      </c>
      <c r="AG10" s="66">
        <f>IFERROR(AVERAGEIFS(RdTRABYVals!AP$2:AP$999,RdTRABYVals!$B$2:$B$999,"="&amp;$C10,RdTRABYVals!$C$2:$C$999,"="&amp;INS_FLO!$A10),"")</f>
        <v>0.5</v>
      </c>
      <c r="AH10" s="66">
        <f>IFERROR(AVERAGEIFS(RdTRABYVals!AQ$2:AQ$999,RdTRABYVals!$B$2:$B$999,"="&amp;$C10,RdTRABYVals!$C$2:$C$999,"="&amp;INS_FLO!$A10),"")</f>
        <v>0.5</v>
      </c>
      <c r="AI10" s="66">
        <f>IFERROR(AVERAGEIFS(RdTRABYVals!AS$2:AS$999,RdTRABYVals!$B$2:$B$999,"="&amp;$C10,RdTRABYVals!$C$2:$C$999,"="&amp;INS_FLO!$A10),"")</f>
        <v>0.5</v>
      </c>
      <c r="AJ10" s="66">
        <f>IFERROR(AVERAGEIFS(RdTRABYVals!AT$2:AT$999,RdTRABYVals!$B$2:$B$999,"="&amp;$C10,RdTRABYVals!$C$2:$C$999,"="&amp;INS_FLO!$A10),"")</f>
        <v>0.5</v>
      </c>
      <c r="AK10" s="66">
        <f>IFERROR(AVERAGEIFS(RdTRABYVals!AU$2:AU$999,RdTRABYVals!$B$2:$B$999,"="&amp;$C10,RdTRABYVals!$C$2:$C$999,"="&amp;INS_FLO!$A10),"")</f>
        <v>0.5</v>
      </c>
      <c r="AL10" s="66">
        <f>IFERROR(AVERAGEIFS(RdTRABYVals!AV$2:AV$999,RdTRABYVals!$B$2:$B$999,"="&amp;$C10,RdTRABYVals!$C$2:$C$999,"="&amp;INS_FLO!$A10),"")</f>
        <v>0.5</v>
      </c>
      <c r="AM10" s="66">
        <f>IFERROR(AVERAGEIFS(RdTRABYVals!L$2:L$999,RdTRABYVals!$B$2:$B$999,"="&amp;$C10,RdTRABYVals!$C$2:$C$999,"="&amp;INS_FLO!$A10),"")</f>
        <v>0.5</v>
      </c>
      <c r="AN10" s="66">
        <f>IFERROR(AVERAGEIFS(RdTRABYVals!N$2:N$999,RdTRABYVals!$B$2:$B$999,"="&amp;$C10,RdTRABYVals!$C$2:$C$999,"="&amp;INS_FLO!$A10),"")</f>
        <v>0.5</v>
      </c>
      <c r="AO10" s="66">
        <f>IFERROR(AVERAGEIFS(RdTRABYVals!AJ$2:AJ$999,RdTRABYVals!$B$2:$B$999,"="&amp;$C10,RdTRABYVals!$C$2:$C$999,"="&amp;INS_FLO!$A10),"")</f>
        <v>0.5</v>
      </c>
      <c r="AP10" s="66">
        <f>IFERROR(AVERAGEIFS(RdTRABYVals!AR$2:AR$999,RdTRABYVals!$B$2:$B$999,"="&amp;$C10,RdTRABYVals!$C$2:$C$999,"="&amp;INS_FLO!$A10),"")</f>
        <v>0.5</v>
      </c>
      <c r="AQ10" s="66">
        <f>IFERROR(AVERAGEIFS(RdTRABYVals!AF$2:AF$999,RdTRABYVals!$B$2:$B$999,"="&amp;$C10,RdTRABYVals!$C$2:$C$999,"="&amp;INS_FLO!$A10),"")</f>
        <v>0.5</v>
      </c>
    </row>
    <row r="11" spans="1:43" ht="12.75">
      <c r="A11" s="73" t="s">
        <v>92</v>
      </c>
      <c r="C11" s="18" t="s">
        <v>28</v>
      </c>
      <c r="D11" s="18" t="str">
        <f t="shared" si="0"/>
        <v>TRA_Mop*</v>
      </c>
      <c r="E11" s="18" t="s">
        <v>96</v>
      </c>
      <c r="F11" s="66">
        <f t="shared" si="1"/>
        <v>1.105355682044195</v>
      </c>
      <c r="G11" s="66">
        <f>IFERROR(AVERAGEIFS(RdTRABYVals!M$2:M$999,RdTRABYVals!$B$2:$B$999,"="&amp;$C11,RdTRABYVals!$C$2:$C$999,"="&amp;INS_FLO!$A11),"")</f>
        <v>1.1005542278289799</v>
      </c>
      <c r="H11" s="66">
        <f>IFERROR(AVERAGEIFS(RdTRABYVals!O$2:O$999,RdTRABYVals!$B$2:$B$999,"="&amp;$C11,RdTRABYVals!$C$2:$C$999,"="&amp;INS_FLO!$A11),"")</f>
        <v>1.0559999942779501</v>
      </c>
      <c r="I11" s="66">
        <f>IFERROR(AVERAGEIFS(RdTRABYVals!P$2:P$999,RdTRABYVals!$B$2:$B$999,"="&amp;$C11,RdTRABYVals!$C$2:$C$999,"="&amp;INS_FLO!$A11),"")</f>
        <v>1.1000000238418599</v>
      </c>
      <c r="J11" s="66">
        <f>IFERROR(AVERAGEIFS(RdTRABYVals!Q$2:Q$999,RdTRABYVals!$B$2:$B$999,"="&amp;$C11,RdTRABYVals!$C$2:$C$999,"="&amp;INS_FLO!$A11),"")</f>
        <v>1.07429051399231</v>
      </c>
      <c r="K11" s="66">
        <f>IFERROR(AVERAGEIFS(RdTRABYVals!R$2:R$999,RdTRABYVals!$B$2:$B$999,"="&amp;$C11,RdTRABYVals!$C$2:$C$999,"="&amp;INS_FLO!$A11),"")</f>
        <v>1.1000000238418599</v>
      </c>
      <c r="L11" s="66">
        <f>IFERROR(AVERAGEIFS(RdTRABYVals!S$2:S$999,RdTRABYVals!$B$2:$B$999,"="&amp;$C11,RdTRABYVals!$C$2:$C$999,"="&amp;INS_FLO!$A11),"")</f>
        <v>1.1000000238418599</v>
      </c>
      <c r="M11" s="66">
        <f>IFERROR(AVERAGEIFS(RdTRABYVals!T$2:T$999,RdTRABYVals!$B$2:$B$999,"="&amp;$C11,RdTRABYVals!$C$2:$C$999,"="&amp;INS_FLO!$A11),"")</f>
        <v>1.1000000238418599</v>
      </c>
      <c r="N11" s="66">
        <f>IFERROR(AVERAGEIFS(RdTRABYVals!U$2:U$999,RdTRABYVals!$B$2:$B$999,"="&amp;$C11,RdTRABYVals!$C$2:$C$999,"="&amp;INS_FLO!$A11),"")</f>
        <v>1.1000000238418599</v>
      </c>
      <c r="O11" s="66">
        <v>1.1053556820441954</v>
      </c>
      <c r="P11" s="66">
        <f>IFERROR(AVERAGEIFS(RdTRABYVals!X$2:X$999,RdTRABYVals!$B$2:$B$999,"="&amp;$C11,RdTRABYVals!$C$2:$C$999,"="&amp;INS_FLO!$A11),"")</f>
        <v>1.33683204650879</v>
      </c>
      <c r="Q11" s="66">
        <f>IFERROR(AVERAGEIFS(RdTRABYVals!Y$2:Y$999,RdTRABYVals!$B$2:$B$999,"="&amp;$C11,RdTRABYVals!$C$2:$C$999,"="&amp;INS_FLO!$A11),"")</f>
        <v>1</v>
      </c>
      <c r="R11" s="66">
        <f>IFERROR(AVERAGEIFS(RdTRABYVals!Z$2:Z$999,RdTRABYVals!$B$2:$B$999,"="&amp;$C11,RdTRABYVals!$C$2:$C$999,"="&amp;INS_FLO!$A11),"")</f>
        <v>1.1000000238418599</v>
      </c>
      <c r="S11" s="66">
        <f>IFERROR(AVERAGEIFS(RdTRABYVals!W$2:W$999,RdTRABYVals!$B$2:$B$999,"="&amp;$C11,RdTRABYVals!$C$2:$C$999,"="&amp;INS_FLO!$A11),"")</f>
        <v>1.1000000238418599</v>
      </c>
      <c r="T11" s="66">
        <f>IFERROR(AVERAGEIFS(RdTRABYVals!AA$2:AA$999,RdTRABYVals!$B$2:$B$999,"="&amp;$C11,RdTRABYVals!$C$2:$C$999,"="&amp;INS_FLO!$A11),"")</f>
        <v>1.1000000238418599</v>
      </c>
      <c r="U11" s="66">
        <f>IFERROR(AVERAGEIFS(RdTRABYVals!AB$2:AB$999,RdTRABYVals!$B$2:$B$999,"="&amp;$C11,RdTRABYVals!$C$2:$C$999,"="&amp;INS_FLO!$A11),"")</f>
        <v>1.1000000238418599</v>
      </c>
      <c r="V11" s="66">
        <f>IFERROR(AVERAGEIFS(RdTRABYVals!AC$2:AC$999,RdTRABYVals!$B$2:$B$999,"="&amp;$C11,RdTRABYVals!$C$2:$C$999,"="&amp;INS_FLO!$A11),"")</f>
        <v>1.1000000238418599</v>
      </c>
      <c r="W11" s="66">
        <v>1.1053556820441952</v>
      </c>
      <c r="X11" s="66">
        <f>IFERROR(AVERAGEIFS(RdTRABYVals!AE$2:AE$999,RdTRABYVals!$B$2:$B$999,"="&amp;$C11,RdTRABYVals!$C$2:$C$999,"="&amp;INS_FLO!$A11),"")</f>
        <v>1.1000000238418599</v>
      </c>
      <c r="Y11" s="66">
        <f>IFERROR(AVERAGEIFS(RdTRABYVals!AG$2:AG$999,RdTRABYVals!$B$2:$B$999,"="&amp;$C11,RdTRABYVals!$C$2:$C$999,"="&amp;INS_FLO!$A11),"")</f>
        <v>1.19993352890015</v>
      </c>
      <c r="Z11" s="66">
        <f>IFERROR(AVERAGEIFS(RdTRABYVals!AH$2:AH$999,RdTRABYVals!$B$2:$B$999,"="&amp;$C11,RdTRABYVals!$C$2:$C$999,"="&amp;INS_FLO!$A11),"")</f>
        <v>1.1000000238418599</v>
      </c>
      <c r="AA11" s="66">
        <f>IFERROR(AVERAGEIFS(RdTRABYVals!AI$2:AI$999,RdTRABYVals!$B$2:$B$999,"="&amp;$C11,RdTRABYVals!$C$2:$C$999,"="&amp;INS_FLO!$A11),"")</f>
        <v>1.1000000238418599</v>
      </c>
      <c r="AB11" s="66">
        <v>1.1053556820441952</v>
      </c>
      <c r="AC11" s="66">
        <f>IFERROR(AVERAGEIFS(RdTRABYVals!AL$2:AL$999,RdTRABYVals!$B$2:$B$999,"="&amp;$C11,RdTRABYVals!$C$2:$C$999,"="&amp;INS_FLO!$A11),"")</f>
        <v>1.1000000238418599</v>
      </c>
      <c r="AD11" s="66">
        <f>IFERROR(AVERAGEIFS(RdTRABYVals!AM$2:AM$999,RdTRABYVals!$B$2:$B$999,"="&amp;$C11,RdTRABYVals!$C$2:$C$999,"="&amp;INS_FLO!$A11),"")</f>
        <v>1.1000000238418599</v>
      </c>
      <c r="AE11" s="66">
        <f>IFERROR(AVERAGEIFS(RdTRABYVals!AN$2:AN$999,RdTRABYVals!$B$2:$B$999,"="&amp;$C11,RdTRABYVals!$C$2:$C$999,"="&amp;INS_FLO!$A11),"")</f>
        <v>1.0825396776199301</v>
      </c>
      <c r="AF11" s="66">
        <f>IFERROR(AVERAGEIFS(RdTRABYVals!AO$2:AO$999,RdTRABYVals!$B$2:$B$999,"="&amp;$C11,RdTRABYVals!$C$2:$C$999,"="&amp;INS_FLO!$A11),"")</f>
        <v>1.1000000238418599</v>
      </c>
      <c r="AG11" s="66">
        <f>IFERROR(AVERAGEIFS(RdTRABYVals!AP$2:AP$999,RdTRABYVals!$B$2:$B$999,"="&amp;$C11,RdTRABYVals!$C$2:$C$999,"="&amp;INS_FLO!$A11),"")</f>
        <v>1.1000000238418599</v>
      </c>
      <c r="AH11" s="66">
        <f>IFERROR(AVERAGEIFS(RdTRABYVals!AQ$2:AQ$999,RdTRABYVals!$B$2:$B$999,"="&amp;$C11,RdTRABYVals!$C$2:$C$999,"="&amp;INS_FLO!$A11),"")</f>
        <v>1.1000000238418599</v>
      </c>
      <c r="AI11" s="66">
        <f>IFERROR(AVERAGEIFS(RdTRABYVals!AS$2:AS$999,RdTRABYVals!$B$2:$B$999,"="&amp;$C11,RdTRABYVals!$C$2:$C$999,"="&amp;INS_FLO!$A11),"")</f>
        <v>1.1005988121032699</v>
      </c>
      <c r="AJ11" s="66">
        <f>IFERROR(AVERAGEIFS(RdTRABYVals!AT$2:AT$999,RdTRABYVals!$B$2:$B$999,"="&amp;$C11,RdTRABYVals!$C$2:$C$999,"="&amp;INS_FLO!$A11),"")</f>
        <v>1.1000000238418599</v>
      </c>
      <c r="AK11" s="66">
        <f>IFERROR(AVERAGEIFS(RdTRABYVals!AU$2:AU$999,RdTRABYVals!$B$2:$B$999,"="&amp;$C11,RdTRABYVals!$C$2:$C$999,"="&amp;INS_FLO!$A11),"")</f>
        <v>1.1000000238418599</v>
      </c>
      <c r="AL11" s="66">
        <f>IFERROR(AVERAGEIFS(RdTRABYVals!AV$2:AV$999,RdTRABYVals!$B$2:$B$999,"="&amp;$C11,RdTRABYVals!$C$2:$C$999,"="&amp;INS_FLO!$A11),"")</f>
        <v>1.10456550121307</v>
      </c>
      <c r="AM11" s="66">
        <f>IFERROR(AVERAGEIFS(RdTRABYVals!L$2:L$999,RdTRABYVals!$B$2:$B$999,"="&amp;$C11,RdTRABYVals!$C$2:$C$999,"="&amp;INS_FLO!$A11),"")</f>
        <v>1.1000000238418599</v>
      </c>
      <c r="AN11" s="66">
        <f>IFERROR(AVERAGEIFS(RdTRABYVals!N$2:N$999,RdTRABYVals!$B$2:$B$999,"="&amp;$C11,RdTRABYVals!$C$2:$C$999,"="&amp;INS_FLO!$A11),"")</f>
        <v>1.1000000238418599</v>
      </c>
      <c r="AO11" s="66">
        <f>IFERROR(AVERAGEIFS(RdTRABYVals!AJ$2:AJ$999,RdTRABYVals!$B$2:$B$999,"="&amp;$C11,RdTRABYVals!$C$2:$C$999,"="&amp;INS_FLO!$A11),"")</f>
        <v>1.1000000238418599</v>
      </c>
      <c r="AP11" s="66">
        <f>IFERROR(AVERAGEIFS(RdTRABYVals!AR$2:AR$999,RdTRABYVals!$B$2:$B$999,"="&amp;$C11,RdTRABYVals!$C$2:$C$999,"="&amp;INS_FLO!$A11),"")</f>
        <v>1.1000000238418599</v>
      </c>
      <c r="AQ11" s="66">
        <f>IFERROR(AVERAGEIFS(RdTRABYVals!AF$2:AF$999,RdTRABYVals!$B$2:$B$999,"="&amp;$C11,RdTRABYVals!$C$2:$C$999,"="&amp;INS_FLO!$A11),"")</f>
        <v>1.1000000238418599</v>
      </c>
    </row>
    <row r="12" spans="1:43" ht="12.75">
      <c r="A12" s="73" t="s">
        <v>93</v>
      </c>
      <c r="C12" s="18" t="s">
        <v>28</v>
      </c>
      <c r="D12" s="18" t="str">
        <f t="shared" si="0"/>
        <v>TRA_Mot*</v>
      </c>
      <c r="E12" s="18" t="s">
        <v>96</v>
      </c>
      <c r="F12" s="66">
        <f t="shared" si="1"/>
        <v>1.1053556820441954</v>
      </c>
      <c r="G12" s="66">
        <f>IFERROR(AVERAGEIFS(RdTRABYVals!M$2:M$999,RdTRABYVals!$B$2:$B$999,"="&amp;$C12,RdTRABYVals!$C$2:$C$999,"="&amp;INS_FLO!$A12),"")</f>
        <v>1.1005542278289799</v>
      </c>
      <c r="H12" s="66">
        <f>IFERROR(AVERAGEIFS(RdTRABYVals!O$2:O$999,RdTRABYVals!$B$2:$B$999,"="&amp;$C12,RdTRABYVals!$C$2:$C$999,"="&amp;INS_FLO!$A12),"")</f>
        <v>1.0559999942779501</v>
      </c>
      <c r="I12" s="66">
        <f>IFERROR(AVERAGEIFS(RdTRABYVals!P$2:P$999,RdTRABYVals!$B$2:$B$999,"="&amp;$C12,RdTRABYVals!$C$2:$C$999,"="&amp;INS_FLO!$A12),"")</f>
        <v>1.1000000238418599</v>
      </c>
      <c r="J12" s="66">
        <f>IFERROR(AVERAGEIFS(RdTRABYVals!Q$2:Q$999,RdTRABYVals!$B$2:$B$999,"="&amp;$C12,RdTRABYVals!$C$2:$C$999,"="&amp;INS_FLO!$A12),"")</f>
        <v>1.07429051399231</v>
      </c>
      <c r="K12" s="66">
        <f>IFERROR(AVERAGEIFS(RdTRABYVals!R$2:R$999,RdTRABYVals!$B$2:$B$999,"="&amp;$C12,RdTRABYVals!$C$2:$C$999,"="&amp;INS_FLO!$A12),"")</f>
        <v>1.1000000238418599</v>
      </c>
      <c r="L12" s="66">
        <f>IFERROR(AVERAGEIFS(RdTRABYVals!S$2:S$999,RdTRABYVals!$B$2:$B$999,"="&amp;$C12,RdTRABYVals!$C$2:$C$999,"="&amp;INS_FLO!$A12),"")</f>
        <v>1.1000000238418599</v>
      </c>
      <c r="M12" s="66">
        <f>IFERROR(AVERAGEIFS(RdTRABYVals!T$2:T$999,RdTRABYVals!$B$2:$B$999,"="&amp;$C12,RdTRABYVals!$C$2:$C$999,"="&amp;INS_FLO!$A12),"")</f>
        <v>1.1000000238418599</v>
      </c>
      <c r="N12" s="66">
        <f>IFERROR(AVERAGEIFS(RdTRABYVals!U$2:U$999,RdTRABYVals!$B$2:$B$999,"="&amp;$C12,RdTRABYVals!$C$2:$C$999,"="&amp;INS_FLO!$A12),"")</f>
        <v>1.1000000238418599</v>
      </c>
      <c r="O12" s="66">
        <f>IFERROR(AVERAGEIFS(RdTRABYVals!V$2:V$999,RdTRABYVals!$B$2:$B$999,"="&amp;$C12,RdTRABYVals!$C$2:$C$999,"="&amp;INS_FLO!$A12),"")</f>
        <v>1.1053556820442001</v>
      </c>
      <c r="P12" s="66">
        <f>IFERROR(AVERAGEIFS(RdTRABYVals!X$2:X$999,RdTRABYVals!$B$2:$B$999,"="&amp;$C12,RdTRABYVals!$C$2:$C$999,"="&amp;INS_FLO!$A12),"")</f>
        <v>1.33683204650879</v>
      </c>
      <c r="Q12" s="66">
        <f>IFERROR(AVERAGEIFS(RdTRABYVals!Y$2:Y$999,RdTRABYVals!$B$2:$B$999,"="&amp;$C12,RdTRABYVals!$C$2:$C$999,"="&amp;INS_FLO!$A12),"")</f>
        <v>1</v>
      </c>
      <c r="R12" s="66">
        <f>IFERROR(AVERAGEIFS(RdTRABYVals!Z$2:Z$999,RdTRABYVals!$B$2:$B$999,"="&amp;$C12,RdTRABYVals!$C$2:$C$999,"="&amp;INS_FLO!$A12),"")</f>
        <v>1.1000000238418599</v>
      </c>
      <c r="S12" s="66">
        <f>IFERROR(AVERAGEIFS(RdTRABYVals!W$2:W$999,RdTRABYVals!$B$2:$B$999,"="&amp;$C12,RdTRABYVals!$C$2:$C$999,"="&amp;INS_FLO!$A12),"")</f>
        <v>1.1000000238418599</v>
      </c>
      <c r="T12" s="66">
        <f>IFERROR(AVERAGEIFS(RdTRABYVals!AA$2:AA$999,RdTRABYVals!$B$2:$B$999,"="&amp;$C12,RdTRABYVals!$C$2:$C$999,"="&amp;INS_FLO!$A12),"")</f>
        <v>1.1000000238418599</v>
      </c>
      <c r="U12" s="66">
        <f>IFERROR(AVERAGEIFS(RdTRABYVals!AB$2:AB$999,RdTRABYVals!$B$2:$B$999,"="&amp;$C12,RdTRABYVals!$C$2:$C$999,"="&amp;INS_FLO!$A12),"")</f>
        <v>1.1000000238418599</v>
      </c>
      <c r="V12" s="66">
        <f>IFERROR(AVERAGEIFS(RdTRABYVals!AC$2:AC$999,RdTRABYVals!$B$2:$B$999,"="&amp;$C12,RdTRABYVals!$C$2:$C$999,"="&amp;INS_FLO!$A12),"")</f>
        <v>1.1000000238418599</v>
      </c>
      <c r="W12" s="66">
        <f>IFERROR(AVERAGEIFS(RdTRABYVals!AD$2:AD$999,RdTRABYVals!$B$2:$B$999,"="&amp;$C12,RdTRABYVals!$C$2:$C$999,"="&amp;INS_FLO!$A12),"")</f>
        <v>1.1053556820442001</v>
      </c>
      <c r="X12" s="66">
        <f>IFERROR(AVERAGEIFS(RdTRABYVals!AE$2:AE$999,RdTRABYVals!$B$2:$B$999,"="&amp;$C12,RdTRABYVals!$C$2:$C$999,"="&amp;INS_FLO!$A12),"")</f>
        <v>1.1000000238418599</v>
      </c>
      <c r="Y12" s="66">
        <f>IFERROR(AVERAGEIFS(RdTRABYVals!AG$2:AG$999,RdTRABYVals!$B$2:$B$999,"="&amp;$C12,RdTRABYVals!$C$2:$C$999,"="&amp;INS_FLO!$A12),"")</f>
        <v>1.19993352890015</v>
      </c>
      <c r="Z12" s="66">
        <f>IFERROR(AVERAGEIFS(RdTRABYVals!AH$2:AH$999,RdTRABYVals!$B$2:$B$999,"="&amp;$C12,RdTRABYVals!$C$2:$C$999,"="&amp;INS_FLO!$A12),"")</f>
        <v>1.1000000238418599</v>
      </c>
      <c r="AA12" s="66">
        <f>IFERROR(AVERAGEIFS(RdTRABYVals!AI$2:AI$999,RdTRABYVals!$B$2:$B$999,"="&amp;$C12,RdTRABYVals!$C$2:$C$999,"="&amp;INS_FLO!$A12),"")</f>
        <v>1.1000000238418599</v>
      </c>
      <c r="AB12" s="66">
        <f>IFERROR(AVERAGEIFS(RdTRABYVals!AK$2:AK$999,RdTRABYVals!$B$2:$B$999,"="&amp;$C12,RdTRABYVals!$C$2:$C$999,"="&amp;INS_FLO!$A12),"")</f>
        <v>1.1053556820442001</v>
      </c>
      <c r="AC12" s="66">
        <f>IFERROR(AVERAGEIFS(RdTRABYVals!AL$2:AL$999,RdTRABYVals!$B$2:$B$999,"="&amp;$C12,RdTRABYVals!$C$2:$C$999,"="&amp;INS_FLO!$A12),"")</f>
        <v>1.1000000238418599</v>
      </c>
      <c r="AD12" s="66">
        <f>IFERROR(AVERAGEIFS(RdTRABYVals!AM$2:AM$999,RdTRABYVals!$B$2:$B$999,"="&amp;$C12,RdTRABYVals!$C$2:$C$999,"="&amp;INS_FLO!$A12),"")</f>
        <v>1.1000000238418599</v>
      </c>
      <c r="AE12" s="66">
        <f>IFERROR(AVERAGEIFS(RdTRABYVals!AN$2:AN$999,RdTRABYVals!$B$2:$B$999,"="&amp;$C12,RdTRABYVals!$C$2:$C$999,"="&amp;INS_FLO!$A12),"")</f>
        <v>1.0825396776199301</v>
      </c>
      <c r="AF12" s="66">
        <f>IFERROR(AVERAGEIFS(RdTRABYVals!AO$2:AO$999,RdTRABYVals!$B$2:$B$999,"="&amp;$C12,RdTRABYVals!$C$2:$C$999,"="&amp;INS_FLO!$A12),"")</f>
        <v>1.1000000238418599</v>
      </c>
      <c r="AG12" s="66">
        <f>IFERROR(AVERAGEIFS(RdTRABYVals!AP$2:AP$999,RdTRABYVals!$B$2:$B$999,"="&amp;$C12,RdTRABYVals!$C$2:$C$999,"="&amp;INS_FLO!$A12),"")</f>
        <v>1.1000000238418599</v>
      </c>
      <c r="AH12" s="66">
        <f>IFERROR(AVERAGEIFS(RdTRABYVals!AQ$2:AQ$999,RdTRABYVals!$B$2:$B$999,"="&amp;$C12,RdTRABYVals!$C$2:$C$999,"="&amp;INS_FLO!$A12),"")</f>
        <v>1.1000000238418599</v>
      </c>
      <c r="AI12" s="66">
        <f>IFERROR(AVERAGEIFS(RdTRABYVals!AS$2:AS$999,RdTRABYVals!$B$2:$B$999,"="&amp;$C12,RdTRABYVals!$C$2:$C$999,"="&amp;INS_FLO!$A12),"")</f>
        <v>1.1005988121032699</v>
      </c>
      <c r="AJ12" s="66">
        <f>IFERROR(AVERAGEIFS(RdTRABYVals!AT$2:AT$999,RdTRABYVals!$B$2:$B$999,"="&amp;$C12,RdTRABYVals!$C$2:$C$999,"="&amp;INS_FLO!$A12),"")</f>
        <v>1.1000000238418599</v>
      </c>
      <c r="AK12" s="66">
        <f>IFERROR(AVERAGEIFS(RdTRABYVals!AU$2:AU$999,RdTRABYVals!$B$2:$B$999,"="&amp;$C12,RdTRABYVals!$C$2:$C$999,"="&amp;INS_FLO!$A12),"")</f>
        <v>1.1000000238418599</v>
      </c>
      <c r="AL12" s="66">
        <f>IFERROR(AVERAGEIFS(RdTRABYVals!AV$2:AV$999,RdTRABYVals!$B$2:$B$999,"="&amp;$C12,RdTRABYVals!$C$2:$C$999,"="&amp;INS_FLO!$A12),"")</f>
        <v>1.10456550121307</v>
      </c>
      <c r="AM12" s="66">
        <f>IFERROR(AVERAGEIFS(RdTRABYVals!L$2:L$999,RdTRABYVals!$B$2:$B$999,"="&amp;$C12,RdTRABYVals!$C$2:$C$999,"="&amp;INS_FLO!$A12),"")</f>
        <v>1.1000000238418599</v>
      </c>
      <c r="AN12" s="66">
        <f>IFERROR(AVERAGEIFS(RdTRABYVals!N$2:N$999,RdTRABYVals!$B$2:$B$999,"="&amp;$C12,RdTRABYVals!$C$2:$C$999,"="&amp;INS_FLO!$A12),"")</f>
        <v>1.1000000238418599</v>
      </c>
      <c r="AO12" s="66">
        <f>IFERROR(AVERAGEIFS(RdTRABYVals!AJ$2:AJ$999,RdTRABYVals!$B$2:$B$999,"="&amp;$C12,RdTRABYVals!$C$2:$C$999,"="&amp;INS_FLO!$A12),"")</f>
        <v>1.1000000238418599</v>
      </c>
      <c r="AP12" s="66">
        <f>IFERROR(AVERAGEIFS(RdTRABYVals!AR$2:AR$999,RdTRABYVals!$B$2:$B$999,"="&amp;$C12,RdTRABYVals!$C$2:$C$999,"="&amp;INS_FLO!$A12),"")</f>
        <v>1.1000000238418599</v>
      </c>
      <c r="AQ12" s="66">
        <f>IFERROR(AVERAGEIFS(RdTRABYVals!AF$2:AF$999,RdTRABYVals!$B$2:$B$999,"="&amp;$C12,RdTRABYVals!$C$2:$C$999,"="&amp;INS_FLO!$A12),"")</f>
        <v>1.1000000238418599</v>
      </c>
    </row>
    <row r="13" spans="1:43" ht="12.75">
      <c r="A13" s="73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</row>
    <row r="14" spans="1:43" ht="12.75">
      <c r="A14" s="73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</row>
    <row r="17" spans="1:1" ht="15.75">
      <c r="A17" s="22" t="s">
        <v>279</v>
      </c>
    </row>
    <row r="18" spans="3:3" ht="12.75">
      <c r="C18" s="3" t="s">
        <v>97</v>
      </c>
    </row>
    <row r="19" spans="3:6" ht="12.75">
      <c r="C19" s="23" t="s">
        <v>36</v>
      </c>
      <c r="D19" s="23" t="s">
        <v>94</v>
      </c>
      <c r="E19" s="23" t="s">
        <v>95</v>
      </c>
      <c r="F19" s="23" t="s">
        <v>47</v>
      </c>
    </row>
    <row r="20" spans="3:6" ht="12.75">
      <c r="C20" s="18" t="s">
        <v>70</v>
      </c>
      <c r="D20" s="18" t="str">
        <f>A5</f>
        <v>TRA_Bus*</v>
      </c>
      <c r="F20" s="18">
        <v>0.001</v>
      </c>
    </row>
    <row r="21" spans="3:6" ht="12.75">
      <c r="C21" s="18" t="s">
        <v>70</v>
      </c>
      <c r="D21" s="18" t="str">
        <f>A6</f>
        <v>TRA_Car*</v>
      </c>
      <c r="F21" s="18">
        <v>0.001</v>
      </c>
    </row>
    <row r="22" spans="3:6" ht="12.75">
      <c r="C22" s="18" t="s">
        <v>70</v>
      </c>
      <c r="D22" s="18" t="str">
        <f>A7</f>
        <v>TRA_Hdt_Dis*</v>
      </c>
      <c r="F22" s="18">
        <v>0.001</v>
      </c>
    </row>
    <row r="23" spans="3:6" ht="12.75">
      <c r="C23" s="18" t="s">
        <v>70</v>
      </c>
      <c r="D23" s="18" t="str">
        <f t="shared" si="3" ref="D23:D25">A10</f>
        <v>TRA_Lcv*</v>
      </c>
      <c r="F23" s="18">
        <v>0.001</v>
      </c>
    </row>
    <row r="24" spans="3:6" ht="12.75">
      <c r="C24" s="18" t="s">
        <v>70</v>
      </c>
      <c r="D24" s="18" t="str">
        <f t="shared" si="3"/>
        <v>TRA_Mop*</v>
      </c>
      <c r="F24" s="18">
        <v>0.001</v>
      </c>
    </row>
    <row r="25" spans="3:6" ht="12.75">
      <c r="C25" s="18" t="s">
        <v>70</v>
      </c>
      <c r="D25" s="18" t="str">
        <f t="shared" si="3"/>
        <v>TRA_Mot*</v>
      </c>
      <c r="F25" s="18">
        <v>0.001</v>
      </c>
    </row>
    <row r="31" spans="5:36" ht="12.75"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</row>
    <row r="32" spans="5:36" ht="12.75"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</row>
    <row r="33" spans="5:36" ht="12.75"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</row>
    <row r="34" spans="5:36" ht="12.75">
      <c r="E34" s="74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</row>
    <row r="35" spans="5:36" ht="12.75">
      <c r="E35" s="74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</row>
    <row r="36" spans="5:36" ht="12.75">
      <c r="E36" s="74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</row>
    <row r="37" spans="5:36" ht="12.75">
      <c r="E37" s="74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</row>
  </sheetData>
  <pageMargins left="0.7" right="0.7" top="0.75" bottom="0.75" header="0.3" footer="0.3"/>
  <pageSetup orientation="portrait" paperSize="9" r:id="rId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10"/>
  <sheetViews>
    <sheetView workbookViewId="0" topLeftCell="A1">
      <selection pane="topLeft" activeCell="B2" sqref="B2"/>
    </sheetView>
  </sheetViews>
  <sheetFormatPr defaultRowHeight="12.75"/>
  <cols>
    <col min="2" max="2" width="35.2857142857143" bestFit="1" customWidth="1"/>
    <col min="9" max="9" width="81.5714285714286" bestFit="1" customWidth="1"/>
  </cols>
  <sheetData>
    <row r="2" spans="2:2" ht="12.75">
      <c r="B2" s="3" t="s">
        <v>300</v>
      </c>
    </row>
    <row r="3" spans="2:10" ht="12.75">
      <c r="B3" t="s">
        <v>34</v>
      </c>
      <c r="C3" t="s">
        <v>35</v>
      </c>
      <c r="D3" t="s">
        <v>36</v>
      </c>
      <c r="E3" t="s">
        <v>37</v>
      </c>
      <c r="F3" t="s">
        <v>47</v>
      </c>
      <c r="G3" t="s">
        <v>39</v>
      </c>
      <c r="H3" t="s">
        <v>38</v>
      </c>
      <c r="I3" t="s">
        <v>44</v>
      </c>
      <c r="J3" t="s">
        <v>40</v>
      </c>
    </row>
    <row r="4" spans="4:9" ht="12.75">
      <c r="D4" t="s">
        <v>28</v>
      </c>
      <c r="F4">
        <v>1</v>
      </c>
      <c r="G4" s="1" t="s">
        <v>73</v>
      </c>
      <c r="I4" t="s">
        <v>69</v>
      </c>
    </row>
    <row r="5" spans="4:9" ht="12.75">
      <c r="D5" s="1" t="s">
        <v>30</v>
      </c>
      <c r="F5">
        <v>1</v>
      </c>
      <c r="G5" s="1" t="s">
        <v>73</v>
      </c>
      <c r="I5" t="s">
        <v>69</v>
      </c>
    </row>
    <row r="6" spans="4:9" ht="12.75">
      <c r="D6" s="1" t="s">
        <v>29</v>
      </c>
      <c r="F6">
        <v>1</v>
      </c>
      <c r="G6" s="1" t="s">
        <v>73</v>
      </c>
      <c r="I6" s="1" t="s">
        <v>169</v>
      </c>
    </row>
    <row r="7" spans="4:9" ht="12.75">
      <c r="D7" s="1" t="s">
        <v>70</v>
      </c>
      <c r="F7">
        <v>1</v>
      </c>
      <c r="G7" s="1" t="s">
        <v>73</v>
      </c>
      <c r="I7" t="s">
        <v>69</v>
      </c>
    </row>
    <row r="10" spans="16:16" ht="12.75">
      <c r="P1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W167"/>
  <sheetViews>
    <sheetView workbookViewId="0" topLeftCell="A109">
      <selection pane="topLeft" activeCell="Y135" sqref="Y135"/>
    </sheetView>
  </sheetViews>
  <sheetFormatPr defaultRowHeight="12.75"/>
  <cols>
    <col min="3" max="3" width="21.4285714285714" bestFit="1" customWidth="1"/>
    <col min="8" max="8" width="24.4285714285714" customWidth="1"/>
    <col min="12" max="13" width="6.57142857142857" style="2" bestFit="1" customWidth="1"/>
    <col min="14" max="22" width="5.57142857142857" style="2" bestFit="1" customWidth="1"/>
    <col min="23" max="23" width="6.57142857142857" style="2" bestFit="1" customWidth="1"/>
    <col min="24" max="27" width="5.57142857142857" style="2" bestFit="1" customWidth="1"/>
    <col min="28" max="29" width="6.57142857142857" style="2" bestFit="1" customWidth="1"/>
    <col min="30" max="33" width="5.57142857142857" style="2" bestFit="1" customWidth="1"/>
    <col min="34" max="34" width="6.57142857142857" style="2" bestFit="1" customWidth="1"/>
    <col min="35" max="35" width="5.57142857142857" style="2" bestFit="1" customWidth="1"/>
    <col min="36" max="36" width="6.57142857142857" style="2" bestFit="1" customWidth="1"/>
    <col min="37" max="44" width="5.57142857142857" style="2" bestFit="1" customWidth="1"/>
    <col min="45" max="46" width="6.57142857142857" style="2" bestFit="1" customWidth="1"/>
    <col min="47" max="47" width="5.57142857142857" style="2" bestFit="1" customWidth="1"/>
    <col min="48" max="48" width="6.57142857142857" style="2" bestFit="1" customWidth="1"/>
  </cols>
  <sheetData>
    <row r="1" spans="1:49" ht="12.75">
      <c r="A1" t="s">
        <v>51</v>
      </c>
      <c r="B1" t="s">
        <v>72</v>
      </c>
      <c r="C1" t="s">
        <v>177</v>
      </c>
      <c r="D1" t="s">
        <v>49</v>
      </c>
      <c r="E1" t="s">
        <v>176</v>
      </c>
      <c r="F1" t="s">
        <v>175</v>
      </c>
      <c r="G1" t="s">
        <v>174</v>
      </c>
      <c r="H1" t="s">
        <v>173</v>
      </c>
      <c r="I1" t="s">
        <v>172</v>
      </c>
      <c r="J1" t="s">
        <v>243</v>
      </c>
      <c r="K1" t="s">
        <v>242</v>
      </c>
      <c r="L1" t="s">
        <v>41</v>
      </c>
      <c r="M1" t="s">
        <v>0</v>
      </c>
      <c r="N1" t="s">
        <v>45</v>
      </c>
      <c r="O1" t="s">
        <v>1</v>
      </c>
      <c r="P1" t="s">
        <v>31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48</v>
      </c>
      <c r="X1" t="s">
        <v>8</v>
      </c>
      <c r="Y1" t="s">
        <v>9</v>
      </c>
      <c r="Z1" t="s">
        <v>10</v>
      </c>
      <c r="AA1" t="s">
        <v>32</v>
      </c>
      <c r="AB1" t="s">
        <v>11</v>
      </c>
      <c r="AC1" t="s">
        <v>12</v>
      </c>
      <c r="AD1" t="s">
        <v>13</v>
      </c>
      <c r="AE1" t="s">
        <v>27</v>
      </c>
      <c r="AF1" t="s">
        <v>46</v>
      </c>
      <c r="AG1" t="s">
        <v>14</v>
      </c>
      <c r="AH1" t="s">
        <v>15</v>
      </c>
      <c r="AI1" t="s">
        <v>16</v>
      </c>
      <c r="AJ1" t="s">
        <v>42</v>
      </c>
      <c r="AK1" t="s">
        <v>33</v>
      </c>
      <c r="AL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43</v>
      </c>
      <c r="AS1" t="s">
        <v>23</v>
      </c>
      <c r="AT1" t="s">
        <v>24</v>
      </c>
      <c r="AU1" t="s">
        <v>25</v>
      </c>
      <c r="AV1" t="s">
        <v>26</v>
      </c>
      <c r="AW1" t="s">
        <v>241</v>
      </c>
    </row>
    <row r="2" spans="1:49" ht="12.75">
      <c r="A2" t="s">
        <v>240</v>
      </c>
      <c r="B2" t="s">
        <v>28</v>
      </c>
      <c r="C2" t="s">
        <v>239</v>
      </c>
      <c r="D2" t="s">
        <v>96</v>
      </c>
      <c r="E2" t="s">
        <v>238</v>
      </c>
      <c r="F2" t="s">
        <v>238</v>
      </c>
      <c r="G2" t="s">
        <v>237</v>
      </c>
      <c r="H2" t="s">
        <v>173</v>
      </c>
      <c r="I2" t="s">
        <v>238</v>
      </c>
      <c r="J2" t="s">
        <v>238</v>
      </c>
      <c r="K2" t="s">
        <v>238</v>
      </c>
      <c r="L2">
        <v>27.25</v>
      </c>
      <c r="M2">
        <v>18.844230651855501</v>
      </c>
      <c r="N2">
        <v>8.8645162582397496</v>
      </c>
      <c r="O2">
        <v>32.8548393249512</v>
      </c>
      <c r="P2">
        <v>19.464134216308601</v>
      </c>
      <c r="Q2">
        <v>22.708028793335</v>
      </c>
      <c r="R2">
        <v>9.6167755126953107</v>
      </c>
      <c r="S2">
        <v>24.425664901733398</v>
      </c>
      <c r="T2">
        <v>20.808900833129901</v>
      </c>
      <c r="U2">
        <v>12</v>
      </c>
      <c r="V2">
        <v>11.5324859619141</v>
      </c>
      <c r="W2">
        <v>27.25</v>
      </c>
      <c r="X2">
        <v>24.2999992370606</v>
      </c>
      <c r="Y2">
        <v>13</v>
      </c>
      <c r="Z2">
        <v>17.698154449462901</v>
      </c>
      <c r="AA2">
        <v>8.8645162582397496</v>
      </c>
      <c r="AB2">
        <v>30</v>
      </c>
      <c r="AC2">
        <v>27.25</v>
      </c>
      <c r="AD2">
        <v>9.6172838211059606</v>
      </c>
      <c r="AE2">
        <v>18</v>
      </c>
      <c r="AF2">
        <v>8.8645162582397496</v>
      </c>
      <c r="AG2">
        <v>31.7471389770507</v>
      </c>
      <c r="AH2">
        <v>32.8548393249512</v>
      </c>
      <c r="AI2">
        <v>12</v>
      </c>
      <c r="AJ2">
        <v>27.25</v>
      </c>
      <c r="AK2">
        <v>35.676471710205099</v>
      </c>
      <c r="AL2">
        <v>32.8548393249512</v>
      </c>
      <c r="AM2">
        <v>32.8548393249512</v>
      </c>
      <c r="AN2">
        <v>12.9441175460815</v>
      </c>
      <c r="AO2">
        <v>9.9356021881103498</v>
      </c>
      <c r="AP2">
        <v>27.800828933715799</v>
      </c>
      <c r="AQ2">
        <v>19.464134216308601</v>
      </c>
      <c r="AR2">
        <v>8.8645162582397496</v>
      </c>
      <c r="AS2">
        <v>9.5039014816284197</v>
      </c>
      <c r="AT2">
        <v>21.951725006103501</v>
      </c>
      <c r="AU2">
        <v>17.130739212036101</v>
      </c>
      <c r="AV2">
        <v>17</v>
      </c>
      <c r="AW2" t="s">
        <v>238</v>
      </c>
    </row>
    <row r="3" spans="1:49" ht="12.75">
      <c r="A3" t="s">
        <v>240</v>
      </c>
      <c r="B3" t="s">
        <v>28</v>
      </c>
      <c r="C3" t="s">
        <v>236</v>
      </c>
      <c r="D3" t="s">
        <v>96</v>
      </c>
      <c r="E3" t="s">
        <v>238</v>
      </c>
      <c r="F3" t="s">
        <v>238</v>
      </c>
      <c r="G3" t="s">
        <v>237</v>
      </c>
      <c r="H3" t="s">
        <v>173</v>
      </c>
      <c r="I3" t="s">
        <v>238</v>
      </c>
      <c r="J3" t="s">
        <v>238</v>
      </c>
      <c r="K3" t="s">
        <v>238</v>
      </c>
      <c r="L3">
        <v>27.25</v>
      </c>
      <c r="M3">
        <v>18.844230651855501</v>
      </c>
      <c r="N3">
        <v>8.8645162582397496</v>
      </c>
      <c r="O3">
        <v>32.8548393249512</v>
      </c>
      <c r="P3">
        <v>19.464134216308601</v>
      </c>
      <c r="Q3">
        <v>22.708028793335</v>
      </c>
      <c r="R3">
        <v>9.6167755126953107</v>
      </c>
      <c r="S3">
        <v>24.425664901733398</v>
      </c>
      <c r="T3">
        <v>20.808900833129901</v>
      </c>
      <c r="U3">
        <v>12</v>
      </c>
      <c r="V3">
        <v>11.5324859619141</v>
      </c>
      <c r="W3">
        <v>27.25</v>
      </c>
      <c r="X3">
        <v>24.2999992370606</v>
      </c>
      <c r="Y3">
        <v>13</v>
      </c>
      <c r="Z3">
        <v>17.698154449462901</v>
      </c>
      <c r="AA3">
        <v>8.8645162582397496</v>
      </c>
      <c r="AB3">
        <v>30</v>
      </c>
      <c r="AC3">
        <v>27.25</v>
      </c>
      <c r="AD3">
        <v>9.6172838211059606</v>
      </c>
      <c r="AE3">
        <v>18</v>
      </c>
      <c r="AF3">
        <v>8.8645162582397496</v>
      </c>
      <c r="AG3">
        <v>31.7471389770507</v>
      </c>
      <c r="AH3">
        <v>32.8548393249512</v>
      </c>
      <c r="AI3">
        <v>12</v>
      </c>
      <c r="AJ3">
        <v>27.25</v>
      </c>
      <c r="AK3">
        <v>35.676471710205099</v>
      </c>
      <c r="AL3">
        <v>32.8548393249512</v>
      </c>
      <c r="AM3">
        <v>32.8548393249512</v>
      </c>
      <c r="AN3">
        <v>12.9441175460815</v>
      </c>
      <c r="AO3">
        <v>9.9356021881103498</v>
      </c>
      <c r="AP3">
        <v>27.800828933715799</v>
      </c>
      <c r="AQ3">
        <v>19.464134216308601</v>
      </c>
      <c r="AR3">
        <v>8.8645162582397496</v>
      </c>
      <c r="AS3">
        <v>9.5039014816284197</v>
      </c>
      <c r="AT3">
        <v>21.951725006103501</v>
      </c>
      <c r="AU3">
        <v>17.130739212036101</v>
      </c>
      <c r="AV3">
        <v>17</v>
      </c>
      <c r="AW3" t="s">
        <v>238</v>
      </c>
    </row>
    <row r="4" spans="1:49" ht="12.75">
      <c r="A4" t="s">
        <v>240</v>
      </c>
      <c r="B4" t="s">
        <v>28</v>
      </c>
      <c r="C4" t="s">
        <v>56</v>
      </c>
      <c r="D4" t="s">
        <v>96</v>
      </c>
      <c r="E4" t="s">
        <v>238</v>
      </c>
      <c r="F4" t="s">
        <v>238</v>
      </c>
      <c r="G4" t="s">
        <v>237</v>
      </c>
      <c r="H4" t="s">
        <v>173</v>
      </c>
      <c r="I4" t="s">
        <v>238</v>
      </c>
      <c r="J4" t="s">
        <v>238</v>
      </c>
      <c r="K4" t="s">
        <v>238</v>
      </c>
      <c r="L4">
        <v>27.25</v>
      </c>
      <c r="M4">
        <v>18.844230651855501</v>
      </c>
      <c r="N4">
        <v>8.8645162582397496</v>
      </c>
      <c r="O4">
        <v>32.8548393249512</v>
      </c>
      <c r="P4">
        <v>19.464134216308601</v>
      </c>
      <c r="Q4">
        <v>22.708028793335</v>
      </c>
      <c r="R4">
        <v>9.6167755126953107</v>
      </c>
      <c r="S4">
        <v>24.425664901733398</v>
      </c>
      <c r="T4">
        <v>20.808900833129901</v>
      </c>
      <c r="U4">
        <v>12</v>
      </c>
      <c r="V4">
        <v>11.5324859619141</v>
      </c>
      <c r="W4">
        <v>27.25</v>
      </c>
      <c r="X4">
        <v>24.2999992370606</v>
      </c>
      <c r="Y4">
        <v>13</v>
      </c>
      <c r="Z4">
        <v>17.698154449462901</v>
      </c>
      <c r="AA4">
        <v>8.8645162582397496</v>
      </c>
      <c r="AB4">
        <v>30</v>
      </c>
      <c r="AC4">
        <v>27.25</v>
      </c>
      <c r="AD4">
        <v>9.6172838211059606</v>
      </c>
      <c r="AE4">
        <v>18</v>
      </c>
      <c r="AF4">
        <v>8.8645162582397496</v>
      </c>
      <c r="AG4">
        <v>31.7471389770507</v>
      </c>
      <c r="AH4">
        <v>32.8548393249512</v>
      </c>
      <c r="AI4">
        <v>12</v>
      </c>
      <c r="AJ4">
        <v>27.25</v>
      </c>
      <c r="AK4">
        <v>35.676471710205099</v>
      </c>
      <c r="AL4">
        <v>32.8548393249512</v>
      </c>
      <c r="AM4">
        <v>32.8548393249512</v>
      </c>
      <c r="AN4">
        <v>12.9441175460815</v>
      </c>
      <c r="AO4">
        <v>9.9356021881103498</v>
      </c>
      <c r="AP4">
        <v>27.800828933715799</v>
      </c>
      <c r="AQ4">
        <v>19.464134216308601</v>
      </c>
      <c r="AR4">
        <v>8.8645162582397496</v>
      </c>
      <c r="AS4">
        <v>9.5039014816284197</v>
      </c>
      <c r="AT4">
        <v>21.951725006103501</v>
      </c>
      <c r="AU4">
        <v>17.130739212036101</v>
      </c>
      <c r="AV4">
        <v>17</v>
      </c>
      <c r="AW4" t="s">
        <v>238</v>
      </c>
    </row>
    <row r="5" spans="1:49" ht="12.75">
      <c r="A5" t="s">
        <v>240</v>
      </c>
      <c r="B5" t="s">
        <v>28</v>
      </c>
      <c r="C5" t="s">
        <v>55</v>
      </c>
      <c r="D5" t="s">
        <v>96</v>
      </c>
      <c r="E5" t="s">
        <v>238</v>
      </c>
      <c r="F5" t="s">
        <v>238</v>
      </c>
      <c r="G5" t="s">
        <v>237</v>
      </c>
      <c r="H5" t="s">
        <v>173</v>
      </c>
      <c r="I5" t="s">
        <v>238</v>
      </c>
      <c r="J5" t="s">
        <v>238</v>
      </c>
      <c r="K5" t="s">
        <v>238</v>
      </c>
      <c r="L5">
        <v>27.25</v>
      </c>
      <c r="M5">
        <v>18.844230651855501</v>
      </c>
      <c r="N5">
        <v>8.8645162582397496</v>
      </c>
      <c r="O5">
        <v>32.8548393249512</v>
      </c>
      <c r="P5">
        <v>19.464134216308601</v>
      </c>
      <c r="Q5">
        <v>22.708028793335</v>
      </c>
      <c r="R5">
        <v>9.6167755126953107</v>
      </c>
      <c r="S5">
        <v>24.425664901733398</v>
      </c>
      <c r="T5">
        <v>20.808900833129901</v>
      </c>
      <c r="U5">
        <v>12</v>
      </c>
      <c r="V5">
        <v>11.5324859619141</v>
      </c>
      <c r="W5">
        <v>27.25</v>
      </c>
      <c r="X5">
        <v>24.2999992370606</v>
      </c>
      <c r="Y5">
        <v>13</v>
      </c>
      <c r="Z5">
        <v>17.698154449462901</v>
      </c>
      <c r="AA5">
        <v>8.8645162582397496</v>
      </c>
      <c r="AB5">
        <v>30</v>
      </c>
      <c r="AC5">
        <v>27.25</v>
      </c>
      <c r="AD5">
        <v>9.6172838211059606</v>
      </c>
      <c r="AE5">
        <v>18</v>
      </c>
      <c r="AF5">
        <v>8.8645162582397496</v>
      </c>
      <c r="AG5">
        <v>31.7471389770507</v>
      </c>
      <c r="AH5">
        <v>32.8548393249512</v>
      </c>
      <c r="AI5">
        <v>12</v>
      </c>
      <c r="AJ5">
        <v>27.25</v>
      </c>
      <c r="AK5">
        <v>35.676471710205099</v>
      </c>
      <c r="AL5">
        <v>32.8548393249512</v>
      </c>
      <c r="AM5">
        <v>32.8548393249512</v>
      </c>
      <c r="AN5">
        <v>12.9441175460815</v>
      </c>
      <c r="AO5">
        <v>9.9356021881103498</v>
      </c>
      <c r="AP5">
        <v>27.800828933715799</v>
      </c>
      <c r="AQ5">
        <v>19.464134216308601</v>
      </c>
      <c r="AR5">
        <v>8.8645162582397496</v>
      </c>
      <c r="AS5">
        <v>9.5039014816284197</v>
      </c>
      <c r="AT5">
        <v>21.951725006103501</v>
      </c>
      <c r="AU5">
        <v>17.130739212036101</v>
      </c>
      <c r="AV5">
        <v>17</v>
      </c>
      <c r="AW5" t="s">
        <v>238</v>
      </c>
    </row>
    <row r="6" spans="1:49" ht="12.75">
      <c r="A6" t="s">
        <v>240</v>
      </c>
      <c r="B6" t="s">
        <v>28</v>
      </c>
      <c r="C6" t="s">
        <v>75</v>
      </c>
      <c r="D6" t="s">
        <v>96</v>
      </c>
      <c r="E6" t="s">
        <v>238</v>
      </c>
      <c r="F6" t="s">
        <v>238</v>
      </c>
      <c r="G6" t="s">
        <v>237</v>
      </c>
      <c r="H6" t="s">
        <v>173</v>
      </c>
      <c r="I6" t="s">
        <v>238</v>
      </c>
      <c r="J6" t="s">
        <v>238</v>
      </c>
      <c r="K6" t="s">
        <v>238</v>
      </c>
      <c r="L6">
        <v>27.25</v>
      </c>
      <c r="M6">
        <v>18.844230651855501</v>
      </c>
      <c r="N6">
        <v>8.8645162582397496</v>
      </c>
      <c r="O6">
        <v>32.8548393249512</v>
      </c>
      <c r="P6">
        <v>19.464134216308601</v>
      </c>
      <c r="Q6">
        <v>22.708028793335</v>
      </c>
      <c r="R6">
        <v>9.6167755126953107</v>
      </c>
      <c r="S6">
        <v>24.425664901733398</v>
      </c>
      <c r="T6">
        <v>20.808900833129901</v>
      </c>
      <c r="U6">
        <v>12</v>
      </c>
      <c r="V6">
        <v>11.5324859619141</v>
      </c>
      <c r="W6">
        <v>27.25</v>
      </c>
      <c r="X6">
        <v>24.2999992370606</v>
      </c>
      <c r="Y6">
        <v>13</v>
      </c>
      <c r="Z6">
        <v>17.698154449462901</v>
      </c>
      <c r="AA6">
        <v>8.8645162582397496</v>
      </c>
      <c r="AB6">
        <v>30</v>
      </c>
      <c r="AC6">
        <v>27.25</v>
      </c>
      <c r="AD6">
        <v>9.6172838211059606</v>
      </c>
      <c r="AE6">
        <v>18</v>
      </c>
      <c r="AF6">
        <v>8.8645162582397496</v>
      </c>
      <c r="AG6">
        <v>31.7471389770507</v>
      </c>
      <c r="AH6">
        <v>32.8548393249512</v>
      </c>
      <c r="AI6">
        <v>12</v>
      </c>
      <c r="AJ6">
        <v>27.25</v>
      </c>
      <c r="AK6">
        <v>35.676471710205099</v>
      </c>
      <c r="AL6">
        <v>32.8548393249512</v>
      </c>
      <c r="AM6">
        <v>32.8548393249512</v>
      </c>
      <c r="AN6">
        <v>12.9441175460815</v>
      </c>
      <c r="AO6">
        <v>9.9356021881103498</v>
      </c>
      <c r="AP6">
        <v>27.800828933715799</v>
      </c>
      <c r="AQ6">
        <v>19.464134216308601</v>
      </c>
      <c r="AR6">
        <v>8.8645162582397496</v>
      </c>
      <c r="AS6">
        <v>9.5039014816284197</v>
      </c>
      <c r="AT6">
        <v>21.951725006103501</v>
      </c>
      <c r="AU6">
        <v>17.130739212036101</v>
      </c>
      <c r="AV6">
        <v>17</v>
      </c>
      <c r="AW6" t="s">
        <v>238</v>
      </c>
    </row>
    <row r="7" spans="1:49" ht="12.75">
      <c r="A7" t="s">
        <v>240</v>
      </c>
      <c r="B7" t="s">
        <v>28</v>
      </c>
      <c r="C7" t="s">
        <v>74</v>
      </c>
      <c r="D7" t="s">
        <v>96</v>
      </c>
      <c r="E7" t="s">
        <v>238</v>
      </c>
      <c r="F7" t="s">
        <v>238</v>
      </c>
      <c r="G7" t="s">
        <v>237</v>
      </c>
      <c r="H7" t="s">
        <v>173</v>
      </c>
      <c r="I7" t="s">
        <v>238</v>
      </c>
      <c r="J7" t="s">
        <v>238</v>
      </c>
      <c r="K7" t="s">
        <v>238</v>
      </c>
      <c r="L7">
        <v>27.25</v>
      </c>
      <c r="M7">
        <v>18.844230651855501</v>
      </c>
      <c r="N7">
        <v>8.8645162582397496</v>
      </c>
      <c r="O7">
        <v>32.8548393249512</v>
      </c>
      <c r="P7">
        <v>19.464134216308601</v>
      </c>
      <c r="Q7">
        <v>22.708028793335</v>
      </c>
      <c r="R7">
        <v>9.6167755126953107</v>
      </c>
      <c r="S7">
        <v>24.425664901733398</v>
      </c>
      <c r="T7">
        <v>20.808900833129901</v>
      </c>
      <c r="U7">
        <v>12</v>
      </c>
      <c r="V7">
        <v>11.5324859619141</v>
      </c>
      <c r="W7">
        <v>27.25</v>
      </c>
      <c r="X7">
        <v>24.2999992370606</v>
      </c>
      <c r="Y7">
        <v>13</v>
      </c>
      <c r="Z7">
        <v>17.698154449462901</v>
      </c>
      <c r="AA7">
        <v>8.8645162582397496</v>
      </c>
      <c r="AB7">
        <v>30</v>
      </c>
      <c r="AC7">
        <v>27.25</v>
      </c>
      <c r="AD7">
        <v>9.6172838211059606</v>
      </c>
      <c r="AE7">
        <v>18</v>
      </c>
      <c r="AF7">
        <v>8.8645162582397496</v>
      </c>
      <c r="AG7">
        <v>31.7471389770507</v>
      </c>
      <c r="AH7">
        <v>32.8548393249512</v>
      </c>
      <c r="AI7">
        <v>12</v>
      </c>
      <c r="AJ7">
        <v>27.25</v>
      </c>
      <c r="AK7">
        <v>35.676471710205099</v>
      </c>
      <c r="AL7">
        <v>32.8548393249512</v>
      </c>
      <c r="AM7">
        <v>32.8548393249512</v>
      </c>
      <c r="AN7">
        <v>12.9441175460815</v>
      </c>
      <c r="AO7">
        <v>9.9356021881103498</v>
      </c>
      <c r="AP7">
        <v>27.800828933715799</v>
      </c>
      <c r="AQ7">
        <v>19.464134216308601</v>
      </c>
      <c r="AR7">
        <v>8.8645162582397496</v>
      </c>
      <c r="AS7">
        <v>9.5039014816284197</v>
      </c>
      <c r="AT7">
        <v>21.951725006103501</v>
      </c>
      <c r="AU7">
        <v>17.130739212036101</v>
      </c>
      <c r="AV7">
        <v>17</v>
      </c>
      <c r="AW7" t="s">
        <v>238</v>
      </c>
    </row>
    <row r="8" spans="1:49" ht="12.75">
      <c r="A8" t="s">
        <v>240</v>
      </c>
      <c r="B8" t="s">
        <v>28</v>
      </c>
      <c r="C8" t="s">
        <v>54</v>
      </c>
      <c r="D8" t="s">
        <v>96</v>
      </c>
      <c r="E8" t="s">
        <v>238</v>
      </c>
      <c r="F8" t="s">
        <v>238</v>
      </c>
      <c r="G8" t="s">
        <v>237</v>
      </c>
      <c r="H8" t="s">
        <v>173</v>
      </c>
      <c r="I8" t="s">
        <v>238</v>
      </c>
      <c r="J8" t="s">
        <v>238</v>
      </c>
      <c r="K8" t="s">
        <v>238</v>
      </c>
      <c r="L8">
        <v>27.25</v>
      </c>
      <c r="M8">
        <v>18.844230651855501</v>
      </c>
      <c r="N8">
        <v>8.8645162582397496</v>
      </c>
      <c r="O8">
        <v>32.8548393249512</v>
      </c>
      <c r="P8">
        <v>19.464134216308601</v>
      </c>
      <c r="Q8">
        <v>22.708028793335</v>
      </c>
      <c r="R8">
        <v>9.6167755126953107</v>
      </c>
      <c r="S8">
        <v>24.425664901733398</v>
      </c>
      <c r="T8">
        <v>20.808900833129901</v>
      </c>
      <c r="U8">
        <v>12</v>
      </c>
      <c r="V8">
        <v>11.5324859619141</v>
      </c>
      <c r="W8">
        <v>27.25</v>
      </c>
      <c r="X8">
        <v>24.2999992370606</v>
      </c>
      <c r="Y8">
        <v>13</v>
      </c>
      <c r="Z8">
        <v>17.698154449462901</v>
      </c>
      <c r="AA8">
        <v>8.8645162582397496</v>
      </c>
      <c r="AB8">
        <v>30</v>
      </c>
      <c r="AC8">
        <v>27.25</v>
      </c>
      <c r="AD8">
        <v>9.6172838211059606</v>
      </c>
      <c r="AE8">
        <v>18</v>
      </c>
      <c r="AF8">
        <v>8.8645162582397496</v>
      </c>
      <c r="AG8">
        <v>31.7471389770507</v>
      </c>
      <c r="AH8">
        <v>32.8548393249512</v>
      </c>
      <c r="AI8">
        <v>12</v>
      </c>
      <c r="AJ8">
        <v>27.25</v>
      </c>
      <c r="AK8">
        <v>35.676471710205099</v>
      </c>
      <c r="AL8">
        <v>32.8548393249512</v>
      </c>
      <c r="AM8">
        <v>32.8548393249512</v>
      </c>
      <c r="AN8">
        <v>12.9441175460815</v>
      </c>
      <c r="AO8">
        <v>9.9356021881103498</v>
      </c>
      <c r="AP8">
        <v>27.800828933715799</v>
      </c>
      <c r="AQ8">
        <v>19.464134216308601</v>
      </c>
      <c r="AR8">
        <v>8.8645162582397496</v>
      </c>
      <c r="AS8">
        <v>9.5039014816284197</v>
      </c>
      <c r="AT8">
        <v>21.951725006103501</v>
      </c>
      <c r="AU8">
        <v>17.130739212036101</v>
      </c>
      <c r="AV8">
        <v>17</v>
      </c>
      <c r="AW8" t="s">
        <v>238</v>
      </c>
    </row>
    <row r="9" spans="1:49" ht="12.75">
      <c r="A9" t="s">
        <v>240</v>
      </c>
      <c r="B9" t="s">
        <v>28</v>
      </c>
      <c r="C9" t="s">
        <v>53</v>
      </c>
      <c r="D9" t="s">
        <v>96</v>
      </c>
      <c r="E9" t="s">
        <v>238</v>
      </c>
      <c r="F9" t="s">
        <v>238</v>
      </c>
      <c r="G9" t="s">
        <v>237</v>
      </c>
      <c r="H9" t="s">
        <v>173</v>
      </c>
      <c r="I9" t="s">
        <v>238</v>
      </c>
      <c r="J9" t="s">
        <v>238</v>
      </c>
      <c r="K9" t="s">
        <v>238</v>
      </c>
      <c r="L9">
        <v>27.25</v>
      </c>
      <c r="M9">
        <v>18.844230651855501</v>
      </c>
      <c r="N9">
        <v>8.8645162582397496</v>
      </c>
      <c r="O9">
        <v>32.8548393249512</v>
      </c>
      <c r="P9">
        <v>19.464134216308601</v>
      </c>
      <c r="Q9">
        <v>22.708028793335</v>
      </c>
      <c r="R9">
        <v>9.6167755126953107</v>
      </c>
      <c r="S9">
        <v>24.425664901733398</v>
      </c>
      <c r="T9">
        <v>20.808900833129901</v>
      </c>
      <c r="U9">
        <v>12</v>
      </c>
      <c r="V9">
        <v>11.5324859619141</v>
      </c>
      <c r="W9">
        <v>27.25</v>
      </c>
      <c r="X9">
        <v>24.2999992370606</v>
      </c>
      <c r="Y9">
        <v>13</v>
      </c>
      <c r="Z9">
        <v>17.698154449462901</v>
      </c>
      <c r="AA9">
        <v>8.8645162582397496</v>
      </c>
      <c r="AB9">
        <v>30</v>
      </c>
      <c r="AC9">
        <v>27.25</v>
      </c>
      <c r="AD9">
        <v>9.6172838211059606</v>
      </c>
      <c r="AE9">
        <v>18</v>
      </c>
      <c r="AF9">
        <v>8.8645162582397496</v>
      </c>
      <c r="AG9">
        <v>31.7471389770507</v>
      </c>
      <c r="AH9">
        <v>32.8548393249512</v>
      </c>
      <c r="AI9">
        <v>12</v>
      </c>
      <c r="AJ9">
        <v>27.25</v>
      </c>
      <c r="AK9">
        <v>35.676471710205099</v>
      </c>
      <c r="AL9">
        <v>32.8548393249512</v>
      </c>
      <c r="AM9">
        <v>32.8548393249512</v>
      </c>
      <c r="AN9">
        <v>12.9441175460815</v>
      </c>
      <c r="AO9">
        <v>9.9356021881103498</v>
      </c>
      <c r="AP9">
        <v>27.800828933715799</v>
      </c>
      <c r="AQ9">
        <v>19.464134216308601</v>
      </c>
      <c r="AR9">
        <v>8.8645162582397496</v>
      </c>
      <c r="AS9">
        <v>9.5039014816284197</v>
      </c>
      <c r="AT9">
        <v>21.951725006103501</v>
      </c>
      <c r="AU9">
        <v>17.130739212036101</v>
      </c>
      <c r="AV9">
        <v>17</v>
      </c>
      <c r="AW9" t="s">
        <v>238</v>
      </c>
    </row>
    <row r="10" spans="1:49" ht="12.75">
      <c r="A10" t="s">
        <v>240</v>
      </c>
      <c r="B10" t="s">
        <v>28</v>
      </c>
      <c r="C10" t="s">
        <v>57</v>
      </c>
      <c r="D10" t="s">
        <v>96</v>
      </c>
      <c r="E10" t="s">
        <v>238</v>
      </c>
      <c r="F10" t="s">
        <v>238</v>
      </c>
      <c r="G10" t="s">
        <v>237</v>
      </c>
      <c r="H10" t="s">
        <v>173</v>
      </c>
      <c r="I10" t="s">
        <v>238</v>
      </c>
      <c r="J10" t="s">
        <v>238</v>
      </c>
      <c r="K10" t="s">
        <v>238</v>
      </c>
      <c r="L10">
        <v>1.4975107908248899</v>
      </c>
      <c r="M10">
        <v>1.1799999475479099</v>
      </c>
      <c r="N10">
        <v>1.38246369361877</v>
      </c>
      <c r="O10">
        <v>1.51028192043304</v>
      </c>
      <c r="P10">
        <v>1.5599999427795399</v>
      </c>
      <c r="Q10">
        <v>1.60651648044586</v>
      </c>
      <c r="R10">
        <v>1.4644458293914799</v>
      </c>
      <c r="S10">
        <v>1.37999999523163</v>
      </c>
      <c r="T10">
        <v>1.4904687404632599</v>
      </c>
      <c r="U10">
        <v>1.5599999427795399</v>
      </c>
      <c r="V10">
        <v>1.45000004768372</v>
      </c>
      <c r="W10">
        <v>1.4975107908248899</v>
      </c>
      <c r="X10">
        <v>1.7400000095367401</v>
      </c>
      <c r="Y10">
        <v>1.4000432491302499</v>
      </c>
      <c r="Z10">
        <v>1.82858443260193</v>
      </c>
      <c r="AA10">
        <v>1.38246369361877</v>
      </c>
      <c r="AB10">
        <v>1.8400000333786</v>
      </c>
      <c r="AC10">
        <v>1.4975107908248899</v>
      </c>
      <c r="AD10">
        <v>2.0627906322479301</v>
      </c>
      <c r="AE10">
        <v>1.71000003814697</v>
      </c>
      <c r="AF10">
        <v>1.38246369361877</v>
      </c>
      <c r="AG10">
        <v>1.9999866485595701</v>
      </c>
      <c r="AH10">
        <v>1.51028192043304</v>
      </c>
      <c r="AI10">
        <v>1.43300044536591</v>
      </c>
      <c r="AJ10">
        <v>1.4975107908248899</v>
      </c>
      <c r="AK10">
        <v>1.5599999427795399</v>
      </c>
      <c r="AL10">
        <v>1.51028192043304</v>
      </c>
      <c r="AM10">
        <v>1.33000004291534</v>
      </c>
      <c r="AN10">
        <v>1.70000004768371</v>
      </c>
      <c r="AO10">
        <v>1.9665447473526001</v>
      </c>
      <c r="AP10">
        <v>1.4975107908248899</v>
      </c>
      <c r="AQ10">
        <v>1.9828243255615201</v>
      </c>
      <c r="AR10">
        <v>1.38246369361877</v>
      </c>
      <c r="AS10">
        <v>1.45347416400909</v>
      </c>
      <c r="AT10">
        <v>1.63986444473267</v>
      </c>
      <c r="AU10">
        <v>1.95000004768372</v>
      </c>
      <c r="AV10">
        <v>1.5599999427795399</v>
      </c>
      <c r="AW10" t="s">
        <v>238</v>
      </c>
    </row>
    <row r="11" spans="1:49" ht="12.75">
      <c r="A11" t="s">
        <v>240</v>
      </c>
      <c r="B11" t="s">
        <v>28</v>
      </c>
      <c r="C11" t="s">
        <v>58</v>
      </c>
      <c r="D11" t="s">
        <v>96</v>
      </c>
      <c r="E11" t="s">
        <v>238</v>
      </c>
      <c r="F11" t="s">
        <v>238</v>
      </c>
      <c r="G11" t="s">
        <v>237</v>
      </c>
      <c r="H11" t="s">
        <v>173</v>
      </c>
      <c r="I11" t="s">
        <v>238</v>
      </c>
      <c r="J11" t="s">
        <v>238</v>
      </c>
      <c r="K11" t="s">
        <v>238</v>
      </c>
      <c r="L11">
        <v>1.4975107908248899</v>
      </c>
      <c r="M11">
        <v>1.1799999475479099</v>
      </c>
      <c r="N11">
        <v>1.38246369361877</v>
      </c>
      <c r="O11">
        <v>1.51028192043304</v>
      </c>
      <c r="P11">
        <v>1.5599999427795399</v>
      </c>
      <c r="Q11">
        <v>1.60651648044586</v>
      </c>
      <c r="R11">
        <v>1.4644458293914799</v>
      </c>
      <c r="S11">
        <v>1.37999999523163</v>
      </c>
      <c r="T11">
        <v>1.4904687404632599</v>
      </c>
      <c r="U11">
        <v>1.5599999427795399</v>
      </c>
      <c r="V11">
        <v>1.45000004768372</v>
      </c>
      <c r="W11">
        <v>1.4975107908248899</v>
      </c>
      <c r="X11">
        <v>1.7400000095367401</v>
      </c>
      <c r="Y11">
        <v>1.4000432491302499</v>
      </c>
      <c r="Z11">
        <v>1.82858443260193</v>
      </c>
      <c r="AA11">
        <v>1.38246369361877</v>
      </c>
      <c r="AB11">
        <v>1.8400000333786</v>
      </c>
      <c r="AC11">
        <v>1.4975107908248899</v>
      </c>
      <c r="AD11">
        <v>2.0627906322479301</v>
      </c>
      <c r="AE11">
        <v>1.71000003814697</v>
      </c>
      <c r="AF11">
        <v>1.38246369361877</v>
      </c>
      <c r="AG11">
        <v>1.9999866485595701</v>
      </c>
      <c r="AH11">
        <v>1.51028192043304</v>
      </c>
      <c r="AI11">
        <v>1.43300044536591</v>
      </c>
      <c r="AJ11">
        <v>1.4975107908248899</v>
      </c>
      <c r="AK11">
        <v>1.5599999427795399</v>
      </c>
      <c r="AL11">
        <v>1.51028192043304</v>
      </c>
      <c r="AM11">
        <v>1.33000004291534</v>
      </c>
      <c r="AN11">
        <v>1.70000004768371</v>
      </c>
      <c r="AO11">
        <v>1.9665447473526001</v>
      </c>
      <c r="AP11">
        <v>1.4975107908248899</v>
      </c>
      <c r="AQ11">
        <v>1.9828243255615201</v>
      </c>
      <c r="AR11">
        <v>1.38246369361877</v>
      </c>
      <c r="AS11">
        <v>1.45347416400909</v>
      </c>
      <c r="AT11">
        <v>1.63986444473267</v>
      </c>
      <c r="AU11">
        <v>1.95000004768372</v>
      </c>
      <c r="AV11">
        <v>1.5599999427795399</v>
      </c>
      <c r="AW11" t="s">
        <v>238</v>
      </c>
    </row>
    <row r="12" spans="1:49" ht="12.75">
      <c r="A12" t="s">
        <v>240</v>
      </c>
      <c r="B12" t="s">
        <v>28</v>
      </c>
      <c r="C12" t="s">
        <v>59</v>
      </c>
      <c r="D12" t="s">
        <v>96</v>
      </c>
      <c r="E12" t="s">
        <v>238</v>
      </c>
      <c r="F12" t="s">
        <v>238</v>
      </c>
      <c r="G12" t="s">
        <v>237</v>
      </c>
      <c r="H12" t="s">
        <v>173</v>
      </c>
      <c r="I12" t="s">
        <v>238</v>
      </c>
      <c r="J12" t="s">
        <v>238</v>
      </c>
      <c r="K12" t="s">
        <v>238</v>
      </c>
      <c r="L12">
        <v>1.4975107908248899</v>
      </c>
      <c r="M12">
        <v>1.1799999475479099</v>
      </c>
      <c r="N12">
        <v>1.38246369361877</v>
      </c>
      <c r="O12">
        <v>1.51028192043304</v>
      </c>
      <c r="P12">
        <v>1.5599999427795399</v>
      </c>
      <c r="Q12">
        <v>1.60651648044586</v>
      </c>
      <c r="R12">
        <v>1.4644458293914799</v>
      </c>
      <c r="S12">
        <v>1.37999999523163</v>
      </c>
      <c r="T12">
        <v>1.4904687404632599</v>
      </c>
      <c r="U12">
        <v>1.5599999427795399</v>
      </c>
      <c r="V12">
        <v>1.45000004768372</v>
      </c>
      <c r="W12">
        <v>1.4975107908248899</v>
      </c>
      <c r="X12">
        <v>1.7400000095367401</v>
      </c>
      <c r="Y12">
        <v>1.4000432491302499</v>
      </c>
      <c r="Z12">
        <v>1.82858443260193</v>
      </c>
      <c r="AA12">
        <v>1.38246369361877</v>
      </c>
      <c r="AB12">
        <v>1.8400000333786</v>
      </c>
      <c r="AC12">
        <v>1.4975107908248899</v>
      </c>
      <c r="AD12">
        <v>2.0627906322479301</v>
      </c>
      <c r="AE12">
        <v>1.71000003814697</v>
      </c>
      <c r="AF12">
        <v>1.38246369361877</v>
      </c>
      <c r="AG12">
        <v>1.9999866485595701</v>
      </c>
      <c r="AH12">
        <v>1.51028192043304</v>
      </c>
      <c r="AI12">
        <v>1.43300044536591</v>
      </c>
      <c r="AJ12">
        <v>1.4975107908248899</v>
      </c>
      <c r="AK12">
        <v>1.5599999427795399</v>
      </c>
      <c r="AL12">
        <v>1.51028192043304</v>
      </c>
      <c r="AM12">
        <v>1.33000004291534</v>
      </c>
      <c r="AN12">
        <v>1.70000004768371</v>
      </c>
      <c r="AO12">
        <v>1.9665447473526001</v>
      </c>
      <c r="AP12">
        <v>1.4975107908248899</v>
      </c>
      <c r="AQ12">
        <v>1.9828243255615201</v>
      </c>
      <c r="AR12">
        <v>1.38246369361877</v>
      </c>
      <c r="AS12">
        <v>1.45347416400909</v>
      </c>
      <c r="AT12">
        <v>1.63986444473267</v>
      </c>
      <c r="AU12">
        <v>1.95000004768372</v>
      </c>
      <c r="AV12">
        <v>1.5599999427795399</v>
      </c>
      <c r="AW12" t="s">
        <v>238</v>
      </c>
    </row>
    <row r="13" spans="1:49" ht="12.75">
      <c r="A13" t="s">
        <v>240</v>
      </c>
      <c r="B13" t="s">
        <v>28</v>
      </c>
      <c r="C13" t="s">
        <v>60</v>
      </c>
      <c r="D13" t="s">
        <v>96</v>
      </c>
      <c r="E13" t="s">
        <v>238</v>
      </c>
      <c r="F13" t="s">
        <v>238</v>
      </c>
      <c r="G13" t="s">
        <v>237</v>
      </c>
      <c r="H13" t="s">
        <v>173</v>
      </c>
      <c r="I13" t="s">
        <v>238</v>
      </c>
      <c r="J13" t="s">
        <v>238</v>
      </c>
      <c r="K13" t="s">
        <v>238</v>
      </c>
      <c r="L13">
        <v>1.4975107908248899</v>
      </c>
      <c r="M13">
        <v>1.1799999475479099</v>
      </c>
      <c r="N13">
        <v>1.38246369361877</v>
      </c>
      <c r="O13">
        <v>1.51028192043304</v>
      </c>
      <c r="P13">
        <v>1.5599999427795399</v>
      </c>
      <c r="Q13">
        <v>1.60651648044586</v>
      </c>
      <c r="R13">
        <v>1.4644458293914799</v>
      </c>
      <c r="S13">
        <v>1.37999999523163</v>
      </c>
      <c r="T13">
        <v>1.4904687404632599</v>
      </c>
      <c r="U13">
        <v>1.5599999427795399</v>
      </c>
      <c r="V13">
        <v>1.45000004768372</v>
      </c>
      <c r="W13">
        <v>1.4975107908248899</v>
      </c>
      <c r="X13">
        <v>1.7400000095367401</v>
      </c>
      <c r="Y13">
        <v>1.4000432491302499</v>
      </c>
      <c r="Z13">
        <v>1.82858443260193</v>
      </c>
      <c r="AA13">
        <v>1.38246369361877</v>
      </c>
      <c r="AB13">
        <v>1.8400000333786</v>
      </c>
      <c r="AC13">
        <v>1.4975107908248899</v>
      </c>
      <c r="AD13">
        <v>2.0627906322479301</v>
      </c>
      <c r="AE13">
        <v>1.71000003814697</v>
      </c>
      <c r="AF13">
        <v>1.38246369361877</v>
      </c>
      <c r="AG13">
        <v>1.9999866485595701</v>
      </c>
      <c r="AH13">
        <v>1.51028192043304</v>
      </c>
      <c r="AI13">
        <v>1.43300044536591</v>
      </c>
      <c r="AJ13">
        <v>1.4975107908248899</v>
      </c>
      <c r="AK13">
        <v>1.5599999427795399</v>
      </c>
      <c r="AL13">
        <v>1.51028192043304</v>
      </c>
      <c r="AM13">
        <v>1.33000004291534</v>
      </c>
      <c r="AN13">
        <v>1.70000004768371</v>
      </c>
      <c r="AO13">
        <v>1.9665447473526001</v>
      </c>
      <c r="AP13">
        <v>1.4975107908248899</v>
      </c>
      <c r="AQ13">
        <v>1.9828243255615201</v>
      </c>
      <c r="AR13">
        <v>1.38246369361877</v>
      </c>
      <c r="AS13">
        <v>1.45347416400909</v>
      </c>
      <c r="AT13">
        <v>1.63986444473267</v>
      </c>
      <c r="AU13">
        <v>1.95000004768372</v>
      </c>
      <c r="AV13">
        <v>1.5599999427795399</v>
      </c>
      <c r="AW13" t="s">
        <v>238</v>
      </c>
    </row>
    <row r="14" spans="1:49" ht="12.75">
      <c r="A14" t="s">
        <v>240</v>
      </c>
      <c r="B14" t="s">
        <v>28</v>
      </c>
      <c r="C14" t="s">
        <v>61</v>
      </c>
      <c r="D14" t="s">
        <v>96</v>
      </c>
      <c r="E14" t="s">
        <v>238</v>
      </c>
      <c r="F14" t="s">
        <v>238</v>
      </c>
      <c r="G14" t="s">
        <v>237</v>
      </c>
      <c r="H14" t="s">
        <v>173</v>
      </c>
      <c r="I14" t="s">
        <v>238</v>
      </c>
      <c r="J14" t="s">
        <v>238</v>
      </c>
      <c r="K14" t="s">
        <v>238</v>
      </c>
      <c r="L14">
        <v>1.4975107908248899</v>
      </c>
      <c r="M14">
        <v>1.1799999475479099</v>
      </c>
      <c r="N14">
        <v>1.38246369361877</v>
      </c>
      <c r="O14">
        <v>1.51028192043304</v>
      </c>
      <c r="P14">
        <v>1.5599999427795399</v>
      </c>
      <c r="Q14">
        <v>1.60651648044586</v>
      </c>
      <c r="R14">
        <v>1.4644458293914799</v>
      </c>
      <c r="S14">
        <v>1.37999999523163</v>
      </c>
      <c r="T14">
        <v>1.4904687404632599</v>
      </c>
      <c r="U14">
        <v>1.5599999427795399</v>
      </c>
      <c r="V14">
        <v>1.45000004768372</v>
      </c>
      <c r="W14">
        <v>1.4975107908248899</v>
      </c>
      <c r="X14">
        <v>1.7400000095367401</v>
      </c>
      <c r="Y14">
        <v>1.4000432491302499</v>
      </c>
      <c r="Z14">
        <v>1.82858443260193</v>
      </c>
      <c r="AA14">
        <v>1.38246369361877</v>
      </c>
      <c r="AB14">
        <v>1.8400000333786</v>
      </c>
      <c r="AC14">
        <v>1.4975107908248899</v>
      </c>
      <c r="AD14">
        <v>2.0627906322479301</v>
      </c>
      <c r="AE14">
        <v>1.71000003814697</v>
      </c>
      <c r="AF14">
        <v>1.38246369361877</v>
      </c>
      <c r="AG14">
        <v>1.9999866485595701</v>
      </c>
      <c r="AH14">
        <v>1.51028192043304</v>
      </c>
      <c r="AI14">
        <v>1.43300044536591</v>
      </c>
      <c r="AJ14">
        <v>1.4975107908248899</v>
      </c>
      <c r="AK14">
        <v>1.5599999427795399</v>
      </c>
      <c r="AL14">
        <v>1.51028192043304</v>
      </c>
      <c r="AM14">
        <v>1.33000004291534</v>
      </c>
      <c r="AN14">
        <v>1.70000004768371</v>
      </c>
      <c r="AO14">
        <v>1.9665447473526001</v>
      </c>
      <c r="AP14">
        <v>1.4975107908248899</v>
      </c>
      <c r="AQ14">
        <v>1.9828243255615201</v>
      </c>
      <c r="AR14">
        <v>1.38246369361877</v>
      </c>
      <c r="AS14">
        <v>1.45347416400909</v>
      </c>
      <c r="AT14">
        <v>1.63986444473267</v>
      </c>
      <c r="AU14">
        <v>1.95000004768372</v>
      </c>
      <c r="AV14">
        <v>1.5599999427795399</v>
      </c>
      <c r="AW14" t="s">
        <v>238</v>
      </c>
    </row>
    <row r="15" spans="1:49" ht="12.75">
      <c r="A15" t="s">
        <v>240</v>
      </c>
      <c r="B15" t="s">
        <v>28</v>
      </c>
      <c r="C15" t="s">
        <v>62</v>
      </c>
      <c r="D15" t="s">
        <v>96</v>
      </c>
      <c r="E15" t="s">
        <v>238</v>
      </c>
      <c r="F15" t="s">
        <v>238</v>
      </c>
      <c r="G15" t="s">
        <v>237</v>
      </c>
      <c r="H15" t="s">
        <v>173</v>
      </c>
      <c r="I15" t="s">
        <v>238</v>
      </c>
      <c r="J15" t="s">
        <v>238</v>
      </c>
      <c r="K15" t="s">
        <v>238</v>
      </c>
      <c r="L15">
        <v>1.4975107908248899</v>
      </c>
      <c r="M15">
        <v>1.1799999475479099</v>
      </c>
      <c r="N15">
        <v>1.38246369361877</v>
      </c>
      <c r="O15">
        <v>1.51028192043304</v>
      </c>
      <c r="P15">
        <v>1.5599999427795399</v>
      </c>
      <c r="Q15">
        <v>1.60651648044586</v>
      </c>
      <c r="R15">
        <v>1.4644458293914799</v>
      </c>
      <c r="S15">
        <v>1.37999999523163</v>
      </c>
      <c r="T15">
        <v>1.4904687404632599</v>
      </c>
      <c r="U15">
        <v>1.5599999427795399</v>
      </c>
      <c r="V15">
        <v>1.45000004768372</v>
      </c>
      <c r="W15">
        <v>1.4975107908248899</v>
      </c>
      <c r="X15">
        <v>1.7400000095367401</v>
      </c>
      <c r="Y15">
        <v>1.4000432491302499</v>
      </c>
      <c r="Z15">
        <v>1.82858443260193</v>
      </c>
      <c r="AA15">
        <v>1.38246369361877</v>
      </c>
      <c r="AB15">
        <v>1.8400000333786</v>
      </c>
      <c r="AC15">
        <v>1.4975107908248899</v>
      </c>
      <c r="AD15">
        <v>2.0627906322479301</v>
      </c>
      <c r="AE15">
        <v>1.71000003814697</v>
      </c>
      <c r="AF15">
        <v>1.38246369361877</v>
      </c>
      <c r="AG15">
        <v>1.9999866485595701</v>
      </c>
      <c r="AH15">
        <v>1.51028192043304</v>
      </c>
      <c r="AI15">
        <v>1.43300044536591</v>
      </c>
      <c r="AJ15">
        <v>1.4975107908248899</v>
      </c>
      <c r="AK15">
        <v>1.5599999427795399</v>
      </c>
      <c r="AL15">
        <v>1.51028192043304</v>
      </c>
      <c r="AM15">
        <v>1.33000004291534</v>
      </c>
      <c r="AN15">
        <v>1.70000004768371</v>
      </c>
      <c r="AO15">
        <v>1.9665447473526001</v>
      </c>
      <c r="AP15">
        <v>1.4975107908248899</v>
      </c>
      <c r="AQ15">
        <v>1.9828243255615201</v>
      </c>
      <c r="AR15">
        <v>1.38246369361877</v>
      </c>
      <c r="AS15">
        <v>1.45347416400909</v>
      </c>
      <c r="AT15">
        <v>1.63986444473267</v>
      </c>
      <c r="AU15">
        <v>1.95000004768372</v>
      </c>
      <c r="AV15">
        <v>1.5599999427795399</v>
      </c>
      <c r="AW15" t="s">
        <v>238</v>
      </c>
    </row>
    <row r="16" spans="1:49" ht="12.75">
      <c r="A16" t="s">
        <v>240</v>
      </c>
      <c r="B16" t="s">
        <v>28</v>
      </c>
      <c r="C16" t="s">
        <v>63</v>
      </c>
      <c r="D16" t="s">
        <v>96</v>
      </c>
      <c r="E16" t="s">
        <v>238</v>
      </c>
      <c r="F16" t="s">
        <v>238</v>
      </c>
      <c r="G16" t="s">
        <v>237</v>
      </c>
      <c r="H16" t="s">
        <v>173</v>
      </c>
      <c r="I16" t="s">
        <v>238</v>
      </c>
      <c r="J16" t="s">
        <v>238</v>
      </c>
      <c r="K16" t="s">
        <v>238</v>
      </c>
      <c r="L16">
        <v>1.4975107908248899</v>
      </c>
      <c r="M16">
        <v>1.1799999475479099</v>
      </c>
      <c r="N16">
        <v>1.38246369361877</v>
      </c>
      <c r="O16">
        <v>1.51028192043304</v>
      </c>
      <c r="P16">
        <v>1.5599999427795399</v>
      </c>
      <c r="Q16">
        <v>1.60651648044586</v>
      </c>
      <c r="R16">
        <v>1.4644458293914799</v>
      </c>
      <c r="S16">
        <v>1.37999999523163</v>
      </c>
      <c r="T16">
        <v>1.4904687404632599</v>
      </c>
      <c r="U16">
        <v>1.5599999427795399</v>
      </c>
      <c r="V16">
        <v>1.45000004768372</v>
      </c>
      <c r="W16">
        <v>1.4975107908248899</v>
      </c>
      <c r="X16">
        <v>1.7400000095367401</v>
      </c>
      <c r="Y16">
        <v>1.4000432491302499</v>
      </c>
      <c r="Z16">
        <v>1.82858443260193</v>
      </c>
      <c r="AA16">
        <v>1.38246369361877</v>
      </c>
      <c r="AB16">
        <v>1.8400000333786</v>
      </c>
      <c r="AC16">
        <v>1.4975107908248899</v>
      </c>
      <c r="AD16">
        <v>2.0627906322479301</v>
      </c>
      <c r="AE16">
        <v>1.71000003814697</v>
      </c>
      <c r="AF16">
        <v>1.38246369361877</v>
      </c>
      <c r="AG16">
        <v>1.9999866485595701</v>
      </c>
      <c r="AH16">
        <v>1.51028192043304</v>
      </c>
      <c r="AI16">
        <v>1.43300044536591</v>
      </c>
      <c r="AJ16">
        <v>1.4975107908248899</v>
      </c>
      <c r="AK16">
        <v>1.5599999427795399</v>
      </c>
      <c r="AL16">
        <v>1.51028192043304</v>
      </c>
      <c r="AM16">
        <v>1.33000004291534</v>
      </c>
      <c r="AN16">
        <v>1.70000004768371</v>
      </c>
      <c r="AO16">
        <v>1.9665447473526001</v>
      </c>
      <c r="AP16">
        <v>1.4975107908248899</v>
      </c>
      <c r="AQ16">
        <v>1.9828243255615201</v>
      </c>
      <c r="AR16">
        <v>1.38246369361877</v>
      </c>
      <c r="AS16">
        <v>1.45347416400909</v>
      </c>
      <c r="AT16">
        <v>1.63986444473267</v>
      </c>
      <c r="AU16">
        <v>1.95000004768372</v>
      </c>
      <c r="AV16">
        <v>1.5599999427795399</v>
      </c>
      <c r="AW16" t="s">
        <v>238</v>
      </c>
    </row>
    <row r="17" spans="1:49" ht="12.75">
      <c r="A17" t="s">
        <v>240</v>
      </c>
      <c r="B17" t="s">
        <v>28</v>
      </c>
      <c r="C17" t="s">
        <v>64</v>
      </c>
      <c r="D17" t="s">
        <v>96</v>
      </c>
      <c r="E17" t="s">
        <v>238</v>
      </c>
      <c r="F17" t="s">
        <v>238</v>
      </c>
      <c r="G17" t="s">
        <v>237</v>
      </c>
      <c r="H17" t="s">
        <v>173</v>
      </c>
      <c r="I17" t="s">
        <v>238</v>
      </c>
      <c r="J17" t="s">
        <v>238</v>
      </c>
      <c r="K17" t="s">
        <v>238</v>
      </c>
      <c r="L17">
        <v>1.4975107908248899</v>
      </c>
      <c r="M17">
        <v>1.1799999475479099</v>
      </c>
      <c r="N17">
        <v>1.38246369361877</v>
      </c>
      <c r="O17">
        <v>1.51028192043304</v>
      </c>
      <c r="P17">
        <v>1.5599999427795399</v>
      </c>
      <c r="Q17">
        <v>1.60651648044586</v>
      </c>
      <c r="R17">
        <v>1.4644458293914799</v>
      </c>
      <c r="S17">
        <v>1.37999999523163</v>
      </c>
      <c r="T17">
        <v>1.4904687404632599</v>
      </c>
      <c r="U17">
        <v>1.5599999427795399</v>
      </c>
      <c r="V17">
        <v>1.45000004768372</v>
      </c>
      <c r="W17">
        <v>1.4975107908248899</v>
      </c>
      <c r="X17">
        <v>1.7400000095367401</v>
      </c>
      <c r="Y17">
        <v>1.4000432491302499</v>
      </c>
      <c r="Z17">
        <v>1.82858443260193</v>
      </c>
      <c r="AA17">
        <v>1.38246369361877</v>
      </c>
      <c r="AB17">
        <v>1.8400000333786</v>
      </c>
      <c r="AC17">
        <v>1.4975107908248899</v>
      </c>
      <c r="AD17">
        <v>2.0627906322479301</v>
      </c>
      <c r="AE17">
        <v>1.71000003814697</v>
      </c>
      <c r="AF17">
        <v>1.38246369361877</v>
      </c>
      <c r="AG17">
        <v>1.9999866485595701</v>
      </c>
      <c r="AH17">
        <v>1.51028192043304</v>
      </c>
      <c r="AI17">
        <v>1.43300044536591</v>
      </c>
      <c r="AJ17">
        <v>1.4975107908248899</v>
      </c>
      <c r="AK17">
        <v>1.5599999427795399</v>
      </c>
      <c r="AL17">
        <v>1.51028192043304</v>
      </c>
      <c r="AM17">
        <v>1.33000004291534</v>
      </c>
      <c r="AN17">
        <v>1.70000004768371</v>
      </c>
      <c r="AO17">
        <v>1.9665447473526001</v>
      </c>
      <c r="AP17">
        <v>1.4975107908248899</v>
      </c>
      <c r="AQ17">
        <v>1.9828243255615201</v>
      </c>
      <c r="AR17">
        <v>1.38246369361877</v>
      </c>
      <c r="AS17">
        <v>1.45347416400909</v>
      </c>
      <c r="AT17">
        <v>1.63986444473267</v>
      </c>
      <c r="AU17">
        <v>1.95000004768372</v>
      </c>
      <c r="AV17">
        <v>1.5599999427795399</v>
      </c>
      <c r="AW17" t="s">
        <v>238</v>
      </c>
    </row>
    <row r="18" spans="1:49" ht="12.75">
      <c r="A18" t="s">
        <v>240</v>
      </c>
      <c r="B18" t="s">
        <v>28</v>
      </c>
      <c r="C18" t="s">
        <v>76</v>
      </c>
      <c r="D18" t="s">
        <v>96</v>
      </c>
      <c r="E18" t="s">
        <v>238</v>
      </c>
      <c r="F18" t="s">
        <v>238</v>
      </c>
      <c r="G18" t="s">
        <v>237</v>
      </c>
      <c r="H18" t="s">
        <v>173</v>
      </c>
      <c r="I18" t="s">
        <v>238</v>
      </c>
      <c r="J18" t="s">
        <v>238</v>
      </c>
      <c r="K18" t="s">
        <v>238</v>
      </c>
      <c r="L18">
        <v>1.4975107908248899</v>
      </c>
      <c r="M18">
        <v>1.1799999475479099</v>
      </c>
      <c r="N18">
        <v>1.38246369361877</v>
      </c>
      <c r="O18">
        <v>1.51028192043304</v>
      </c>
      <c r="P18">
        <v>1.5599999427795399</v>
      </c>
      <c r="Q18">
        <v>1.60651648044586</v>
      </c>
      <c r="R18">
        <v>1.4644458293914799</v>
      </c>
      <c r="S18">
        <v>1.37999999523163</v>
      </c>
      <c r="T18">
        <v>1.4904687404632599</v>
      </c>
      <c r="U18">
        <v>1.5599999427795399</v>
      </c>
      <c r="V18">
        <v>1.45000004768372</v>
      </c>
      <c r="W18">
        <v>1.4975107908248899</v>
      </c>
      <c r="X18">
        <v>1.7400000095367401</v>
      </c>
      <c r="Y18">
        <v>1.4000432491302499</v>
      </c>
      <c r="Z18">
        <v>1.82858443260193</v>
      </c>
      <c r="AA18">
        <v>1.38246369361877</v>
      </c>
      <c r="AB18">
        <v>1.8400000333786</v>
      </c>
      <c r="AC18">
        <v>1.4975107908248899</v>
      </c>
      <c r="AD18">
        <v>2.0627906322479301</v>
      </c>
      <c r="AE18">
        <v>1.71000003814697</v>
      </c>
      <c r="AF18">
        <v>1.38246369361877</v>
      </c>
      <c r="AG18">
        <v>1.9999866485595701</v>
      </c>
      <c r="AH18">
        <v>1.51028192043304</v>
      </c>
      <c r="AI18">
        <v>1.43300044536591</v>
      </c>
      <c r="AJ18">
        <v>1.4975107908248899</v>
      </c>
      <c r="AK18">
        <v>1.5599999427795399</v>
      </c>
      <c r="AL18">
        <v>1.51028192043304</v>
      </c>
      <c r="AM18">
        <v>1.33000004291534</v>
      </c>
      <c r="AN18">
        <v>1.70000004768371</v>
      </c>
      <c r="AO18">
        <v>1.9665447473526001</v>
      </c>
      <c r="AP18">
        <v>1.4975107908248899</v>
      </c>
      <c r="AQ18">
        <v>1.9828243255615201</v>
      </c>
      <c r="AR18">
        <v>1.38246369361877</v>
      </c>
      <c r="AS18">
        <v>1.45347416400909</v>
      </c>
      <c r="AT18">
        <v>1.63986444473267</v>
      </c>
      <c r="AU18">
        <v>1.95000004768372</v>
      </c>
      <c r="AV18">
        <v>1.5599999427795399</v>
      </c>
      <c r="AW18" t="s">
        <v>238</v>
      </c>
    </row>
    <row r="19" spans="1:49" ht="12.75">
      <c r="A19" t="s">
        <v>240</v>
      </c>
      <c r="B19" t="s">
        <v>28</v>
      </c>
      <c r="C19" t="s">
        <v>77</v>
      </c>
      <c r="D19" t="s">
        <v>96</v>
      </c>
      <c r="E19" t="s">
        <v>238</v>
      </c>
      <c r="F19" t="s">
        <v>238</v>
      </c>
      <c r="G19" t="s">
        <v>237</v>
      </c>
      <c r="H19" t="s">
        <v>173</v>
      </c>
      <c r="I19" t="s">
        <v>238</v>
      </c>
      <c r="J19" t="s">
        <v>238</v>
      </c>
      <c r="K19" t="s">
        <v>238</v>
      </c>
      <c r="L19">
        <v>1.4975107908248899</v>
      </c>
      <c r="M19">
        <v>1.1799999475479099</v>
      </c>
      <c r="N19">
        <v>1.38246369361877</v>
      </c>
      <c r="O19">
        <v>1.51028192043304</v>
      </c>
      <c r="P19">
        <v>1.5599999427795399</v>
      </c>
      <c r="Q19">
        <v>1.60651648044586</v>
      </c>
      <c r="R19">
        <v>1.4644458293914799</v>
      </c>
      <c r="S19">
        <v>1.37999999523163</v>
      </c>
      <c r="T19">
        <v>1.4904687404632599</v>
      </c>
      <c r="U19">
        <v>1.5599999427795399</v>
      </c>
      <c r="V19">
        <v>1.45000004768372</v>
      </c>
      <c r="W19">
        <v>1.4975107908248899</v>
      </c>
      <c r="X19">
        <v>1.7400000095367401</v>
      </c>
      <c r="Y19">
        <v>1.4000432491302499</v>
      </c>
      <c r="Z19">
        <v>1.82858443260193</v>
      </c>
      <c r="AA19">
        <v>1.38246369361877</v>
      </c>
      <c r="AB19">
        <v>1.8400000333786</v>
      </c>
      <c r="AC19">
        <v>1.4975107908248899</v>
      </c>
      <c r="AD19">
        <v>2.0627906322479301</v>
      </c>
      <c r="AE19">
        <v>1.71000003814697</v>
      </c>
      <c r="AF19">
        <v>1.38246369361877</v>
      </c>
      <c r="AG19">
        <v>1.9999866485595701</v>
      </c>
      <c r="AH19">
        <v>1.51028192043304</v>
      </c>
      <c r="AI19">
        <v>1.43300044536591</v>
      </c>
      <c r="AJ19">
        <v>1.4975107908248899</v>
      </c>
      <c r="AK19">
        <v>1.5599999427795399</v>
      </c>
      <c r="AL19">
        <v>1.51028192043304</v>
      </c>
      <c r="AM19">
        <v>1.33000004291534</v>
      </c>
      <c r="AN19">
        <v>1.70000004768371</v>
      </c>
      <c r="AO19">
        <v>1.9665447473526001</v>
      </c>
      <c r="AP19">
        <v>1.4975107908248899</v>
      </c>
      <c r="AQ19">
        <v>1.9828243255615201</v>
      </c>
      <c r="AR19">
        <v>1.38246369361877</v>
      </c>
      <c r="AS19">
        <v>1.45347416400909</v>
      </c>
      <c r="AT19">
        <v>1.63986444473267</v>
      </c>
      <c r="AU19">
        <v>1.95000004768372</v>
      </c>
      <c r="AV19">
        <v>1.5599999427795399</v>
      </c>
      <c r="AW19" t="s">
        <v>238</v>
      </c>
    </row>
    <row r="20" spans="1:49" ht="12.75">
      <c r="A20" t="s">
        <v>240</v>
      </c>
      <c r="B20" t="s">
        <v>28</v>
      </c>
      <c r="C20" t="s">
        <v>78</v>
      </c>
      <c r="D20" t="s">
        <v>96</v>
      </c>
      <c r="E20" t="s">
        <v>238</v>
      </c>
      <c r="F20" t="s">
        <v>238</v>
      </c>
      <c r="G20" t="s">
        <v>237</v>
      </c>
      <c r="H20" t="s">
        <v>173</v>
      </c>
      <c r="I20" t="s">
        <v>238</v>
      </c>
      <c r="J20" t="s">
        <v>238</v>
      </c>
      <c r="K20" t="s">
        <v>238</v>
      </c>
      <c r="L20">
        <v>1.4975107908248899</v>
      </c>
      <c r="M20">
        <v>1.1799999475479099</v>
      </c>
      <c r="N20">
        <v>1.38246369361877</v>
      </c>
      <c r="O20">
        <v>1.51028192043304</v>
      </c>
      <c r="P20">
        <v>1.5599999427795399</v>
      </c>
      <c r="Q20">
        <v>1.60651648044586</v>
      </c>
      <c r="R20">
        <v>1.4644458293914799</v>
      </c>
      <c r="S20">
        <v>1.37999999523163</v>
      </c>
      <c r="T20">
        <v>1.4904687404632599</v>
      </c>
      <c r="U20">
        <v>1.5599999427795399</v>
      </c>
      <c r="V20">
        <v>1.45000004768372</v>
      </c>
      <c r="W20">
        <v>1.4975107908248899</v>
      </c>
      <c r="X20">
        <v>1.7400000095367401</v>
      </c>
      <c r="Y20">
        <v>1.4000432491302499</v>
      </c>
      <c r="Z20">
        <v>1.82858443260193</v>
      </c>
      <c r="AA20">
        <v>1.38246369361877</v>
      </c>
      <c r="AB20">
        <v>1.8400000333786</v>
      </c>
      <c r="AC20">
        <v>1.4975107908248899</v>
      </c>
      <c r="AD20">
        <v>2.0627906322479301</v>
      </c>
      <c r="AE20">
        <v>1.71000003814697</v>
      </c>
      <c r="AF20">
        <v>1.38246369361877</v>
      </c>
      <c r="AG20">
        <v>1.9999866485595701</v>
      </c>
      <c r="AH20">
        <v>1.51028192043304</v>
      </c>
      <c r="AI20">
        <v>1.43300044536591</v>
      </c>
      <c r="AJ20">
        <v>1.4975107908248899</v>
      </c>
      <c r="AK20">
        <v>1.5599999427795399</v>
      </c>
      <c r="AL20">
        <v>1.51028192043304</v>
      </c>
      <c r="AM20">
        <v>1.33000004291534</v>
      </c>
      <c r="AN20">
        <v>1.70000004768371</v>
      </c>
      <c r="AO20">
        <v>1.9665447473526001</v>
      </c>
      <c r="AP20">
        <v>1.4975107908248899</v>
      </c>
      <c r="AQ20">
        <v>1.9828243255615201</v>
      </c>
      <c r="AR20">
        <v>1.38246369361877</v>
      </c>
      <c r="AS20">
        <v>1.45347416400909</v>
      </c>
      <c r="AT20">
        <v>1.63986444473267</v>
      </c>
      <c r="AU20">
        <v>1.95000004768372</v>
      </c>
      <c r="AV20">
        <v>1.5599999427795399</v>
      </c>
      <c r="AW20" t="s">
        <v>238</v>
      </c>
    </row>
    <row r="21" spans="1:49" ht="12.75">
      <c r="A21" t="s">
        <v>240</v>
      </c>
      <c r="B21" t="s">
        <v>28</v>
      </c>
      <c r="C21" t="s">
        <v>79</v>
      </c>
      <c r="D21" t="s">
        <v>96</v>
      </c>
      <c r="E21" t="s">
        <v>238</v>
      </c>
      <c r="F21" t="s">
        <v>238</v>
      </c>
      <c r="G21" t="s">
        <v>237</v>
      </c>
      <c r="H21" t="s">
        <v>173</v>
      </c>
      <c r="I21" t="s">
        <v>238</v>
      </c>
      <c r="J21" t="s">
        <v>238</v>
      </c>
      <c r="K21" t="s">
        <v>238</v>
      </c>
      <c r="L21">
        <v>1.4975107908248899</v>
      </c>
      <c r="M21">
        <v>1.1799999475479099</v>
      </c>
      <c r="N21">
        <v>1.38246369361877</v>
      </c>
      <c r="O21">
        <v>1.51028192043304</v>
      </c>
      <c r="P21">
        <v>1.5599999427795399</v>
      </c>
      <c r="Q21">
        <v>1.60651648044586</v>
      </c>
      <c r="R21">
        <v>1.4644458293914799</v>
      </c>
      <c r="S21">
        <v>1.37999999523163</v>
      </c>
      <c r="T21">
        <v>1.4904687404632599</v>
      </c>
      <c r="U21">
        <v>1.5599999427795399</v>
      </c>
      <c r="V21">
        <v>1.45000004768372</v>
      </c>
      <c r="W21">
        <v>1.4975107908248899</v>
      </c>
      <c r="X21">
        <v>1.7400000095367401</v>
      </c>
      <c r="Y21">
        <v>1.4000432491302499</v>
      </c>
      <c r="Z21">
        <v>1.82858443260193</v>
      </c>
      <c r="AA21">
        <v>1.38246369361877</v>
      </c>
      <c r="AB21">
        <v>1.8400000333786</v>
      </c>
      <c r="AC21">
        <v>1.4975107908248899</v>
      </c>
      <c r="AD21">
        <v>2.0627906322479301</v>
      </c>
      <c r="AE21">
        <v>1.71000003814697</v>
      </c>
      <c r="AF21">
        <v>1.38246369361877</v>
      </c>
      <c r="AG21">
        <v>1.9999866485595701</v>
      </c>
      <c r="AH21">
        <v>1.51028192043304</v>
      </c>
      <c r="AI21">
        <v>1.43300044536591</v>
      </c>
      <c r="AJ21">
        <v>1.4975107908248899</v>
      </c>
      <c r="AK21">
        <v>1.5599999427795399</v>
      </c>
      <c r="AL21">
        <v>1.51028192043304</v>
      </c>
      <c r="AM21">
        <v>1.33000004291534</v>
      </c>
      <c r="AN21">
        <v>1.70000004768371</v>
      </c>
      <c r="AO21">
        <v>1.9665447473526001</v>
      </c>
      <c r="AP21">
        <v>1.4975107908248899</v>
      </c>
      <c r="AQ21">
        <v>1.9828243255615201</v>
      </c>
      <c r="AR21">
        <v>1.38246369361877</v>
      </c>
      <c r="AS21">
        <v>1.45347416400909</v>
      </c>
      <c r="AT21">
        <v>1.63986444473267</v>
      </c>
      <c r="AU21">
        <v>1.95000004768372</v>
      </c>
      <c r="AV21">
        <v>1.5599999427795399</v>
      </c>
      <c r="AW21" t="s">
        <v>238</v>
      </c>
    </row>
    <row r="22" spans="1:49" ht="12.75">
      <c r="A22" t="s">
        <v>240</v>
      </c>
      <c r="B22" t="s">
        <v>28</v>
      </c>
      <c r="C22" t="s">
        <v>80</v>
      </c>
      <c r="D22" t="s">
        <v>96</v>
      </c>
      <c r="E22" t="s">
        <v>238</v>
      </c>
      <c r="F22" t="s">
        <v>238</v>
      </c>
      <c r="G22" t="s">
        <v>237</v>
      </c>
      <c r="H22" t="s">
        <v>173</v>
      </c>
      <c r="I22" t="s">
        <v>238</v>
      </c>
      <c r="J22" t="s">
        <v>238</v>
      </c>
      <c r="K22" t="s">
        <v>238</v>
      </c>
      <c r="L22">
        <v>1.4975107908248899</v>
      </c>
      <c r="M22">
        <v>1.1799999475479099</v>
      </c>
      <c r="N22">
        <v>1.38246369361877</v>
      </c>
      <c r="O22">
        <v>1.51028192043304</v>
      </c>
      <c r="P22">
        <v>1.5599999427795399</v>
      </c>
      <c r="Q22">
        <v>1.60651648044586</v>
      </c>
      <c r="R22">
        <v>1.4644458293914799</v>
      </c>
      <c r="S22">
        <v>1.37999999523163</v>
      </c>
      <c r="T22">
        <v>1.4904687404632599</v>
      </c>
      <c r="U22">
        <v>1.5599999427795399</v>
      </c>
      <c r="V22">
        <v>1.45000004768372</v>
      </c>
      <c r="W22">
        <v>1.4975107908248899</v>
      </c>
      <c r="X22">
        <v>1.7400000095367401</v>
      </c>
      <c r="Y22">
        <v>1.4000432491302499</v>
      </c>
      <c r="Z22">
        <v>1.82858443260193</v>
      </c>
      <c r="AA22">
        <v>1.38246369361877</v>
      </c>
      <c r="AB22">
        <v>1.8400000333786</v>
      </c>
      <c r="AC22">
        <v>1.4975107908248899</v>
      </c>
      <c r="AD22">
        <v>2.0627906322479301</v>
      </c>
      <c r="AE22">
        <v>1.71000003814697</v>
      </c>
      <c r="AF22">
        <v>1.38246369361877</v>
      </c>
      <c r="AG22">
        <v>1.9999866485595701</v>
      </c>
      <c r="AH22">
        <v>1.51028192043304</v>
      </c>
      <c r="AI22">
        <v>1.43300044536591</v>
      </c>
      <c r="AJ22">
        <v>1.4975107908248899</v>
      </c>
      <c r="AK22">
        <v>1.5599999427795399</v>
      </c>
      <c r="AL22">
        <v>1.51028192043304</v>
      </c>
      <c r="AM22">
        <v>1.33000004291534</v>
      </c>
      <c r="AN22">
        <v>1.70000004768371</v>
      </c>
      <c r="AO22">
        <v>1.9665447473526001</v>
      </c>
      <c r="AP22">
        <v>1.4975107908248899</v>
      </c>
      <c r="AQ22">
        <v>1.9828243255615201</v>
      </c>
      <c r="AR22">
        <v>1.38246369361877</v>
      </c>
      <c r="AS22">
        <v>1.45347416400909</v>
      </c>
      <c r="AT22">
        <v>1.63986444473267</v>
      </c>
      <c r="AU22">
        <v>1.95000004768372</v>
      </c>
      <c r="AV22">
        <v>1.5599999427795399</v>
      </c>
      <c r="AW22" t="s">
        <v>238</v>
      </c>
    </row>
    <row r="23" spans="1:49" ht="12.75">
      <c r="A23" t="s">
        <v>240</v>
      </c>
      <c r="B23" t="s">
        <v>28</v>
      </c>
      <c r="C23" t="s">
        <v>81</v>
      </c>
      <c r="D23" t="s">
        <v>96</v>
      </c>
      <c r="E23" t="s">
        <v>238</v>
      </c>
      <c r="F23" t="s">
        <v>238</v>
      </c>
      <c r="G23" t="s">
        <v>237</v>
      </c>
      <c r="H23" t="s">
        <v>173</v>
      </c>
      <c r="I23" t="s">
        <v>238</v>
      </c>
      <c r="J23" t="s">
        <v>238</v>
      </c>
      <c r="K23" t="s">
        <v>238</v>
      </c>
      <c r="L23">
        <v>1.4975107908248899</v>
      </c>
      <c r="M23">
        <v>1.1799999475479099</v>
      </c>
      <c r="N23">
        <v>1.38246369361877</v>
      </c>
      <c r="O23">
        <v>1.51028192043304</v>
      </c>
      <c r="P23">
        <v>1.5599999427795399</v>
      </c>
      <c r="Q23">
        <v>1.60651648044586</v>
      </c>
      <c r="R23">
        <v>1.4644458293914799</v>
      </c>
      <c r="S23">
        <v>1.37999999523163</v>
      </c>
      <c r="T23">
        <v>1.4904687404632599</v>
      </c>
      <c r="U23">
        <v>1.5599999427795399</v>
      </c>
      <c r="V23">
        <v>1.45000004768372</v>
      </c>
      <c r="W23">
        <v>1.4975107908248899</v>
      </c>
      <c r="X23">
        <v>1.7400000095367401</v>
      </c>
      <c r="Y23">
        <v>1.4000432491302499</v>
      </c>
      <c r="Z23">
        <v>1.82858443260193</v>
      </c>
      <c r="AA23">
        <v>1.38246369361877</v>
      </c>
      <c r="AB23">
        <v>1.8400000333786</v>
      </c>
      <c r="AC23">
        <v>1.4975107908248899</v>
      </c>
      <c r="AD23">
        <v>2.0627906322479301</v>
      </c>
      <c r="AE23">
        <v>1.71000003814697</v>
      </c>
      <c r="AF23">
        <v>1.38246369361877</v>
      </c>
      <c r="AG23">
        <v>1.9999866485595701</v>
      </c>
      <c r="AH23">
        <v>1.51028192043304</v>
      </c>
      <c r="AI23">
        <v>1.43300044536591</v>
      </c>
      <c r="AJ23">
        <v>1.4975107908248899</v>
      </c>
      <c r="AK23">
        <v>1.5599999427795399</v>
      </c>
      <c r="AL23">
        <v>1.51028192043304</v>
      </c>
      <c r="AM23">
        <v>1.33000004291534</v>
      </c>
      <c r="AN23">
        <v>1.70000004768371</v>
      </c>
      <c r="AO23">
        <v>1.9665447473526001</v>
      </c>
      <c r="AP23">
        <v>1.4975107908248899</v>
      </c>
      <c r="AQ23">
        <v>1.9828243255615201</v>
      </c>
      <c r="AR23">
        <v>1.38246369361877</v>
      </c>
      <c r="AS23">
        <v>1.45347416400909</v>
      </c>
      <c r="AT23">
        <v>1.63986444473267</v>
      </c>
      <c r="AU23">
        <v>1.95000004768372</v>
      </c>
      <c r="AV23">
        <v>1.5599999427795399</v>
      </c>
      <c r="AW23" t="s">
        <v>238</v>
      </c>
    </row>
    <row r="24" spans="1:49" ht="12.75">
      <c r="A24" t="s">
        <v>240</v>
      </c>
      <c r="B24" t="s">
        <v>28</v>
      </c>
      <c r="C24" t="s">
        <v>82</v>
      </c>
      <c r="D24" t="s">
        <v>96</v>
      </c>
      <c r="E24" t="s">
        <v>238</v>
      </c>
      <c r="F24" t="s">
        <v>238</v>
      </c>
      <c r="G24" t="s">
        <v>237</v>
      </c>
      <c r="H24" t="s">
        <v>173</v>
      </c>
      <c r="I24" t="s">
        <v>238</v>
      </c>
      <c r="J24" t="s">
        <v>238</v>
      </c>
      <c r="K24" t="s">
        <v>238</v>
      </c>
      <c r="L24">
        <v>1.4975107908248899</v>
      </c>
      <c r="M24">
        <v>1.1799999475479099</v>
      </c>
      <c r="N24">
        <v>1.38246369361877</v>
      </c>
      <c r="O24">
        <v>1.51028192043304</v>
      </c>
      <c r="P24">
        <v>1.5599999427795399</v>
      </c>
      <c r="Q24">
        <v>1.60651648044586</v>
      </c>
      <c r="R24">
        <v>1.4644458293914799</v>
      </c>
      <c r="S24">
        <v>1.37999999523163</v>
      </c>
      <c r="T24">
        <v>1.4904687404632599</v>
      </c>
      <c r="U24">
        <v>1.5599999427795399</v>
      </c>
      <c r="V24">
        <v>1.45000004768372</v>
      </c>
      <c r="W24">
        <v>1.4975107908248899</v>
      </c>
      <c r="X24">
        <v>1.7400000095367401</v>
      </c>
      <c r="Y24">
        <v>1.4000432491302499</v>
      </c>
      <c r="Z24">
        <v>1.82858443260193</v>
      </c>
      <c r="AA24">
        <v>1.38246369361877</v>
      </c>
      <c r="AB24">
        <v>1.8400000333786</v>
      </c>
      <c r="AC24">
        <v>1.4975107908248899</v>
      </c>
      <c r="AD24">
        <v>2.0627906322479301</v>
      </c>
      <c r="AE24">
        <v>1.71000003814697</v>
      </c>
      <c r="AF24">
        <v>1.38246369361877</v>
      </c>
      <c r="AG24">
        <v>1.9999866485595701</v>
      </c>
      <c r="AH24">
        <v>1.51028192043304</v>
      </c>
      <c r="AI24">
        <v>1.43300044536591</v>
      </c>
      <c r="AJ24">
        <v>1.4975107908248899</v>
      </c>
      <c r="AK24">
        <v>1.5599999427795399</v>
      </c>
      <c r="AL24">
        <v>1.51028192043304</v>
      </c>
      <c r="AM24">
        <v>1.33000004291534</v>
      </c>
      <c r="AN24">
        <v>1.70000004768371</v>
      </c>
      <c r="AO24">
        <v>1.9665447473526001</v>
      </c>
      <c r="AP24">
        <v>1.4975107908248899</v>
      </c>
      <c r="AQ24">
        <v>1.9828243255615201</v>
      </c>
      <c r="AR24">
        <v>1.38246369361877</v>
      </c>
      <c r="AS24">
        <v>1.45347416400909</v>
      </c>
      <c r="AT24">
        <v>1.63986444473267</v>
      </c>
      <c r="AU24">
        <v>1.95000004768372</v>
      </c>
      <c r="AV24">
        <v>1.5599999427795399</v>
      </c>
      <c r="AW24" t="s">
        <v>238</v>
      </c>
    </row>
    <row r="25" spans="1:49" ht="12.75">
      <c r="A25" t="s">
        <v>240</v>
      </c>
      <c r="B25" t="s">
        <v>28</v>
      </c>
      <c r="C25" t="s">
        <v>83</v>
      </c>
      <c r="D25" t="s">
        <v>96</v>
      </c>
      <c r="E25" t="s">
        <v>238</v>
      </c>
      <c r="F25" t="s">
        <v>238</v>
      </c>
      <c r="G25" t="s">
        <v>237</v>
      </c>
      <c r="H25" t="s">
        <v>173</v>
      </c>
      <c r="I25" t="s">
        <v>238</v>
      </c>
      <c r="J25" t="s">
        <v>238</v>
      </c>
      <c r="K25" t="s">
        <v>238</v>
      </c>
      <c r="L25">
        <v>1.4975107908248899</v>
      </c>
      <c r="M25">
        <v>1.1799999475479099</v>
      </c>
      <c r="N25">
        <v>1.38246369361877</v>
      </c>
      <c r="O25">
        <v>1.51028192043304</v>
      </c>
      <c r="P25">
        <v>1.5599999427795399</v>
      </c>
      <c r="Q25">
        <v>1.60651648044586</v>
      </c>
      <c r="R25">
        <v>1.4644458293914799</v>
      </c>
      <c r="S25">
        <v>1.37999999523163</v>
      </c>
      <c r="T25">
        <v>1.4904687404632599</v>
      </c>
      <c r="U25">
        <v>1.5599999427795399</v>
      </c>
      <c r="V25">
        <v>1.45000004768372</v>
      </c>
      <c r="W25">
        <v>1.4975107908248899</v>
      </c>
      <c r="X25">
        <v>1.7400000095367401</v>
      </c>
      <c r="Y25">
        <v>1.4000432491302499</v>
      </c>
      <c r="Z25">
        <v>1.82858443260193</v>
      </c>
      <c r="AA25">
        <v>1.38246369361877</v>
      </c>
      <c r="AB25">
        <v>1.8400000333786</v>
      </c>
      <c r="AC25">
        <v>1.4975107908248899</v>
      </c>
      <c r="AD25">
        <v>2.0627906322479301</v>
      </c>
      <c r="AE25">
        <v>1.71000003814697</v>
      </c>
      <c r="AF25">
        <v>1.38246369361877</v>
      </c>
      <c r="AG25">
        <v>1.9999866485595701</v>
      </c>
      <c r="AH25">
        <v>1.51028192043304</v>
      </c>
      <c r="AI25">
        <v>1.43300044536591</v>
      </c>
      <c r="AJ25">
        <v>1.4975107908248899</v>
      </c>
      <c r="AK25">
        <v>1.5599999427795399</v>
      </c>
      <c r="AL25">
        <v>1.51028192043304</v>
      </c>
      <c r="AM25">
        <v>1.33000004291534</v>
      </c>
      <c r="AN25">
        <v>1.70000004768371</v>
      </c>
      <c r="AO25">
        <v>1.9665447473526001</v>
      </c>
      <c r="AP25">
        <v>1.4975107908248899</v>
      </c>
      <c r="AQ25">
        <v>1.9828243255615201</v>
      </c>
      <c r="AR25">
        <v>1.38246369361877</v>
      </c>
      <c r="AS25">
        <v>1.45347416400909</v>
      </c>
      <c r="AT25">
        <v>1.63986444473267</v>
      </c>
      <c r="AU25">
        <v>1.95000004768372</v>
      </c>
      <c r="AV25">
        <v>1.5599999427795399</v>
      </c>
      <c r="AW25" t="s">
        <v>238</v>
      </c>
    </row>
    <row r="26" spans="1:49" ht="12.75">
      <c r="A26" t="s">
        <v>240</v>
      </c>
      <c r="B26" t="s">
        <v>28</v>
      </c>
      <c r="C26" t="s">
        <v>65</v>
      </c>
      <c r="D26" t="s">
        <v>96</v>
      </c>
      <c r="E26" t="s">
        <v>238</v>
      </c>
      <c r="F26" t="s">
        <v>238</v>
      </c>
      <c r="G26" t="s">
        <v>237</v>
      </c>
      <c r="H26" t="s">
        <v>173</v>
      </c>
      <c r="I26" t="s">
        <v>238</v>
      </c>
      <c r="J26" t="s">
        <v>238</v>
      </c>
      <c r="K26" t="s">
        <v>238</v>
      </c>
      <c r="L26">
        <v>1.4975107908248899</v>
      </c>
      <c r="M26">
        <v>1.1799999475479099</v>
      </c>
      <c r="N26">
        <v>1.38246369361877</v>
      </c>
      <c r="O26">
        <v>1.51028192043304</v>
      </c>
      <c r="P26">
        <v>1.5599999427795399</v>
      </c>
      <c r="Q26">
        <v>1.60651648044586</v>
      </c>
      <c r="R26">
        <v>1.4644458293914799</v>
      </c>
      <c r="S26">
        <v>1.37999999523163</v>
      </c>
      <c r="T26">
        <v>1.4904687404632599</v>
      </c>
      <c r="U26">
        <v>1.5599999427795399</v>
      </c>
      <c r="V26">
        <v>1.45000004768372</v>
      </c>
      <c r="W26">
        <v>1.4975107908248899</v>
      </c>
      <c r="X26">
        <v>1.7400000095367401</v>
      </c>
      <c r="Y26">
        <v>1.4000432491302499</v>
      </c>
      <c r="Z26">
        <v>1.82858443260193</v>
      </c>
      <c r="AA26">
        <v>1.38246369361877</v>
      </c>
      <c r="AB26">
        <v>1.8400000333786</v>
      </c>
      <c r="AC26">
        <v>1.4975107908248899</v>
      </c>
      <c r="AD26">
        <v>2.0627906322479301</v>
      </c>
      <c r="AE26">
        <v>1.71000003814697</v>
      </c>
      <c r="AF26">
        <v>1.38246369361877</v>
      </c>
      <c r="AG26">
        <v>1.9999866485595701</v>
      </c>
      <c r="AH26">
        <v>1.51028192043304</v>
      </c>
      <c r="AI26">
        <v>1.43300044536591</v>
      </c>
      <c r="AJ26">
        <v>1.4975107908248899</v>
      </c>
      <c r="AK26">
        <v>1.5599999427795399</v>
      </c>
      <c r="AL26">
        <v>1.51028192043304</v>
      </c>
      <c r="AM26">
        <v>1.33000004291534</v>
      </c>
      <c r="AN26">
        <v>1.70000004768371</v>
      </c>
      <c r="AO26">
        <v>1.9665447473526001</v>
      </c>
      <c r="AP26">
        <v>1.4975107908248899</v>
      </c>
      <c r="AQ26">
        <v>1.9828243255615201</v>
      </c>
      <c r="AR26">
        <v>1.38246369361877</v>
      </c>
      <c r="AS26">
        <v>1.45347416400909</v>
      </c>
      <c r="AT26">
        <v>1.63986444473267</v>
      </c>
      <c r="AU26">
        <v>1.95000004768372</v>
      </c>
      <c r="AV26">
        <v>1.5599999427795399</v>
      </c>
      <c r="AW26" t="s">
        <v>238</v>
      </c>
    </row>
    <row r="27" spans="1:49" ht="12.75">
      <c r="A27" t="s">
        <v>240</v>
      </c>
      <c r="B27" t="s">
        <v>28</v>
      </c>
      <c r="C27" t="s">
        <v>66</v>
      </c>
      <c r="D27" t="s">
        <v>96</v>
      </c>
      <c r="E27" t="s">
        <v>238</v>
      </c>
      <c r="F27" t="s">
        <v>238</v>
      </c>
      <c r="G27" t="s">
        <v>237</v>
      </c>
      <c r="H27" t="s">
        <v>173</v>
      </c>
      <c r="I27" t="s">
        <v>238</v>
      </c>
      <c r="J27" t="s">
        <v>238</v>
      </c>
      <c r="K27" t="s">
        <v>238</v>
      </c>
      <c r="L27">
        <v>1.4975107908248899</v>
      </c>
      <c r="M27">
        <v>1.1799999475479099</v>
      </c>
      <c r="N27">
        <v>1.38246369361877</v>
      </c>
      <c r="O27">
        <v>1.51028192043304</v>
      </c>
      <c r="P27">
        <v>1.5599999427795399</v>
      </c>
      <c r="Q27">
        <v>1.60651648044586</v>
      </c>
      <c r="R27">
        <v>1.4644458293914799</v>
      </c>
      <c r="S27">
        <v>1.37999999523163</v>
      </c>
      <c r="T27">
        <v>1.4904687404632599</v>
      </c>
      <c r="U27">
        <v>1.5599999427795399</v>
      </c>
      <c r="V27">
        <v>1.45000004768372</v>
      </c>
      <c r="W27">
        <v>1.4975107908248899</v>
      </c>
      <c r="X27">
        <v>1.7400000095367401</v>
      </c>
      <c r="Y27">
        <v>1.4000432491302499</v>
      </c>
      <c r="Z27">
        <v>1.82858443260193</v>
      </c>
      <c r="AA27">
        <v>1.38246369361877</v>
      </c>
      <c r="AB27">
        <v>1.8400000333786</v>
      </c>
      <c r="AC27">
        <v>1.4975107908248899</v>
      </c>
      <c r="AD27">
        <v>2.0627906322479301</v>
      </c>
      <c r="AE27">
        <v>1.71000003814697</v>
      </c>
      <c r="AF27">
        <v>1.38246369361877</v>
      </c>
      <c r="AG27">
        <v>1.9999866485595701</v>
      </c>
      <c r="AH27">
        <v>1.51028192043304</v>
      </c>
      <c r="AI27">
        <v>1.43300044536591</v>
      </c>
      <c r="AJ27">
        <v>1.4975107908248899</v>
      </c>
      <c r="AK27">
        <v>1.5599999427795399</v>
      </c>
      <c r="AL27">
        <v>1.51028192043304</v>
      </c>
      <c r="AM27">
        <v>1.33000004291534</v>
      </c>
      <c r="AN27">
        <v>1.70000004768371</v>
      </c>
      <c r="AO27">
        <v>1.9665447473526001</v>
      </c>
      <c r="AP27">
        <v>1.4975107908248899</v>
      </c>
      <c r="AQ27">
        <v>1.9828243255615201</v>
      </c>
      <c r="AR27">
        <v>1.38246369361877</v>
      </c>
      <c r="AS27">
        <v>1.45347416400909</v>
      </c>
      <c r="AT27">
        <v>1.63986444473267</v>
      </c>
      <c r="AU27">
        <v>1.95000004768372</v>
      </c>
      <c r="AV27">
        <v>1.5599999427795399</v>
      </c>
      <c r="AW27" t="s">
        <v>238</v>
      </c>
    </row>
    <row r="28" spans="1:49" ht="12.75">
      <c r="A28" t="s">
        <v>240</v>
      </c>
      <c r="B28" t="s">
        <v>28</v>
      </c>
      <c r="C28" t="s">
        <v>67</v>
      </c>
      <c r="D28" t="s">
        <v>96</v>
      </c>
      <c r="E28" t="s">
        <v>238</v>
      </c>
      <c r="F28" t="s">
        <v>238</v>
      </c>
      <c r="G28" t="s">
        <v>237</v>
      </c>
      <c r="H28" t="s">
        <v>173</v>
      </c>
      <c r="I28" t="s">
        <v>238</v>
      </c>
      <c r="J28" t="s">
        <v>238</v>
      </c>
      <c r="K28" t="s">
        <v>238</v>
      </c>
      <c r="L28">
        <v>1.4975107908248899</v>
      </c>
      <c r="M28">
        <v>1.1799999475479099</v>
      </c>
      <c r="N28">
        <v>1.38246369361877</v>
      </c>
      <c r="O28">
        <v>1.51028192043304</v>
      </c>
      <c r="P28">
        <v>1.5599999427795399</v>
      </c>
      <c r="Q28">
        <v>1.60651648044586</v>
      </c>
      <c r="R28">
        <v>1.4644458293914799</v>
      </c>
      <c r="S28">
        <v>1.37999999523163</v>
      </c>
      <c r="T28">
        <v>1.4904687404632599</v>
      </c>
      <c r="U28">
        <v>1.5599999427795399</v>
      </c>
      <c r="V28">
        <v>1.45000004768372</v>
      </c>
      <c r="W28">
        <v>1.4975107908248899</v>
      </c>
      <c r="X28">
        <v>1.7400000095367401</v>
      </c>
      <c r="Y28">
        <v>1.4000432491302499</v>
      </c>
      <c r="Z28">
        <v>1.82858443260193</v>
      </c>
      <c r="AA28">
        <v>1.38246369361877</v>
      </c>
      <c r="AB28">
        <v>1.8400000333786</v>
      </c>
      <c r="AC28">
        <v>1.4975107908248899</v>
      </c>
      <c r="AD28">
        <v>2.0627906322479301</v>
      </c>
      <c r="AE28">
        <v>1.71000003814697</v>
      </c>
      <c r="AF28">
        <v>1.38246369361877</v>
      </c>
      <c r="AG28">
        <v>1.9999866485595701</v>
      </c>
      <c r="AH28">
        <v>1.51028192043304</v>
      </c>
      <c r="AI28">
        <v>1.43300044536591</v>
      </c>
      <c r="AJ28">
        <v>1.4975107908248899</v>
      </c>
      <c r="AK28">
        <v>1.5599999427795399</v>
      </c>
      <c r="AL28">
        <v>1.51028192043304</v>
      </c>
      <c r="AM28">
        <v>1.33000004291534</v>
      </c>
      <c r="AN28">
        <v>1.70000004768371</v>
      </c>
      <c r="AO28">
        <v>1.9665447473526001</v>
      </c>
      <c r="AP28">
        <v>1.4975107908248899</v>
      </c>
      <c r="AQ28">
        <v>1.9828243255615201</v>
      </c>
      <c r="AR28">
        <v>1.38246369361877</v>
      </c>
      <c r="AS28">
        <v>1.45347416400909</v>
      </c>
      <c r="AT28">
        <v>1.63986444473267</v>
      </c>
      <c r="AU28">
        <v>1.95000004768372</v>
      </c>
      <c r="AV28">
        <v>1.5599999427795399</v>
      </c>
      <c r="AW28" t="s">
        <v>238</v>
      </c>
    </row>
    <row r="29" spans="1:49" ht="12.75">
      <c r="A29" t="s">
        <v>240</v>
      </c>
      <c r="B29" t="s">
        <v>28</v>
      </c>
      <c r="C29" t="s">
        <v>68</v>
      </c>
      <c r="D29" t="s">
        <v>96</v>
      </c>
      <c r="E29" t="s">
        <v>238</v>
      </c>
      <c r="F29" t="s">
        <v>238</v>
      </c>
      <c r="G29" t="s">
        <v>237</v>
      </c>
      <c r="H29" t="s">
        <v>173</v>
      </c>
      <c r="I29" t="s">
        <v>238</v>
      </c>
      <c r="J29" t="s">
        <v>238</v>
      </c>
      <c r="K29" t="s">
        <v>238</v>
      </c>
      <c r="L29">
        <v>1.4975107908248899</v>
      </c>
      <c r="M29">
        <v>1.1799999475479099</v>
      </c>
      <c r="N29">
        <v>1.38246369361877</v>
      </c>
      <c r="O29">
        <v>1.51028192043304</v>
      </c>
      <c r="P29">
        <v>1.5599999427795399</v>
      </c>
      <c r="Q29">
        <v>1.60651648044586</v>
      </c>
      <c r="R29">
        <v>1.4644458293914799</v>
      </c>
      <c r="S29">
        <v>1.37999999523163</v>
      </c>
      <c r="T29">
        <v>1.4904687404632599</v>
      </c>
      <c r="U29">
        <v>1.5599999427795399</v>
      </c>
      <c r="V29">
        <v>1.45000004768372</v>
      </c>
      <c r="W29">
        <v>1.4975107908248899</v>
      </c>
      <c r="X29">
        <v>1.7400000095367401</v>
      </c>
      <c r="Y29">
        <v>1.4000432491302499</v>
      </c>
      <c r="Z29">
        <v>1.82858443260193</v>
      </c>
      <c r="AA29">
        <v>1.38246369361877</v>
      </c>
      <c r="AB29">
        <v>1.8400000333786</v>
      </c>
      <c r="AC29">
        <v>1.4975107908248899</v>
      </c>
      <c r="AD29">
        <v>2.0627906322479301</v>
      </c>
      <c r="AE29">
        <v>1.71000003814697</v>
      </c>
      <c r="AF29">
        <v>1.38246369361877</v>
      </c>
      <c r="AG29">
        <v>1.9999866485595701</v>
      </c>
      <c r="AH29">
        <v>1.51028192043304</v>
      </c>
      <c r="AI29">
        <v>1.43300044536591</v>
      </c>
      <c r="AJ29">
        <v>1.4975107908248899</v>
      </c>
      <c r="AK29">
        <v>1.5599999427795399</v>
      </c>
      <c r="AL29">
        <v>1.51028192043304</v>
      </c>
      <c r="AM29">
        <v>1.33000004291534</v>
      </c>
      <c r="AN29">
        <v>1.70000004768371</v>
      </c>
      <c r="AO29">
        <v>1.9665447473526001</v>
      </c>
      <c r="AP29">
        <v>1.4975107908248899</v>
      </c>
      <c r="AQ29">
        <v>1.9828243255615201</v>
      </c>
      <c r="AR29">
        <v>1.38246369361877</v>
      </c>
      <c r="AS29">
        <v>1.45347416400909</v>
      </c>
      <c r="AT29">
        <v>1.63986444473267</v>
      </c>
      <c r="AU29">
        <v>1.95000004768372</v>
      </c>
      <c r="AV29">
        <v>1.5599999427795399</v>
      </c>
      <c r="AW29" t="s">
        <v>238</v>
      </c>
    </row>
    <row r="30" spans="1:49" ht="12.75">
      <c r="A30" t="s">
        <v>240</v>
      </c>
      <c r="B30" t="s">
        <v>28</v>
      </c>
      <c r="C30" t="s">
        <v>84</v>
      </c>
      <c r="D30" t="s">
        <v>96</v>
      </c>
      <c r="E30" t="s">
        <v>238</v>
      </c>
      <c r="F30" t="s">
        <v>238</v>
      </c>
      <c r="G30" t="s">
        <v>237</v>
      </c>
      <c r="H30" t="s">
        <v>173</v>
      </c>
      <c r="I30" t="s">
        <v>238</v>
      </c>
      <c r="J30" t="s">
        <v>238</v>
      </c>
      <c r="K30" t="s">
        <v>238</v>
      </c>
      <c r="L30">
        <v>1.4975107908248899</v>
      </c>
      <c r="M30">
        <v>1.1799999475479099</v>
      </c>
      <c r="N30">
        <v>1.38246369361877</v>
      </c>
      <c r="O30">
        <v>1.51028192043304</v>
      </c>
      <c r="P30">
        <v>1.5599999427795399</v>
      </c>
      <c r="Q30">
        <v>1.60651648044586</v>
      </c>
      <c r="R30">
        <v>1.4644458293914799</v>
      </c>
      <c r="S30">
        <v>1.37999999523163</v>
      </c>
      <c r="T30">
        <v>1.4904687404632599</v>
      </c>
      <c r="U30">
        <v>1.5599999427795399</v>
      </c>
      <c r="V30">
        <v>1.45000004768372</v>
      </c>
      <c r="W30">
        <v>1.4975107908248899</v>
      </c>
      <c r="X30">
        <v>1.7400000095367401</v>
      </c>
      <c r="Y30">
        <v>1.4000432491302499</v>
      </c>
      <c r="Z30">
        <v>1.82858443260193</v>
      </c>
      <c r="AA30">
        <v>1.38246369361877</v>
      </c>
      <c r="AB30">
        <v>1.8400000333786</v>
      </c>
      <c r="AC30">
        <v>1.4975107908248899</v>
      </c>
      <c r="AD30">
        <v>2.0627906322479301</v>
      </c>
      <c r="AE30">
        <v>1.71000003814697</v>
      </c>
      <c r="AF30">
        <v>1.38246369361877</v>
      </c>
      <c r="AG30">
        <v>1.9999866485595701</v>
      </c>
      <c r="AH30">
        <v>1.51028192043304</v>
      </c>
      <c r="AI30">
        <v>1.43300044536591</v>
      </c>
      <c r="AJ30">
        <v>1.4975107908248899</v>
      </c>
      <c r="AK30">
        <v>1.5599999427795399</v>
      </c>
      <c r="AL30">
        <v>1.51028192043304</v>
      </c>
      <c r="AM30">
        <v>1.33000004291534</v>
      </c>
      <c r="AN30">
        <v>1.70000004768371</v>
      </c>
      <c r="AO30">
        <v>1.9665447473526001</v>
      </c>
      <c r="AP30">
        <v>1.4975107908248899</v>
      </c>
      <c r="AQ30">
        <v>1.9828243255615201</v>
      </c>
      <c r="AR30">
        <v>1.38246369361877</v>
      </c>
      <c r="AS30">
        <v>1.45347416400909</v>
      </c>
      <c r="AT30">
        <v>1.63986444473267</v>
      </c>
      <c r="AU30">
        <v>1.95000004768372</v>
      </c>
      <c r="AV30">
        <v>1.5599999427795399</v>
      </c>
      <c r="AW30" t="s">
        <v>238</v>
      </c>
    </row>
    <row r="31" spans="1:49" ht="12.75">
      <c r="A31" t="s">
        <v>240</v>
      </c>
      <c r="B31" t="s">
        <v>28</v>
      </c>
      <c r="C31" t="s">
        <v>85</v>
      </c>
      <c r="D31" t="s">
        <v>96</v>
      </c>
      <c r="E31" t="s">
        <v>238</v>
      </c>
      <c r="F31" t="s">
        <v>238</v>
      </c>
      <c r="G31" t="s">
        <v>237</v>
      </c>
      <c r="H31" t="s">
        <v>173</v>
      </c>
      <c r="I31" t="s">
        <v>238</v>
      </c>
      <c r="J31" t="s">
        <v>238</v>
      </c>
      <c r="K31" t="s">
        <v>238</v>
      </c>
      <c r="L31">
        <v>1.4975107908248899</v>
      </c>
      <c r="M31">
        <v>1.1799999475479099</v>
      </c>
      <c r="N31">
        <v>1.38246369361877</v>
      </c>
      <c r="O31">
        <v>1.51028192043304</v>
      </c>
      <c r="P31">
        <v>1.5599999427795399</v>
      </c>
      <c r="Q31">
        <v>1.60651648044586</v>
      </c>
      <c r="R31">
        <v>1.4644458293914799</v>
      </c>
      <c r="S31">
        <v>1.37999999523163</v>
      </c>
      <c r="T31">
        <v>1.4904687404632599</v>
      </c>
      <c r="U31">
        <v>1.5599999427795399</v>
      </c>
      <c r="V31">
        <v>1.45000004768372</v>
      </c>
      <c r="W31">
        <v>1.4975107908248899</v>
      </c>
      <c r="X31">
        <v>1.7400000095367401</v>
      </c>
      <c r="Y31">
        <v>1.4000432491302499</v>
      </c>
      <c r="Z31">
        <v>1.82858443260193</v>
      </c>
      <c r="AA31">
        <v>1.38246369361877</v>
      </c>
      <c r="AB31">
        <v>1.8400000333786</v>
      </c>
      <c r="AC31">
        <v>1.4975107908248899</v>
      </c>
      <c r="AD31">
        <v>2.0627906322479301</v>
      </c>
      <c r="AE31">
        <v>1.71000003814697</v>
      </c>
      <c r="AF31">
        <v>1.38246369361877</v>
      </c>
      <c r="AG31">
        <v>1.9999866485595701</v>
      </c>
      <c r="AH31">
        <v>1.51028192043304</v>
      </c>
      <c r="AI31">
        <v>1.43300044536591</v>
      </c>
      <c r="AJ31">
        <v>1.4975107908248899</v>
      </c>
      <c r="AK31">
        <v>1.5599999427795399</v>
      </c>
      <c r="AL31">
        <v>1.51028192043304</v>
      </c>
      <c r="AM31">
        <v>1.33000004291534</v>
      </c>
      <c r="AN31">
        <v>1.70000004768371</v>
      </c>
      <c r="AO31">
        <v>1.9665447473526001</v>
      </c>
      <c r="AP31">
        <v>1.4975107908248899</v>
      </c>
      <c r="AQ31">
        <v>1.9828243255615201</v>
      </c>
      <c r="AR31">
        <v>1.38246369361877</v>
      </c>
      <c r="AS31">
        <v>1.45347416400909</v>
      </c>
      <c r="AT31">
        <v>1.63986444473267</v>
      </c>
      <c r="AU31">
        <v>1.95000004768372</v>
      </c>
      <c r="AV31">
        <v>1.5599999427795399</v>
      </c>
      <c r="AW31" t="s">
        <v>238</v>
      </c>
    </row>
    <row r="32" spans="1:49" ht="12.75">
      <c r="A32" t="s">
        <v>240</v>
      </c>
      <c r="B32" t="s">
        <v>28</v>
      </c>
      <c r="C32" t="s">
        <v>86</v>
      </c>
      <c r="D32" t="s">
        <v>96</v>
      </c>
      <c r="E32" t="s">
        <v>238</v>
      </c>
      <c r="F32" t="s">
        <v>238</v>
      </c>
      <c r="G32" t="s">
        <v>237</v>
      </c>
      <c r="H32" t="s">
        <v>173</v>
      </c>
      <c r="I32" t="s">
        <v>238</v>
      </c>
      <c r="J32" t="s">
        <v>238</v>
      </c>
      <c r="K32" t="s">
        <v>238</v>
      </c>
      <c r="L32">
        <v>1.4975107908248899</v>
      </c>
      <c r="M32">
        <v>1.1799999475479099</v>
      </c>
      <c r="N32">
        <v>1.38246369361877</v>
      </c>
      <c r="O32">
        <v>1.51028192043304</v>
      </c>
      <c r="P32">
        <v>1.5599999427795399</v>
      </c>
      <c r="Q32">
        <v>1.60651648044586</v>
      </c>
      <c r="R32">
        <v>1.4644458293914799</v>
      </c>
      <c r="S32">
        <v>1.37999999523163</v>
      </c>
      <c r="T32">
        <v>1.4904687404632599</v>
      </c>
      <c r="U32">
        <v>1.5599999427795399</v>
      </c>
      <c r="V32">
        <v>1.45000004768372</v>
      </c>
      <c r="W32">
        <v>1.4975107908248899</v>
      </c>
      <c r="X32">
        <v>1.7400000095367401</v>
      </c>
      <c r="Y32">
        <v>1.4000432491302499</v>
      </c>
      <c r="Z32">
        <v>1.82858443260193</v>
      </c>
      <c r="AA32">
        <v>1.38246369361877</v>
      </c>
      <c r="AB32">
        <v>1.8400000333786</v>
      </c>
      <c r="AC32">
        <v>1.4975107908248899</v>
      </c>
      <c r="AD32">
        <v>2.0627906322479301</v>
      </c>
      <c r="AE32">
        <v>1.71000003814697</v>
      </c>
      <c r="AF32">
        <v>1.38246369361877</v>
      </c>
      <c r="AG32">
        <v>1.9999866485595701</v>
      </c>
      <c r="AH32">
        <v>1.51028192043304</v>
      </c>
      <c r="AI32">
        <v>1.43300044536591</v>
      </c>
      <c r="AJ32">
        <v>1.4975107908248899</v>
      </c>
      <c r="AK32">
        <v>1.5599999427795399</v>
      </c>
      <c r="AL32">
        <v>1.51028192043304</v>
      </c>
      <c r="AM32">
        <v>1.33000004291534</v>
      </c>
      <c r="AN32">
        <v>1.70000004768371</v>
      </c>
      <c r="AO32">
        <v>1.9665447473526001</v>
      </c>
      <c r="AP32">
        <v>1.4975107908248899</v>
      </c>
      <c r="AQ32">
        <v>1.9828243255615201</v>
      </c>
      <c r="AR32">
        <v>1.38246369361877</v>
      </c>
      <c r="AS32">
        <v>1.45347416400909</v>
      </c>
      <c r="AT32">
        <v>1.63986444473267</v>
      </c>
      <c r="AU32">
        <v>1.95000004768372</v>
      </c>
      <c r="AV32">
        <v>1.5599999427795399</v>
      </c>
      <c r="AW32" t="s">
        <v>238</v>
      </c>
    </row>
    <row r="33" spans="1:49" ht="12.75">
      <c r="A33" t="s">
        <v>240</v>
      </c>
      <c r="B33" t="s">
        <v>28</v>
      </c>
      <c r="C33" t="s">
        <v>87</v>
      </c>
      <c r="D33" t="s">
        <v>96</v>
      </c>
      <c r="E33" t="s">
        <v>238</v>
      </c>
      <c r="F33" t="s">
        <v>238</v>
      </c>
      <c r="G33" t="s">
        <v>237</v>
      </c>
      <c r="H33" t="s">
        <v>173</v>
      </c>
      <c r="I33" t="s">
        <v>238</v>
      </c>
      <c r="J33" t="s">
        <v>238</v>
      </c>
      <c r="K33" t="s">
        <v>238</v>
      </c>
      <c r="L33">
        <v>1.4975107908248899</v>
      </c>
      <c r="M33">
        <v>1.1799999475479099</v>
      </c>
      <c r="N33">
        <v>1.38246369361877</v>
      </c>
      <c r="O33">
        <v>1.51028192043304</v>
      </c>
      <c r="P33">
        <v>1.5599999427795399</v>
      </c>
      <c r="Q33">
        <v>1.60651648044586</v>
      </c>
      <c r="R33">
        <v>1.4644458293914799</v>
      </c>
      <c r="S33">
        <v>1.37999999523163</v>
      </c>
      <c r="T33">
        <v>1.4904687404632599</v>
      </c>
      <c r="U33">
        <v>1.5599999427795399</v>
      </c>
      <c r="V33">
        <v>1.45000004768372</v>
      </c>
      <c r="W33">
        <v>1.4975107908248899</v>
      </c>
      <c r="X33">
        <v>1.7400000095367401</v>
      </c>
      <c r="Y33">
        <v>1.4000432491302499</v>
      </c>
      <c r="Z33">
        <v>1.82858443260193</v>
      </c>
      <c r="AA33">
        <v>1.38246369361877</v>
      </c>
      <c r="AB33">
        <v>1.8400000333786</v>
      </c>
      <c r="AC33">
        <v>1.4975107908248899</v>
      </c>
      <c r="AD33">
        <v>2.0627906322479301</v>
      </c>
      <c r="AE33">
        <v>1.71000003814697</v>
      </c>
      <c r="AF33">
        <v>1.38246369361877</v>
      </c>
      <c r="AG33">
        <v>1.9999866485595701</v>
      </c>
      <c r="AH33">
        <v>1.51028192043304</v>
      </c>
      <c r="AI33">
        <v>1.43300044536591</v>
      </c>
      <c r="AJ33">
        <v>1.4975107908248899</v>
      </c>
      <c r="AK33">
        <v>1.5599999427795399</v>
      </c>
      <c r="AL33">
        <v>1.51028192043304</v>
      </c>
      <c r="AM33">
        <v>1.33000004291534</v>
      </c>
      <c r="AN33">
        <v>1.70000004768371</v>
      </c>
      <c r="AO33">
        <v>1.9665447473526001</v>
      </c>
      <c r="AP33">
        <v>1.4975107908248899</v>
      </c>
      <c r="AQ33">
        <v>1.9828243255615201</v>
      </c>
      <c r="AR33">
        <v>1.38246369361877</v>
      </c>
      <c r="AS33">
        <v>1.45347416400909</v>
      </c>
      <c r="AT33">
        <v>1.63986444473267</v>
      </c>
      <c r="AU33">
        <v>1.95000004768372</v>
      </c>
      <c r="AV33">
        <v>1.5599999427795399</v>
      </c>
      <c r="AW33" t="s">
        <v>238</v>
      </c>
    </row>
    <row r="34" spans="1:49" ht="12.75">
      <c r="A34" t="s">
        <v>240</v>
      </c>
      <c r="B34" t="s">
        <v>28</v>
      </c>
      <c r="C34" t="s">
        <v>52</v>
      </c>
      <c r="D34" t="s">
        <v>96</v>
      </c>
      <c r="E34" t="s">
        <v>238</v>
      </c>
      <c r="F34" t="s">
        <v>238</v>
      </c>
      <c r="G34" t="s">
        <v>237</v>
      </c>
      <c r="H34" t="s">
        <v>173</v>
      </c>
      <c r="I34" t="s">
        <v>238</v>
      </c>
      <c r="J34" t="s">
        <v>238</v>
      </c>
      <c r="K34" t="s">
        <v>238</v>
      </c>
      <c r="L34">
        <v>6.4732029836269103</v>
      </c>
      <c r="M34">
        <v>12.6966866442624</v>
      </c>
      <c r="N34">
        <v>10.1545306337892</v>
      </c>
      <c r="O34">
        <v>3.6177163587025101</v>
      </c>
      <c r="P34">
        <v>14.9022221025332</v>
      </c>
      <c r="Q34">
        <v>5.0234683731318199</v>
      </c>
      <c r="R34">
        <v>4.0249713514679204</v>
      </c>
      <c r="S34">
        <v>9.7457023667068992</v>
      </c>
      <c r="T34">
        <v>6.2939784162499803</v>
      </c>
      <c r="U34">
        <v>5.7247237084120997</v>
      </c>
      <c r="V34">
        <v>10.89725621128</v>
      </c>
      <c r="W34">
        <v>6.4732029836269103</v>
      </c>
      <c r="X34">
        <v>6.2476243227720296</v>
      </c>
      <c r="Y34">
        <v>16.5</v>
      </c>
      <c r="Z34">
        <v>8.2550465475250707</v>
      </c>
      <c r="AA34">
        <v>10.1545306337892</v>
      </c>
      <c r="AB34">
        <v>9.9489386039569503</v>
      </c>
      <c r="AC34">
        <v>11.993945793934399</v>
      </c>
      <c r="AD34">
        <v>7.0785647772785403</v>
      </c>
      <c r="AE34">
        <v>7.5022433654630802</v>
      </c>
      <c r="AF34">
        <v>10.1545306337892</v>
      </c>
      <c r="AG34">
        <v>13.305331947125</v>
      </c>
      <c r="AH34">
        <v>5.2429919003327798</v>
      </c>
      <c r="AI34">
        <v>10.4740889501004</v>
      </c>
      <c r="AJ34">
        <v>6.4732029836269103</v>
      </c>
      <c r="AK34">
        <v>12.0025614776756</v>
      </c>
      <c r="AL34">
        <v>1.2047109936611</v>
      </c>
      <c r="AM34">
        <v>11.1014949066107</v>
      </c>
      <c r="AN34">
        <v>12.591806582523301</v>
      </c>
      <c r="AO34">
        <v>11.666596909052201</v>
      </c>
      <c r="AP34">
        <v>13.5666403308729</v>
      </c>
      <c r="AQ34">
        <v>5.68297807152776</v>
      </c>
      <c r="AR34">
        <v>10.1545306337892</v>
      </c>
      <c r="AS34">
        <v>12.879972178480299</v>
      </c>
      <c r="AT34">
        <v>11.184902755915999</v>
      </c>
      <c r="AU34">
        <v>8.0361798881400901</v>
      </c>
      <c r="AV34">
        <v>6.2908244883060602</v>
      </c>
      <c r="AW34" t="s">
        <v>238</v>
      </c>
    </row>
    <row r="35" spans="1:49" ht="12.75">
      <c r="A35" t="s">
        <v>240</v>
      </c>
      <c r="B35" t="s">
        <v>28</v>
      </c>
      <c r="C35" t="s">
        <v>50</v>
      </c>
      <c r="D35" t="s">
        <v>96</v>
      </c>
      <c r="E35" t="s">
        <v>238</v>
      </c>
      <c r="F35" t="s">
        <v>238</v>
      </c>
      <c r="G35" t="s">
        <v>237</v>
      </c>
      <c r="H35" t="s">
        <v>173</v>
      </c>
      <c r="I35" t="s">
        <v>238</v>
      </c>
      <c r="J35" t="s">
        <v>238</v>
      </c>
      <c r="K35" t="s">
        <v>238</v>
      </c>
      <c r="L35">
        <v>1.52727527618408</v>
      </c>
      <c r="M35">
        <v>1.83644318275452</v>
      </c>
      <c r="N35">
        <v>2.7867569732666002</v>
      </c>
      <c r="O35">
        <v>1.83644318275452</v>
      </c>
      <c r="P35">
        <v>2.4181893920898401</v>
      </c>
      <c r="Q35">
        <v>1.83644318275452</v>
      </c>
      <c r="R35">
        <v>0.97858094215393099</v>
      </c>
      <c r="S35">
        <v>1.6805942726135299</v>
      </c>
      <c r="T35">
        <v>1.83644318275452</v>
      </c>
      <c r="U35">
        <v>0.71403723716735801</v>
      </c>
      <c r="V35">
        <v>2.0055233383178699</v>
      </c>
      <c r="W35">
        <v>1.52727527618408</v>
      </c>
      <c r="X35">
        <v>0.89578972816467295</v>
      </c>
      <c r="Y35">
        <v>1.6817709350585901</v>
      </c>
      <c r="Z35">
        <v>1.0801119709014899</v>
      </c>
      <c r="AA35">
        <v>2.7867569732666002</v>
      </c>
      <c r="AB35">
        <v>1.7156412696838399</v>
      </c>
      <c r="AC35">
        <v>4.5393498229980498</v>
      </c>
      <c r="AD35">
        <v>1.3488346099853501</v>
      </c>
      <c r="AE35">
        <v>1.3574516296386701</v>
      </c>
      <c r="AF35">
        <v>2.7867569732666002</v>
      </c>
      <c r="AG35">
        <v>3.3123500442504898</v>
      </c>
      <c r="AH35">
        <v>0.85835562705993695</v>
      </c>
      <c r="AI35">
        <v>1.9958584976196301</v>
      </c>
      <c r="AJ35">
        <v>1.52727527618408</v>
      </c>
      <c r="AK35">
        <v>1.9476603317260699</v>
      </c>
      <c r="AL35">
        <v>1.83644318275452</v>
      </c>
      <c r="AM35">
        <v>1.8240133094787601</v>
      </c>
      <c r="AN35">
        <v>2.8752834320068401</v>
      </c>
      <c r="AO35">
        <v>2.28312622070312</v>
      </c>
      <c r="AP35">
        <v>1.83644318275452</v>
      </c>
      <c r="AQ35">
        <v>1.27366680145264</v>
      </c>
      <c r="AR35">
        <v>2.7867569732666002</v>
      </c>
      <c r="AS35">
        <v>1.97689477920532</v>
      </c>
      <c r="AT35">
        <v>1.92983709335327</v>
      </c>
      <c r="AU35">
        <v>1.83644318275452</v>
      </c>
      <c r="AV35">
        <v>0.90412603378295897</v>
      </c>
      <c r="AW35" t="s">
        <v>238</v>
      </c>
    </row>
    <row r="36" spans="1:49" ht="12.75">
      <c r="A36" t="s">
        <v>240</v>
      </c>
      <c r="B36" t="s">
        <v>28</v>
      </c>
      <c r="C36" t="s">
        <v>71</v>
      </c>
      <c r="D36" t="s">
        <v>96</v>
      </c>
      <c r="E36" t="s">
        <v>238</v>
      </c>
      <c r="F36" t="s">
        <v>238</v>
      </c>
      <c r="G36" t="s">
        <v>237</v>
      </c>
      <c r="H36" t="s">
        <v>173</v>
      </c>
      <c r="I36" t="s">
        <v>238</v>
      </c>
      <c r="J36" t="s">
        <v>238</v>
      </c>
      <c r="K36" t="s">
        <v>238</v>
      </c>
      <c r="L36">
        <v>0.5</v>
      </c>
      <c r="M36">
        <v>0.5</v>
      </c>
      <c r="N36">
        <v>0.5</v>
      </c>
      <c r="O36">
        <v>0.5</v>
      </c>
      <c r="P36">
        <v>0.5</v>
      </c>
      <c r="Q36">
        <v>0.5</v>
      </c>
      <c r="R36">
        <v>0.5</v>
      </c>
      <c r="S36">
        <v>0.5</v>
      </c>
      <c r="T36">
        <v>0.5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0.5</v>
      </c>
      <c r="AI36">
        <v>0.5</v>
      </c>
      <c r="AJ36">
        <v>0.5</v>
      </c>
      <c r="AK36">
        <v>0.5</v>
      </c>
      <c r="AL36">
        <v>0.5</v>
      </c>
      <c r="AM36">
        <v>0.5</v>
      </c>
      <c r="AN36">
        <v>0.5</v>
      </c>
      <c r="AO36">
        <v>0.5</v>
      </c>
      <c r="AP36">
        <v>0.5</v>
      </c>
      <c r="AQ36">
        <v>0.5</v>
      </c>
      <c r="AR36">
        <v>0.5</v>
      </c>
      <c r="AS36">
        <v>0.5</v>
      </c>
      <c r="AT36">
        <v>0.5</v>
      </c>
      <c r="AU36">
        <v>0.5</v>
      </c>
      <c r="AV36">
        <v>0.5</v>
      </c>
      <c r="AW36" t="s">
        <v>238</v>
      </c>
    </row>
    <row r="37" spans="1:49" ht="12.75">
      <c r="A37" t="s">
        <v>240</v>
      </c>
      <c r="B37" t="s">
        <v>28</v>
      </c>
      <c r="C37" t="s">
        <v>205</v>
      </c>
      <c r="D37" t="s">
        <v>96</v>
      </c>
      <c r="E37" t="s">
        <v>238</v>
      </c>
      <c r="F37" t="s">
        <v>238</v>
      </c>
      <c r="G37" t="s">
        <v>237</v>
      </c>
      <c r="H37" t="s">
        <v>173</v>
      </c>
      <c r="I37" t="s">
        <v>238</v>
      </c>
      <c r="J37" t="s">
        <v>238</v>
      </c>
      <c r="K37" t="s">
        <v>238</v>
      </c>
      <c r="L37">
        <v>0.5</v>
      </c>
      <c r="M37">
        <v>0.5</v>
      </c>
      <c r="N37">
        <v>0.5</v>
      </c>
      <c r="O37">
        <v>0.5</v>
      </c>
      <c r="P37">
        <v>0.5</v>
      </c>
      <c r="Q37">
        <v>0.5</v>
      </c>
      <c r="R37">
        <v>0.5</v>
      </c>
      <c r="S37">
        <v>0.5</v>
      </c>
      <c r="T37">
        <v>0.5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0.5</v>
      </c>
      <c r="AJ37">
        <v>0.5</v>
      </c>
      <c r="AK37">
        <v>0.5</v>
      </c>
      <c r="AL37">
        <v>0.5</v>
      </c>
      <c r="AM37">
        <v>0.5</v>
      </c>
      <c r="AN37">
        <v>0.5</v>
      </c>
      <c r="AO37">
        <v>0.5</v>
      </c>
      <c r="AP37">
        <v>0.5</v>
      </c>
      <c r="AQ37">
        <v>0.5</v>
      </c>
      <c r="AR37">
        <v>0.5</v>
      </c>
      <c r="AS37">
        <v>0.5</v>
      </c>
      <c r="AT37">
        <v>0.5</v>
      </c>
      <c r="AU37">
        <v>0.5</v>
      </c>
      <c r="AV37">
        <v>0.5</v>
      </c>
      <c r="AW37" t="s">
        <v>238</v>
      </c>
    </row>
    <row r="38" spans="1:49" ht="12.75">
      <c r="A38" t="s">
        <v>240</v>
      </c>
      <c r="B38" t="s">
        <v>28</v>
      </c>
      <c r="C38" t="s">
        <v>208</v>
      </c>
      <c r="D38" t="s">
        <v>96</v>
      </c>
      <c r="E38" t="s">
        <v>238</v>
      </c>
      <c r="F38" t="s">
        <v>238</v>
      </c>
      <c r="G38" t="s">
        <v>237</v>
      </c>
      <c r="H38" t="s">
        <v>173</v>
      </c>
      <c r="I38" t="s">
        <v>238</v>
      </c>
      <c r="J38" t="s">
        <v>238</v>
      </c>
      <c r="K38" t="s">
        <v>238</v>
      </c>
      <c r="L38">
        <v>0.5</v>
      </c>
      <c r="M38">
        <v>0.5</v>
      </c>
      <c r="N38">
        <v>0.5</v>
      </c>
      <c r="O38">
        <v>0.5</v>
      </c>
      <c r="P38">
        <v>0.5</v>
      </c>
      <c r="Q38">
        <v>0.5</v>
      </c>
      <c r="R38">
        <v>0.5</v>
      </c>
      <c r="S38">
        <v>0.5</v>
      </c>
      <c r="T38">
        <v>0.5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0.5</v>
      </c>
      <c r="AI38">
        <v>0.5</v>
      </c>
      <c r="AJ38">
        <v>0.5</v>
      </c>
      <c r="AK38">
        <v>0.5</v>
      </c>
      <c r="AL38">
        <v>0.5</v>
      </c>
      <c r="AM38">
        <v>0.5</v>
      </c>
      <c r="AN38">
        <v>0.5</v>
      </c>
      <c r="AO38">
        <v>0.5</v>
      </c>
      <c r="AP38">
        <v>0.5</v>
      </c>
      <c r="AQ38">
        <v>0.5</v>
      </c>
      <c r="AR38">
        <v>0.5</v>
      </c>
      <c r="AS38">
        <v>0.5</v>
      </c>
      <c r="AT38">
        <v>0.5</v>
      </c>
      <c r="AU38">
        <v>0.5</v>
      </c>
      <c r="AV38">
        <v>0.5</v>
      </c>
      <c r="AW38" t="s">
        <v>238</v>
      </c>
    </row>
    <row r="39" spans="1:49" ht="12.75">
      <c r="A39" t="s">
        <v>240</v>
      </c>
      <c r="B39" t="s">
        <v>28</v>
      </c>
      <c r="C39" t="s">
        <v>207</v>
      </c>
      <c r="D39" t="s">
        <v>96</v>
      </c>
      <c r="E39" t="s">
        <v>238</v>
      </c>
      <c r="F39" t="s">
        <v>238</v>
      </c>
      <c r="G39" t="s">
        <v>237</v>
      </c>
      <c r="H39" t="s">
        <v>173</v>
      </c>
      <c r="I39" t="s">
        <v>238</v>
      </c>
      <c r="J39" t="s">
        <v>238</v>
      </c>
      <c r="K39" t="s">
        <v>238</v>
      </c>
      <c r="L39">
        <v>0.5</v>
      </c>
      <c r="M39">
        <v>0.5</v>
      </c>
      <c r="N39">
        <v>0.5</v>
      </c>
      <c r="O39">
        <v>0.5</v>
      </c>
      <c r="P39">
        <v>0.5</v>
      </c>
      <c r="Q39">
        <v>0.5</v>
      </c>
      <c r="R39">
        <v>0.5</v>
      </c>
      <c r="S39">
        <v>0.5</v>
      </c>
      <c r="T39">
        <v>0.5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0.5</v>
      </c>
      <c r="AJ39">
        <v>0.5</v>
      </c>
      <c r="AK39">
        <v>0.5</v>
      </c>
      <c r="AL39">
        <v>0.5</v>
      </c>
      <c r="AM39">
        <v>0.5</v>
      </c>
      <c r="AN39">
        <v>0.5</v>
      </c>
      <c r="AO39">
        <v>0.5</v>
      </c>
      <c r="AP39">
        <v>0.5</v>
      </c>
      <c r="AQ39">
        <v>0.5</v>
      </c>
      <c r="AR39">
        <v>0.5</v>
      </c>
      <c r="AS39">
        <v>0.5</v>
      </c>
      <c r="AT39">
        <v>0.5</v>
      </c>
      <c r="AU39">
        <v>0.5</v>
      </c>
      <c r="AV39">
        <v>0.5</v>
      </c>
      <c r="AW39" t="s">
        <v>238</v>
      </c>
    </row>
    <row r="40" spans="1:49" ht="12.75">
      <c r="A40" t="s">
        <v>240</v>
      </c>
      <c r="B40" t="s">
        <v>28</v>
      </c>
      <c r="C40" t="s">
        <v>206</v>
      </c>
      <c r="D40" t="s">
        <v>96</v>
      </c>
      <c r="E40" t="s">
        <v>238</v>
      </c>
      <c r="F40" t="s">
        <v>238</v>
      </c>
      <c r="G40" t="s">
        <v>237</v>
      </c>
      <c r="H40" t="s">
        <v>173</v>
      </c>
      <c r="I40" t="s">
        <v>238</v>
      </c>
      <c r="J40" t="s">
        <v>238</v>
      </c>
      <c r="K40" t="s">
        <v>238</v>
      </c>
      <c r="L40">
        <v>1.1000000238418599</v>
      </c>
      <c r="M40">
        <v>1.1005542278289799</v>
      </c>
      <c r="N40">
        <v>1.1000000238418599</v>
      </c>
      <c r="O40">
        <v>1.0559999942779501</v>
      </c>
      <c r="P40">
        <v>1.1000000238418599</v>
      </c>
      <c r="Q40">
        <v>1.07429051399231</v>
      </c>
      <c r="R40">
        <v>1.1000000238418599</v>
      </c>
      <c r="S40">
        <v>1.1000000238418599</v>
      </c>
      <c r="T40">
        <v>1.1000000238418599</v>
      </c>
      <c r="U40">
        <v>1.1000000238418599</v>
      </c>
      <c r="V40">
        <v>1.1053556820442001</v>
      </c>
      <c r="W40">
        <v>1.1000000238418599</v>
      </c>
      <c r="X40">
        <v>1.33683204650879</v>
      </c>
      <c r="Y40">
        <v>1</v>
      </c>
      <c r="Z40">
        <v>1.1000000238418599</v>
      </c>
      <c r="AA40">
        <v>1.1000000238418599</v>
      </c>
      <c r="AB40">
        <v>1.1000000238418599</v>
      </c>
      <c r="AC40">
        <v>1.1000000238418599</v>
      </c>
      <c r="AD40">
        <v>1.1053556820442001</v>
      </c>
      <c r="AE40">
        <v>1.1000000238418599</v>
      </c>
      <c r="AF40">
        <v>1.1000000238418599</v>
      </c>
      <c r="AG40">
        <v>1.19993352890015</v>
      </c>
      <c r="AH40">
        <v>1.1000000238418599</v>
      </c>
      <c r="AI40">
        <v>1.1000000238418599</v>
      </c>
      <c r="AJ40">
        <v>1.1000000238418599</v>
      </c>
      <c r="AK40">
        <v>1.1053556820442001</v>
      </c>
      <c r="AL40">
        <v>1.1000000238418599</v>
      </c>
      <c r="AM40">
        <v>1.1000000238418599</v>
      </c>
      <c r="AN40">
        <v>1.0825396776199301</v>
      </c>
      <c r="AO40">
        <v>1.1000000238418599</v>
      </c>
      <c r="AP40">
        <v>1.1000000238418599</v>
      </c>
      <c r="AQ40">
        <v>1.1000000238418599</v>
      </c>
      <c r="AR40">
        <v>1.1000000238418599</v>
      </c>
      <c r="AS40">
        <v>1.1005988121032699</v>
      </c>
      <c r="AT40">
        <v>1.1000000238418599</v>
      </c>
      <c r="AU40">
        <v>1.1000000238418599</v>
      </c>
      <c r="AV40">
        <v>1.10456550121307</v>
      </c>
      <c r="AW40" t="s">
        <v>238</v>
      </c>
    </row>
    <row r="41" spans="1:49" ht="12.75">
      <c r="A41" t="s">
        <v>240</v>
      </c>
      <c r="B41" t="s">
        <v>28</v>
      </c>
      <c r="C41" t="s">
        <v>204</v>
      </c>
      <c r="D41" t="s">
        <v>96</v>
      </c>
      <c r="E41" t="s">
        <v>238</v>
      </c>
      <c r="F41" t="s">
        <v>238</v>
      </c>
      <c r="G41" t="s">
        <v>237</v>
      </c>
      <c r="H41" t="s">
        <v>173</v>
      </c>
      <c r="I41" t="s">
        <v>238</v>
      </c>
      <c r="J41" t="s">
        <v>238</v>
      </c>
      <c r="K41" t="s">
        <v>238</v>
      </c>
      <c r="L41">
        <v>1.1000000238418599</v>
      </c>
      <c r="M41">
        <v>1.1005542278289799</v>
      </c>
      <c r="N41">
        <v>1.1000000238418599</v>
      </c>
      <c r="O41">
        <v>1.0559999942779501</v>
      </c>
      <c r="P41">
        <v>1.1000000238418599</v>
      </c>
      <c r="Q41">
        <v>1.07429051399231</v>
      </c>
      <c r="R41">
        <v>1.1000000238418599</v>
      </c>
      <c r="S41">
        <v>1.1000000238418599</v>
      </c>
      <c r="T41">
        <v>1.1000000238418599</v>
      </c>
      <c r="U41">
        <v>1.1000000238418599</v>
      </c>
      <c r="V41">
        <v>1.1053556820442001</v>
      </c>
      <c r="W41">
        <v>1.1000000238418599</v>
      </c>
      <c r="X41">
        <v>1.33683204650879</v>
      </c>
      <c r="Y41">
        <v>1</v>
      </c>
      <c r="Z41">
        <v>1.1000000238418599</v>
      </c>
      <c r="AA41">
        <v>1.1000000238418599</v>
      </c>
      <c r="AB41">
        <v>1.1000000238418599</v>
      </c>
      <c r="AC41">
        <v>1.1000000238418599</v>
      </c>
      <c r="AD41">
        <v>1.1053556820442001</v>
      </c>
      <c r="AE41">
        <v>1.1000000238418599</v>
      </c>
      <c r="AF41">
        <v>1.1000000238418599</v>
      </c>
      <c r="AG41">
        <v>1.19993352890015</v>
      </c>
      <c r="AH41">
        <v>1.1000000238418599</v>
      </c>
      <c r="AI41">
        <v>1.1000000238418599</v>
      </c>
      <c r="AJ41">
        <v>1.1000000238418599</v>
      </c>
      <c r="AK41">
        <v>1.1053556820442001</v>
      </c>
      <c r="AL41">
        <v>1.1000000238418599</v>
      </c>
      <c r="AM41">
        <v>1.1000000238418599</v>
      </c>
      <c r="AN41">
        <v>1.0825396776199301</v>
      </c>
      <c r="AO41">
        <v>1.1000000238418599</v>
      </c>
      <c r="AP41">
        <v>1.1000000238418599</v>
      </c>
      <c r="AQ41">
        <v>1.1000000238418599</v>
      </c>
      <c r="AR41">
        <v>1.1000000238418599</v>
      </c>
      <c r="AS41">
        <v>1.1005988121032699</v>
      </c>
      <c r="AT41">
        <v>1.1000000238418599</v>
      </c>
      <c r="AU41">
        <v>1.1000000238418599</v>
      </c>
      <c r="AV41">
        <v>1.10456550121307</v>
      </c>
      <c r="AW41" t="s">
        <v>238</v>
      </c>
    </row>
    <row r="42" spans="1:49" ht="12.75">
      <c r="A42" t="s">
        <v>240</v>
      </c>
      <c r="B42" t="s">
        <v>30</v>
      </c>
      <c r="C42" t="s">
        <v>239</v>
      </c>
      <c r="D42" t="s">
        <v>238</v>
      </c>
      <c r="E42" t="s">
        <v>203</v>
      </c>
      <c r="F42" t="s">
        <v>202</v>
      </c>
      <c r="G42" t="s">
        <v>237</v>
      </c>
      <c r="H42" t="s">
        <v>238</v>
      </c>
      <c r="I42" t="s">
        <v>238</v>
      </c>
      <c r="J42" t="s">
        <v>238</v>
      </c>
      <c r="K42" t="s">
        <v>238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>
        <v>16.318000000000001</v>
      </c>
      <c r="AT42"/>
      <c r="AU42"/>
      <c r="AV42"/>
      <c r="AW42" t="s">
        <v>238</v>
      </c>
    </row>
    <row r="43" spans="1:49" ht="12.75">
      <c r="A43" t="s">
        <v>240</v>
      </c>
      <c r="B43" t="s">
        <v>30</v>
      </c>
      <c r="C43" t="s">
        <v>236</v>
      </c>
      <c r="D43" t="s">
        <v>238</v>
      </c>
      <c r="E43" t="s">
        <v>203</v>
      </c>
      <c r="F43" t="s">
        <v>202</v>
      </c>
      <c r="G43" t="s">
        <v>237</v>
      </c>
      <c r="H43" t="s">
        <v>238</v>
      </c>
      <c r="I43" t="s">
        <v>238</v>
      </c>
      <c r="J43" t="s">
        <v>238</v>
      </c>
      <c r="K43" t="s">
        <v>238</v>
      </c>
      <c r="L43"/>
      <c r="M43"/>
      <c r="N43"/>
      <c r="O43"/>
      <c r="P43"/>
      <c r="Q43">
        <v>59.1877</v>
      </c>
      <c r="R43"/>
      <c r="S43"/>
      <c r="T43">
        <v>51.941800000000001</v>
      </c>
      <c r="U43"/>
      <c r="V43"/>
      <c r="W43"/>
      <c r="X43"/>
      <c r="Y43"/>
      <c r="Z43"/>
      <c r="AA43"/>
      <c r="AB43"/>
      <c r="AC43"/>
      <c r="AD43"/>
      <c r="AE43">
        <v>23.687000000000001</v>
      </c>
      <c r="AF43"/>
      <c r="AG43"/>
      <c r="AH43"/>
      <c r="AI43"/>
      <c r="AJ43"/>
      <c r="AK43"/>
      <c r="AL43"/>
      <c r="AM43">
        <v>29.007899999999999</v>
      </c>
      <c r="AN43"/>
      <c r="AO43"/>
      <c r="AP43"/>
      <c r="AQ43"/>
      <c r="AR43">
        <v>23.687000000000001</v>
      </c>
      <c r="AS43">
        <v>26.069299999999998</v>
      </c>
      <c r="AT43"/>
      <c r="AU43"/>
      <c r="AV43"/>
      <c r="AW43" t="s">
        <v>238</v>
      </c>
    </row>
    <row r="44" spans="1:49" ht="12.75">
      <c r="A44" t="s">
        <v>240</v>
      </c>
      <c r="B44" t="s">
        <v>30</v>
      </c>
      <c r="C44" t="s">
        <v>56</v>
      </c>
      <c r="D44" t="s">
        <v>238</v>
      </c>
      <c r="E44" t="s">
        <v>203</v>
      </c>
      <c r="F44" t="s">
        <v>202</v>
      </c>
      <c r="G44" t="s">
        <v>237</v>
      </c>
      <c r="H44" t="s">
        <v>238</v>
      </c>
      <c r="I44" t="s">
        <v>238</v>
      </c>
      <c r="J44" t="s">
        <v>238</v>
      </c>
      <c r="K44" t="s">
        <v>238</v>
      </c>
      <c r="L44">
        <v>90.563299999999998</v>
      </c>
      <c r="M44">
        <v>137.91999999999999</v>
      </c>
      <c r="N44">
        <v>82.638000000000005</v>
      </c>
      <c r="O44">
        <v>61.850499999999997</v>
      </c>
      <c r="P44">
        <v>27.199200000000001</v>
      </c>
      <c r="Q44">
        <v>55.678800000000003</v>
      </c>
      <c r="R44">
        <v>43.694899999999997</v>
      </c>
      <c r="S44">
        <v>50.453299999999999</v>
      </c>
      <c r="T44">
        <v>80.075500000000005</v>
      </c>
      <c r="U44">
        <v>37.301299999999998</v>
      </c>
      <c r="V44">
        <v>45.694899999999997</v>
      </c>
      <c r="W44">
        <v>90.563299999999998</v>
      </c>
      <c r="X44">
        <v>79.589699999999993</v>
      </c>
      <c r="Y44">
        <v>59.858400000000003</v>
      </c>
      <c r="Z44">
        <v>44.487099999999998</v>
      </c>
      <c r="AA44">
        <v>82.638000000000005</v>
      </c>
      <c r="AB44">
        <v>61.781700000000001</v>
      </c>
      <c r="AC44">
        <v>54.327599999999997</v>
      </c>
      <c r="AD44">
        <v>46.338999999999999</v>
      </c>
      <c r="AE44">
        <v>42.782899999999998</v>
      </c>
      <c r="AF44">
        <v>82.638000000000005</v>
      </c>
      <c r="AG44">
        <v>15.8658</v>
      </c>
      <c r="AH44">
        <v>192.143</v>
      </c>
      <c r="AI44">
        <v>89.929000000000002</v>
      </c>
      <c r="AJ44">
        <v>90.563299999999998</v>
      </c>
      <c r="AK44">
        <v>21.8232</v>
      </c>
      <c r="AL44">
        <v>30.152699999999999</v>
      </c>
      <c r="AM44">
        <v>65.260599999999997</v>
      </c>
      <c r="AN44">
        <v>63.827599999999997</v>
      </c>
      <c r="AO44">
        <v>33.9756</v>
      </c>
      <c r="AP44">
        <v>37.721600000000002</v>
      </c>
      <c r="AQ44">
        <v>28.950700000000001</v>
      </c>
      <c r="AR44">
        <v>82.638000000000005</v>
      </c>
      <c r="AS44">
        <v>110.72</v>
      </c>
      <c r="AT44">
        <v>115.751</v>
      </c>
      <c r="AU44">
        <v>67.526399999999995</v>
      </c>
      <c r="AV44">
        <v>65.053899999999999</v>
      </c>
      <c r="AW44" t="s">
        <v>238</v>
      </c>
    </row>
    <row r="45" spans="1:49" ht="12.75">
      <c r="A45" t="s">
        <v>240</v>
      </c>
      <c r="B45" t="s">
        <v>30</v>
      </c>
      <c r="C45" t="s">
        <v>55</v>
      </c>
      <c r="D45" t="s">
        <v>238</v>
      </c>
      <c r="E45" t="s">
        <v>203</v>
      </c>
      <c r="F45" t="s">
        <v>202</v>
      </c>
      <c r="G45" t="s">
        <v>237</v>
      </c>
      <c r="H45" t="s">
        <v>238</v>
      </c>
      <c r="I45" t="s">
        <v>238</v>
      </c>
      <c r="J45" t="s">
        <v>238</v>
      </c>
      <c r="K45" t="s">
        <v>238</v>
      </c>
      <c r="L45">
        <v>69.344200000000001</v>
      </c>
      <c r="M45">
        <v>103.075</v>
      </c>
      <c r="N45">
        <v>78.566500000000005</v>
      </c>
      <c r="O45">
        <v>68.863600000000005</v>
      </c>
      <c r="P45">
        <v>23.736799999999999</v>
      </c>
      <c r="Q45">
        <v>56.004600000000003</v>
      </c>
      <c r="R45">
        <v>36.5657</v>
      </c>
      <c r="S45">
        <v>40.363799999999998</v>
      </c>
      <c r="T45">
        <v>35.722799999999999</v>
      </c>
      <c r="U45">
        <v>99.782899999999998</v>
      </c>
      <c r="V45"/>
      <c r="W45">
        <v>69.344200000000001</v>
      </c>
      <c r="X45">
        <v>31.154800000000002</v>
      </c>
      <c r="Y45">
        <v>60.418599999999998</v>
      </c>
      <c r="Z45">
        <v>44.388800000000003</v>
      </c>
      <c r="AA45">
        <v>78.566500000000005</v>
      </c>
      <c r="AB45">
        <v>48.915199999999999</v>
      </c>
      <c r="AC45">
        <v>53.386299999999999</v>
      </c>
      <c r="AD45">
        <v>46.338999999999999</v>
      </c>
      <c r="AE45">
        <v>43.805700000000002</v>
      </c>
      <c r="AF45">
        <v>78.566500000000005</v>
      </c>
      <c r="AG45">
        <v>38.915300000000002</v>
      </c>
      <c r="AH45">
        <v>192.048</v>
      </c>
      <c r="AI45">
        <v>99.701899999999995</v>
      </c>
      <c r="AJ45">
        <v>69.344200000000001</v>
      </c>
      <c r="AK45">
        <v>22.366299999999999</v>
      </c>
      <c r="AL45">
        <v>10.2369</v>
      </c>
      <c r="AM45">
        <v>65.427599999999998</v>
      </c>
      <c r="AN45">
        <v>63.8277</v>
      </c>
      <c r="AO45">
        <v>33.184199999999997</v>
      </c>
      <c r="AP45">
        <v>31.991499999999998</v>
      </c>
      <c r="AQ45">
        <v>26.405999999999999</v>
      </c>
      <c r="AR45">
        <v>78.566500000000005</v>
      </c>
      <c r="AS45">
        <v>104.86799999999999</v>
      </c>
      <c r="AT45">
        <v>19.151299999999999</v>
      </c>
      <c r="AU45">
        <v>67.831000000000003</v>
      </c>
      <c r="AV45">
        <v>55.869999999999997</v>
      </c>
      <c r="AW45" t="s">
        <v>238</v>
      </c>
    </row>
    <row r="46" spans="1:49" ht="12.75">
      <c r="A46" t="s">
        <v>240</v>
      </c>
      <c r="B46" t="s">
        <v>30</v>
      </c>
      <c r="C46" t="s">
        <v>75</v>
      </c>
      <c r="D46" t="s">
        <v>238</v>
      </c>
      <c r="E46" t="s">
        <v>203</v>
      </c>
      <c r="F46" t="s">
        <v>202</v>
      </c>
      <c r="G46" t="s">
        <v>237</v>
      </c>
      <c r="H46" t="s">
        <v>238</v>
      </c>
      <c r="I46" t="s">
        <v>238</v>
      </c>
      <c r="J46" t="s">
        <v>238</v>
      </c>
      <c r="K46" t="s">
        <v>238</v>
      </c>
      <c r="L46"/>
      <c r="M46"/>
      <c r="N46"/>
      <c r="O46"/>
      <c r="P46"/>
      <c r="Q46"/>
      <c r="R46"/>
      <c r="S46">
        <v>41.374499999999998</v>
      </c>
      <c r="T46"/>
      <c r="U46">
        <v>10.2624</v>
      </c>
      <c r="V46"/>
      <c r="W46"/>
      <c r="X46"/>
      <c r="Y46"/>
      <c r="Z46"/>
      <c r="AA46"/>
      <c r="AB46"/>
      <c r="AC46"/>
      <c r="AD46">
        <v>45.081299999999999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59.937399999999997</v>
      </c>
      <c r="AW46" t="s">
        <v>238</v>
      </c>
    </row>
    <row r="47" spans="1:49" ht="12.75">
      <c r="A47" t="s">
        <v>240</v>
      </c>
      <c r="B47" t="s">
        <v>30</v>
      </c>
      <c r="C47" t="s">
        <v>74</v>
      </c>
      <c r="D47" t="s">
        <v>238</v>
      </c>
      <c r="E47" t="s">
        <v>203</v>
      </c>
      <c r="F47" t="s">
        <v>202</v>
      </c>
      <c r="G47" t="s">
        <v>237</v>
      </c>
      <c r="H47" t="s">
        <v>238</v>
      </c>
      <c r="I47" t="s">
        <v>238</v>
      </c>
      <c r="J47" t="s">
        <v>238</v>
      </c>
      <c r="K47" t="s">
        <v>238</v>
      </c>
      <c r="L47"/>
      <c r="M47"/>
      <c r="N47"/>
      <c r="O47"/>
      <c r="P47"/>
      <c r="Q47"/>
      <c r="R47"/>
      <c r="S47">
        <v>28.659400000000002</v>
      </c>
      <c r="T47"/>
      <c r="U47">
        <v>36.412500000000001</v>
      </c>
      <c r="V47"/>
      <c r="W47"/>
      <c r="X47"/>
      <c r="Y47"/>
      <c r="Z47"/>
      <c r="AA47"/>
      <c r="AB47"/>
      <c r="AC47"/>
      <c r="AD47">
        <v>45.081299999999999</v>
      </c>
      <c r="AE47"/>
      <c r="AF47"/>
      <c r="AG47"/>
      <c r="AH47"/>
      <c r="AI47"/>
      <c r="AJ47"/>
      <c r="AK47">
        <v>8.9095899999999997</v>
      </c>
      <c r="AL47"/>
      <c r="AM47">
        <v>41.344999999999999</v>
      </c>
      <c r="AN47"/>
      <c r="AO47">
        <v>14.523099999999999</v>
      </c>
      <c r="AP47">
        <v>28.583600000000001</v>
      </c>
      <c r="AQ47"/>
      <c r="AR47"/>
      <c r="AS47"/>
      <c r="AT47"/>
      <c r="AU47"/>
      <c r="AV47">
        <v>47.712400000000002</v>
      </c>
      <c r="AW47" t="s">
        <v>238</v>
      </c>
    </row>
    <row r="48" spans="1:49" ht="12.75">
      <c r="A48" t="s">
        <v>240</v>
      </c>
      <c r="B48" t="s">
        <v>30</v>
      </c>
      <c r="C48" t="s">
        <v>54</v>
      </c>
      <c r="D48" t="s">
        <v>238</v>
      </c>
      <c r="E48" t="s">
        <v>203</v>
      </c>
      <c r="F48" t="s">
        <v>202</v>
      </c>
      <c r="G48" t="s">
        <v>237</v>
      </c>
      <c r="H48" t="s">
        <v>238</v>
      </c>
      <c r="I48" t="s">
        <v>238</v>
      </c>
      <c r="J48" t="s">
        <v>238</v>
      </c>
      <c r="K48" t="s">
        <v>238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148.262</v>
      </c>
      <c r="AW48" t="s">
        <v>238</v>
      </c>
    </row>
    <row r="49" spans="1:49" ht="12.75">
      <c r="A49" t="s">
        <v>240</v>
      </c>
      <c r="B49" t="s">
        <v>30</v>
      </c>
      <c r="C49" t="s">
        <v>53</v>
      </c>
      <c r="D49" t="s">
        <v>238</v>
      </c>
      <c r="E49" t="s">
        <v>203</v>
      </c>
      <c r="F49" t="s">
        <v>202</v>
      </c>
      <c r="G49" t="s">
        <v>237</v>
      </c>
      <c r="H49" t="s">
        <v>238</v>
      </c>
      <c r="I49" t="s">
        <v>238</v>
      </c>
      <c r="J49" t="s">
        <v>238</v>
      </c>
      <c r="K49" t="s">
        <v>238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46.743299999999998</v>
      </c>
      <c r="AJ49"/>
      <c r="AK49"/>
      <c r="AL49"/>
      <c r="AM49">
        <v>47.918799999999997</v>
      </c>
      <c r="AN49"/>
      <c r="AO49">
        <v>24.877700000000001</v>
      </c>
      <c r="AP49">
        <v>33.058599999999998</v>
      </c>
      <c r="AQ49"/>
      <c r="AR49"/>
      <c r="AS49"/>
      <c r="AT49"/>
      <c r="AU49"/>
      <c r="AV49">
        <v>119.137</v>
      </c>
      <c r="AW49" t="s">
        <v>238</v>
      </c>
    </row>
    <row r="50" spans="1:49" ht="12.75">
      <c r="A50" t="s">
        <v>240</v>
      </c>
      <c r="B50" t="s">
        <v>30</v>
      </c>
      <c r="C50" t="s">
        <v>57</v>
      </c>
      <c r="D50" t="s">
        <v>238</v>
      </c>
      <c r="E50" t="s">
        <v>203</v>
      </c>
      <c r="F50" t="s">
        <v>202</v>
      </c>
      <c r="G50" t="s">
        <v>237</v>
      </c>
      <c r="H50" t="s">
        <v>238</v>
      </c>
      <c r="I50" t="s">
        <v>238</v>
      </c>
      <c r="J50" t="s">
        <v>238</v>
      </c>
      <c r="K50" t="s">
        <v>238</v>
      </c>
      <c r="L50"/>
      <c r="M50"/>
      <c r="N50"/>
      <c r="O50"/>
      <c r="P50"/>
      <c r="Q50">
        <v>16.162500000000001</v>
      </c>
      <c r="R50"/>
      <c r="S50"/>
      <c r="T50">
        <v>30.598700000000001</v>
      </c>
      <c r="U50"/>
      <c r="V50"/>
      <c r="W50"/>
      <c r="X50"/>
      <c r="Y50"/>
      <c r="Z50"/>
      <c r="AA50"/>
      <c r="AB50"/>
      <c r="AC50"/>
      <c r="AD50"/>
      <c r="AE50">
        <v>12.0975</v>
      </c>
      <c r="AF50"/>
      <c r="AG50"/>
      <c r="AH50"/>
      <c r="AI50"/>
      <c r="AJ50"/>
      <c r="AK50"/>
      <c r="AL50"/>
      <c r="AM50">
        <v>6.6436000000000002</v>
      </c>
      <c r="AN50"/>
      <c r="AO50"/>
      <c r="AP50"/>
      <c r="AQ50"/>
      <c r="AR50">
        <v>12.0975</v>
      </c>
      <c r="AS50">
        <v>5.2009800000000004</v>
      </c>
      <c r="AT50"/>
      <c r="AU50"/>
      <c r="AV50"/>
      <c r="AW50" t="s">
        <v>238</v>
      </c>
    </row>
    <row r="51" spans="1:49" ht="12.75">
      <c r="A51" t="s">
        <v>240</v>
      </c>
      <c r="B51" t="s">
        <v>30</v>
      </c>
      <c r="C51" t="s">
        <v>58</v>
      </c>
      <c r="D51" t="s">
        <v>238</v>
      </c>
      <c r="E51" t="s">
        <v>203</v>
      </c>
      <c r="F51" t="s">
        <v>202</v>
      </c>
      <c r="G51" t="s">
        <v>237</v>
      </c>
      <c r="H51" t="s">
        <v>238</v>
      </c>
      <c r="I51" t="s">
        <v>238</v>
      </c>
      <c r="J51" t="s">
        <v>238</v>
      </c>
      <c r="K51" t="s">
        <v>238</v>
      </c>
      <c r="L51"/>
      <c r="M51"/>
      <c r="N51"/>
      <c r="O51"/>
      <c r="P51"/>
      <c r="Q51">
        <v>16.162500000000001</v>
      </c>
      <c r="R51"/>
      <c r="S51"/>
      <c r="T51">
        <v>29.8109</v>
      </c>
      <c r="U51"/>
      <c r="V51"/>
      <c r="W51"/>
      <c r="X51"/>
      <c r="Y51"/>
      <c r="Z51"/>
      <c r="AA51"/>
      <c r="AB51"/>
      <c r="AC51"/>
      <c r="AD51"/>
      <c r="AE51">
        <v>12.3414</v>
      </c>
      <c r="AF51"/>
      <c r="AG51"/>
      <c r="AH51"/>
      <c r="AI51"/>
      <c r="AJ51"/>
      <c r="AK51"/>
      <c r="AL51"/>
      <c r="AM51">
        <v>7.1553800000000001</v>
      </c>
      <c r="AN51"/>
      <c r="AO51"/>
      <c r="AP51"/>
      <c r="AQ51"/>
      <c r="AR51">
        <v>12.3414</v>
      </c>
      <c r="AS51">
        <v>5.2818100000000001</v>
      </c>
      <c r="AT51"/>
      <c r="AU51"/>
      <c r="AV51"/>
      <c r="AW51" t="s">
        <v>238</v>
      </c>
    </row>
    <row r="52" spans="1:49" ht="12.75">
      <c r="A52" t="s">
        <v>240</v>
      </c>
      <c r="B52" t="s">
        <v>30</v>
      </c>
      <c r="C52" t="s">
        <v>59</v>
      </c>
      <c r="D52" t="s">
        <v>238</v>
      </c>
      <c r="E52" t="s">
        <v>203</v>
      </c>
      <c r="F52" t="s">
        <v>202</v>
      </c>
      <c r="G52" t="s">
        <v>237</v>
      </c>
      <c r="H52" t="s">
        <v>238</v>
      </c>
      <c r="I52" t="s">
        <v>238</v>
      </c>
      <c r="J52" t="s">
        <v>238</v>
      </c>
      <c r="K52" t="s">
        <v>238</v>
      </c>
      <c r="L52"/>
      <c r="M52"/>
      <c r="N52"/>
      <c r="O52"/>
      <c r="P52"/>
      <c r="Q52">
        <v>16.162500000000001</v>
      </c>
      <c r="R52"/>
      <c r="S52"/>
      <c r="T52">
        <v>29.791899999999998</v>
      </c>
      <c r="U52"/>
      <c r="V52"/>
      <c r="W52"/>
      <c r="X52"/>
      <c r="Y52"/>
      <c r="Z52"/>
      <c r="AA52"/>
      <c r="AB52"/>
      <c r="AC52"/>
      <c r="AD52"/>
      <c r="AE52">
        <v>15.1212</v>
      </c>
      <c r="AF52"/>
      <c r="AG52"/>
      <c r="AH52"/>
      <c r="AI52"/>
      <c r="AJ52"/>
      <c r="AK52"/>
      <c r="AL52"/>
      <c r="AM52">
        <v>6.6436000000000002</v>
      </c>
      <c r="AN52"/>
      <c r="AO52"/>
      <c r="AP52"/>
      <c r="AQ52"/>
      <c r="AR52">
        <v>15.1212</v>
      </c>
      <c r="AS52">
        <v>5.2904600000000004</v>
      </c>
      <c r="AT52"/>
      <c r="AU52"/>
      <c r="AV52"/>
      <c r="AW52" t="s">
        <v>238</v>
      </c>
    </row>
    <row r="53" spans="1:49" ht="12.75">
      <c r="A53" t="s">
        <v>240</v>
      </c>
      <c r="B53" t="s">
        <v>30</v>
      </c>
      <c r="C53" t="s">
        <v>60</v>
      </c>
      <c r="D53" t="s">
        <v>238</v>
      </c>
      <c r="E53" t="s">
        <v>203</v>
      </c>
      <c r="F53" t="s">
        <v>202</v>
      </c>
      <c r="G53" t="s">
        <v>237</v>
      </c>
      <c r="H53" t="s">
        <v>238</v>
      </c>
      <c r="I53" t="s">
        <v>238</v>
      </c>
      <c r="J53" t="s">
        <v>238</v>
      </c>
      <c r="K53" t="s">
        <v>238</v>
      </c>
      <c r="L53"/>
      <c r="M53"/>
      <c r="N53"/>
      <c r="O53"/>
      <c r="P53"/>
      <c r="Q53">
        <v>16.162500000000001</v>
      </c>
      <c r="R53"/>
      <c r="S53"/>
      <c r="T53">
        <v>30.252400000000002</v>
      </c>
      <c r="U53"/>
      <c r="V53"/>
      <c r="W53"/>
      <c r="X53"/>
      <c r="Y53"/>
      <c r="Z53"/>
      <c r="AA53"/>
      <c r="AB53"/>
      <c r="AC53"/>
      <c r="AD53"/>
      <c r="AE53">
        <v>12.7515</v>
      </c>
      <c r="AF53"/>
      <c r="AG53"/>
      <c r="AH53"/>
      <c r="AI53"/>
      <c r="AJ53"/>
      <c r="AK53"/>
      <c r="AL53"/>
      <c r="AM53">
        <v>8.0601900000000004</v>
      </c>
      <c r="AN53"/>
      <c r="AO53"/>
      <c r="AP53"/>
      <c r="AQ53"/>
      <c r="AR53">
        <v>12.7515</v>
      </c>
      <c r="AS53">
        <v>5.4882900000000001</v>
      </c>
      <c r="AT53"/>
      <c r="AU53"/>
      <c r="AV53"/>
      <c r="AW53" t="s">
        <v>238</v>
      </c>
    </row>
    <row r="54" spans="1:49" ht="12.75">
      <c r="A54" t="s">
        <v>240</v>
      </c>
      <c r="B54" t="s">
        <v>30</v>
      </c>
      <c r="C54" t="s">
        <v>61</v>
      </c>
      <c r="D54" t="s">
        <v>238</v>
      </c>
      <c r="E54" t="s">
        <v>203</v>
      </c>
      <c r="F54" t="s">
        <v>202</v>
      </c>
      <c r="G54" t="s">
        <v>237</v>
      </c>
      <c r="H54" t="s">
        <v>238</v>
      </c>
      <c r="I54" t="s">
        <v>238</v>
      </c>
      <c r="J54" t="s">
        <v>238</v>
      </c>
      <c r="K54" t="s">
        <v>238</v>
      </c>
      <c r="L54">
        <v>23.029800000000002</v>
      </c>
      <c r="M54">
        <v>28.644600000000001</v>
      </c>
      <c r="N54">
        <v>20.534800000000001</v>
      </c>
      <c r="O54">
        <v>22.2029</v>
      </c>
      <c r="P54">
        <v>11.162800000000001</v>
      </c>
      <c r="Q54">
        <v>19.091899999999999</v>
      </c>
      <c r="R54">
        <v>17.9343</v>
      </c>
      <c r="S54">
        <v>20.240100000000002</v>
      </c>
      <c r="T54">
        <v>24.641500000000001</v>
      </c>
      <c r="U54">
        <v>32.213500000000003</v>
      </c>
      <c r="V54">
        <v>22.435199999999998</v>
      </c>
      <c r="W54">
        <v>23.029800000000002</v>
      </c>
      <c r="X54">
        <v>19.0031</v>
      </c>
      <c r="Y54">
        <v>23.7821</v>
      </c>
      <c r="Z54">
        <v>18.8005</v>
      </c>
      <c r="AA54">
        <v>20.534800000000001</v>
      </c>
      <c r="AB54">
        <v>25.579000000000001</v>
      </c>
      <c r="AC54">
        <v>22.860800000000001</v>
      </c>
      <c r="AD54">
        <v>16.421800000000001</v>
      </c>
      <c r="AE54">
        <v>16.1706</v>
      </c>
      <c r="AF54">
        <v>20.534800000000001</v>
      </c>
      <c r="AG54">
        <v>7.6256599999999999</v>
      </c>
      <c r="AH54">
        <v>67.863</v>
      </c>
      <c r="AI54">
        <v>24.470099999999999</v>
      </c>
      <c r="AJ54">
        <v>23.029800000000002</v>
      </c>
      <c r="AK54">
        <v>30.495000000000001</v>
      </c>
      <c r="AL54">
        <v>3.3300399999999999</v>
      </c>
      <c r="AM54">
        <v>33.462699999999998</v>
      </c>
      <c r="AN54">
        <v>23.327100000000002</v>
      </c>
      <c r="AO54">
        <v>13.8141</v>
      </c>
      <c r="AP54">
        <v>19.518599999999999</v>
      </c>
      <c r="AQ54">
        <v>10.7438</v>
      </c>
      <c r="AR54">
        <v>20.534800000000001</v>
      </c>
      <c r="AS54">
        <v>39.236400000000003</v>
      </c>
      <c r="AT54">
        <v>24.852499999999999</v>
      </c>
      <c r="AU54">
        <v>11.883900000000001</v>
      </c>
      <c r="AV54">
        <v>19.110399999999998</v>
      </c>
      <c r="AW54" t="s">
        <v>238</v>
      </c>
    </row>
    <row r="55" spans="1:49" ht="12.75">
      <c r="A55" t="s">
        <v>240</v>
      </c>
      <c r="B55" t="s">
        <v>30</v>
      </c>
      <c r="C55" t="s">
        <v>62</v>
      </c>
      <c r="D55" t="s">
        <v>238</v>
      </c>
      <c r="E55" t="s">
        <v>203</v>
      </c>
      <c r="F55" t="s">
        <v>202</v>
      </c>
      <c r="G55" t="s">
        <v>237</v>
      </c>
      <c r="H55" t="s">
        <v>238</v>
      </c>
      <c r="I55" t="s">
        <v>238</v>
      </c>
      <c r="J55" t="s">
        <v>238</v>
      </c>
      <c r="K55" t="s">
        <v>238</v>
      </c>
      <c r="L55">
        <v>19.682600000000001</v>
      </c>
      <c r="M55">
        <v>26.341100000000001</v>
      </c>
      <c r="N55">
        <v>18.903300000000002</v>
      </c>
      <c r="O55">
        <v>23.735900000000001</v>
      </c>
      <c r="P55">
        <v>12.522500000000001</v>
      </c>
      <c r="Q55">
        <v>17.0763</v>
      </c>
      <c r="R55">
        <v>13.663600000000001</v>
      </c>
      <c r="S55">
        <v>18.413399999999999</v>
      </c>
      <c r="T55">
        <v>24.1191</v>
      </c>
      <c r="U55">
        <v>30.905899999999999</v>
      </c>
      <c r="V55">
        <v>19.766500000000001</v>
      </c>
      <c r="W55">
        <v>19.682600000000001</v>
      </c>
      <c r="X55">
        <v>17.291699999999999</v>
      </c>
      <c r="Y55">
        <v>23.4268</v>
      </c>
      <c r="Z55">
        <v>17.762599999999999</v>
      </c>
      <c r="AA55">
        <v>18.903300000000002</v>
      </c>
      <c r="AB55">
        <v>23.867100000000001</v>
      </c>
      <c r="AC55">
        <v>22.054200000000002</v>
      </c>
      <c r="AD55">
        <v>18.053799999999999</v>
      </c>
      <c r="AE55">
        <v>15.0969</v>
      </c>
      <c r="AF55">
        <v>18.903300000000002</v>
      </c>
      <c r="AG55">
        <v>5.9673100000000003</v>
      </c>
      <c r="AH55">
        <v>69.064599999999999</v>
      </c>
      <c r="AI55">
        <v>20.394500000000001</v>
      </c>
      <c r="AJ55">
        <v>19.682600000000001</v>
      </c>
      <c r="AK55">
        <v>27.66</v>
      </c>
      <c r="AL55">
        <v>3.5101399999999998</v>
      </c>
      <c r="AM55">
        <v>33.128900000000002</v>
      </c>
      <c r="AN55">
        <v>23.597799999999999</v>
      </c>
      <c r="AO55">
        <v>14.1127</v>
      </c>
      <c r="AP55">
        <v>19.518599999999999</v>
      </c>
      <c r="AQ55">
        <v>9.1672700000000003</v>
      </c>
      <c r="AR55">
        <v>18.903300000000002</v>
      </c>
      <c r="AS55">
        <v>35.022100000000002</v>
      </c>
      <c r="AT55">
        <v>24.9801</v>
      </c>
      <c r="AU55">
        <v>11.8965</v>
      </c>
      <c r="AV55">
        <v>17.5383</v>
      </c>
      <c r="AW55" t="s">
        <v>238</v>
      </c>
    </row>
    <row r="56" spans="1:49" ht="12.75">
      <c r="A56" t="s">
        <v>240</v>
      </c>
      <c r="B56" t="s">
        <v>30</v>
      </c>
      <c r="C56" t="s">
        <v>63</v>
      </c>
      <c r="D56" t="s">
        <v>238</v>
      </c>
      <c r="E56" t="s">
        <v>203</v>
      </c>
      <c r="F56" t="s">
        <v>202</v>
      </c>
      <c r="G56" t="s">
        <v>237</v>
      </c>
      <c r="H56" t="s">
        <v>238</v>
      </c>
      <c r="I56" t="s">
        <v>238</v>
      </c>
      <c r="J56" t="s">
        <v>238</v>
      </c>
      <c r="K56" t="s">
        <v>238</v>
      </c>
      <c r="L56">
        <v>13.2971</v>
      </c>
      <c r="M56">
        <v>26.522500000000001</v>
      </c>
      <c r="N56">
        <v>18.903300000000002</v>
      </c>
      <c r="O56">
        <v>21.687000000000001</v>
      </c>
      <c r="P56">
        <v>12.5122</v>
      </c>
      <c r="Q56">
        <v>17.064800000000002</v>
      </c>
      <c r="R56">
        <v>12.8825</v>
      </c>
      <c r="S56">
        <v>18.413399999999999</v>
      </c>
      <c r="T56">
        <v>24.033000000000001</v>
      </c>
      <c r="U56">
        <v>29.329999999999998</v>
      </c>
      <c r="V56">
        <v>21.111899999999999</v>
      </c>
      <c r="W56">
        <v>13.2971</v>
      </c>
      <c r="X56">
        <v>17.0657</v>
      </c>
      <c r="Y56">
        <v>24.872199999999999</v>
      </c>
      <c r="Z56">
        <v>17.9041</v>
      </c>
      <c r="AA56">
        <v>18.903300000000002</v>
      </c>
      <c r="AB56">
        <v>23.867100000000001</v>
      </c>
      <c r="AC56">
        <v>22.225899999999999</v>
      </c>
      <c r="AD56">
        <v>17.6751</v>
      </c>
      <c r="AE56">
        <v>16.965900000000001</v>
      </c>
      <c r="AF56">
        <v>18.903300000000002</v>
      </c>
      <c r="AG56">
        <v>5.9673100000000003</v>
      </c>
      <c r="AH56">
        <v>68.787400000000005</v>
      </c>
      <c r="AI56">
        <v>23.053899999999999</v>
      </c>
      <c r="AJ56">
        <v>13.2971</v>
      </c>
      <c r="AK56">
        <v>25.8461</v>
      </c>
      <c r="AL56">
        <v>3.6430799999999999</v>
      </c>
      <c r="AM56">
        <v>32.542200000000001</v>
      </c>
      <c r="AN56">
        <v>23.7897</v>
      </c>
      <c r="AO56">
        <v>13.330399999999999</v>
      </c>
      <c r="AP56">
        <v>19.518599999999999</v>
      </c>
      <c r="AQ56">
        <v>9.1672700000000003</v>
      </c>
      <c r="AR56">
        <v>18.903300000000002</v>
      </c>
      <c r="AS56">
        <v>34.8127</v>
      </c>
      <c r="AT56">
        <v>23.4068</v>
      </c>
      <c r="AU56">
        <v>11.8965</v>
      </c>
      <c r="AV56">
        <v>14.9747</v>
      </c>
      <c r="AW56" t="s">
        <v>238</v>
      </c>
    </row>
    <row r="57" spans="1:49" ht="12.75">
      <c r="A57" t="s">
        <v>240</v>
      </c>
      <c r="B57" t="s">
        <v>30</v>
      </c>
      <c r="C57" t="s">
        <v>64</v>
      </c>
      <c r="D57" t="s">
        <v>238</v>
      </c>
      <c r="E57" t="s">
        <v>203</v>
      </c>
      <c r="F57" t="s">
        <v>202</v>
      </c>
      <c r="G57" t="s">
        <v>237</v>
      </c>
      <c r="H57" t="s">
        <v>238</v>
      </c>
      <c r="I57" t="s">
        <v>238</v>
      </c>
      <c r="J57" t="s">
        <v>238</v>
      </c>
      <c r="K57" t="s">
        <v>238</v>
      </c>
      <c r="L57">
        <v>20.250599999999999</v>
      </c>
      <c r="M57">
        <v>26.933800000000002</v>
      </c>
      <c r="N57">
        <v>19.439499999999999</v>
      </c>
      <c r="O57">
        <v>22.4619</v>
      </c>
      <c r="P57">
        <v>6.6320800000000002</v>
      </c>
      <c r="Q57">
        <v>18.041</v>
      </c>
      <c r="R57">
        <v>13.648099999999999</v>
      </c>
      <c r="S57">
        <v>18.413399999999999</v>
      </c>
      <c r="T57">
        <v>24.665199999999999</v>
      </c>
      <c r="U57">
        <v>29.5565</v>
      </c>
      <c r="V57">
        <v>20.333600000000001</v>
      </c>
      <c r="W57">
        <v>20.250599999999999</v>
      </c>
      <c r="X57">
        <v>17.088699999999999</v>
      </c>
      <c r="Y57">
        <v>22.436199999999999</v>
      </c>
      <c r="Z57">
        <v>18.046800000000001</v>
      </c>
      <c r="AA57">
        <v>19.439499999999999</v>
      </c>
      <c r="AB57">
        <v>23.867100000000001</v>
      </c>
      <c r="AC57">
        <v>22.016400000000001</v>
      </c>
      <c r="AD57">
        <v>19.264700000000001</v>
      </c>
      <c r="AE57">
        <v>15.4991</v>
      </c>
      <c r="AF57">
        <v>19.439499999999999</v>
      </c>
      <c r="AG57">
        <v>5.9673100000000003</v>
      </c>
      <c r="AH57">
        <v>73.224999999999994</v>
      </c>
      <c r="AI57">
        <v>25.421199999999999</v>
      </c>
      <c r="AJ57">
        <v>20.250599999999999</v>
      </c>
      <c r="AK57">
        <v>27.66</v>
      </c>
      <c r="AL57">
        <v>3.5163099999999998</v>
      </c>
      <c r="AM57">
        <v>32.637300000000003</v>
      </c>
      <c r="AN57">
        <v>23.148</v>
      </c>
      <c r="AO57">
        <v>13.9253</v>
      </c>
      <c r="AP57">
        <v>19.518599999999999</v>
      </c>
      <c r="AQ57">
        <v>9.1672700000000003</v>
      </c>
      <c r="AR57">
        <v>19.439499999999999</v>
      </c>
      <c r="AS57">
        <v>36.3048</v>
      </c>
      <c r="AT57">
        <v>25.445900000000002</v>
      </c>
      <c r="AU57">
        <v>11.8965</v>
      </c>
      <c r="AV57">
        <v>18.377199999999998</v>
      </c>
      <c r="AW57" t="s">
        <v>238</v>
      </c>
    </row>
    <row r="58" spans="1:49" ht="12.75">
      <c r="A58" t="s">
        <v>240</v>
      </c>
      <c r="B58" t="s">
        <v>30</v>
      </c>
      <c r="C58" t="s">
        <v>76</v>
      </c>
      <c r="D58" t="s">
        <v>238</v>
      </c>
      <c r="E58" t="s">
        <v>203</v>
      </c>
      <c r="F58" t="s">
        <v>202</v>
      </c>
      <c r="G58" t="s">
        <v>237</v>
      </c>
      <c r="H58" t="s">
        <v>238</v>
      </c>
      <c r="I58" t="s">
        <v>238</v>
      </c>
      <c r="J58" t="s">
        <v>238</v>
      </c>
      <c r="K58" t="s">
        <v>238</v>
      </c>
      <c r="L58"/>
      <c r="M58"/>
      <c r="N58"/>
      <c r="O58"/>
      <c r="P58"/>
      <c r="Q58">
        <v>11.1287</v>
      </c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16.749199999999998</v>
      </c>
      <c r="AT58"/>
      <c r="AU58"/>
      <c r="AV58"/>
      <c r="AW58" t="s">
        <v>238</v>
      </c>
    </row>
    <row r="59" spans="1:49" ht="12.75">
      <c r="A59" t="s">
        <v>240</v>
      </c>
      <c r="B59" t="s">
        <v>30</v>
      </c>
      <c r="C59" t="s">
        <v>77</v>
      </c>
      <c r="D59" t="s">
        <v>238</v>
      </c>
      <c r="E59" t="s">
        <v>203</v>
      </c>
      <c r="F59" t="s">
        <v>202</v>
      </c>
      <c r="G59" t="s">
        <v>237</v>
      </c>
      <c r="H59" t="s">
        <v>238</v>
      </c>
      <c r="I59" t="s">
        <v>238</v>
      </c>
      <c r="J59" t="s">
        <v>238</v>
      </c>
      <c r="K59" t="s">
        <v>238</v>
      </c>
      <c r="L59"/>
      <c r="M59"/>
      <c r="N59"/>
      <c r="O59"/>
      <c r="P59"/>
      <c r="Q59">
        <v>11.1287</v>
      </c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16.370799999999999</v>
      </c>
      <c r="AT59"/>
      <c r="AU59"/>
      <c r="AV59"/>
      <c r="AW59" t="s">
        <v>238</v>
      </c>
    </row>
    <row r="60" spans="1:49" ht="12.75">
      <c r="A60" t="s">
        <v>240</v>
      </c>
      <c r="B60" t="s">
        <v>30</v>
      </c>
      <c r="C60" t="s">
        <v>78</v>
      </c>
      <c r="D60" t="s">
        <v>238</v>
      </c>
      <c r="E60" t="s">
        <v>203</v>
      </c>
      <c r="F60" t="s">
        <v>202</v>
      </c>
      <c r="G60" t="s">
        <v>237</v>
      </c>
      <c r="H60" t="s">
        <v>238</v>
      </c>
      <c r="I60" t="s">
        <v>238</v>
      </c>
      <c r="J60" t="s">
        <v>238</v>
      </c>
      <c r="K60" t="s">
        <v>238</v>
      </c>
      <c r="L60"/>
      <c r="M60"/>
      <c r="N60"/>
      <c r="O60"/>
      <c r="P60"/>
      <c r="Q60">
        <v>11.1287</v>
      </c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15.3071</v>
      </c>
      <c r="AT60"/>
      <c r="AU60"/>
      <c r="AV60"/>
      <c r="AW60" t="s">
        <v>238</v>
      </c>
    </row>
    <row r="61" spans="1:49" ht="12.75">
      <c r="A61" t="s">
        <v>240</v>
      </c>
      <c r="B61" t="s">
        <v>30</v>
      </c>
      <c r="C61" t="s">
        <v>79</v>
      </c>
      <c r="D61" t="s">
        <v>238</v>
      </c>
      <c r="E61" t="s">
        <v>203</v>
      </c>
      <c r="F61" t="s">
        <v>202</v>
      </c>
      <c r="G61" t="s">
        <v>237</v>
      </c>
      <c r="H61" t="s">
        <v>238</v>
      </c>
      <c r="I61" t="s">
        <v>238</v>
      </c>
      <c r="J61" t="s">
        <v>238</v>
      </c>
      <c r="K61" t="s">
        <v>238</v>
      </c>
      <c r="L61"/>
      <c r="M61"/>
      <c r="N61"/>
      <c r="O61"/>
      <c r="P61"/>
      <c r="Q61">
        <v>11.1287</v>
      </c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16.805099999999999</v>
      </c>
      <c r="AT61"/>
      <c r="AU61"/>
      <c r="AV61"/>
      <c r="AW61" t="s">
        <v>238</v>
      </c>
    </row>
    <row r="62" spans="1:49" ht="12.75">
      <c r="A62" t="s">
        <v>240</v>
      </c>
      <c r="B62" t="s">
        <v>30</v>
      </c>
      <c r="C62" t="s">
        <v>80</v>
      </c>
      <c r="D62" t="s">
        <v>238</v>
      </c>
      <c r="E62" t="s">
        <v>203</v>
      </c>
      <c r="F62" t="s">
        <v>202</v>
      </c>
      <c r="G62" t="s">
        <v>237</v>
      </c>
      <c r="H62" t="s">
        <v>238</v>
      </c>
      <c r="I62" t="s">
        <v>238</v>
      </c>
      <c r="J62" t="s">
        <v>238</v>
      </c>
      <c r="K62" t="s">
        <v>238</v>
      </c>
      <c r="L62">
        <v>9.7206799999999998</v>
      </c>
      <c r="M62">
        <v>15.465999999999999</v>
      </c>
      <c r="N62">
        <v>11.6698</v>
      </c>
      <c r="O62">
        <v>8.2721300000000006</v>
      </c>
      <c r="P62">
        <v>5.7729600000000003</v>
      </c>
      <c r="Q62">
        <v>14.978999999999999</v>
      </c>
      <c r="R62">
        <v>15.1014</v>
      </c>
      <c r="S62">
        <v>9.3872199999999992</v>
      </c>
      <c r="T62">
        <v>12.5715</v>
      </c>
      <c r="U62">
        <v>19.9298</v>
      </c>
      <c r="V62">
        <v>16.203299999999999</v>
      </c>
      <c r="W62">
        <v>9.7206799999999998</v>
      </c>
      <c r="X62">
        <v>14.0922</v>
      </c>
      <c r="Y62">
        <v>10.5501</v>
      </c>
      <c r="Z62">
        <v>12.7613</v>
      </c>
      <c r="AA62">
        <v>11.6698</v>
      </c>
      <c r="AB62">
        <v>10.6456</v>
      </c>
      <c r="AC62">
        <v>19.9739</v>
      </c>
      <c r="AD62">
        <v>12.864800000000001</v>
      </c>
      <c r="AE62">
        <v>11.2913</v>
      </c>
      <c r="AF62">
        <v>11.6698</v>
      </c>
      <c r="AG62">
        <v>5.1572300000000002</v>
      </c>
      <c r="AH62">
        <v>44.097999999999999</v>
      </c>
      <c r="AI62">
        <v>15.652100000000001</v>
      </c>
      <c r="AJ62">
        <v>9.7206799999999998</v>
      </c>
      <c r="AK62">
        <v>10.1213</v>
      </c>
      <c r="AL62">
        <v>8.0372400000000006</v>
      </c>
      <c r="AM62">
        <v>10.5364</v>
      </c>
      <c r="AN62">
        <v>9.9621399999999998</v>
      </c>
      <c r="AO62">
        <v>5.9304199999999998</v>
      </c>
      <c r="AP62">
        <v>10.6304</v>
      </c>
      <c r="AQ62">
        <v>6.4410999999999996</v>
      </c>
      <c r="AR62">
        <v>11.6698</v>
      </c>
      <c r="AS62">
        <v>13.471399999999999</v>
      </c>
      <c r="AT62">
        <v>15.4709</v>
      </c>
      <c r="AU62">
        <v>12.9636</v>
      </c>
      <c r="AV62">
        <v>15.4458</v>
      </c>
      <c r="AW62" t="s">
        <v>238</v>
      </c>
    </row>
    <row r="63" spans="1:49" ht="12.75">
      <c r="A63" t="s">
        <v>240</v>
      </c>
      <c r="B63" t="s">
        <v>30</v>
      </c>
      <c r="C63" t="s">
        <v>81</v>
      </c>
      <c r="D63" t="s">
        <v>238</v>
      </c>
      <c r="E63" t="s">
        <v>203</v>
      </c>
      <c r="F63" t="s">
        <v>202</v>
      </c>
      <c r="G63" t="s">
        <v>237</v>
      </c>
      <c r="H63" t="s">
        <v>238</v>
      </c>
      <c r="I63" t="s">
        <v>238</v>
      </c>
      <c r="J63" t="s">
        <v>238</v>
      </c>
      <c r="K63" t="s">
        <v>238</v>
      </c>
      <c r="L63">
        <v>9.1454400000000007</v>
      </c>
      <c r="M63">
        <v>14.9224</v>
      </c>
      <c r="N63">
        <v>11.8812</v>
      </c>
      <c r="O63">
        <v>9.6917000000000009</v>
      </c>
      <c r="P63">
        <v>5.4128299999999996</v>
      </c>
      <c r="Q63">
        <v>13.435</v>
      </c>
      <c r="R63">
        <v>13.7628</v>
      </c>
      <c r="S63">
        <v>9.1841500000000007</v>
      </c>
      <c r="T63">
        <v>10.887700000000001</v>
      </c>
      <c r="U63">
        <v>15.3682</v>
      </c>
      <c r="V63">
        <v>14.897</v>
      </c>
      <c r="W63">
        <v>9.1454400000000007</v>
      </c>
      <c r="X63">
        <v>7.6632499999999997</v>
      </c>
      <c r="Y63">
        <v>10.515599999999999</v>
      </c>
      <c r="Z63">
        <v>11.874700000000001</v>
      </c>
      <c r="AA63">
        <v>11.8812</v>
      </c>
      <c r="AB63">
        <v>10.7989</v>
      </c>
      <c r="AC63">
        <v>17.970199999999998</v>
      </c>
      <c r="AD63">
        <v>13.395899999999999</v>
      </c>
      <c r="AE63">
        <v>9.6733600000000006</v>
      </c>
      <c r="AF63">
        <v>11.8812</v>
      </c>
      <c r="AG63">
        <v>3.9107099999999999</v>
      </c>
      <c r="AH63">
        <v>44.284500000000001</v>
      </c>
      <c r="AI63">
        <v>13.428800000000001</v>
      </c>
      <c r="AJ63">
        <v>9.1454400000000007</v>
      </c>
      <c r="AK63">
        <v>9.7376400000000007</v>
      </c>
      <c r="AL63">
        <v>8.5177999999999994</v>
      </c>
      <c r="AM63">
        <v>10.7516</v>
      </c>
      <c r="AN63">
        <v>10.1554</v>
      </c>
      <c r="AO63">
        <v>6.1784299999999996</v>
      </c>
      <c r="AP63">
        <v>10.5128</v>
      </c>
      <c r="AQ63">
        <v>6.6146900000000004</v>
      </c>
      <c r="AR63">
        <v>11.8812</v>
      </c>
      <c r="AS63">
        <v>12.647500000000001</v>
      </c>
      <c r="AT63">
        <v>17.744299999999999</v>
      </c>
      <c r="AU63">
        <v>8.5815800000000007</v>
      </c>
      <c r="AV63">
        <v>14.109299999999999</v>
      </c>
      <c r="AW63" t="s">
        <v>238</v>
      </c>
    </row>
    <row r="64" spans="1:49" ht="12.75">
      <c r="A64" t="s">
        <v>240</v>
      </c>
      <c r="B64" t="s">
        <v>30</v>
      </c>
      <c r="C64" t="s">
        <v>82</v>
      </c>
      <c r="D64" t="s">
        <v>238</v>
      </c>
      <c r="E64" t="s">
        <v>203</v>
      </c>
      <c r="F64" t="s">
        <v>202</v>
      </c>
      <c r="G64" t="s">
        <v>237</v>
      </c>
      <c r="H64" t="s">
        <v>238</v>
      </c>
      <c r="I64" t="s">
        <v>238</v>
      </c>
      <c r="J64" t="s">
        <v>238</v>
      </c>
      <c r="K64" t="s">
        <v>238</v>
      </c>
      <c r="L64">
        <v>6.59924</v>
      </c>
      <c r="M64">
        <v>13.423</v>
      </c>
      <c r="N64">
        <v>11.510999999999999</v>
      </c>
      <c r="O64">
        <v>10.481400000000001</v>
      </c>
      <c r="P64">
        <v>5.80105</v>
      </c>
      <c r="Q64">
        <v>11.076700000000001</v>
      </c>
      <c r="R64">
        <v>12.084300000000001</v>
      </c>
      <c r="S64">
        <v>8.6676300000000008</v>
      </c>
      <c r="T64">
        <v>9.0140700000000002</v>
      </c>
      <c r="U64">
        <v>13.9666</v>
      </c>
      <c r="V64">
        <v>13.2774</v>
      </c>
      <c r="W64">
        <v>6.59924</v>
      </c>
      <c r="X64">
        <v>6.5509000000000004</v>
      </c>
      <c r="Y64">
        <v>10.7516</v>
      </c>
      <c r="Z64">
        <v>9.9579799999999992</v>
      </c>
      <c r="AA64">
        <v>11.510999999999999</v>
      </c>
      <c r="AB64">
        <v>9.9195799999999998</v>
      </c>
      <c r="AC64">
        <v>17.7197</v>
      </c>
      <c r="AD64">
        <v>12.9208</v>
      </c>
      <c r="AE64">
        <v>7.0178799999999999</v>
      </c>
      <c r="AF64">
        <v>11.510999999999999</v>
      </c>
      <c r="AG64">
        <v>3.8382999999999998</v>
      </c>
      <c r="AH64">
        <v>44.016100000000002</v>
      </c>
      <c r="AI64">
        <v>13.573499999999999</v>
      </c>
      <c r="AJ64">
        <v>6.59924</v>
      </c>
      <c r="AK64">
        <v>9.0625699999999991</v>
      </c>
      <c r="AL64">
        <v>7.9329200000000002</v>
      </c>
      <c r="AM64">
        <v>10.516299999999999</v>
      </c>
      <c r="AN64">
        <v>9.9722899999999992</v>
      </c>
      <c r="AO64">
        <v>6.03932</v>
      </c>
      <c r="AP64">
        <v>10.059699999999999</v>
      </c>
      <c r="AQ64">
        <v>5.0827200000000001</v>
      </c>
      <c r="AR64">
        <v>11.510999999999999</v>
      </c>
      <c r="AS64">
        <v>10.941700000000001</v>
      </c>
      <c r="AT64">
        <v>11.9842</v>
      </c>
      <c r="AU64">
        <v>8.5815800000000007</v>
      </c>
      <c r="AV64">
        <v>12.3371</v>
      </c>
      <c r="AW64" t="s">
        <v>238</v>
      </c>
    </row>
    <row r="65" spans="1:49" ht="12.75">
      <c r="A65" t="s">
        <v>240</v>
      </c>
      <c r="B65" t="s">
        <v>30</v>
      </c>
      <c r="C65" t="s">
        <v>83</v>
      </c>
      <c r="D65" t="s">
        <v>238</v>
      </c>
      <c r="E65" t="s">
        <v>203</v>
      </c>
      <c r="F65" t="s">
        <v>202</v>
      </c>
      <c r="G65" t="s">
        <v>237</v>
      </c>
      <c r="H65" t="s">
        <v>238</v>
      </c>
      <c r="I65" t="s">
        <v>238</v>
      </c>
      <c r="J65" t="s">
        <v>238</v>
      </c>
      <c r="K65" t="s">
        <v>238</v>
      </c>
      <c r="L65">
        <v>9.4613399999999999</v>
      </c>
      <c r="M65">
        <v>14.8161</v>
      </c>
      <c r="N65">
        <v>11.4002</v>
      </c>
      <c r="O65">
        <v>9.1909700000000001</v>
      </c>
      <c r="P65">
        <v>5.4803600000000001</v>
      </c>
      <c r="Q65">
        <v>13.176600000000001</v>
      </c>
      <c r="R65">
        <v>13.3172</v>
      </c>
      <c r="S65">
        <v>9.2827999999999999</v>
      </c>
      <c r="T65">
        <v>11.116400000000001</v>
      </c>
      <c r="U65">
        <v>15.3376</v>
      </c>
      <c r="V65">
        <v>15.5503</v>
      </c>
      <c r="W65">
        <v>9.4613399999999999</v>
      </c>
      <c r="X65">
        <v>7.2602000000000002</v>
      </c>
      <c r="Y65">
        <v>10.486800000000001</v>
      </c>
      <c r="Z65">
        <v>12.3832</v>
      </c>
      <c r="AA65">
        <v>11.4002</v>
      </c>
      <c r="AB65">
        <v>10.609999999999999</v>
      </c>
      <c r="AC65">
        <v>18.953499999999998</v>
      </c>
      <c r="AD65">
        <v>13.5497</v>
      </c>
      <c r="AE65">
        <v>9.0844000000000005</v>
      </c>
      <c r="AF65">
        <v>11.4002</v>
      </c>
      <c r="AG65">
        <v>3.88042</v>
      </c>
      <c r="AH65">
        <v>44.174300000000002</v>
      </c>
      <c r="AI65">
        <v>13.0284</v>
      </c>
      <c r="AJ65">
        <v>9.4613399999999999</v>
      </c>
      <c r="AK65">
        <v>9.8940300000000008</v>
      </c>
      <c r="AL65">
        <v>8.1748899999999995</v>
      </c>
      <c r="AM65">
        <v>10.821300000000001</v>
      </c>
      <c r="AN65">
        <v>9.8859200000000005</v>
      </c>
      <c r="AO65">
        <v>6.0590999999999999</v>
      </c>
      <c r="AP65">
        <v>10.5083</v>
      </c>
      <c r="AQ65">
        <v>6.5694900000000001</v>
      </c>
      <c r="AR65">
        <v>11.4002</v>
      </c>
      <c r="AS65">
        <v>13.005100000000001</v>
      </c>
      <c r="AT65">
        <v>15.908899999999999</v>
      </c>
      <c r="AU65">
        <v>8.29359</v>
      </c>
      <c r="AV65">
        <v>15.1126</v>
      </c>
      <c r="AW65" t="s">
        <v>238</v>
      </c>
    </row>
    <row r="66" spans="1:49" ht="12.75">
      <c r="A66" t="s">
        <v>240</v>
      </c>
      <c r="B66" t="s">
        <v>30</v>
      </c>
      <c r="C66" t="s">
        <v>65</v>
      </c>
      <c r="D66" t="s">
        <v>238</v>
      </c>
      <c r="E66" t="s">
        <v>203</v>
      </c>
      <c r="F66" t="s">
        <v>202</v>
      </c>
      <c r="G66" t="s">
        <v>237</v>
      </c>
      <c r="H66" t="s">
        <v>238</v>
      </c>
      <c r="I66" t="s">
        <v>238</v>
      </c>
      <c r="J66" t="s">
        <v>238</v>
      </c>
      <c r="K66" t="s">
        <v>238</v>
      </c>
      <c r="L66">
        <v>127.303</v>
      </c>
      <c r="M66"/>
      <c r="N66">
        <v>24.028199999999998</v>
      </c>
      <c r="O66">
        <v>24.198699999999999</v>
      </c>
      <c r="P66">
        <v>55.4985</v>
      </c>
      <c r="Q66"/>
      <c r="R66"/>
      <c r="S66"/>
      <c r="T66">
        <v>21.715699999999998</v>
      </c>
      <c r="U66">
        <v>23.837399999999999</v>
      </c>
      <c r="V66"/>
      <c r="W66">
        <v>127.303</v>
      </c>
      <c r="X66"/>
      <c r="Y66"/>
      <c r="Z66">
        <v>8.9685299999999994</v>
      </c>
      <c r="AA66">
        <v>24.028199999999998</v>
      </c>
      <c r="AB66">
        <v>100.03700000000001</v>
      </c>
      <c r="AC66">
        <v>106.209</v>
      </c>
      <c r="AD66"/>
      <c r="AE66">
        <v>7.9006800000000004</v>
      </c>
      <c r="AF66">
        <v>24.028199999999998</v>
      </c>
      <c r="AG66"/>
      <c r="AH66"/>
      <c r="AI66">
        <v>23.205300000000001</v>
      </c>
      <c r="AJ66">
        <v>127.303</v>
      </c>
      <c r="AK66"/>
      <c r="AL66"/>
      <c r="AM66">
        <v>19.421299999999999</v>
      </c>
      <c r="AN66"/>
      <c r="AO66">
        <v>10.713200000000001</v>
      </c>
      <c r="AP66">
        <v>12.294600000000001</v>
      </c>
      <c r="AQ66">
        <v>1.3607100000000001</v>
      </c>
      <c r="AR66">
        <v>24.028199999999998</v>
      </c>
      <c r="AS66"/>
      <c r="AT66"/>
      <c r="AU66">
        <v>9.1716899999999999</v>
      </c>
      <c r="AV66">
        <v>38.757399999999997</v>
      </c>
      <c r="AW66" t="s">
        <v>238</v>
      </c>
    </row>
    <row r="67" spans="1:49" ht="12.75">
      <c r="A67" t="s">
        <v>240</v>
      </c>
      <c r="B67" t="s">
        <v>30</v>
      </c>
      <c r="C67" t="s">
        <v>66</v>
      </c>
      <c r="D67" t="s">
        <v>238</v>
      </c>
      <c r="E67" t="s">
        <v>203</v>
      </c>
      <c r="F67" t="s">
        <v>202</v>
      </c>
      <c r="G67" t="s">
        <v>237</v>
      </c>
      <c r="H67" t="s">
        <v>238</v>
      </c>
      <c r="I67" t="s">
        <v>238</v>
      </c>
      <c r="J67" t="s">
        <v>238</v>
      </c>
      <c r="K67" t="s">
        <v>238</v>
      </c>
      <c r="L67">
        <v>108.955</v>
      </c>
      <c r="M67"/>
      <c r="N67">
        <v>24.028199999999998</v>
      </c>
      <c r="O67">
        <v>24.181799999999999</v>
      </c>
      <c r="P67">
        <v>55.501399999999997</v>
      </c>
      <c r="Q67"/>
      <c r="R67"/>
      <c r="S67"/>
      <c r="T67">
        <v>21.552299999999999</v>
      </c>
      <c r="U67">
        <v>22.719000000000001</v>
      </c>
      <c r="V67"/>
      <c r="W67">
        <v>108.955</v>
      </c>
      <c r="X67"/>
      <c r="Y67"/>
      <c r="Z67">
        <v>9.4785799999999991</v>
      </c>
      <c r="AA67">
        <v>24.028199999999998</v>
      </c>
      <c r="AB67">
        <v>100.03700000000001</v>
      </c>
      <c r="AC67">
        <v>48.545000000000002</v>
      </c>
      <c r="AD67"/>
      <c r="AE67">
        <v>8.7792300000000001</v>
      </c>
      <c r="AF67">
        <v>24.028199999999998</v>
      </c>
      <c r="AG67"/>
      <c r="AH67"/>
      <c r="AI67">
        <v>23.205300000000001</v>
      </c>
      <c r="AJ67">
        <v>108.955</v>
      </c>
      <c r="AK67"/>
      <c r="AL67"/>
      <c r="AM67">
        <v>19.416699999999999</v>
      </c>
      <c r="AN67"/>
      <c r="AO67">
        <v>10.713200000000001</v>
      </c>
      <c r="AP67">
        <v>12.1586</v>
      </c>
      <c r="AQ67">
        <v>1.3607100000000001</v>
      </c>
      <c r="AR67">
        <v>24.028199999999998</v>
      </c>
      <c r="AS67"/>
      <c r="AT67"/>
      <c r="AU67">
        <v>9.1716899999999999</v>
      </c>
      <c r="AV67">
        <v>35.505299999999998</v>
      </c>
      <c r="AW67" t="s">
        <v>238</v>
      </c>
    </row>
    <row r="68" spans="1:49" ht="12.75">
      <c r="A68" t="s">
        <v>240</v>
      </c>
      <c r="B68" t="s">
        <v>30</v>
      </c>
      <c r="C68" t="s">
        <v>67</v>
      </c>
      <c r="D68" t="s">
        <v>238</v>
      </c>
      <c r="E68" t="s">
        <v>203</v>
      </c>
      <c r="F68" t="s">
        <v>202</v>
      </c>
      <c r="G68" t="s">
        <v>237</v>
      </c>
      <c r="H68" t="s">
        <v>238</v>
      </c>
      <c r="I68" t="s">
        <v>238</v>
      </c>
      <c r="J68" t="s">
        <v>238</v>
      </c>
      <c r="K68" t="s">
        <v>238</v>
      </c>
      <c r="L68">
        <v>83.713399999999993</v>
      </c>
      <c r="M68"/>
      <c r="N68">
        <v>24.028199999999998</v>
      </c>
      <c r="O68">
        <v>24.099799999999998</v>
      </c>
      <c r="P68">
        <v>55.508000000000003</v>
      </c>
      <c r="Q68"/>
      <c r="R68"/>
      <c r="S68"/>
      <c r="T68">
        <v>21.462399999999999</v>
      </c>
      <c r="U68">
        <v>21.683399999999999</v>
      </c>
      <c r="V68"/>
      <c r="W68">
        <v>83.713399999999993</v>
      </c>
      <c r="X68"/>
      <c r="Y68"/>
      <c r="Z68">
        <v>9.6721800000000009</v>
      </c>
      <c r="AA68">
        <v>24.028199999999998</v>
      </c>
      <c r="AB68">
        <v>100.03700000000001</v>
      </c>
      <c r="AC68">
        <v>38.860300000000002</v>
      </c>
      <c r="AD68"/>
      <c r="AE68">
        <v>11.298</v>
      </c>
      <c r="AF68">
        <v>24.028199999999998</v>
      </c>
      <c r="AG68"/>
      <c r="AH68"/>
      <c r="AI68">
        <v>23.205300000000001</v>
      </c>
      <c r="AJ68">
        <v>83.713399999999993</v>
      </c>
      <c r="AK68"/>
      <c r="AL68"/>
      <c r="AM68">
        <v>19.435600000000001</v>
      </c>
      <c r="AN68"/>
      <c r="AO68">
        <v>10.713200000000001</v>
      </c>
      <c r="AP68">
        <v>11.634600000000001</v>
      </c>
      <c r="AQ68">
        <v>1.3607100000000001</v>
      </c>
      <c r="AR68">
        <v>24.028199999999998</v>
      </c>
      <c r="AS68"/>
      <c r="AT68"/>
      <c r="AU68">
        <v>9.1716899999999999</v>
      </c>
      <c r="AV68">
        <v>29.854099999999999</v>
      </c>
      <c r="AW68" t="s">
        <v>238</v>
      </c>
    </row>
    <row r="69" spans="1:49" ht="12.75">
      <c r="A69" t="s">
        <v>240</v>
      </c>
      <c r="B69" t="s">
        <v>30</v>
      </c>
      <c r="C69" t="s">
        <v>68</v>
      </c>
      <c r="D69" t="s">
        <v>238</v>
      </c>
      <c r="E69" t="s">
        <v>203</v>
      </c>
      <c r="F69" t="s">
        <v>202</v>
      </c>
      <c r="G69" t="s">
        <v>237</v>
      </c>
      <c r="H69" t="s">
        <v>238</v>
      </c>
      <c r="I69" t="s">
        <v>238</v>
      </c>
      <c r="J69" t="s">
        <v>238</v>
      </c>
      <c r="K69" t="s">
        <v>238</v>
      </c>
      <c r="L69">
        <v>118.13500000000001</v>
      </c>
      <c r="M69"/>
      <c r="N69">
        <v>24.028199999999998</v>
      </c>
      <c r="O69">
        <v>24.2529</v>
      </c>
      <c r="P69">
        <v>65.521299999999997</v>
      </c>
      <c r="Q69"/>
      <c r="R69"/>
      <c r="S69"/>
      <c r="T69">
        <v>21.535799999999998</v>
      </c>
      <c r="U69">
        <v>22.423100000000002</v>
      </c>
      <c r="V69"/>
      <c r="W69">
        <v>118.13500000000001</v>
      </c>
      <c r="X69"/>
      <c r="Y69"/>
      <c r="Z69">
        <v>9.7871400000000008</v>
      </c>
      <c r="AA69">
        <v>24.028199999999998</v>
      </c>
      <c r="AB69">
        <v>100.03700000000001</v>
      </c>
      <c r="AC69">
        <v>34.800699999999999</v>
      </c>
      <c r="AD69"/>
      <c r="AE69">
        <v>8.2216000000000005</v>
      </c>
      <c r="AF69">
        <v>24.028199999999998</v>
      </c>
      <c r="AG69"/>
      <c r="AH69"/>
      <c r="AI69">
        <v>23.205300000000001</v>
      </c>
      <c r="AJ69">
        <v>118.13500000000001</v>
      </c>
      <c r="AK69"/>
      <c r="AL69"/>
      <c r="AM69">
        <v>19.4133</v>
      </c>
      <c r="AN69"/>
      <c r="AO69">
        <v>10.713200000000001</v>
      </c>
      <c r="AP69">
        <v>12.153499999999999</v>
      </c>
      <c r="AQ69">
        <v>1.3607100000000001</v>
      </c>
      <c r="AR69">
        <v>24.028199999999998</v>
      </c>
      <c r="AS69"/>
      <c r="AT69"/>
      <c r="AU69">
        <v>9.1716899999999999</v>
      </c>
      <c r="AV69">
        <v>36.0533</v>
      </c>
      <c r="AW69" t="s">
        <v>238</v>
      </c>
    </row>
    <row r="70" spans="1:49" ht="12.75">
      <c r="A70" t="s">
        <v>240</v>
      </c>
      <c r="B70" t="s">
        <v>30</v>
      </c>
      <c r="C70" t="s">
        <v>84</v>
      </c>
      <c r="D70" t="s">
        <v>238</v>
      </c>
      <c r="E70" t="s">
        <v>203</v>
      </c>
      <c r="F70" t="s">
        <v>202</v>
      </c>
      <c r="G70" t="s">
        <v>237</v>
      </c>
      <c r="H70" t="s">
        <v>238</v>
      </c>
      <c r="I70" t="s">
        <v>238</v>
      </c>
      <c r="J70" t="s">
        <v>238</v>
      </c>
      <c r="K70" t="s">
        <v>238</v>
      </c>
      <c r="L70"/>
      <c r="M70"/>
      <c r="N70"/>
      <c r="O70"/>
      <c r="P70"/>
      <c r="Q70"/>
      <c r="R70"/>
      <c r="S70">
        <v>12.6342</v>
      </c>
      <c r="T70"/>
      <c r="U70">
        <v>8.8403299999999998</v>
      </c>
      <c r="V70"/>
      <c r="W70"/>
      <c r="X70"/>
      <c r="Y70"/>
      <c r="Z70"/>
      <c r="AA70"/>
      <c r="AB70"/>
      <c r="AC70"/>
      <c r="AD70">
        <v>12.6557</v>
      </c>
      <c r="AE70"/>
      <c r="AF70"/>
      <c r="AG70"/>
      <c r="AH70"/>
      <c r="AI70"/>
      <c r="AJ70"/>
      <c r="AK70"/>
      <c r="AL70"/>
      <c r="AM70">
        <v>13.200200000000001</v>
      </c>
      <c r="AN70"/>
      <c r="AO70">
        <v>9.1143300000000007</v>
      </c>
      <c r="AP70">
        <v>14.3268</v>
      </c>
      <c r="AQ70"/>
      <c r="AR70"/>
      <c r="AS70">
        <v>13.193099999999999</v>
      </c>
      <c r="AT70"/>
      <c r="AU70"/>
      <c r="AV70">
        <v>11.5725</v>
      </c>
      <c r="AW70" t="s">
        <v>238</v>
      </c>
    </row>
    <row r="71" spans="1:49" ht="12.75">
      <c r="A71" t="s">
        <v>240</v>
      </c>
      <c r="B71" t="s">
        <v>30</v>
      </c>
      <c r="C71" t="s">
        <v>85</v>
      </c>
      <c r="D71" t="s">
        <v>238</v>
      </c>
      <c r="E71" t="s">
        <v>203</v>
      </c>
      <c r="F71" t="s">
        <v>202</v>
      </c>
      <c r="G71" t="s">
        <v>237</v>
      </c>
      <c r="H71" t="s">
        <v>238</v>
      </c>
      <c r="I71" t="s">
        <v>238</v>
      </c>
      <c r="J71" t="s">
        <v>238</v>
      </c>
      <c r="K71" t="s">
        <v>238</v>
      </c>
      <c r="L71"/>
      <c r="M71"/>
      <c r="N71"/>
      <c r="O71"/>
      <c r="P71"/>
      <c r="Q71"/>
      <c r="R71"/>
      <c r="S71">
        <v>12.6325</v>
      </c>
      <c r="T71"/>
      <c r="U71">
        <v>8.4369899999999998</v>
      </c>
      <c r="V71"/>
      <c r="W71"/>
      <c r="X71"/>
      <c r="Y71"/>
      <c r="Z71"/>
      <c r="AA71"/>
      <c r="AB71"/>
      <c r="AC71"/>
      <c r="AD71">
        <v>12.6557</v>
      </c>
      <c r="AE71"/>
      <c r="AF71"/>
      <c r="AG71"/>
      <c r="AH71"/>
      <c r="AI71"/>
      <c r="AJ71"/>
      <c r="AK71"/>
      <c r="AL71"/>
      <c r="AM71">
        <v>13.202</v>
      </c>
      <c r="AN71"/>
      <c r="AO71">
        <v>9.1143300000000007</v>
      </c>
      <c r="AP71">
        <v>14.397600000000001</v>
      </c>
      <c r="AQ71"/>
      <c r="AR71"/>
      <c r="AS71">
        <v>13.440200000000001</v>
      </c>
      <c r="AT71"/>
      <c r="AU71"/>
      <c r="AV71">
        <v>10.4354</v>
      </c>
      <c r="AW71" t="s">
        <v>238</v>
      </c>
    </row>
    <row r="72" spans="1:49" ht="12.75">
      <c r="A72" t="s">
        <v>240</v>
      </c>
      <c r="B72" t="s">
        <v>30</v>
      </c>
      <c r="C72" t="s">
        <v>86</v>
      </c>
      <c r="D72" t="s">
        <v>238</v>
      </c>
      <c r="E72" t="s">
        <v>203</v>
      </c>
      <c r="F72" t="s">
        <v>202</v>
      </c>
      <c r="G72" t="s">
        <v>237</v>
      </c>
      <c r="H72" t="s">
        <v>238</v>
      </c>
      <c r="I72" t="s">
        <v>238</v>
      </c>
      <c r="J72" t="s">
        <v>238</v>
      </c>
      <c r="K72" t="s">
        <v>238</v>
      </c>
      <c r="L72"/>
      <c r="M72"/>
      <c r="N72"/>
      <c r="O72"/>
      <c r="P72"/>
      <c r="Q72"/>
      <c r="R72"/>
      <c r="S72">
        <v>11.6523</v>
      </c>
      <c r="T72"/>
      <c r="U72">
        <v>9.1547400000000003</v>
      </c>
      <c r="V72"/>
      <c r="W72"/>
      <c r="X72"/>
      <c r="Y72"/>
      <c r="Z72"/>
      <c r="AA72"/>
      <c r="AB72"/>
      <c r="AC72"/>
      <c r="AD72">
        <v>12.6557</v>
      </c>
      <c r="AE72"/>
      <c r="AF72"/>
      <c r="AG72"/>
      <c r="AH72"/>
      <c r="AI72"/>
      <c r="AJ72"/>
      <c r="AK72"/>
      <c r="AL72"/>
      <c r="AM72">
        <v>13.2021</v>
      </c>
      <c r="AN72"/>
      <c r="AO72">
        <v>9.1143300000000007</v>
      </c>
      <c r="AP72">
        <v>14.397600000000001</v>
      </c>
      <c r="AQ72"/>
      <c r="AR72"/>
      <c r="AS72">
        <v>13.390599999999999</v>
      </c>
      <c r="AT72"/>
      <c r="AU72"/>
      <c r="AV72">
        <v>9.1486599999999996</v>
      </c>
      <c r="AW72" t="s">
        <v>238</v>
      </c>
    </row>
    <row r="73" spans="1:49" ht="12.75">
      <c r="A73" t="s">
        <v>240</v>
      </c>
      <c r="B73" t="s">
        <v>30</v>
      </c>
      <c r="C73" t="s">
        <v>87</v>
      </c>
      <c r="D73" t="s">
        <v>238</v>
      </c>
      <c r="E73" t="s">
        <v>203</v>
      </c>
      <c r="F73" t="s">
        <v>202</v>
      </c>
      <c r="G73" t="s">
        <v>237</v>
      </c>
      <c r="H73" t="s">
        <v>238</v>
      </c>
      <c r="I73" t="s">
        <v>238</v>
      </c>
      <c r="J73" t="s">
        <v>238</v>
      </c>
      <c r="K73" t="s">
        <v>238</v>
      </c>
      <c r="L73"/>
      <c r="M73"/>
      <c r="N73"/>
      <c r="O73"/>
      <c r="P73"/>
      <c r="Q73"/>
      <c r="R73"/>
      <c r="S73">
        <v>12.601699999999999</v>
      </c>
      <c r="T73"/>
      <c r="U73">
        <v>8.5523500000000006</v>
      </c>
      <c r="V73"/>
      <c r="W73"/>
      <c r="X73"/>
      <c r="Y73"/>
      <c r="Z73"/>
      <c r="AA73"/>
      <c r="AB73"/>
      <c r="AC73"/>
      <c r="AD73">
        <v>12.6557</v>
      </c>
      <c r="AE73"/>
      <c r="AF73"/>
      <c r="AG73"/>
      <c r="AH73"/>
      <c r="AI73"/>
      <c r="AJ73"/>
      <c r="AK73"/>
      <c r="AL73"/>
      <c r="AM73">
        <v>13.201499999999999</v>
      </c>
      <c r="AN73"/>
      <c r="AO73">
        <v>9.1143300000000007</v>
      </c>
      <c r="AP73">
        <v>14.760400000000001</v>
      </c>
      <c r="AQ73"/>
      <c r="AR73"/>
      <c r="AS73">
        <v>14.0517</v>
      </c>
      <c r="AT73"/>
      <c r="AU73"/>
      <c r="AV73">
        <v>11.174300000000001</v>
      </c>
      <c r="AW73" t="s">
        <v>238</v>
      </c>
    </row>
    <row r="74" spans="1:49" ht="12.75">
      <c r="A74" t="s">
        <v>240</v>
      </c>
      <c r="B74" t="s">
        <v>30</v>
      </c>
      <c r="C74" t="s">
        <v>52</v>
      </c>
      <c r="D74" t="s">
        <v>238</v>
      </c>
      <c r="E74" t="s">
        <v>203</v>
      </c>
      <c r="F74" t="s">
        <v>202</v>
      </c>
      <c r="G74" t="s">
        <v>237</v>
      </c>
      <c r="H74" t="s">
        <v>238</v>
      </c>
      <c r="I74" t="s">
        <v>238</v>
      </c>
      <c r="J74" t="s">
        <v>238</v>
      </c>
      <c r="K74" t="s">
        <v>238</v>
      </c>
      <c r="L74">
        <v>30.821991173218901</v>
      </c>
      <c r="M74">
        <v>106.043198696044</v>
      </c>
      <c r="N74">
        <v>42.566525259170703</v>
      </c>
      <c r="O74">
        <v>68.136525827162401</v>
      </c>
      <c r="P74">
        <v>15.2715301838104</v>
      </c>
      <c r="Q74">
        <v>76.375920685751495</v>
      </c>
      <c r="R74">
        <v>20.348355673481802</v>
      </c>
      <c r="S74">
        <v>37.320740979023697</v>
      </c>
      <c r="T74">
        <v>62.920187646285903</v>
      </c>
      <c r="U74">
        <v>71.129504112703302</v>
      </c>
      <c r="V74">
        <v>39.310311565708503</v>
      </c>
      <c r="W74">
        <v>30.821991173218901</v>
      </c>
      <c r="X74">
        <v>78.334836520018897</v>
      </c>
      <c r="Y74">
        <v>38.4776781541632</v>
      </c>
      <c r="Z74">
        <v>59.866648711085197</v>
      </c>
      <c r="AA74">
        <v>42.566525259170703</v>
      </c>
      <c r="AB74">
        <v>47.321164179705498</v>
      </c>
      <c r="AC74">
        <v>57.429951888954001</v>
      </c>
      <c r="AD74">
        <v>20.275159446338201</v>
      </c>
      <c r="AE74">
        <v>35.667308738078098</v>
      </c>
      <c r="AF74">
        <v>42.566525259170703</v>
      </c>
      <c r="AG74">
        <v>31.204106879401198</v>
      </c>
      <c r="AH74">
        <v>237.667752520102</v>
      </c>
      <c r="AI74">
        <v>71.914907156954996</v>
      </c>
      <c r="AJ74">
        <v>30.821991173218901</v>
      </c>
      <c r="AK74">
        <v>57.072939562297101</v>
      </c>
      <c r="AL74">
        <v>27.354661778424301</v>
      </c>
      <c r="AM74">
        <v>73.940931803873994</v>
      </c>
      <c r="AN74">
        <v>25.3190614242903</v>
      </c>
      <c r="AO74">
        <v>42.6653942006498</v>
      </c>
      <c r="AP74">
        <v>31.938506174463399</v>
      </c>
      <c r="AQ74">
        <v>22.6961555955526</v>
      </c>
      <c r="AR74">
        <v>42.566525259170703</v>
      </c>
      <c r="AS74">
        <v>44.569396743717803</v>
      </c>
      <c r="AT74">
        <v>77.516104603355799</v>
      </c>
      <c r="AU74">
        <v>56.275935662917902</v>
      </c>
      <c r="AV74">
        <v>61.783617822788003</v>
      </c>
      <c r="AW74" t="s">
        <v>238</v>
      </c>
    </row>
    <row r="75" spans="1:49" ht="12.75">
      <c r="A75" t="s">
        <v>240</v>
      </c>
      <c r="B75" t="s">
        <v>30</v>
      </c>
      <c r="C75" t="s">
        <v>50</v>
      </c>
      <c r="D75" t="s">
        <v>238</v>
      </c>
      <c r="E75" t="s">
        <v>203</v>
      </c>
      <c r="F75" t="s">
        <v>202</v>
      </c>
      <c r="G75" t="s">
        <v>237</v>
      </c>
      <c r="H75" t="s">
        <v>238</v>
      </c>
      <c r="I75" t="s">
        <v>238</v>
      </c>
      <c r="J75" t="s">
        <v>238</v>
      </c>
      <c r="K75" t="s">
        <v>238</v>
      </c>
      <c r="L75">
        <v>20.527077553445501</v>
      </c>
      <c r="M75"/>
      <c r="N75">
        <v>42.184469311385001</v>
      </c>
      <c r="O75"/>
      <c r="P75">
        <v>6.6019088210346704</v>
      </c>
      <c r="Q75"/>
      <c r="R75">
        <v>25.260999989859801</v>
      </c>
      <c r="S75">
        <v>11.1995521527012</v>
      </c>
      <c r="T75"/>
      <c r="U75">
        <v>17.657511036555</v>
      </c>
      <c r="V75">
        <v>5.6697277559878598</v>
      </c>
      <c r="W75">
        <v>20.527077553445501</v>
      </c>
      <c r="X75">
        <v>91.851086185359804</v>
      </c>
      <c r="Y75">
        <v>17.0761158677773</v>
      </c>
      <c r="Z75">
        <v>32.664252202903</v>
      </c>
      <c r="AA75">
        <v>42.184469311385001</v>
      </c>
      <c r="AB75">
        <v>10.5305960293705</v>
      </c>
      <c r="AC75">
        <v>38.282574886307501</v>
      </c>
      <c r="AD75">
        <v>21.274865988777201</v>
      </c>
      <c r="AE75">
        <v>5.8481464522486002</v>
      </c>
      <c r="AF75">
        <v>42.184469311385001</v>
      </c>
      <c r="AG75">
        <v>16.0480159162361</v>
      </c>
      <c r="AH75">
        <v>156.34583609258101</v>
      </c>
      <c r="AI75">
        <v>32.795361387189701</v>
      </c>
      <c r="AJ75">
        <v>20.527077553445501</v>
      </c>
      <c r="AK75">
        <v>24.874082146975098</v>
      </c>
      <c r="AL75"/>
      <c r="AM75">
        <v>55.842911899726701</v>
      </c>
      <c r="AN75">
        <v>13.520154801040301</v>
      </c>
      <c r="AO75">
        <v>18.5254893918537</v>
      </c>
      <c r="AP75"/>
      <c r="AQ75">
        <v>5.3014200824072004</v>
      </c>
      <c r="AR75">
        <v>42.184469311385001</v>
      </c>
      <c r="AS75">
        <v>7.7675132482023397</v>
      </c>
      <c r="AT75">
        <v>32.140698549811098</v>
      </c>
      <c r="AU75"/>
      <c r="AV75">
        <v>48.156911536428403</v>
      </c>
      <c r="AW75" t="s">
        <v>238</v>
      </c>
    </row>
    <row r="76" spans="1:49" ht="12.75">
      <c r="A76" t="s">
        <v>240</v>
      </c>
      <c r="B76" t="s">
        <v>30</v>
      </c>
      <c r="C76" t="s">
        <v>71</v>
      </c>
      <c r="D76" t="s">
        <v>238</v>
      </c>
      <c r="E76" t="s">
        <v>203</v>
      </c>
      <c r="F76" t="s">
        <v>202</v>
      </c>
      <c r="G76" t="s">
        <v>237</v>
      </c>
      <c r="H76" t="s">
        <v>238</v>
      </c>
      <c r="I76" t="s">
        <v>238</v>
      </c>
      <c r="J76" t="s">
        <v>238</v>
      </c>
      <c r="K76" t="s">
        <v>238</v>
      </c>
      <c r="L76"/>
      <c r="M76"/>
      <c r="N76"/>
      <c r="O76"/>
      <c r="P76"/>
      <c r="Q76">
        <v>13.7096791532894</v>
      </c>
      <c r="R76"/>
      <c r="S76"/>
      <c r="T76">
        <v>26.398945369338801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10.654116078840101</v>
      </c>
      <c r="AN76"/>
      <c r="AO76"/>
      <c r="AP76"/>
      <c r="AQ76"/>
      <c r="AR76"/>
      <c r="AS76"/>
      <c r="AT76"/>
      <c r="AU76"/>
      <c r="AV76"/>
      <c r="AW76" t="s">
        <v>238</v>
      </c>
    </row>
    <row r="77" spans="1:49" ht="12.75">
      <c r="A77" t="s">
        <v>240</v>
      </c>
      <c r="B77" t="s">
        <v>30</v>
      </c>
      <c r="C77" t="s">
        <v>205</v>
      </c>
      <c r="D77" t="s">
        <v>238</v>
      </c>
      <c r="E77" t="s">
        <v>203</v>
      </c>
      <c r="F77" t="s">
        <v>202</v>
      </c>
      <c r="G77" t="s">
        <v>237</v>
      </c>
      <c r="H77" t="s">
        <v>238</v>
      </c>
      <c r="I77" t="s">
        <v>238</v>
      </c>
      <c r="J77" t="s">
        <v>238</v>
      </c>
      <c r="K77" t="s">
        <v>238</v>
      </c>
      <c r="L77">
        <v>21.486584748049701</v>
      </c>
      <c r="M77">
        <v>35.614100468510898</v>
      </c>
      <c r="N77">
        <v>33.003087063524397</v>
      </c>
      <c r="O77">
        <v>22.067710513481799</v>
      </c>
      <c r="P77">
        <v>10.033842399063101</v>
      </c>
      <c r="Q77">
        <v>13.8805170508109</v>
      </c>
      <c r="R77">
        <v>16.622691349572001</v>
      </c>
      <c r="S77">
        <v>18.591443622826102</v>
      </c>
      <c r="T77">
        <v>22.085670997916299</v>
      </c>
      <c r="U77">
        <v>28.0699338606072</v>
      </c>
      <c r="V77">
        <v>22.754270406549299</v>
      </c>
      <c r="W77">
        <v>21.486584748049701</v>
      </c>
      <c r="X77">
        <v>5.2471854015496602</v>
      </c>
      <c r="Y77">
        <v>16.0973231917859</v>
      </c>
      <c r="Z77">
        <v>19.134382646872499</v>
      </c>
      <c r="AA77">
        <v>33.003087063524397</v>
      </c>
      <c r="AB77">
        <v>24.279792931373098</v>
      </c>
      <c r="AC77">
        <v>50.308454844194102</v>
      </c>
      <c r="AD77">
        <v>17.0508823040938</v>
      </c>
      <c r="AE77">
        <v>22.293931022226701</v>
      </c>
      <c r="AF77">
        <v>33.003087063524397</v>
      </c>
      <c r="AG77">
        <v>21.037093562088401</v>
      </c>
      <c r="AH77">
        <v>148.15590955150901</v>
      </c>
      <c r="AI77">
        <v>40.243872277319397</v>
      </c>
      <c r="AJ77">
        <v>21.486584748049701</v>
      </c>
      <c r="AK77">
        <v>29.506745368165401</v>
      </c>
      <c r="AL77">
        <v>5.03151459125095</v>
      </c>
      <c r="AM77">
        <v>23.376997486467701</v>
      </c>
      <c r="AN77">
        <v>22.145325321043899</v>
      </c>
      <c r="AO77">
        <v>10.092945370533499</v>
      </c>
      <c r="AP77">
        <v>17.2548893861793</v>
      </c>
      <c r="AQ77">
        <v>13.4355009663301</v>
      </c>
      <c r="AR77">
        <v>33.003087063524397</v>
      </c>
      <c r="AS77">
        <v>28.965916606556799</v>
      </c>
      <c r="AT77">
        <v>40.540523129910298</v>
      </c>
      <c r="AU77">
        <v>18.320939540396601</v>
      </c>
      <c r="AV77">
        <v>21.3563800671437</v>
      </c>
      <c r="AW77" t="s">
        <v>238</v>
      </c>
    </row>
    <row r="78" spans="1:49" ht="12.75">
      <c r="A78" t="s">
        <v>240</v>
      </c>
      <c r="B78" t="s">
        <v>30</v>
      </c>
      <c r="C78" t="s">
        <v>208</v>
      </c>
      <c r="D78" t="s">
        <v>238</v>
      </c>
      <c r="E78" t="s">
        <v>203</v>
      </c>
      <c r="F78" t="s">
        <v>202</v>
      </c>
      <c r="G78" t="s">
        <v>237</v>
      </c>
      <c r="H78" t="s">
        <v>238</v>
      </c>
      <c r="I78" t="s">
        <v>238</v>
      </c>
      <c r="J78" t="s">
        <v>238</v>
      </c>
      <c r="K78" t="s">
        <v>238</v>
      </c>
      <c r="L78">
        <v>15.109813351659801</v>
      </c>
      <c r="M78">
        <v>21.288196384263799</v>
      </c>
      <c r="N78">
        <v>23.753692793365001</v>
      </c>
      <c r="O78">
        <v>5.9949092065691403</v>
      </c>
      <c r="P78">
        <v>10.3738011367706</v>
      </c>
      <c r="Q78">
        <v>9.7831353866159994</v>
      </c>
      <c r="R78">
        <v>14.054175587048</v>
      </c>
      <c r="S78">
        <v>11.1713473818292</v>
      </c>
      <c r="T78">
        <v>14.4649606266766</v>
      </c>
      <c r="U78">
        <v>17.279089044774999</v>
      </c>
      <c r="V78">
        <v>15.8305235940675</v>
      </c>
      <c r="W78">
        <v>15.109813351659801</v>
      </c>
      <c r="X78">
        <v>0.840801522921234</v>
      </c>
      <c r="Y78">
        <v>7.2490837309838296</v>
      </c>
      <c r="Z78">
        <v>26.374219940342201</v>
      </c>
      <c r="AA78">
        <v>23.753692793365001</v>
      </c>
      <c r="AB78">
        <v>12.8865198650668</v>
      </c>
      <c r="AC78">
        <v>39.423867570026999</v>
      </c>
      <c r="AD78">
        <v>11.584974407499599</v>
      </c>
      <c r="AE78">
        <v>11.550832670949699</v>
      </c>
      <c r="AF78">
        <v>23.753692793365001</v>
      </c>
      <c r="AG78">
        <v>5.4670076083707402</v>
      </c>
      <c r="AH78">
        <v>98.418932416963202</v>
      </c>
      <c r="AI78">
        <v>27.754772306555498</v>
      </c>
      <c r="AJ78">
        <v>15.109813351659801</v>
      </c>
      <c r="AK78">
        <v>13.023325050350101</v>
      </c>
      <c r="AL78">
        <v>11.533115073411899</v>
      </c>
      <c r="AM78">
        <v>12.8854582455693</v>
      </c>
      <c r="AN78">
        <v>10.130714412369</v>
      </c>
      <c r="AO78">
        <v>4.3840428760374301</v>
      </c>
      <c r="AP78">
        <v>11.8118496882158</v>
      </c>
      <c r="AQ78">
        <v>7.4305456097544997</v>
      </c>
      <c r="AR78">
        <v>23.753692793365001</v>
      </c>
      <c r="AS78">
        <v>10.540587303090501</v>
      </c>
      <c r="AT78">
        <v>40.920709413244701</v>
      </c>
      <c r="AU78">
        <v>13.346382329003999</v>
      </c>
      <c r="AV78">
        <v>16.953355980639301</v>
      </c>
      <c r="AW78" t="s">
        <v>238</v>
      </c>
    </row>
    <row r="79" spans="1:49" ht="12.75">
      <c r="A79" t="s">
        <v>240</v>
      </c>
      <c r="B79" t="s">
        <v>30</v>
      </c>
      <c r="C79" t="s">
        <v>207</v>
      </c>
      <c r="D79" t="s">
        <v>238</v>
      </c>
      <c r="E79" t="s">
        <v>203</v>
      </c>
      <c r="F79" t="s">
        <v>202</v>
      </c>
      <c r="G79" t="s">
        <v>237</v>
      </c>
      <c r="H79" t="s">
        <v>238</v>
      </c>
      <c r="I79" t="s">
        <v>238</v>
      </c>
      <c r="J79" t="s">
        <v>238</v>
      </c>
      <c r="K79" t="s">
        <v>238</v>
      </c>
      <c r="L79"/>
      <c r="M79"/>
      <c r="N79"/>
      <c r="O79"/>
      <c r="P79"/>
      <c r="Q79"/>
      <c r="R79"/>
      <c r="S79"/>
      <c r="T79">
        <v>18.696217922535801</v>
      </c>
      <c r="U79">
        <v>14.3865908909723</v>
      </c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23.244303740467402</v>
      </c>
      <c r="AJ79"/>
      <c r="AK79"/>
      <c r="AL79"/>
      <c r="AM79">
        <v>16.066108133822802</v>
      </c>
      <c r="AN79"/>
      <c r="AO79">
        <v>8.2811861014813797</v>
      </c>
      <c r="AP79">
        <v>13.661108598079</v>
      </c>
      <c r="AQ79"/>
      <c r="AR79"/>
      <c r="AS79"/>
      <c r="AT79"/>
      <c r="AU79"/>
      <c r="AV79">
        <v>38.0625634040018</v>
      </c>
      <c r="AW79" t="s">
        <v>238</v>
      </c>
    </row>
    <row r="80" spans="1:49" ht="12.75">
      <c r="A80" t="s">
        <v>240</v>
      </c>
      <c r="B80" t="s">
        <v>30</v>
      </c>
      <c r="C80" t="s">
        <v>206</v>
      </c>
      <c r="D80" t="s">
        <v>238</v>
      </c>
      <c r="E80" t="s">
        <v>203</v>
      </c>
      <c r="F80" t="s">
        <v>202</v>
      </c>
      <c r="G80" t="s">
        <v>237</v>
      </c>
      <c r="H80" t="s">
        <v>238</v>
      </c>
      <c r="I80" t="s">
        <v>238</v>
      </c>
      <c r="J80" t="s">
        <v>238</v>
      </c>
      <c r="K80" t="s">
        <v>238</v>
      </c>
      <c r="L80">
        <v>3.0595050267446799</v>
      </c>
      <c r="M80">
        <v>1.5659906112170501</v>
      </c>
      <c r="N80">
        <v>6.7674854243124702</v>
      </c>
      <c r="O80">
        <v>0.53522085798034202</v>
      </c>
      <c r="P80">
        <v>1.1910728367518399</v>
      </c>
      <c r="Q80">
        <v>1.3524993024177501</v>
      </c>
      <c r="R80">
        <v>5.6488064473686501</v>
      </c>
      <c r="S80">
        <v>2.15033481324723</v>
      </c>
      <c r="T80">
        <v>2.7418781467083901</v>
      </c>
      <c r="U80">
        <v>1.75315116893009</v>
      </c>
      <c r="V80"/>
      <c r="W80">
        <v>3.0595050267446799</v>
      </c>
      <c r="X80">
        <v>2.7667343908509601</v>
      </c>
      <c r="Y80">
        <v>1.3416393648706</v>
      </c>
      <c r="Z80">
        <v>2.88422664324156</v>
      </c>
      <c r="AA80">
        <v>6.7674854243124702</v>
      </c>
      <c r="AB80">
        <v>2.3390040540945098</v>
      </c>
      <c r="AC80">
        <v>13.301357437826001</v>
      </c>
      <c r="AD80"/>
      <c r="AE80">
        <v>4.7235230506383301</v>
      </c>
      <c r="AF80">
        <v>6.7674854243124702</v>
      </c>
      <c r="AG80">
        <v>1.64368201541536</v>
      </c>
      <c r="AH80">
        <v>4.8530789123324798</v>
      </c>
      <c r="AI80">
        <v>2.2186425099624598</v>
      </c>
      <c r="AJ80">
        <v>3.0595050267446799</v>
      </c>
      <c r="AK80"/>
      <c r="AL80">
        <v>3.94451367887772</v>
      </c>
      <c r="AM80">
        <v>1.4421043952988</v>
      </c>
      <c r="AN80">
        <v>2.2901493667359798</v>
      </c>
      <c r="AO80">
        <v>1.0083866953562901</v>
      </c>
      <c r="AP80">
        <v>2.8941498150512399</v>
      </c>
      <c r="AQ80">
        <v>1.07487178866765</v>
      </c>
      <c r="AR80">
        <v>6.7674854243124702</v>
      </c>
      <c r="AS80">
        <v>1.2266647323567601</v>
      </c>
      <c r="AT80">
        <v>3.1772114825955802</v>
      </c>
      <c r="AU80">
        <v>1.7340622981087099</v>
      </c>
      <c r="AV80">
        <v>3.58163121318765</v>
      </c>
      <c r="AW80" t="s">
        <v>238</v>
      </c>
    </row>
    <row r="81" spans="1:49" ht="12.75">
      <c r="A81" t="s">
        <v>240</v>
      </c>
      <c r="B81" t="s">
        <v>30</v>
      </c>
      <c r="C81" t="s">
        <v>204</v>
      </c>
      <c r="D81" t="s">
        <v>238</v>
      </c>
      <c r="E81" t="s">
        <v>203</v>
      </c>
      <c r="F81" t="s">
        <v>202</v>
      </c>
      <c r="G81" t="s">
        <v>237</v>
      </c>
      <c r="H81" t="s">
        <v>238</v>
      </c>
      <c r="I81" t="s">
        <v>238</v>
      </c>
      <c r="J81" t="s">
        <v>238</v>
      </c>
      <c r="K81" t="s">
        <v>238</v>
      </c>
      <c r="L81">
        <v>7.8760562666369296</v>
      </c>
      <c r="M81">
        <v>3.2445654120714198</v>
      </c>
      <c r="N81">
        <v>7.6462312480550301</v>
      </c>
      <c r="O81">
        <v>4.4298610833747603</v>
      </c>
      <c r="P81">
        <v>3.1484170140394299</v>
      </c>
      <c r="Q81">
        <v>3.0052331033668702</v>
      </c>
      <c r="R81">
        <v>5.3900111987146797</v>
      </c>
      <c r="S81">
        <v>4.0744282992761098</v>
      </c>
      <c r="T81">
        <v>3.0055854179905599</v>
      </c>
      <c r="U81">
        <v>3.7974360516926402</v>
      </c>
      <c r="V81">
        <v>4.7671192412664301</v>
      </c>
      <c r="W81">
        <v>7.8760562666369296</v>
      </c>
      <c r="X81">
        <v>5.9261677442778904</v>
      </c>
      <c r="Y81">
        <v>2.8686141582779898</v>
      </c>
      <c r="Z81">
        <v>7.7853274956903</v>
      </c>
      <c r="AA81">
        <v>7.6462312480550301</v>
      </c>
      <c r="AB81">
        <v>4.6885261033932704</v>
      </c>
      <c r="AC81">
        <v>18.374716862843901</v>
      </c>
      <c r="AD81">
        <v>2.15696790636897</v>
      </c>
      <c r="AE81">
        <v>5.30039647370167</v>
      </c>
      <c r="AF81">
        <v>7.6462312480550301</v>
      </c>
      <c r="AG81">
        <v>2.9819981741155499</v>
      </c>
      <c r="AH81">
        <v>15.9405295386183</v>
      </c>
      <c r="AI81">
        <v>3.1093269375706898</v>
      </c>
      <c r="AJ81">
        <v>7.8760562666369296</v>
      </c>
      <c r="AK81">
        <v>2.4954061911657601</v>
      </c>
      <c r="AL81">
        <v>4.0454531509860203</v>
      </c>
      <c r="AM81">
        <v>2.6064476377705699</v>
      </c>
      <c r="AN81">
        <v>4.6545641281048997</v>
      </c>
      <c r="AO81">
        <v>2.1108678970240602</v>
      </c>
      <c r="AP81">
        <v>5.0012979015064003</v>
      </c>
      <c r="AQ81">
        <v>2.3494097086909398</v>
      </c>
      <c r="AR81">
        <v>7.6462312480550301</v>
      </c>
      <c r="AS81">
        <v>2.7978689634781202</v>
      </c>
      <c r="AT81">
        <v>3.9710831115954699</v>
      </c>
      <c r="AU81">
        <v>3.1108676086348699</v>
      </c>
      <c r="AV81">
        <v>6.1446707545172501</v>
      </c>
      <c r="AW81" t="s">
        <v>238</v>
      </c>
    </row>
    <row r="82" spans="1:49" ht="12.75">
      <c r="A82" t="s">
        <v>240</v>
      </c>
      <c r="B82" t="s">
        <v>70</v>
      </c>
      <c r="C82" t="s">
        <v>239</v>
      </c>
      <c r="D82" t="s">
        <v>238</v>
      </c>
      <c r="E82" t="s">
        <v>238</v>
      </c>
      <c r="F82" t="s">
        <v>238</v>
      </c>
      <c r="G82" t="s">
        <v>238</v>
      </c>
      <c r="H82" t="s">
        <v>238</v>
      </c>
      <c r="I82" t="s">
        <v>238</v>
      </c>
      <c r="J82" t="s">
        <v>238</v>
      </c>
      <c r="K82" t="s">
        <v>238</v>
      </c>
      <c r="L82">
        <v>0.001</v>
      </c>
      <c r="M82">
        <v>0.001</v>
      </c>
      <c r="N82">
        <v>0.001</v>
      </c>
      <c r="O82">
        <v>0.001</v>
      </c>
      <c r="P82">
        <v>0.001</v>
      </c>
      <c r="Q82">
        <v>0.001</v>
      </c>
      <c r="R82">
        <v>0.001</v>
      </c>
      <c r="S82">
        <v>0.001</v>
      </c>
      <c r="T82">
        <v>0.001</v>
      </c>
      <c r="U82">
        <v>0.001</v>
      </c>
      <c r="V82">
        <v>0.001</v>
      </c>
      <c r="W82">
        <v>0.001</v>
      </c>
      <c r="X82">
        <v>0.001</v>
      </c>
      <c r="Y82">
        <v>0.001</v>
      </c>
      <c r="Z82">
        <v>0.001</v>
      </c>
      <c r="AA82">
        <v>0.001</v>
      </c>
      <c r="AB82">
        <v>0.001</v>
      </c>
      <c r="AC82">
        <v>0.001</v>
      </c>
      <c r="AD82">
        <v>0.001</v>
      </c>
      <c r="AE82">
        <v>0.001</v>
      </c>
      <c r="AF82">
        <v>0.001</v>
      </c>
      <c r="AG82">
        <v>0.001</v>
      </c>
      <c r="AH82">
        <v>0.001</v>
      </c>
      <c r="AI82">
        <v>0.001</v>
      </c>
      <c r="AJ82">
        <v>0.001</v>
      </c>
      <c r="AK82">
        <v>0.001</v>
      </c>
      <c r="AL82">
        <v>0.001</v>
      </c>
      <c r="AM82">
        <v>0.001</v>
      </c>
      <c r="AN82">
        <v>0.001</v>
      </c>
      <c r="AO82">
        <v>0.001</v>
      </c>
      <c r="AP82">
        <v>0.001</v>
      </c>
      <c r="AQ82">
        <v>0.001</v>
      </c>
      <c r="AR82">
        <v>0.001</v>
      </c>
      <c r="AS82">
        <v>0.001</v>
      </c>
      <c r="AT82">
        <v>0.001</v>
      </c>
      <c r="AU82">
        <v>0.001</v>
      </c>
      <c r="AV82">
        <v>0.001</v>
      </c>
      <c r="AW82" t="s">
        <v>238</v>
      </c>
    </row>
    <row r="83" spans="1:49" ht="12.75">
      <c r="A83" t="s">
        <v>240</v>
      </c>
      <c r="B83" t="s">
        <v>70</v>
      </c>
      <c r="C83" t="s">
        <v>236</v>
      </c>
      <c r="D83" t="s">
        <v>238</v>
      </c>
      <c r="E83" t="s">
        <v>238</v>
      </c>
      <c r="F83" t="s">
        <v>238</v>
      </c>
      <c r="G83" t="s">
        <v>238</v>
      </c>
      <c r="H83" t="s">
        <v>238</v>
      </c>
      <c r="I83" t="s">
        <v>238</v>
      </c>
      <c r="J83" t="s">
        <v>238</v>
      </c>
      <c r="K83" t="s">
        <v>238</v>
      </c>
      <c r="L83">
        <v>0.001</v>
      </c>
      <c r="M83">
        <v>0.001</v>
      </c>
      <c r="N83">
        <v>0.001</v>
      </c>
      <c r="O83">
        <v>0.001</v>
      </c>
      <c r="P83">
        <v>0.001</v>
      </c>
      <c r="Q83">
        <v>0.001</v>
      </c>
      <c r="R83">
        <v>0.001</v>
      </c>
      <c r="S83">
        <v>0.001</v>
      </c>
      <c r="T83">
        <v>0.001</v>
      </c>
      <c r="U83">
        <v>0.001</v>
      </c>
      <c r="V83">
        <v>0.001</v>
      </c>
      <c r="W83">
        <v>0.001</v>
      </c>
      <c r="X83">
        <v>0.001</v>
      </c>
      <c r="Y83">
        <v>0.001</v>
      </c>
      <c r="Z83">
        <v>0.001</v>
      </c>
      <c r="AA83">
        <v>0.001</v>
      </c>
      <c r="AB83">
        <v>0.001</v>
      </c>
      <c r="AC83">
        <v>0.001</v>
      </c>
      <c r="AD83">
        <v>0.001</v>
      </c>
      <c r="AE83">
        <v>0.001</v>
      </c>
      <c r="AF83">
        <v>0.001</v>
      </c>
      <c r="AG83">
        <v>0.001</v>
      </c>
      <c r="AH83">
        <v>0.001</v>
      </c>
      <c r="AI83">
        <v>0.001</v>
      </c>
      <c r="AJ83">
        <v>0.001</v>
      </c>
      <c r="AK83">
        <v>0.001</v>
      </c>
      <c r="AL83">
        <v>0.001</v>
      </c>
      <c r="AM83">
        <v>0.001</v>
      </c>
      <c r="AN83">
        <v>0.001</v>
      </c>
      <c r="AO83">
        <v>0.001</v>
      </c>
      <c r="AP83">
        <v>0.001</v>
      </c>
      <c r="AQ83">
        <v>0.001</v>
      </c>
      <c r="AR83">
        <v>0.001</v>
      </c>
      <c r="AS83">
        <v>0.001</v>
      </c>
      <c r="AT83">
        <v>0.001</v>
      </c>
      <c r="AU83">
        <v>0.001</v>
      </c>
      <c r="AV83">
        <v>0.001</v>
      </c>
      <c r="AW83" t="s">
        <v>238</v>
      </c>
    </row>
    <row r="84" spans="1:49" ht="12.75">
      <c r="A84" t="s">
        <v>240</v>
      </c>
      <c r="B84" t="s">
        <v>70</v>
      </c>
      <c r="C84" t="s">
        <v>56</v>
      </c>
      <c r="D84" t="s">
        <v>238</v>
      </c>
      <c r="E84" t="s">
        <v>238</v>
      </c>
      <c r="F84" t="s">
        <v>238</v>
      </c>
      <c r="G84" t="s">
        <v>238</v>
      </c>
      <c r="H84" t="s">
        <v>238</v>
      </c>
      <c r="I84" t="s">
        <v>238</v>
      </c>
      <c r="J84" t="s">
        <v>238</v>
      </c>
      <c r="K84" t="s">
        <v>238</v>
      </c>
      <c r="L84">
        <v>0.001</v>
      </c>
      <c r="M84">
        <v>0.001</v>
      </c>
      <c r="N84">
        <v>0.001</v>
      </c>
      <c r="O84">
        <v>0.001</v>
      </c>
      <c r="P84">
        <v>0.001</v>
      </c>
      <c r="Q84">
        <v>0.001</v>
      </c>
      <c r="R84">
        <v>0.001</v>
      </c>
      <c r="S84">
        <v>0.001</v>
      </c>
      <c r="T84">
        <v>0.001</v>
      </c>
      <c r="U84">
        <v>0.001</v>
      </c>
      <c r="V84">
        <v>0.001</v>
      </c>
      <c r="W84">
        <v>0.001</v>
      </c>
      <c r="X84">
        <v>0.001</v>
      </c>
      <c r="Y84">
        <v>0.001</v>
      </c>
      <c r="Z84">
        <v>0.001</v>
      </c>
      <c r="AA84">
        <v>0.001</v>
      </c>
      <c r="AB84">
        <v>0.001</v>
      </c>
      <c r="AC84">
        <v>0.001</v>
      </c>
      <c r="AD84">
        <v>0.001</v>
      </c>
      <c r="AE84">
        <v>0.001</v>
      </c>
      <c r="AF84">
        <v>0.001</v>
      </c>
      <c r="AG84">
        <v>0.001</v>
      </c>
      <c r="AH84">
        <v>0.001</v>
      </c>
      <c r="AI84">
        <v>0.001</v>
      </c>
      <c r="AJ84">
        <v>0.001</v>
      </c>
      <c r="AK84">
        <v>0.001</v>
      </c>
      <c r="AL84">
        <v>0.001</v>
      </c>
      <c r="AM84">
        <v>0.001</v>
      </c>
      <c r="AN84">
        <v>0.001</v>
      </c>
      <c r="AO84">
        <v>0.001</v>
      </c>
      <c r="AP84">
        <v>0.001</v>
      </c>
      <c r="AQ84">
        <v>0.001</v>
      </c>
      <c r="AR84">
        <v>0.001</v>
      </c>
      <c r="AS84">
        <v>0.001</v>
      </c>
      <c r="AT84">
        <v>0.001</v>
      </c>
      <c r="AU84">
        <v>0.001</v>
      </c>
      <c r="AV84">
        <v>0.001</v>
      </c>
      <c r="AW84" t="s">
        <v>238</v>
      </c>
    </row>
    <row r="85" spans="1:49" ht="12.75">
      <c r="A85" t="s">
        <v>240</v>
      </c>
      <c r="B85" t="s">
        <v>70</v>
      </c>
      <c r="C85" t="s">
        <v>55</v>
      </c>
      <c r="D85" t="s">
        <v>238</v>
      </c>
      <c r="E85" t="s">
        <v>238</v>
      </c>
      <c r="F85" t="s">
        <v>238</v>
      </c>
      <c r="G85" t="s">
        <v>238</v>
      </c>
      <c r="H85" t="s">
        <v>238</v>
      </c>
      <c r="I85" t="s">
        <v>238</v>
      </c>
      <c r="J85" t="s">
        <v>238</v>
      </c>
      <c r="K85" t="s">
        <v>238</v>
      </c>
      <c r="L85">
        <v>0.001</v>
      </c>
      <c r="M85">
        <v>0.001</v>
      </c>
      <c r="N85">
        <v>0.001</v>
      </c>
      <c r="O85">
        <v>0.001</v>
      </c>
      <c r="P85">
        <v>0.001</v>
      </c>
      <c r="Q85">
        <v>0.001</v>
      </c>
      <c r="R85">
        <v>0.001</v>
      </c>
      <c r="S85">
        <v>0.001</v>
      </c>
      <c r="T85">
        <v>0.001</v>
      </c>
      <c r="U85">
        <v>0.001</v>
      </c>
      <c r="V85">
        <v>0.001</v>
      </c>
      <c r="W85">
        <v>0.001</v>
      </c>
      <c r="X85">
        <v>0.001</v>
      </c>
      <c r="Y85">
        <v>0.001</v>
      </c>
      <c r="Z85">
        <v>0.001</v>
      </c>
      <c r="AA85">
        <v>0.001</v>
      </c>
      <c r="AB85">
        <v>0.001</v>
      </c>
      <c r="AC85">
        <v>0.001</v>
      </c>
      <c r="AD85">
        <v>0.001</v>
      </c>
      <c r="AE85">
        <v>0.001</v>
      </c>
      <c r="AF85">
        <v>0.001</v>
      </c>
      <c r="AG85">
        <v>0.001</v>
      </c>
      <c r="AH85">
        <v>0.001</v>
      </c>
      <c r="AI85">
        <v>0.001</v>
      </c>
      <c r="AJ85">
        <v>0.001</v>
      </c>
      <c r="AK85">
        <v>0.001</v>
      </c>
      <c r="AL85">
        <v>0.001</v>
      </c>
      <c r="AM85">
        <v>0.001</v>
      </c>
      <c r="AN85">
        <v>0.001</v>
      </c>
      <c r="AO85">
        <v>0.001</v>
      </c>
      <c r="AP85">
        <v>0.001</v>
      </c>
      <c r="AQ85">
        <v>0.001</v>
      </c>
      <c r="AR85">
        <v>0.001</v>
      </c>
      <c r="AS85">
        <v>0.001</v>
      </c>
      <c r="AT85">
        <v>0.001</v>
      </c>
      <c r="AU85">
        <v>0.001</v>
      </c>
      <c r="AV85">
        <v>0.001</v>
      </c>
      <c r="AW85" t="s">
        <v>238</v>
      </c>
    </row>
    <row r="86" spans="1:49" ht="12.75">
      <c r="A86" t="s">
        <v>240</v>
      </c>
      <c r="B86" t="s">
        <v>70</v>
      </c>
      <c r="C86" t="s">
        <v>75</v>
      </c>
      <c r="D86" t="s">
        <v>238</v>
      </c>
      <c r="E86" t="s">
        <v>238</v>
      </c>
      <c r="F86" t="s">
        <v>238</v>
      </c>
      <c r="G86" t="s">
        <v>238</v>
      </c>
      <c r="H86" t="s">
        <v>238</v>
      </c>
      <c r="I86" t="s">
        <v>238</v>
      </c>
      <c r="J86" t="s">
        <v>238</v>
      </c>
      <c r="K86" t="s">
        <v>238</v>
      </c>
      <c r="L86">
        <v>0.001</v>
      </c>
      <c r="M86">
        <v>0.001</v>
      </c>
      <c r="N86">
        <v>0.001</v>
      </c>
      <c r="O86">
        <v>0.001</v>
      </c>
      <c r="P86">
        <v>0.001</v>
      </c>
      <c r="Q86">
        <v>0.001</v>
      </c>
      <c r="R86">
        <v>0.001</v>
      </c>
      <c r="S86">
        <v>0.001</v>
      </c>
      <c r="T86">
        <v>0.001</v>
      </c>
      <c r="U86">
        <v>0.001</v>
      </c>
      <c r="V86">
        <v>0.001</v>
      </c>
      <c r="W86">
        <v>0.001</v>
      </c>
      <c r="X86">
        <v>0.001</v>
      </c>
      <c r="Y86">
        <v>0.001</v>
      </c>
      <c r="Z86">
        <v>0.001</v>
      </c>
      <c r="AA86">
        <v>0.001</v>
      </c>
      <c r="AB86">
        <v>0.001</v>
      </c>
      <c r="AC86">
        <v>0.001</v>
      </c>
      <c r="AD86">
        <v>0.001</v>
      </c>
      <c r="AE86">
        <v>0.001</v>
      </c>
      <c r="AF86">
        <v>0.001</v>
      </c>
      <c r="AG86">
        <v>0.001</v>
      </c>
      <c r="AH86">
        <v>0.001</v>
      </c>
      <c r="AI86">
        <v>0.001</v>
      </c>
      <c r="AJ86">
        <v>0.001</v>
      </c>
      <c r="AK86">
        <v>0.001</v>
      </c>
      <c r="AL86">
        <v>0.001</v>
      </c>
      <c r="AM86">
        <v>0.001</v>
      </c>
      <c r="AN86">
        <v>0.001</v>
      </c>
      <c r="AO86">
        <v>0.001</v>
      </c>
      <c r="AP86">
        <v>0.001</v>
      </c>
      <c r="AQ86">
        <v>0.001</v>
      </c>
      <c r="AR86">
        <v>0.001</v>
      </c>
      <c r="AS86">
        <v>0.001</v>
      </c>
      <c r="AT86">
        <v>0.001</v>
      </c>
      <c r="AU86">
        <v>0.001</v>
      </c>
      <c r="AV86">
        <v>0.001</v>
      </c>
      <c r="AW86" t="s">
        <v>238</v>
      </c>
    </row>
    <row r="87" spans="1:49" ht="12.75">
      <c r="A87" t="s">
        <v>240</v>
      </c>
      <c r="B87" t="s">
        <v>70</v>
      </c>
      <c r="C87" t="s">
        <v>74</v>
      </c>
      <c r="D87" t="s">
        <v>238</v>
      </c>
      <c r="E87" t="s">
        <v>238</v>
      </c>
      <c r="F87" t="s">
        <v>238</v>
      </c>
      <c r="G87" t="s">
        <v>238</v>
      </c>
      <c r="H87" t="s">
        <v>238</v>
      </c>
      <c r="I87" t="s">
        <v>238</v>
      </c>
      <c r="J87" t="s">
        <v>238</v>
      </c>
      <c r="K87" t="s">
        <v>238</v>
      </c>
      <c r="L87">
        <v>0.001</v>
      </c>
      <c r="M87">
        <v>0.001</v>
      </c>
      <c r="N87">
        <v>0.001</v>
      </c>
      <c r="O87">
        <v>0.001</v>
      </c>
      <c r="P87">
        <v>0.001</v>
      </c>
      <c r="Q87">
        <v>0.001</v>
      </c>
      <c r="R87">
        <v>0.001</v>
      </c>
      <c r="S87">
        <v>0.001</v>
      </c>
      <c r="T87">
        <v>0.001</v>
      </c>
      <c r="U87">
        <v>0.001</v>
      </c>
      <c r="V87">
        <v>0.001</v>
      </c>
      <c r="W87">
        <v>0.001</v>
      </c>
      <c r="X87">
        <v>0.001</v>
      </c>
      <c r="Y87">
        <v>0.001</v>
      </c>
      <c r="Z87">
        <v>0.001</v>
      </c>
      <c r="AA87">
        <v>0.001</v>
      </c>
      <c r="AB87">
        <v>0.001</v>
      </c>
      <c r="AC87">
        <v>0.001</v>
      </c>
      <c r="AD87">
        <v>0.001</v>
      </c>
      <c r="AE87">
        <v>0.001</v>
      </c>
      <c r="AF87">
        <v>0.001</v>
      </c>
      <c r="AG87">
        <v>0.001</v>
      </c>
      <c r="AH87">
        <v>0.001</v>
      </c>
      <c r="AI87">
        <v>0.001</v>
      </c>
      <c r="AJ87">
        <v>0.001</v>
      </c>
      <c r="AK87">
        <v>0.001</v>
      </c>
      <c r="AL87">
        <v>0.001</v>
      </c>
      <c r="AM87">
        <v>0.001</v>
      </c>
      <c r="AN87">
        <v>0.001</v>
      </c>
      <c r="AO87">
        <v>0.001</v>
      </c>
      <c r="AP87">
        <v>0.001</v>
      </c>
      <c r="AQ87">
        <v>0.001</v>
      </c>
      <c r="AR87">
        <v>0.001</v>
      </c>
      <c r="AS87">
        <v>0.001</v>
      </c>
      <c r="AT87">
        <v>0.001</v>
      </c>
      <c r="AU87">
        <v>0.001</v>
      </c>
      <c r="AV87">
        <v>0.001</v>
      </c>
      <c r="AW87" t="s">
        <v>238</v>
      </c>
    </row>
    <row r="88" spans="1:49" ht="12.75">
      <c r="A88" t="s">
        <v>240</v>
      </c>
      <c r="B88" t="s">
        <v>70</v>
      </c>
      <c r="C88" t="s">
        <v>54</v>
      </c>
      <c r="D88" t="s">
        <v>238</v>
      </c>
      <c r="E88" t="s">
        <v>238</v>
      </c>
      <c r="F88" t="s">
        <v>238</v>
      </c>
      <c r="G88" t="s">
        <v>238</v>
      </c>
      <c r="H88" t="s">
        <v>238</v>
      </c>
      <c r="I88" t="s">
        <v>238</v>
      </c>
      <c r="J88" t="s">
        <v>238</v>
      </c>
      <c r="K88" t="s">
        <v>238</v>
      </c>
      <c r="L88">
        <v>0.001</v>
      </c>
      <c r="M88">
        <v>0.001</v>
      </c>
      <c r="N88">
        <v>0.001</v>
      </c>
      <c r="O88">
        <v>0.001</v>
      </c>
      <c r="P88">
        <v>0.001</v>
      </c>
      <c r="Q88">
        <v>0.001</v>
      </c>
      <c r="R88">
        <v>0.001</v>
      </c>
      <c r="S88">
        <v>0.001</v>
      </c>
      <c r="T88">
        <v>0.001</v>
      </c>
      <c r="U88">
        <v>0.001</v>
      </c>
      <c r="V88">
        <v>0.001</v>
      </c>
      <c r="W88">
        <v>0.001</v>
      </c>
      <c r="X88">
        <v>0.001</v>
      </c>
      <c r="Y88">
        <v>0.001</v>
      </c>
      <c r="Z88">
        <v>0.001</v>
      </c>
      <c r="AA88">
        <v>0.001</v>
      </c>
      <c r="AB88">
        <v>0.001</v>
      </c>
      <c r="AC88">
        <v>0.001</v>
      </c>
      <c r="AD88">
        <v>0.001</v>
      </c>
      <c r="AE88">
        <v>0.001</v>
      </c>
      <c r="AF88">
        <v>0.001</v>
      </c>
      <c r="AG88">
        <v>0.001</v>
      </c>
      <c r="AH88">
        <v>0.001</v>
      </c>
      <c r="AI88">
        <v>0.001</v>
      </c>
      <c r="AJ88">
        <v>0.001</v>
      </c>
      <c r="AK88">
        <v>0.001</v>
      </c>
      <c r="AL88">
        <v>0.001</v>
      </c>
      <c r="AM88">
        <v>0.001</v>
      </c>
      <c r="AN88">
        <v>0.001</v>
      </c>
      <c r="AO88">
        <v>0.001</v>
      </c>
      <c r="AP88">
        <v>0.001</v>
      </c>
      <c r="AQ88">
        <v>0.001</v>
      </c>
      <c r="AR88">
        <v>0.001</v>
      </c>
      <c r="AS88">
        <v>0.001</v>
      </c>
      <c r="AT88">
        <v>0.001</v>
      </c>
      <c r="AU88">
        <v>0.001</v>
      </c>
      <c r="AV88">
        <v>0.001</v>
      </c>
      <c r="AW88" t="s">
        <v>238</v>
      </c>
    </row>
    <row r="89" spans="1:49" ht="12.75">
      <c r="A89" t="s">
        <v>240</v>
      </c>
      <c r="B89" t="s">
        <v>70</v>
      </c>
      <c r="C89" t="s">
        <v>53</v>
      </c>
      <c r="D89" t="s">
        <v>238</v>
      </c>
      <c r="E89" t="s">
        <v>238</v>
      </c>
      <c r="F89" t="s">
        <v>238</v>
      </c>
      <c r="G89" t="s">
        <v>238</v>
      </c>
      <c r="H89" t="s">
        <v>238</v>
      </c>
      <c r="I89" t="s">
        <v>238</v>
      </c>
      <c r="J89" t="s">
        <v>238</v>
      </c>
      <c r="K89" t="s">
        <v>238</v>
      </c>
      <c r="L89">
        <v>0.001</v>
      </c>
      <c r="M89">
        <v>0.001</v>
      </c>
      <c r="N89">
        <v>0.001</v>
      </c>
      <c r="O89">
        <v>0.001</v>
      </c>
      <c r="P89">
        <v>0.001</v>
      </c>
      <c r="Q89">
        <v>0.001</v>
      </c>
      <c r="R89">
        <v>0.001</v>
      </c>
      <c r="S89">
        <v>0.001</v>
      </c>
      <c r="T89">
        <v>0.001</v>
      </c>
      <c r="U89">
        <v>0.001</v>
      </c>
      <c r="V89">
        <v>0.001</v>
      </c>
      <c r="W89">
        <v>0.001</v>
      </c>
      <c r="X89">
        <v>0.001</v>
      </c>
      <c r="Y89">
        <v>0.001</v>
      </c>
      <c r="Z89">
        <v>0.001</v>
      </c>
      <c r="AA89">
        <v>0.001</v>
      </c>
      <c r="AB89">
        <v>0.001</v>
      </c>
      <c r="AC89">
        <v>0.001</v>
      </c>
      <c r="AD89">
        <v>0.001</v>
      </c>
      <c r="AE89">
        <v>0.001</v>
      </c>
      <c r="AF89">
        <v>0.001</v>
      </c>
      <c r="AG89">
        <v>0.001</v>
      </c>
      <c r="AH89">
        <v>0.001</v>
      </c>
      <c r="AI89">
        <v>0.001</v>
      </c>
      <c r="AJ89">
        <v>0.001</v>
      </c>
      <c r="AK89">
        <v>0.001</v>
      </c>
      <c r="AL89">
        <v>0.001</v>
      </c>
      <c r="AM89">
        <v>0.001</v>
      </c>
      <c r="AN89">
        <v>0.001</v>
      </c>
      <c r="AO89">
        <v>0.001</v>
      </c>
      <c r="AP89">
        <v>0.001</v>
      </c>
      <c r="AQ89">
        <v>0.001</v>
      </c>
      <c r="AR89">
        <v>0.001</v>
      </c>
      <c r="AS89">
        <v>0.001</v>
      </c>
      <c r="AT89">
        <v>0.001</v>
      </c>
      <c r="AU89">
        <v>0.001</v>
      </c>
      <c r="AV89">
        <v>0.001</v>
      </c>
      <c r="AW89" t="s">
        <v>238</v>
      </c>
    </row>
    <row r="90" spans="1:49" ht="12.75">
      <c r="A90" t="s">
        <v>240</v>
      </c>
      <c r="B90" t="s">
        <v>70</v>
      </c>
      <c r="C90" t="s">
        <v>57</v>
      </c>
      <c r="D90" t="s">
        <v>238</v>
      </c>
      <c r="E90" t="s">
        <v>238</v>
      </c>
      <c r="F90" t="s">
        <v>238</v>
      </c>
      <c r="G90" t="s">
        <v>238</v>
      </c>
      <c r="H90" t="s">
        <v>238</v>
      </c>
      <c r="I90" t="s">
        <v>238</v>
      </c>
      <c r="J90" t="s">
        <v>238</v>
      </c>
      <c r="K90" t="s">
        <v>238</v>
      </c>
      <c r="L90">
        <v>0.001</v>
      </c>
      <c r="M90">
        <v>0.001</v>
      </c>
      <c r="N90">
        <v>0.001</v>
      </c>
      <c r="O90">
        <v>0.001</v>
      </c>
      <c r="P90">
        <v>0.001</v>
      </c>
      <c r="Q90">
        <v>0.001</v>
      </c>
      <c r="R90">
        <v>0.001</v>
      </c>
      <c r="S90">
        <v>0.001</v>
      </c>
      <c r="T90">
        <v>0.001</v>
      </c>
      <c r="U90">
        <v>0.001</v>
      </c>
      <c r="V90">
        <v>0.001</v>
      </c>
      <c r="W90">
        <v>0.001</v>
      </c>
      <c r="X90">
        <v>0.001</v>
      </c>
      <c r="Y90">
        <v>0.001</v>
      </c>
      <c r="Z90">
        <v>0.001</v>
      </c>
      <c r="AA90">
        <v>0.001</v>
      </c>
      <c r="AB90">
        <v>0.001</v>
      </c>
      <c r="AC90">
        <v>0.001</v>
      </c>
      <c r="AD90">
        <v>0.001</v>
      </c>
      <c r="AE90">
        <v>0.001</v>
      </c>
      <c r="AF90">
        <v>0.001</v>
      </c>
      <c r="AG90">
        <v>0.001</v>
      </c>
      <c r="AH90">
        <v>0.001</v>
      </c>
      <c r="AI90">
        <v>0.001</v>
      </c>
      <c r="AJ90">
        <v>0.001</v>
      </c>
      <c r="AK90">
        <v>0.001</v>
      </c>
      <c r="AL90">
        <v>0.001</v>
      </c>
      <c r="AM90">
        <v>0.001</v>
      </c>
      <c r="AN90">
        <v>0.001</v>
      </c>
      <c r="AO90">
        <v>0.001</v>
      </c>
      <c r="AP90">
        <v>0.001</v>
      </c>
      <c r="AQ90">
        <v>0.001</v>
      </c>
      <c r="AR90">
        <v>0.001</v>
      </c>
      <c r="AS90">
        <v>0.001</v>
      </c>
      <c r="AT90">
        <v>0.001</v>
      </c>
      <c r="AU90">
        <v>0.001</v>
      </c>
      <c r="AV90">
        <v>0.001</v>
      </c>
      <c r="AW90" t="s">
        <v>238</v>
      </c>
    </row>
    <row r="91" spans="1:49" ht="12.75">
      <c r="A91" t="s">
        <v>240</v>
      </c>
      <c r="B91" t="s">
        <v>70</v>
      </c>
      <c r="C91" t="s">
        <v>58</v>
      </c>
      <c r="D91" t="s">
        <v>238</v>
      </c>
      <c r="E91" t="s">
        <v>238</v>
      </c>
      <c r="F91" t="s">
        <v>238</v>
      </c>
      <c r="G91" t="s">
        <v>238</v>
      </c>
      <c r="H91" t="s">
        <v>238</v>
      </c>
      <c r="I91" t="s">
        <v>238</v>
      </c>
      <c r="J91" t="s">
        <v>238</v>
      </c>
      <c r="K91" t="s">
        <v>238</v>
      </c>
      <c r="L91">
        <v>0.001</v>
      </c>
      <c r="M91">
        <v>0.001</v>
      </c>
      <c r="N91">
        <v>0.001</v>
      </c>
      <c r="O91">
        <v>0.001</v>
      </c>
      <c r="P91">
        <v>0.001</v>
      </c>
      <c r="Q91">
        <v>0.001</v>
      </c>
      <c r="R91">
        <v>0.001</v>
      </c>
      <c r="S91">
        <v>0.001</v>
      </c>
      <c r="T91">
        <v>0.001</v>
      </c>
      <c r="U91">
        <v>0.001</v>
      </c>
      <c r="V91">
        <v>0.001</v>
      </c>
      <c r="W91">
        <v>0.001</v>
      </c>
      <c r="X91">
        <v>0.001</v>
      </c>
      <c r="Y91">
        <v>0.001</v>
      </c>
      <c r="Z91">
        <v>0.001</v>
      </c>
      <c r="AA91">
        <v>0.001</v>
      </c>
      <c r="AB91">
        <v>0.001</v>
      </c>
      <c r="AC91">
        <v>0.001</v>
      </c>
      <c r="AD91">
        <v>0.001</v>
      </c>
      <c r="AE91">
        <v>0.001</v>
      </c>
      <c r="AF91">
        <v>0.001</v>
      </c>
      <c r="AG91">
        <v>0.001</v>
      </c>
      <c r="AH91">
        <v>0.001</v>
      </c>
      <c r="AI91">
        <v>0.001</v>
      </c>
      <c r="AJ91">
        <v>0.001</v>
      </c>
      <c r="AK91">
        <v>0.001</v>
      </c>
      <c r="AL91">
        <v>0.001</v>
      </c>
      <c r="AM91">
        <v>0.001</v>
      </c>
      <c r="AN91">
        <v>0.001</v>
      </c>
      <c r="AO91">
        <v>0.001</v>
      </c>
      <c r="AP91">
        <v>0.001</v>
      </c>
      <c r="AQ91">
        <v>0.001</v>
      </c>
      <c r="AR91">
        <v>0.001</v>
      </c>
      <c r="AS91">
        <v>0.001</v>
      </c>
      <c r="AT91">
        <v>0.001</v>
      </c>
      <c r="AU91">
        <v>0.001</v>
      </c>
      <c r="AV91">
        <v>0.001</v>
      </c>
      <c r="AW91" t="s">
        <v>238</v>
      </c>
    </row>
    <row r="92" spans="1:49" ht="12.75">
      <c r="A92" t="s">
        <v>240</v>
      </c>
      <c r="B92" t="s">
        <v>70</v>
      </c>
      <c r="C92" t="s">
        <v>59</v>
      </c>
      <c r="D92" t="s">
        <v>238</v>
      </c>
      <c r="E92" t="s">
        <v>238</v>
      </c>
      <c r="F92" t="s">
        <v>238</v>
      </c>
      <c r="G92" t="s">
        <v>238</v>
      </c>
      <c r="H92" t="s">
        <v>238</v>
      </c>
      <c r="I92" t="s">
        <v>238</v>
      </c>
      <c r="J92" t="s">
        <v>238</v>
      </c>
      <c r="K92" t="s">
        <v>238</v>
      </c>
      <c r="L92">
        <v>0.001</v>
      </c>
      <c r="M92">
        <v>0.001</v>
      </c>
      <c r="N92">
        <v>0.001</v>
      </c>
      <c r="O92">
        <v>0.001</v>
      </c>
      <c r="P92">
        <v>0.001</v>
      </c>
      <c r="Q92">
        <v>0.001</v>
      </c>
      <c r="R92">
        <v>0.001</v>
      </c>
      <c r="S92">
        <v>0.001</v>
      </c>
      <c r="T92">
        <v>0.001</v>
      </c>
      <c r="U92">
        <v>0.001</v>
      </c>
      <c r="V92">
        <v>0.001</v>
      </c>
      <c r="W92">
        <v>0.001</v>
      </c>
      <c r="X92">
        <v>0.001</v>
      </c>
      <c r="Y92">
        <v>0.001</v>
      </c>
      <c r="Z92">
        <v>0.001</v>
      </c>
      <c r="AA92">
        <v>0.001</v>
      </c>
      <c r="AB92">
        <v>0.001</v>
      </c>
      <c r="AC92">
        <v>0.001</v>
      </c>
      <c r="AD92">
        <v>0.001</v>
      </c>
      <c r="AE92">
        <v>0.001</v>
      </c>
      <c r="AF92">
        <v>0.001</v>
      </c>
      <c r="AG92">
        <v>0.001</v>
      </c>
      <c r="AH92">
        <v>0.001</v>
      </c>
      <c r="AI92">
        <v>0.001</v>
      </c>
      <c r="AJ92">
        <v>0.001</v>
      </c>
      <c r="AK92">
        <v>0.001</v>
      </c>
      <c r="AL92">
        <v>0.001</v>
      </c>
      <c r="AM92">
        <v>0.001</v>
      </c>
      <c r="AN92">
        <v>0.001</v>
      </c>
      <c r="AO92">
        <v>0.001</v>
      </c>
      <c r="AP92">
        <v>0.001</v>
      </c>
      <c r="AQ92">
        <v>0.001</v>
      </c>
      <c r="AR92">
        <v>0.001</v>
      </c>
      <c r="AS92">
        <v>0.001</v>
      </c>
      <c r="AT92">
        <v>0.001</v>
      </c>
      <c r="AU92">
        <v>0.001</v>
      </c>
      <c r="AV92">
        <v>0.001</v>
      </c>
      <c r="AW92" t="s">
        <v>238</v>
      </c>
    </row>
    <row r="93" spans="1:49" ht="12.75">
      <c r="A93" t="s">
        <v>240</v>
      </c>
      <c r="B93" t="s">
        <v>70</v>
      </c>
      <c r="C93" t="s">
        <v>60</v>
      </c>
      <c r="D93" t="s">
        <v>238</v>
      </c>
      <c r="E93" t="s">
        <v>238</v>
      </c>
      <c r="F93" t="s">
        <v>238</v>
      </c>
      <c r="G93" t="s">
        <v>238</v>
      </c>
      <c r="H93" t="s">
        <v>238</v>
      </c>
      <c r="I93" t="s">
        <v>238</v>
      </c>
      <c r="J93" t="s">
        <v>238</v>
      </c>
      <c r="K93" t="s">
        <v>238</v>
      </c>
      <c r="L93">
        <v>0.001</v>
      </c>
      <c r="M93">
        <v>0.001</v>
      </c>
      <c r="N93">
        <v>0.001</v>
      </c>
      <c r="O93">
        <v>0.001</v>
      </c>
      <c r="P93">
        <v>0.001</v>
      </c>
      <c r="Q93">
        <v>0.001</v>
      </c>
      <c r="R93">
        <v>0.001</v>
      </c>
      <c r="S93">
        <v>0.001</v>
      </c>
      <c r="T93">
        <v>0.001</v>
      </c>
      <c r="U93">
        <v>0.001</v>
      </c>
      <c r="V93">
        <v>0.001</v>
      </c>
      <c r="W93">
        <v>0.001</v>
      </c>
      <c r="X93">
        <v>0.001</v>
      </c>
      <c r="Y93">
        <v>0.001</v>
      </c>
      <c r="Z93">
        <v>0.001</v>
      </c>
      <c r="AA93">
        <v>0.001</v>
      </c>
      <c r="AB93">
        <v>0.001</v>
      </c>
      <c r="AC93">
        <v>0.001</v>
      </c>
      <c r="AD93">
        <v>0.001</v>
      </c>
      <c r="AE93">
        <v>0.001</v>
      </c>
      <c r="AF93">
        <v>0.001</v>
      </c>
      <c r="AG93">
        <v>0.001</v>
      </c>
      <c r="AH93">
        <v>0.001</v>
      </c>
      <c r="AI93">
        <v>0.001</v>
      </c>
      <c r="AJ93">
        <v>0.001</v>
      </c>
      <c r="AK93">
        <v>0.001</v>
      </c>
      <c r="AL93">
        <v>0.001</v>
      </c>
      <c r="AM93">
        <v>0.001</v>
      </c>
      <c r="AN93">
        <v>0.001</v>
      </c>
      <c r="AO93">
        <v>0.001</v>
      </c>
      <c r="AP93">
        <v>0.001</v>
      </c>
      <c r="AQ93">
        <v>0.001</v>
      </c>
      <c r="AR93">
        <v>0.001</v>
      </c>
      <c r="AS93">
        <v>0.001</v>
      </c>
      <c r="AT93">
        <v>0.001</v>
      </c>
      <c r="AU93">
        <v>0.001</v>
      </c>
      <c r="AV93">
        <v>0.001</v>
      </c>
      <c r="AW93" t="s">
        <v>238</v>
      </c>
    </row>
    <row r="94" spans="1:49" ht="12.75">
      <c r="A94" t="s">
        <v>240</v>
      </c>
      <c r="B94" t="s">
        <v>70</v>
      </c>
      <c r="C94" t="s">
        <v>61</v>
      </c>
      <c r="D94" t="s">
        <v>238</v>
      </c>
      <c r="E94" t="s">
        <v>238</v>
      </c>
      <c r="F94" t="s">
        <v>238</v>
      </c>
      <c r="G94" t="s">
        <v>238</v>
      </c>
      <c r="H94" t="s">
        <v>238</v>
      </c>
      <c r="I94" t="s">
        <v>238</v>
      </c>
      <c r="J94" t="s">
        <v>238</v>
      </c>
      <c r="K94" t="s">
        <v>238</v>
      </c>
      <c r="L94">
        <v>0.001</v>
      </c>
      <c r="M94">
        <v>0.001</v>
      </c>
      <c r="N94">
        <v>0.001</v>
      </c>
      <c r="O94">
        <v>0.001</v>
      </c>
      <c r="P94">
        <v>0.001</v>
      </c>
      <c r="Q94">
        <v>0.001</v>
      </c>
      <c r="R94">
        <v>0.001</v>
      </c>
      <c r="S94">
        <v>0.001</v>
      </c>
      <c r="T94">
        <v>0.001</v>
      </c>
      <c r="U94">
        <v>0.001</v>
      </c>
      <c r="V94">
        <v>0.001</v>
      </c>
      <c r="W94">
        <v>0.001</v>
      </c>
      <c r="X94">
        <v>0.001</v>
      </c>
      <c r="Y94">
        <v>0.001</v>
      </c>
      <c r="Z94">
        <v>0.001</v>
      </c>
      <c r="AA94">
        <v>0.001</v>
      </c>
      <c r="AB94">
        <v>0.001</v>
      </c>
      <c r="AC94">
        <v>0.001</v>
      </c>
      <c r="AD94">
        <v>0.001</v>
      </c>
      <c r="AE94">
        <v>0.001</v>
      </c>
      <c r="AF94">
        <v>0.001</v>
      </c>
      <c r="AG94">
        <v>0.001</v>
      </c>
      <c r="AH94">
        <v>0.001</v>
      </c>
      <c r="AI94">
        <v>0.001</v>
      </c>
      <c r="AJ94">
        <v>0.001</v>
      </c>
      <c r="AK94">
        <v>0.001</v>
      </c>
      <c r="AL94">
        <v>0.001</v>
      </c>
      <c r="AM94">
        <v>0.001</v>
      </c>
      <c r="AN94">
        <v>0.001</v>
      </c>
      <c r="AO94">
        <v>0.001</v>
      </c>
      <c r="AP94">
        <v>0.001</v>
      </c>
      <c r="AQ94">
        <v>0.001</v>
      </c>
      <c r="AR94">
        <v>0.001</v>
      </c>
      <c r="AS94">
        <v>0.001</v>
      </c>
      <c r="AT94">
        <v>0.001</v>
      </c>
      <c r="AU94">
        <v>0.001</v>
      </c>
      <c r="AV94">
        <v>0.001</v>
      </c>
      <c r="AW94" t="s">
        <v>238</v>
      </c>
    </row>
    <row r="95" spans="1:49" ht="12.75">
      <c r="A95" t="s">
        <v>240</v>
      </c>
      <c r="B95" t="s">
        <v>70</v>
      </c>
      <c r="C95" t="s">
        <v>62</v>
      </c>
      <c r="D95" t="s">
        <v>238</v>
      </c>
      <c r="E95" t="s">
        <v>238</v>
      </c>
      <c r="F95" t="s">
        <v>238</v>
      </c>
      <c r="G95" t="s">
        <v>238</v>
      </c>
      <c r="H95" t="s">
        <v>238</v>
      </c>
      <c r="I95" t="s">
        <v>238</v>
      </c>
      <c r="J95" t="s">
        <v>238</v>
      </c>
      <c r="K95" t="s">
        <v>238</v>
      </c>
      <c r="L95">
        <v>0.001</v>
      </c>
      <c r="M95">
        <v>0.001</v>
      </c>
      <c r="N95">
        <v>0.001</v>
      </c>
      <c r="O95">
        <v>0.001</v>
      </c>
      <c r="P95">
        <v>0.001</v>
      </c>
      <c r="Q95">
        <v>0.001</v>
      </c>
      <c r="R95">
        <v>0.001</v>
      </c>
      <c r="S95">
        <v>0.001</v>
      </c>
      <c r="T95">
        <v>0.001</v>
      </c>
      <c r="U95">
        <v>0.001</v>
      </c>
      <c r="V95">
        <v>0.001</v>
      </c>
      <c r="W95">
        <v>0.001</v>
      </c>
      <c r="X95">
        <v>0.001</v>
      </c>
      <c r="Y95">
        <v>0.001</v>
      </c>
      <c r="Z95">
        <v>0.001</v>
      </c>
      <c r="AA95">
        <v>0.001</v>
      </c>
      <c r="AB95">
        <v>0.001</v>
      </c>
      <c r="AC95">
        <v>0.001</v>
      </c>
      <c r="AD95">
        <v>0.001</v>
      </c>
      <c r="AE95">
        <v>0.001</v>
      </c>
      <c r="AF95">
        <v>0.001</v>
      </c>
      <c r="AG95">
        <v>0.001</v>
      </c>
      <c r="AH95">
        <v>0.001</v>
      </c>
      <c r="AI95">
        <v>0.001</v>
      </c>
      <c r="AJ95">
        <v>0.001</v>
      </c>
      <c r="AK95">
        <v>0.001</v>
      </c>
      <c r="AL95">
        <v>0.001</v>
      </c>
      <c r="AM95">
        <v>0.001</v>
      </c>
      <c r="AN95">
        <v>0.001</v>
      </c>
      <c r="AO95">
        <v>0.001</v>
      </c>
      <c r="AP95">
        <v>0.001</v>
      </c>
      <c r="AQ95">
        <v>0.001</v>
      </c>
      <c r="AR95">
        <v>0.001</v>
      </c>
      <c r="AS95">
        <v>0.001</v>
      </c>
      <c r="AT95">
        <v>0.001</v>
      </c>
      <c r="AU95">
        <v>0.001</v>
      </c>
      <c r="AV95">
        <v>0.001</v>
      </c>
      <c r="AW95" t="s">
        <v>238</v>
      </c>
    </row>
    <row r="96" spans="1:49" ht="12.75">
      <c r="A96" t="s">
        <v>240</v>
      </c>
      <c r="B96" t="s">
        <v>70</v>
      </c>
      <c r="C96" t="s">
        <v>63</v>
      </c>
      <c r="D96" t="s">
        <v>238</v>
      </c>
      <c r="E96" t="s">
        <v>238</v>
      </c>
      <c r="F96" t="s">
        <v>238</v>
      </c>
      <c r="G96" t="s">
        <v>238</v>
      </c>
      <c r="H96" t="s">
        <v>238</v>
      </c>
      <c r="I96" t="s">
        <v>238</v>
      </c>
      <c r="J96" t="s">
        <v>238</v>
      </c>
      <c r="K96" t="s">
        <v>238</v>
      </c>
      <c r="L96">
        <v>0.001</v>
      </c>
      <c r="M96">
        <v>0.001</v>
      </c>
      <c r="N96">
        <v>0.001</v>
      </c>
      <c r="O96">
        <v>0.001</v>
      </c>
      <c r="P96">
        <v>0.001</v>
      </c>
      <c r="Q96">
        <v>0.001</v>
      </c>
      <c r="R96">
        <v>0.001</v>
      </c>
      <c r="S96">
        <v>0.001</v>
      </c>
      <c r="T96">
        <v>0.001</v>
      </c>
      <c r="U96">
        <v>0.001</v>
      </c>
      <c r="V96">
        <v>0.001</v>
      </c>
      <c r="W96">
        <v>0.001</v>
      </c>
      <c r="X96">
        <v>0.001</v>
      </c>
      <c r="Y96">
        <v>0.001</v>
      </c>
      <c r="Z96">
        <v>0.001</v>
      </c>
      <c r="AA96">
        <v>0.001</v>
      </c>
      <c r="AB96">
        <v>0.001</v>
      </c>
      <c r="AC96">
        <v>0.001</v>
      </c>
      <c r="AD96">
        <v>0.001</v>
      </c>
      <c r="AE96">
        <v>0.001</v>
      </c>
      <c r="AF96">
        <v>0.001</v>
      </c>
      <c r="AG96">
        <v>0.001</v>
      </c>
      <c r="AH96">
        <v>0.001</v>
      </c>
      <c r="AI96">
        <v>0.001</v>
      </c>
      <c r="AJ96">
        <v>0.001</v>
      </c>
      <c r="AK96">
        <v>0.001</v>
      </c>
      <c r="AL96">
        <v>0.001</v>
      </c>
      <c r="AM96">
        <v>0.001</v>
      </c>
      <c r="AN96">
        <v>0.001</v>
      </c>
      <c r="AO96">
        <v>0.001</v>
      </c>
      <c r="AP96">
        <v>0.001</v>
      </c>
      <c r="AQ96">
        <v>0.001</v>
      </c>
      <c r="AR96">
        <v>0.001</v>
      </c>
      <c r="AS96">
        <v>0.001</v>
      </c>
      <c r="AT96">
        <v>0.001</v>
      </c>
      <c r="AU96">
        <v>0.001</v>
      </c>
      <c r="AV96">
        <v>0.001</v>
      </c>
      <c r="AW96" t="s">
        <v>238</v>
      </c>
    </row>
    <row r="97" spans="1:49" ht="12.75">
      <c r="A97" t="s">
        <v>240</v>
      </c>
      <c r="B97" t="s">
        <v>70</v>
      </c>
      <c r="C97" t="s">
        <v>64</v>
      </c>
      <c r="D97" t="s">
        <v>238</v>
      </c>
      <c r="E97" t="s">
        <v>238</v>
      </c>
      <c r="F97" t="s">
        <v>238</v>
      </c>
      <c r="G97" t="s">
        <v>238</v>
      </c>
      <c r="H97" t="s">
        <v>238</v>
      </c>
      <c r="I97" t="s">
        <v>238</v>
      </c>
      <c r="J97" t="s">
        <v>238</v>
      </c>
      <c r="K97" t="s">
        <v>238</v>
      </c>
      <c r="L97">
        <v>0.001</v>
      </c>
      <c r="M97">
        <v>0.001</v>
      </c>
      <c r="N97">
        <v>0.001</v>
      </c>
      <c r="O97">
        <v>0.001</v>
      </c>
      <c r="P97">
        <v>0.001</v>
      </c>
      <c r="Q97">
        <v>0.001</v>
      </c>
      <c r="R97">
        <v>0.001</v>
      </c>
      <c r="S97">
        <v>0.001</v>
      </c>
      <c r="T97">
        <v>0.001</v>
      </c>
      <c r="U97">
        <v>0.001</v>
      </c>
      <c r="V97">
        <v>0.001</v>
      </c>
      <c r="W97">
        <v>0.001</v>
      </c>
      <c r="X97">
        <v>0.001</v>
      </c>
      <c r="Y97">
        <v>0.001</v>
      </c>
      <c r="Z97">
        <v>0.001</v>
      </c>
      <c r="AA97">
        <v>0.001</v>
      </c>
      <c r="AB97">
        <v>0.001</v>
      </c>
      <c r="AC97">
        <v>0.001</v>
      </c>
      <c r="AD97">
        <v>0.001</v>
      </c>
      <c r="AE97">
        <v>0.001</v>
      </c>
      <c r="AF97">
        <v>0.001</v>
      </c>
      <c r="AG97">
        <v>0.001</v>
      </c>
      <c r="AH97">
        <v>0.001</v>
      </c>
      <c r="AI97">
        <v>0.001</v>
      </c>
      <c r="AJ97">
        <v>0.001</v>
      </c>
      <c r="AK97">
        <v>0.001</v>
      </c>
      <c r="AL97">
        <v>0.001</v>
      </c>
      <c r="AM97">
        <v>0.001</v>
      </c>
      <c r="AN97">
        <v>0.001</v>
      </c>
      <c r="AO97">
        <v>0.001</v>
      </c>
      <c r="AP97">
        <v>0.001</v>
      </c>
      <c r="AQ97">
        <v>0.001</v>
      </c>
      <c r="AR97">
        <v>0.001</v>
      </c>
      <c r="AS97">
        <v>0.001</v>
      </c>
      <c r="AT97">
        <v>0.001</v>
      </c>
      <c r="AU97">
        <v>0.001</v>
      </c>
      <c r="AV97">
        <v>0.001</v>
      </c>
      <c r="AW97" t="s">
        <v>238</v>
      </c>
    </row>
    <row r="98" spans="1:49" ht="12.75">
      <c r="A98" t="s">
        <v>240</v>
      </c>
      <c r="B98" t="s">
        <v>70</v>
      </c>
      <c r="C98" t="s">
        <v>76</v>
      </c>
      <c r="D98" t="s">
        <v>238</v>
      </c>
      <c r="E98" t="s">
        <v>238</v>
      </c>
      <c r="F98" t="s">
        <v>238</v>
      </c>
      <c r="G98" t="s">
        <v>238</v>
      </c>
      <c r="H98" t="s">
        <v>238</v>
      </c>
      <c r="I98" t="s">
        <v>238</v>
      </c>
      <c r="J98" t="s">
        <v>238</v>
      </c>
      <c r="K98" t="s">
        <v>238</v>
      </c>
      <c r="L98">
        <v>0.001</v>
      </c>
      <c r="M98">
        <v>0.001</v>
      </c>
      <c r="N98">
        <v>0.001</v>
      </c>
      <c r="O98">
        <v>0.001</v>
      </c>
      <c r="P98">
        <v>0.001</v>
      </c>
      <c r="Q98">
        <v>0.001</v>
      </c>
      <c r="R98">
        <v>0.001</v>
      </c>
      <c r="S98">
        <v>0.001</v>
      </c>
      <c r="T98">
        <v>0.001</v>
      </c>
      <c r="U98">
        <v>0.001</v>
      </c>
      <c r="V98">
        <v>0.001</v>
      </c>
      <c r="W98">
        <v>0.001</v>
      </c>
      <c r="X98">
        <v>0.001</v>
      </c>
      <c r="Y98">
        <v>0.001</v>
      </c>
      <c r="Z98">
        <v>0.001</v>
      </c>
      <c r="AA98">
        <v>0.001</v>
      </c>
      <c r="AB98">
        <v>0.001</v>
      </c>
      <c r="AC98">
        <v>0.001</v>
      </c>
      <c r="AD98">
        <v>0.001</v>
      </c>
      <c r="AE98">
        <v>0.001</v>
      </c>
      <c r="AF98">
        <v>0.001</v>
      </c>
      <c r="AG98">
        <v>0.001</v>
      </c>
      <c r="AH98">
        <v>0.001</v>
      </c>
      <c r="AI98">
        <v>0.001</v>
      </c>
      <c r="AJ98">
        <v>0.001</v>
      </c>
      <c r="AK98">
        <v>0.001</v>
      </c>
      <c r="AL98">
        <v>0.001</v>
      </c>
      <c r="AM98">
        <v>0.001</v>
      </c>
      <c r="AN98">
        <v>0.001</v>
      </c>
      <c r="AO98">
        <v>0.001</v>
      </c>
      <c r="AP98">
        <v>0.001</v>
      </c>
      <c r="AQ98">
        <v>0.001</v>
      </c>
      <c r="AR98">
        <v>0.001</v>
      </c>
      <c r="AS98">
        <v>0.001</v>
      </c>
      <c r="AT98">
        <v>0.001</v>
      </c>
      <c r="AU98">
        <v>0.001</v>
      </c>
      <c r="AV98">
        <v>0.001</v>
      </c>
      <c r="AW98" t="s">
        <v>238</v>
      </c>
    </row>
    <row r="99" spans="1:49" ht="12.75">
      <c r="A99" t="s">
        <v>240</v>
      </c>
      <c r="B99" t="s">
        <v>70</v>
      </c>
      <c r="C99" t="s">
        <v>77</v>
      </c>
      <c r="D99" t="s">
        <v>238</v>
      </c>
      <c r="E99" t="s">
        <v>238</v>
      </c>
      <c r="F99" t="s">
        <v>238</v>
      </c>
      <c r="G99" t="s">
        <v>238</v>
      </c>
      <c r="H99" t="s">
        <v>238</v>
      </c>
      <c r="I99" t="s">
        <v>238</v>
      </c>
      <c r="J99" t="s">
        <v>238</v>
      </c>
      <c r="K99" t="s">
        <v>238</v>
      </c>
      <c r="L99">
        <v>0.001</v>
      </c>
      <c r="M99">
        <v>0.001</v>
      </c>
      <c r="N99">
        <v>0.001</v>
      </c>
      <c r="O99">
        <v>0.001</v>
      </c>
      <c r="P99">
        <v>0.001</v>
      </c>
      <c r="Q99">
        <v>0.001</v>
      </c>
      <c r="R99">
        <v>0.001</v>
      </c>
      <c r="S99">
        <v>0.001</v>
      </c>
      <c r="T99">
        <v>0.001</v>
      </c>
      <c r="U99">
        <v>0.001</v>
      </c>
      <c r="V99">
        <v>0.001</v>
      </c>
      <c r="W99">
        <v>0.001</v>
      </c>
      <c r="X99">
        <v>0.001</v>
      </c>
      <c r="Y99">
        <v>0.001</v>
      </c>
      <c r="Z99">
        <v>0.001</v>
      </c>
      <c r="AA99">
        <v>0.001</v>
      </c>
      <c r="AB99">
        <v>0.001</v>
      </c>
      <c r="AC99">
        <v>0.001</v>
      </c>
      <c r="AD99">
        <v>0.001</v>
      </c>
      <c r="AE99">
        <v>0.001</v>
      </c>
      <c r="AF99">
        <v>0.001</v>
      </c>
      <c r="AG99">
        <v>0.001</v>
      </c>
      <c r="AH99">
        <v>0.001</v>
      </c>
      <c r="AI99">
        <v>0.001</v>
      </c>
      <c r="AJ99">
        <v>0.001</v>
      </c>
      <c r="AK99">
        <v>0.001</v>
      </c>
      <c r="AL99">
        <v>0.001</v>
      </c>
      <c r="AM99">
        <v>0.001</v>
      </c>
      <c r="AN99">
        <v>0.001</v>
      </c>
      <c r="AO99">
        <v>0.001</v>
      </c>
      <c r="AP99">
        <v>0.001</v>
      </c>
      <c r="AQ99">
        <v>0.001</v>
      </c>
      <c r="AR99">
        <v>0.001</v>
      </c>
      <c r="AS99">
        <v>0.001</v>
      </c>
      <c r="AT99">
        <v>0.001</v>
      </c>
      <c r="AU99">
        <v>0.001</v>
      </c>
      <c r="AV99">
        <v>0.001</v>
      </c>
      <c r="AW99" t="s">
        <v>238</v>
      </c>
    </row>
    <row r="100" spans="1:49" ht="12.75">
      <c r="A100" t="s">
        <v>240</v>
      </c>
      <c r="B100" t="s">
        <v>70</v>
      </c>
      <c r="C100" t="s">
        <v>78</v>
      </c>
      <c r="D100" t="s">
        <v>238</v>
      </c>
      <c r="E100" t="s">
        <v>238</v>
      </c>
      <c r="F100" t="s">
        <v>238</v>
      </c>
      <c r="G100" t="s">
        <v>238</v>
      </c>
      <c r="H100" t="s">
        <v>238</v>
      </c>
      <c r="I100" t="s">
        <v>238</v>
      </c>
      <c r="J100" t="s">
        <v>238</v>
      </c>
      <c r="K100" t="s">
        <v>238</v>
      </c>
      <c r="L100">
        <v>0.001</v>
      </c>
      <c r="M100">
        <v>0.001</v>
      </c>
      <c r="N100">
        <v>0.001</v>
      </c>
      <c r="O100">
        <v>0.001</v>
      </c>
      <c r="P100">
        <v>0.001</v>
      </c>
      <c r="Q100">
        <v>0.001</v>
      </c>
      <c r="R100">
        <v>0.001</v>
      </c>
      <c r="S100">
        <v>0.001</v>
      </c>
      <c r="T100">
        <v>0.001</v>
      </c>
      <c r="U100">
        <v>0.001</v>
      </c>
      <c r="V100">
        <v>0.001</v>
      </c>
      <c r="W100">
        <v>0.001</v>
      </c>
      <c r="X100">
        <v>0.001</v>
      </c>
      <c r="Y100">
        <v>0.001</v>
      </c>
      <c r="Z100">
        <v>0.001</v>
      </c>
      <c r="AA100">
        <v>0.001</v>
      </c>
      <c r="AB100">
        <v>0.001</v>
      </c>
      <c r="AC100">
        <v>0.001</v>
      </c>
      <c r="AD100">
        <v>0.001</v>
      </c>
      <c r="AE100">
        <v>0.001</v>
      </c>
      <c r="AF100">
        <v>0.001</v>
      </c>
      <c r="AG100">
        <v>0.001</v>
      </c>
      <c r="AH100">
        <v>0.001</v>
      </c>
      <c r="AI100">
        <v>0.001</v>
      </c>
      <c r="AJ100">
        <v>0.001</v>
      </c>
      <c r="AK100">
        <v>0.001</v>
      </c>
      <c r="AL100">
        <v>0.001</v>
      </c>
      <c r="AM100">
        <v>0.001</v>
      </c>
      <c r="AN100">
        <v>0.001</v>
      </c>
      <c r="AO100">
        <v>0.001</v>
      </c>
      <c r="AP100">
        <v>0.001</v>
      </c>
      <c r="AQ100">
        <v>0.001</v>
      </c>
      <c r="AR100">
        <v>0.001</v>
      </c>
      <c r="AS100">
        <v>0.001</v>
      </c>
      <c r="AT100">
        <v>0.001</v>
      </c>
      <c r="AU100">
        <v>0.001</v>
      </c>
      <c r="AV100">
        <v>0.001</v>
      </c>
      <c r="AW100" t="s">
        <v>238</v>
      </c>
    </row>
    <row r="101" spans="1:49" ht="12.75">
      <c r="A101" t="s">
        <v>240</v>
      </c>
      <c r="B101" t="s">
        <v>70</v>
      </c>
      <c r="C101" t="s">
        <v>79</v>
      </c>
      <c r="D101" t="s">
        <v>238</v>
      </c>
      <c r="E101" t="s">
        <v>238</v>
      </c>
      <c r="F101" t="s">
        <v>238</v>
      </c>
      <c r="G101" t="s">
        <v>238</v>
      </c>
      <c r="H101" t="s">
        <v>238</v>
      </c>
      <c r="I101" t="s">
        <v>238</v>
      </c>
      <c r="J101" t="s">
        <v>238</v>
      </c>
      <c r="K101" t="s">
        <v>238</v>
      </c>
      <c r="L101">
        <v>0.001</v>
      </c>
      <c r="M101">
        <v>0.001</v>
      </c>
      <c r="N101">
        <v>0.001</v>
      </c>
      <c r="O101">
        <v>0.001</v>
      </c>
      <c r="P101">
        <v>0.001</v>
      </c>
      <c r="Q101">
        <v>0.001</v>
      </c>
      <c r="R101">
        <v>0.001</v>
      </c>
      <c r="S101">
        <v>0.001</v>
      </c>
      <c r="T101">
        <v>0.001</v>
      </c>
      <c r="U101">
        <v>0.001</v>
      </c>
      <c r="V101">
        <v>0.001</v>
      </c>
      <c r="W101">
        <v>0.001</v>
      </c>
      <c r="X101">
        <v>0.001</v>
      </c>
      <c r="Y101">
        <v>0.001</v>
      </c>
      <c r="Z101">
        <v>0.001</v>
      </c>
      <c r="AA101">
        <v>0.001</v>
      </c>
      <c r="AB101">
        <v>0.001</v>
      </c>
      <c r="AC101">
        <v>0.001</v>
      </c>
      <c r="AD101">
        <v>0.001</v>
      </c>
      <c r="AE101">
        <v>0.001</v>
      </c>
      <c r="AF101">
        <v>0.001</v>
      </c>
      <c r="AG101">
        <v>0.001</v>
      </c>
      <c r="AH101">
        <v>0.001</v>
      </c>
      <c r="AI101">
        <v>0.001</v>
      </c>
      <c r="AJ101">
        <v>0.001</v>
      </c>
      <c r="AK101">
        <v>0.001</v>
      </c>
      <c r="AL101">
        <v>0.001</v>
      </c>
      <c r="AM101">
        <v>0.001</v>
      </c>
      <c r="AN101">
        <v>0.001</v>
      </c>
      <c r="AO101">
        <v>0.001</v>
      </c>
      <c r="AP101">
        <v>0.001</v>
      </c>
      <c r="AQ101">
        <v>0.001</v>
      </c>
      <c r="AR101">
        <v>0.001</v>
      </c>
      <c r="AS101">
        <v>0.001</v>
      </c>
      <c r="AT101">
        <v>0.001</v>
      </c>
      <c r="AU101">
        <v>0.001</v>
      </c>
      <c r="AV101">
        <v>0.001</v>
      </c>
      <c r="AW101" t="s">
        <v>238</v>
      </c>
    </row>
    <row r="102" spans="1:49" ht="12.75">
      <c r="A102" t="s">
        <v>240</v>
      </c>
      <c r="B102" t="s">
        <v>70</v>
      </c>
      <c r="C102" t="s">
        <v>80</v>
      </c>
      <c r="D102" t="s">
        <v>238</v>
      </c>
      <c r="E102" t="s">
        <v>238</v>
      </c>
      <c r="F102" t="s">
        <v>238</v>
      </c>
      <c r="G102" t="s">
        <v>238</v>
      </c>
      <c r="H102" t="s">
        <v>238</v>
      </c>
      <c r="I102" t="s">
        <v>238</v>
      </c>
      <c r="J102" t="s">
        <v>238</v>
      </c>
      <c r="K102" t="s">
        <v>238</v>
      </c>
      <c r="L102">
        <v>0.001</v>
      </c>
      <c r="M102">
        <v>0.001</v>
      </c>
      <c r="N102">
        <v>0.001</v>
      </c>
      <c r="O102">
        <v>0.001</v>
      </c>
      <c r="P102">
        <v>0.001</v>
      </c>
      <c r="Q102">
        <v>0.001</v>
      </c>
      <c r="R102">
        <v>0.001</v>
      </c>
      <c r="S102">
        <v>0.001</v>
      </c>
      <c r="T102">
        <v>0.001</v>
      </c>
      <c r="U102">
        <v>0.001</v>
      </c>
      <c r="V102">
        <v>0.001</v>
      </c>
      <c r="W102">
        <v>0.001</v>
      </c>
      <c r="X102">
        <v>0.001</v>
      </c>
      <c r="Y102">
        <v>0.001</v>
      </c>
      <c r="Z102">
        <v>0.001</v>
      </c>
      <c r="AA102">
        <v>0.001</v>
      </c>
      <c r="AB102">
        <v>0.001</v>
      </c>
      <c r="AC102">
        <v>0.001</v>
      </c>
      <c r="AD102">
        <v>0.001</v>
      </c>
      <c r="AE102">
        <v>0.001</v>
      </c>
      <c r="AF102">
        <v>0.001</v>
      </c>
      <c r="AG102">
        <v>0.001</v>
      </c>
      <c r="AH102">
        <v>0.001</v>
      </c>
      <c r="AI102">
        <v>0.001</v>
      </c>
      <c r="AJ102">
        <v>0.001</v>
      </c>
      <c r="AK102">
        <v>0.001</v>
      </c>
      <c r="AL102">
        <v>0.001</v>
      </c>
      <c r="AM102">
        <v>0.001</v>
      </c>
      <c r="AN102">
        <v>0.001</v>
      </c>
      <c r="AO102">
        <v>0.001</v>
      </c>
      <c r="AP102">
        <v>0.001</v>
      </c>
      <c r="AQ102">
        <v>0.001</v>
      </c>
      <c r="AR102">
        <v>0.001</v>
      </c>
      <c r="AS102">
        <v>0.001</v>
      </c>
      <c r="AT102">
        <v>0.001</v>
      </c>
      <c r="AU102">
        <v>0.001</v>
      </c>
      <c r="AV102">
        <v>0.001</v>
      </c>
      <c r="AW102" t="s">
        <v>238</v>
      </c>
    </row>
    <row r="103" spans="1:49" ht="12.75">
      <c r="A103" t="s">
        <v>240</v>
      </c>
      <c r="B103" t="s">
        <v>70</v>
      </c>
      <c r="C103" t="s">
        <v>81</v>
      </c>
      <c r="D103" t="s">
        <v>238</v>
      </c>
      <c r="E103" t="s">
        <v>238</v>
      </c>
      <c r="F103" t="s">
        <v>238</v>
      </c>
      <c r="G103" t="s">
        <v>238</v>
      </c>
      <c r="H103" t="s">
        <v>238</v>
      </c>
      <c r="I103" t="s">
        <v>238</v>
      </c>
      <c r="J103" t="s">
        <v>238</v>
      </c>
      <c r="K103" t="s">
        <v>238</v>
      </c>
      <c r="L103">
        <v>0.001</v>
      </c>
      <c r="M103">
        <v>0.001</v>
      </c>
      <c r="N103">
        <v>0.001</v>
      </c>
      <c r="O103">
        <v>0.001</v>
      </c>
      <c r="P103">
        <v>0.001</v>
      </c>
      <c r="Q103">
        <v>0.001</v>
      </c>
      <c r="R103">
        <v>0.001</v>
      </c>
      <c r="S103">
        <v>0.001</v>
      </c>
      <c r="T103">
        <v>0.001</v>
      </c>
      <c r="U103">
        <v>0.001</v>
      </c>
      <c r="V103">
        <v>0.001</v>
      </c>
      <c r="W103">
        <v>0.001</v>
      </c>
      <c r="X103">
        <v>0.001</v>
      </c>
      <c r="Y103">
        <v>0.001</v>
      </c>
      <c r="Z103">
        <v>0.001</v>
      </c>
      <c r="AA103">
        <v>0.001</v>
      </c>
      <c r="AB103">
        <v>0.001</v>
      </c>
      <c r="AC103">
        <v>0.001</v>
      </c>
      <c r="AD103">
        <v>0.001</v>
      </c>
      <c r="AE103">
        <v>0.001</v>
      </c>
      <c r="AF103">
        <v>0.001</v>
      </c>
      <c r="AG103">
        <v>0.001</v>
      </c>
      <c r="AH103">
        <v>0.001</v>
      </c>
      <c r="AI103">
        <v>0.001</v>
      </c>
      <c r="AJ103">
        <v>0.001</v>
      </c>
      <c r="AK103">
        <v>0.001</v>
      </c>
      <c r="AL103">
        <v>0.001</v>
      </c>
      <c r="AM103">
        <v>0.001</v>
      </c>
      <c r="AN103">
        <v>0.001</v>
      </c>
      <c r="AO103">
        <v>0.001</v>
      </c>
      <c r="AP103">
        <v>0.001</v>
      </c>
      <c r="AQ103">
        <v>0.001</v>
      </c>
      <c r="AR103">
        <v>0.001</v>
      </c>
      <c r="AS103">
        <v>0.001</v>
      </c>
      <c r="AT103">
        <v>0.001</v>
      </c>
      <c r="AU103">
        <v>0.001</v>
      </c>
      <c r="AV103">
        <v>0.001</v>
      </c>
      <c r="AW103" t="s">
        <v>238</v>
      </c>
    </row>
    <row r="104" spans="1:49" ht="12.75">
      <c r="A104" t="s">
        <v>240</v>
      </c>
      <c r="B104" t="s">
        <v>70</v>
      </c>
      <c r="C104" t="s">
        <v>82</v>
      </c>
      <c r="D104" t="s">
        <v>238</v>
      </c>
      <c r="E104" t="s">
        <v>238</v>
      </c>
      <c r="F104" t="s">
        <v>238</v>
      </c>
      <c r="G104" t="s">
        <v>238</v>
      </c>
      <c r="H104" t="s">
        <v>238</v>
      </c>
      <c r="I104" t="s">
        <v>238</v>
      </c>
      <c r="J104" t="s">
        <v>238</v>
      </c>
      <c r="K104" t="s">
        <v>238</v>
      </c>
      <c r="L104">
        <v>0.001</v>
      </c>
      <c r="M104">
        <v>0.001</v>
      </c>
      <c r="N104">
        <v>0.001</v>
      </c>
      <c r="O104">
        <v>0.001</v>
      </c>
      <c r="P104">
        <v>0.001</v>
      </c>
      <c r="Q104">
        <v>0.001</v>
      </c>
      <c r="R104">
        <v>0.001</v>
      </c>
      <c r="S104">
        <v>0.001</v>
      </c>
      <c r="T104">
        <v>0.001</v>
      </c>
      <c r="U104">
        <v>0.001</v>
      </c>
      <c r="V104">
        <v>0.001</v>
      </c>
      <c r="W104">
        <v>0.001</v>
      </c>
      <c r="X104">
        <v>0.001</v>
      </c>
      <c r="Y104">
        <v>0.001</v>
      </c>
      <c r="Z104">
        <v>0.001</v>
      </c>
      <c r="AA104">
        <v>0.001</v>
      </c>
      <c r="AB104">
        <v>0.001</v>
      </c>
      <c r="AC104">
        <v>0.001</v>
      </c>
      <c r="AD104">
        <v>0.001</v>
      </c>
      <c r="AE104">
        <v>0.001</v>
      </c>
      <c r="AF104">
        <v>0.001</v>
      </c>
      <c r="AG104">
        <v>0.001</v>
      </c>
      <c r="AH104">
        <v>0.001</v>
      </c>
      <c r="AI104">
        <v>0.001</v>
      </c>
      <c r="AJ104">
        <v>0.001</v>
      </c>
      <c r="AK104">
        <v>0.001</v>
      </c>
      <c r="AL104">
        <v>0.001</v>
      </c>
      <c r="AM104">
        <v>0.001</v>
      </c>
      <c r="AN104">
        <v>0.001</v>
      </c>
      <c r="AO104">
        <v>0.001</v>
      </c>
      <c r="AP104">
        <v>0.001</v>
      </c>
      <c r="AQ104">
        <v>0.001</v>
      </c>
      <c r="AR104">
        <v>0.001</v>
      </c>
      <c r="AS104">
        <v>0.001</v>
      </c>
      <c r="AT104">
        <v>0.001</v>
      </c>
      <c r="AU104">
        <v>0.001</v>
      </c>
      <c r="AV104">
        <v>0.001</v>
      </c>
      <c r="AW104" t="s">
        <v>238</v>
      </c>
    </row>
    <row r="105" spans="1:49" ht="12.75">
      <c r="A105" t="s">
        <v>240</v>
      </c>
      <c r="B105" t="s">
        <v>70</v>
      </c>
      <c r="C105" t="s">
        <v>83</v>
      </c>
      <c r="D105" t="s">
        <v>238</v>
      </c>
      <c r="E105" t="s">
        <v>238</v>
      </c>
      <c r="F105" t="s">
        <v>238</v>
      </c>
      <c r="G105" t="s">
        <v>238</v>
      </c>
      <c r="H105" t="s">
        <v>238</v>
      </c>
      <c r="I105" t="s">
        <v>238</v>
      </c>
      <c r="J105" t="s">
        <v>238</v>
      </c>
      <c r="K105" t="s">
        <v>238</v>
      </c>
      <c r="L105">
        <v>0.001</v>
      </c>
      <c r="M105">
        <v>0.001</v>
      </c>
      <c r="N105">
        <v>0.001</v>
      </c>
      <c r="O105">
        <v>0.001</v>
      </c>
      <c r="P105">
        <v>0.001</v>
      </c>
      <c r="Q105">
        <v>0.001</v>
      </c>
      <c r="R105">
        <v>0.001</v>
      </c>
      <c r="S105">
        <v>0.001</v>
      </c>
      <c r="T105">
        <v>0.001</v>
      </c>
      <c r="U105">
        <v>0.001</v>
      </c>
      <c r="V105">
        <v>0.001</v>
      </c>
      <c r="W105">
        <v>0.001</v>
      </c>
      <c r="X105">
        <v>0.001</v>
      </c>
      <c r="Y105">
        <v>0.001</v>
      </c>
      <c r="Z105">
        <v>0.001</v>
      </c>
      <c r="AA105">
        <v>0.001</v>
      </c>
      <c r="AB105">
        <v>0.001</v>
      </c>
      <c r="AC105">
        <v>0.001</v>
      </c>
      <c r="AD105">
        <v>0.001</v>
      </c>
      <c r="AE105">
        <v>0.001</v>
      </c>
      <c r="AF105">
        <v>0.001</v>
      </c>
      <c r="AG105">
        <v>0.001</v>
      </c>
      <c r="AH105">
        <v>0.001</v>
      </c>
      <c r="AI105">
        <v>0.001</v>
      </c>
      <c r="AJ105">
        <v>0.001</v>
      </c>
      <c r="AK105">
        <v>0.001</v>
      </c>
      <c r="AL105">
        <v>0.001</v>
      </c>
      <c r="AM105">
        <v>0.001</v>
      </c>
      <c r="AN105">
        <v>0.001</v>
      </c>
      <c r="AO105">
        <v>0.001</v>
      </c>
      <c r="AP105">
        <v>0.001</v>
      </c>
      <c r="AQ105">
        <v>0.001</v>
      </c>
      <c r="AR105">
        <v>0.001</v>
      </c>
      <c r="AS105">
        <v>0.001</v>
      </c>
      <c r="AT105">
        <v>0.001</v>
      </c>
      <c r="AU105">
        <v>0.001</v>
      </c>
      <c r="AV105">
        <v>0.001</v>
      </c>
      <c r="AW105" t="s">
        <v>238</v>
      </c>
    </row>
    <row r="106" spans="1:49" ht="12.75">
      <c r="A106" t="s">
        <v>240</v>
      </c>
      <c r="B106" t="s">
        <v>70</v>
      </c>
      <c r="C106" t="s">
        <v>65</v>
      </c>
      <c r="D106" t="s">
        <v>238</v>
      </c>
      <c r="E106" t="s">
        <v>238</v>
      </c>
      <c r="F106" t="s">
        <v>238</v>
      </c>
      <c r="G106" t="s">
        <v>238</v>
      </c>
      <c r="H106" t="s">
        <v>238</v>
      </c>
      <c r="I106" t="s">
        <v>238</v>
      </c>
      <c r="J106" t="s">
        <v>238</v>
      </c>
      <c r="K106" t="s">
        <v>238</v>
      </c>
      <c r="L106">
        <v>0.001</v>
      </c>
      <c r="M106">
        <v>0.001</v>
      </c>
      <c r="N106">
        <v>0.001</v>
      </c>
      <c r="O106">
        <v>0.001</v>
      </c>
      <c r="P106">
        <v>0.001</v>
      </c>
      <c r="Q106">
        <v>0.001</v>
      </c>
      <c r="R106">
        <v>0.001</v>
      </c>
      <c r="S106">
        <v>0.001</v>
      </c>
      <c r="T106">
        <v>0.001</v>
      </c>
      <c r="U106">
        <v>0.001</v>
      </c>
      <c r="V106">
        <v>0.001</v>
      </c>
      <c r="W106">
        <v>0.001</v>
      </c>
      <c r="X106">
        <v>0.001</v>
      </c>
      <c r="Y106">
        <v>0.001</v>
      </c>
      <c r="Z106">
        <v>0.001</v>
      </c>
      <c r="AA106">
        <v>0.001</v>
      </c>
      <c r="AB106">
        <v>0.001</v>
      </c>
      <c r="AC106">
        <v>0.001</v>
      </c>
      <c r="AD106">
        <v>0.001</v>
      </c>
      <c r="AE106">
        <v>0.001</v>
      </c>
      <c r="AF106">
        <v>0.001</v>
      </c>
      <c r="AG106">
        <v>0.001</v>
      </c>
      <c r="AH106">
        <v>0.001</v>
      </c>
      <c r="AI106">
        <v>0.001</v>
      </c>
      <c r="AJ106">
        <v>0.001</v>
      </c>
      <c r="AK106">
        <v>0.001</v>
      </c>
      <c r="AL106">
        <v>0.001</v>
      </c>
      <c r="AM106">
        <v>0.001</v>
      </c>
      <c r="AN106">
        <v>0.001</v>
      </c>
      <c r="AO106">
        <v>0.001</v>
      </c>
      <c r="AP106">
        <v>0.001</v>
      </c>
      <c r="AQ106">
        <v>0.001</v>
      </c>
      <c r="AR106">
        <v>0.001</v>
      </c>
      <c r="AS106">
        <v>0.001</v>
      </c>
      <c r="AT106">
        <v>0.001</v>
      </c>
      <c r="AU106">
        <v>0.001</v>
      </c>
      <c r="AV106">
        <v>0.001</v>
      </c>
      <c r="AW106" t="s">
        <v>238</v>
      </c>
    </row>
    <row r="107" spans="1:49" ht="12.75">
      <c r="A107" t="s">
        <v>240</v>
      </c>
      <c r="B107" t="s">
        <v>70</v>
      </c>
      <c r="C107" t="s">
        <v>66</v>
      </c>
      <c r="D107" t="s">
        <v>238</v>
      </c>
      <c r="E107" t="s">
        <v>238</v>
      </c>
      <c r="F107" t="s">
        <v>238</v>
      </c>
      <c r="G107" t="s">
        <v>238</v>
      </c>
      <c r="H107" t="s">
        <v>238</v>
      </c>
      <c r="I107" t="s">
        <v>238</v>
      </c>
      <c r="J107" t="s">
        <v>238</v>
      </c>
      <c r="K107" t="s">
        <v>238</v>
      </c>
      <c r="L107">
        <v>0.001</v>
      </c>
      <c r="M107">
        <v>0.001</v>
      </c>
      <c r="N107">
        <v>0.001</v>
      </c>
      <c r="O107">
        <v>0.001</v>
      </c>
      <c r="P107">
        <v>0.001</v>
      </c>
      <c r="Q107">
        <v>0.001</v>
      </c>
      <c r="R107">
        <v>0.001</v>
      </c>
      <c r="S107">
        <v>0.001</v>
      </c>
      <c r="T107">
        <v>0.001</v>
      </c>
      <c r="U107">
        <v>0.001</v>
      </c>
      <c r="V107">
        <v>0.001</v>
      </c>
      <c r="W107">
        <v>0.001</v>
      </c>
      <c r="X107">
        <v>0.001</v>
      </c>
      <c r="Y107">
        <v>0.001</v>
      </c>
      <c r="Z107">
        <v>0.001</v>
      </c>
      <c r="AA107">
        <v>0.001</v>
      </c>
      <c r="AB107">
        <v>0.001</v>
      </c>
      <c r="AC107">
        <v>0.001</v>
      </c>
      <c r="AD107">
        <v>0.001</v>
      </c>
      <c r="AE107">
        <v>0.001</v>
      </c>
      <c r="AF107">
        <v>0.001</v>
      </c>
      <c r="AG107">
        <v>0.001</v>
      </c>
      <c r="AH107">
        <v>0.001</v>
      </c>
      <c r="AI107">
        <v>0.001</v>
      </c>
      <c r="AJ107">
        <v>0.001</v>
      </c>
      <c r="AK107">
        <v>0.001</v>
      </c>
      <c r="AL107">
        <v>0.001</v>
      </c>
      <c r="AM107">
        <v>0.001</v>
      </c>
      <c r="AN107">
        <v>0.001</v>
      </c>
      <c r="AO107">
        <v>0.001</v>
      </c>
      <c r="AP107">
        <v>0.001</v>
      </c>
      <c r="AQ107">
        <v>0.001</v>
      </c>
      <c r="AR107">
        <v>0.001</v>
      </c>
      <c r="AS107">
        <v>0.001</v>
      </c>
      <c r="AT107">
        <v>0.001</v>
      </c>
      <c r="AU107">
        <v>0.001</v>
      </c>
      <c r="AV107">
        <v>0.001</v>
      </c>
      <c r="AW107" t="s">
        <v>238</v>
      </c>
    </row>
    <row r="108" spans="1:49" ht="12.75">
      <c r="A108" t="s">
        <v>240</v>
      </c>
      <c r="B108" t="s">
        <v>70</v>
      </c>
      <c r="C108" t="s">
        <v>67</v>
      </c>
      <c r="D108" t="s">
        <v>238</v>
      </c>
      <c r="E108" t="s">
        <v>238</v>
      </c>
      <c r="F108" t="s">
        <v>238</v>
      </c>
      <c r="G108" t="s">
        <v>238</v>
      </c>
      <c r="H108" t="s">
        <v>238</v>
      </c>
      <c r="I108" t="s">
        <v>238</v>
      </c>
      <c r="J108" t="s">
        <v>238</v>
      </c>
      <c r="K108" t="s">
        <v>238</v>
      </c>
      <c r="L108">
        <v>0.001</v>
      </c>
      <c r="M108">
        <v>0.001</v>
      </c>
      <c r="N108">
        <v>0.001</v>
      </c>
      <c r="O108">
        <v>0.001</v>
      </c>
      <c r="P108">
        <v>0.001</v>
      </c>
      <c r="Q108">
        <v>0.001</v>
      </c>
      <c r="R108">
        <v>0.001</v>
      </c>
      <c r="S108">
        <v>0.001</v>
      </c>
      <c r="T108">
        <v>0.001</v>
      </c>
      <c r="U108">
        <v>0.001</v>
      </c>
      <c r="V108">
        <v>0.001</v>
      </c>
      <c r="W108">
        <v>0.001</v>
      </c>
      <c r="X108">
        <v>0.001</v>
      </c>
      <c r="Y108">
        <v>0.001</v>
      </c>
      <c r="Z108">
        <v>0.001</v>
      </c>
      <c r="AA108">
        <v>0.001</v>
      </c>
      <c r="AB108">
        <v>0.001</v>
      </c>
      <c r="AC108">
        <v>0.001</v>
      </c>
      <c r="AD108">
        <v>0.001</v>
      </c>
      <c r="AE108">
        <v>0.001</v>
      </c>
      <c r="AF108">
        <v>0.001</v>
      </c>
      <c r="AG108">
        <v>0.001</v>
      </c>
      <c r="AH108">
        <v>0.001</v>
      </c>
      <c r="AI108">
        <v>0.001</v>
      </c>
      <c r="AJ108">
        <v>0.001</v>
      </c>
      <c r="AK108">
        <v>0.001</v>
      </c>
      <c r="AL108">
        <v>0.001</v>
      </c>
      <c r="AM108">
        <v>0.001</v>
      </c>
      <c r="AN108">
        <v>0.001</v>
      </c>
      <c r="AO108">
        <v>0.001</v>
      </c>
      <c r="AP108">
        <v>0.001</v>
      </c>
      <c r="AQ108">
        <v>0.001</v>
      </c>
      <c r="AR108">
        <v>0.001</v>
      </c>
      <c r="AS108">
        <v>0.001</v>
      </c>
      <c r="AT108">
        <v>0.001</v>
      </c>
      <c r="AU108">
        <v>0.001</v>
      </c>
      <c r="AV108">
        <v>0.001</v>
      </c>
      <c r="AW108" t="s">
        <v>238</v>
      </c>
    </row>
    <row r="109" spans="1:49" ht="12.75">
      <c r="A109" t="s">
        <v>240</v>
      </c>
      <c r="B109" t="s">
        <v>70</v>
      </c>
      <c r="C109" t="s">
        <v>68</v>
      </c>
      <c r="D109" t="s">
        <v>238</v>
      </c>
      <c r="E109" t="s">
        <v>238</v>
      </c>
      <c r="F109" t="s">
        <v>238</v>
      </c>
      <c r="G109" t="s">
        <v>238</v>
      </c>
      <c r="H109" t="s">
        <v>238</v>
      </c>
      <c r="I109" t="s">
        <v>238</v>
      </c>
      <c r="J109" t="s">
        <v>238</v>
      </c>
      <c r="K109" t="s">
        <v>238</v>
      </c>
      <c r="L109">
        <v>0.001</v>
      </c>
      <c r="M109">
        <v>0.001</v>
      </c>
      <c r="N109">
        <v>0.001</v>
      </c>
      <c r="O109">
        <v>0.001</v>
      </c>
      <c r="P109">
        <v>0.001</v>
      </c>
      <c r="Q109">
        <v>0.001</v>
      </c>
      <c r="R109">
        <v>0.001</v>
      </c>
      <c r="S109">
        <v>0.001</v>
      </c>
      <c r="T109">
        <v>0.001</v>
      </c>
      <c r="U109">
        <v>0.001</v>
      </c>
      <c r="V109">
        <v>0.001</v>
      </c>
      <c r="W109">
        <v>0.001</v>
      </c>
      <c r="X109">
        <v>0.001</v>
      </c>
      <c r="Y109">
        <v>0.001</v>
      </c>
      <c r="Z109">
        <v>0.001</v>
      </c>
      <c r="AA109">
        <v>0.001</v>
      </c>
      <c r="AB109">
        <v>0.001</v>
      </c>
      <c r="AC109">
        <v>0.001</v>
      </c>
      <c r="AD109">
        <v>0.001</v>
      </c>
      <c r="AE109">
        <v>0.001</v>
      </c>
      <c r="AF109">
        <v>0.001</v>
      </c>
      <c r="AG109">
        <v>0.001</v>
      </c>
      <c r="AH109">
        <v>0.001</v>
      </c>
      <c r="AI109">
        <v>0.001</v>
      </c>
      <c r="AJ109">
        <v>0.001</v>
      </c>
      <c r="AK109">
        <v>0.001</v>
      </c>
      <c r="AL109">
        <v>0.001</v>
      </c>
      <c r="AM109">
        <v>0.001</v>
      </c>
      <c r="AN109">
        <v>0.001</v>
      </c>
      <c r="AO109">
        <v>0.001</v>
      </c>
      <c r="AP109">
        <v>0.001</v>
      </c>
      <c r="AQ109">
        <v>0.001</v>
      </c>
      <c r="AR109">
        <v>0.001</v>
      </c>
      <c r="AS109">
        <v>0.001</v>
      </c>
      <c r="AT109">
        <v>0.001</v>
      </c>
      <c r="AU109">
        <v>0.001</v>
      </c>
      <c r="AV109">
        <v>0.001</v>
      </c>
      <c r="AW109" t="s">
        <v>238</v>
      </c>
    </row>
    <row r="110" spans="1:49" ht="12.75">
      <c r="A110" t="s">
        <v>240</v>
      </c>
      <c r="B110" t="s">
        <v>70</v>
      </c>
      <c r="C110" t="s">
        <v>84</v>
      </c>
      <c r="D110" t="s">
        <v>238</v>
      </c>
      <c r="E110" t="s">
        <v>238</v>
      </c>
      <c r="F110" t="s">
        <v>238</v>
      </c>
      <c r="G110" t="s">
        <v>238</v>
      </c>
      <c r="H110" t="s">
        <v>238</v>
      </c>
      <c r="I110" t="s">
        <v>238</v>
      </c>
      <c r="J110" t="s">
        <v>238</v>
      </c>
      <c r="K110" t="s">
        <v>238</v>
      </c>
      <c r="L110">
        <v>0.001</v>
      </c>
      <c r="M110">
        <v>0.001</v>
      </c>
      <c r="N110">
        <v>0.001</v>
      </c>
      <c r="O110">
        <v>0.001</v>
      </c>
      <c r="P110">
        <v>0.001</v>
      </c>
      <c r="Q110">
        <v>0.001</v>
      </c>
      <c r="R110">
        <v>0.001</v>
      </c>
      <c r="S110">
        <v>0.001</v>
      </c>
      <c r="T110">
        <v>0.001</v>
      </c>
      <c r="U110">
        <v>0.001</v>
      </c>
      <c r="V110">
        <v>0.001</v>
      </c>
      <c r="W110">
        <v>0.001</v>
      </c>
      <c r="X110">
        <v>0.001</v>
      </c>
      <c r="Y110">
        <v>0.001</v>
      </c>
      <c r="Z110">
        <v>0.001</v>
      </c>
      <c r="AA110">
        <v>0.001</v>
      </c>
      <c r="AB110">
        <v>0.001</v>
      </c>
      <c r="AC110">
        <v>0.001</v>
      </c>
      <c r="AD110">
        <v>0.001</v>
      </c>
      <c r="AE110">
        <v>0.001</v>
      </c>
      <c r="AF110">
        <v>0.001</v>
      </c>
      <c r="AG110">
        <v>0.001</v>
      </c>
      <c r="AH110">
        <v>0.001</v>
      </c>
      <c r="AI110">
        <v>0.001</v>
      </c>
      <c r="AJ110">
        <v>0.001</v>
      </c>
      <c r="AK110">
        <v>0.001</v>
      </c>
      <c r="AL110">
        <v>0.001</v>
      </c>
      <c r="AM110">
        <v>0.001</v>
      </c>
      <c r="AN110">
        <v>0.001</v>
      </c>
      <c r="AO110">
        <v>0.001</v>
      </c>
      <c r="AP110">
        <v>0.001</v>
      </c>
      <c r="AQ110">
        <v>0.001</v>
      </c>
      <c r="AR110">
        <v>0.001</v>
      </c>
      <c r="AS110">
        <v>0.001</v>
      </c>
      <c r="AT110">
        <v>0.001</v>
      </c>
      <c r="AU110">
        <v>0.001</v>
      </c>
      <c r="AV110">
        <v>0.001</v>
      </c>
      <c r="AW110" t="s">
        <v>238</v>
      </c>
    </row>
    <row r="111" spans="1:49" ht="12.75">
      <c r="A111" t="s">
        <v>240</v>
      </c>
      <c r="B111" t="s">
        <v>70</v>
      </c>
      <c r="C111" t="s">
        <v>85</v>
      </c>
      <c r="D111" t="s">
        <v>238</v>
      </c>
      <c r="E111" t="s">
        <v>238</v>
      </c>
      <c r="F111" t="s">
        <v>238</v>
      </c>
      <c r="G111" t="s">
        <v>238</v>
      </c>
      <c r="H111" t="s">
        <v>238</v>
      </c>
      <c r="I111" t="s">
        <v>238</v>
      </c>
      <c r="J111" t="s">
        <v>238</v>
      </c>
      <c r="K111" t="s">
        <v>238</v>
      </c>
      <c r="L111">
        <v>0.001</v>
      </c>
      <c r="M111">
        <v>0.001</v>
      </c>
      <c r="N111">
        <v>0.001</v>
      </c>
      <c r="O111">
        <v>0.001</v>
      </c>
      <c r="P111">
        <v>0.001</v>
      </c>
      <c r="Q111">
        <v>0.001</v>
      </c>
      <c r="R111">
        <v>0.001</v>
      </c>
      <c r="S111">
        <v>0.001</v>
      </c>
      <c r="T111">
        <v>0.001</v>
      </c>
      <c r="U111">
        <v>0.001</v>
      </c>
      <c r="V111">
        <v>0.001</v>
      </c>
      <c r="W111">
        <v>0.001</v>
      </c>
      <c r="X111">
        <v>0.001</v>
      </c>
      <c r="Y111">
        <v>0.001</v>
      </c>
      <c r="Z111">
        <v>0.001</v>
      </c>
      <c r="AA111">
        <v>0.001</v>
      </c>
      <c r="AB111">
        <v>0.001</v>
      </c>
      <c r="AC111">
        <v>0.001</v>
      </c>
      <c r="AD111">
        <v>0.001</v>
      </c>
      <c r="AE111">
        <v>0.001</v>
      </c>
      <c r="AF111">
        <v>0.001</v>
      </c>
      <c r="AG111">
        <v>0.001</v>
      </c>
      <c r="AH111">
        <v>0.001</v>
      </c>
      <c r="AI111">
        <v>0.001</v>
      </c>
      <c r="AJ111">
        <v>0.001</v>
      </c>
      <c r="AK111">
        <v>0.001</v>
      </c>
      <c r="AL111">
        <v>0.001</v>
      </c>
      <c r="AM111">
        <v>0.001</v>
      </c>
      <c r="AN111">
        <v>0.001</v>
      </c>
      <c r="AO111">
        <v>0.001</v>
      </c>
      <c r="AP111">
        <v>0.001</v>
      </c>
      <c r="AQ111">
        <v>0.001</v>
      </c>
      <c r="AR111">
        <v>0.001</v>
      </c>
      <c r="AS111">
        <v>0.001</v>
      </c>
      <c r="AT111">
        <v>0.001</v>
      </c>
      <c r="AU111">
        <v>0.001</v>
      </c>
      <c r="AV111">
        <v>0.001</v>
      </c>
      <c r="AW111" t="s">
        <v>238</v>
      </c>
    </row>
    <row r="112" spans="1:49" ht="12.75">
      <c r="A112" t="s">
        <v>240</v>
      </c>
      <c r="B112" t="s">
        <v>70</v>
      </c>
      <c r="C112" t="s">
        <v>86</v>
      </c>
      <c r="D112" t="s">
        <v>238</v>
      </c>
      <c r="E112" t="s">
        <v>238</v>
      </c>
      <c r="F112" t="s">
        <v>238</v>
      </c>
      <c r="G112" t="s">
        <v>238</v>
      </c>
      <c r="H112" t="s">
        <v>238</v>
      </c>
      <c r="I112" t="s">
        <v>238</v>
      </c>
      <c r="J112" t="s">
        <v>238</v>
      </c>
      <c r="K112" t="s">
        <v>238</v>
      </c>
      <c r="L112">
        <v>0.001</v>
      </c>
      <c r="M112">
        <v>0.001</v>
      </c>
      <c r="N112">
        <v>0.001</v>
      </c>
      <c r="O112">
        <v>0.001</v>
      </c>
      <c r="P112">
        <v>0.001</v>
      </c>
      <c r="Q112">
        <v>0.001</v>
      </c>
      <c r="R112">
        <v>0.001</v>
      </c>
      <c r="S112">
        <v>0.001</v>
      </c>
      <c r="T112">
        <v>0.001</v>
      </c>
      <c r="U112">
        <v>0.001</v>
      </c>
      <c r="V112">
        <v>0.001</v>
      </c>
      <c r="W112">
        <v>0.001</v>
      </c>
      <c r="X112">
        <v>0.001</v>
      </c>
      <c r="Y112">
        <v>0.001</v>
      </c>
      <c r="Z112">
        <v>0.001</v>
      </c>
      <c r="AA112">
        <v>0.001</v>
      </c>
      <c r="AB112">
        <v>0.001</v>
      </c>
      <c r="AC112">
        <v>0.001</v>
      </c>
      <c r="AD112">
        <v>0.001</v>
      </c>
      <c r="AE112">
        <v>0.001</v>
      </c>
      <c r="AF112">
        <v>0.001</v>
      </c>
      <c r="AG112">
        <v>0.001</v>
      </c>
      <c r="AH112">
        <v>0.001</v>
      </c>
      <c r="AI112">
        <v>0.001</v>
      </c>
      <c r="AJ112">
        <v>0.001</v>
      </c>
      <c r="AK112">
        <v>0.001</v>
      </c>
      <c r="AL112">
        <v>0.001</v>
      </c>
      <c r="AM112">
        <v>0.001</v>
      </c>
      <c r="AN112">
        <v>0.001</v>
      </c>
      <c r="AO112">
        <v>0.001</v>
      </c>
      <c r="AP112">
        <v>0.001</v>
      </c>
      <c r="AQ112">
        <v>0.001</v>
      </c>
      <c r="AR112">
        <v>0.001</v>
      </c>
      <c r="AS112">
        <v>0.001</v>
      </c>
      <c r="AT112">
        <v>0.001</v>
      </c>
      <c r="AU112">
        <v>0.001</v>
      </c>
      <c r="AV112">
        <v>0.001</v>
      </c>
      <c r="AW112" t="s">
        <v>238</v>
      </c>
    </row>
    <row r="113" spans="1:49" ht="12.75">
      <c r="A113" t="s">
        <v>240</v>
      </c>
      <c r="B113" t="s">
        <v>70</v>
      </c>
      <c r="C113" t="s">
        <v>87</v>
      </c>
      <c r="D113" t="s">
        <v>238</v>
      </c>
      <c r="E113" t="s">
        <v>238</v>
      </c>
      <c r="F113" t="s">
        <v>238</v>
      </c>
      <c r="G113" t="s">
        <v>238</v>
      </c>
      <c r="H113" t="s">
        <v>238</v>
      </c>
      <c r="I113" t="s">
        <v>238</v>
      </c>
      <c r="J113" t="s">
        <v>238</v>
      </c>
      <c r="K113" t="s">
        <v>238</v>
      </c>
      <c r="L113">
        <v>0.001</v>
      </c>
      <c r="M113">
        <v>0.001</v>
      </c>
      <c r="N113">
        <v>0.001</v>
      </c>
      <c r="O113">
        <v>0.001</v>
      </c>
      <c r="P113">
        <v>0.001</v>
      </c>
      <c r="Q113">
        <v>0.001</v>
      </c>
      <c r="R113">
        <v>0.001</v>
      </c>
      <c r="S113">
        <v>0.001</v>
      </c>
      <c r="T113">
        <v>0.001</v>
      </c>
      <c r="U113">
        <v>0.001</v>
      </c>
      <c r="V113">
        <v>0.001</v>
      </c>
      <c r="W113">
        <v>0.001</v>
      </c>
      <c r="X113">
        <v>0.001</v>
      </c>
      <c r="Y113">
        <v>0.001</v>
      </c>
      <c r="Z113">
        <v>0.001</v>
      </c>
      <c r="AA113">
        <v>0.001</v>
      </c>
      <c r="AB113">
        <v>0.001</v>
      </c>
      <c r="AC113">
        <v>0.001</v>
      </c>
      <c r="AD113">
        <v>0.001</v>
      </c>
      <c r="AE113">
        <v>0.001</v>
      </c>
      <c r="AF113">
        <v>0.001</v>
      </c>
      <c r="AG113">
        <v>0.001</v>
      </c>
      <c r="AH113">
        <v>0.001</v>
      </c>
      <c r="AI113">
        <v>0.001</v>
      </c>
      <c r="AJ113">
        <v>0.001</v>
      </c>
      <c r="AK113">
        <v>0.001</v>
      </c>
      <c r="AL113">
        <v>0.001</v>
      </c>
      <c r="AM113">
        <v>0.001</v>
      </c>
      <c r="AN113">
        <v>0.001</v>
      </c>
      <c r="AO113">
        <v>0.001</v>
      </c>
      <c r="AP113">
        <v>0.001</v>
      </c>
      <c r="AQ113">
        <v>0.001</v>
      </c>
      <c r="AR113">
        <v>0.001</v>
      </c>
      <c r="AS113">
        <v>0.001</v>
      </c>
      <c r="AT113">
        <v>0.001</v>
      </c>
      <c r="AU113">
        <v>0.001</v>
      </c>
      <c r="AV113">
        <v>0.001</v>
      </c>
      <c r="AW113" t="s">
        <v>238</v>
      </c>
    </row>
    <row r="114" spans="1:49" ht="12.75">
      <c r="A114" t="s">
        <v>240</v>
      </c>
      <c r="B114" t="s">
        <v>70</v>
      </c>
      <c r="C114" t="s">
        <v>52</v>
      </c>
      <c r="D114" t="s">
        <v>238</v>
      </c>
      <c r="E114" t="s">
        <v>238</v>
      </c>
      <c r="F114" t="s">
        <v>238</v>
      </c>
      <c r="G114" t="s">
        <v>238</v>
      </c>
      <c r="H114" t="s">
        <v>238</v>
      </c>
      <c r="I114" t="s">
        <v>238</v>
      </c>
      <c r="J114" t="s">
        <v>238</v>
      </c>
      <c r="K114" t="s">
        <v>238</v>
      </c>
      <c r="L114">
        <v>0.001</v>
      </c>
      <c r="M114">
        <v>0.001</v>
      </c>
      <c r="N114">
        <v>0.001</v>
      </c>
      <c r="O114">
        <v>0.001</v>
      </c>
      <c r="P114">
        <v>0.001</v>
      </c>
      <c r="Q114">
        <v>0.001</v>
      </c>
      <c r="R114">
        <v>0.001</v>
      </c>
      <c r="S114">
        <v>0.001</v>
      </c>
      <c r="T114">
        <v>0.001</v>
      </c>
      <c r="U114">
        <v>0.001</v>
      </c>
      <c r="V114">
        <v>0.001</v>
      </c>
      <c r="W114">
        <v>0.001</v>
      </c>
      <c r="X114">
        <v>0.001</v>
      </c>
      <c r="Y114">
        <v>0.001</v>
      </c>
      <c r="Z114">
        <v>0.001</v>
      </c>
      <c r="AA114">
        <v>0.001</v>
      </c>
      <c r="AB114">
        <v>0.001</v>
      </c>
      <c r="AC114">
        <v>0.001</v>
      </c>
      <c r="AD114">
        <v>0.001</v>
      </c>
      <c r="AE114">
        <v>0.001</v>
      </c>
      <c r="AF114">
        <v>0.001</v>
      </c>
      <c r="AG114">
        <v>0.001</v>
      </c>
      <c r="AH114">
        <v>0.001</v>
      </c>
      <c r="AI114">
        <v>0.001</v>
      </c>
      <c r="AJ114">
        <v>0.001</v>
      </c>
      <c r="AK114">
        <v>0.001</v>
      </c>
      <c r="AL114">
        <v>0.001</v>
      </c>
      <c r="AM114">
        <v>0.001</v>
      </c>
      <c r="AN114">
        <v>0.001</v>
      </c>
      <c r="AO114">
        <v>0.001</v>
      </c>
      <c r="AP114">
        <v>0.001</v>
      </c>
      <c r="AQ114">
        <v>0.001</v>
      </c>
      <c r="AR114">
        <v>0.001</v>
      </c>
      <c r="AS114">
        <v>0.001</v>
      </c>
      <c r="AT114">
        <v>0.001</v>
      </c>
      <c r="AU114">
        <v>0.001</v>
      </c>
      <c r="AV114">
        <v>0.001</v>
      </c>
      <c r="AW114" t="s">
        <v>238</v>
      </c>
    </row>
    <row r="115" spans="1:49" ht="12.75">
      <c r="A115" t="s">
        <v>240</v>
      </c>
      <c r="B115" t="s">
        <v>70</v>
      </c>
      <c r="C115" t="s">
        <v>50</v>
      </c>
      <c r="D115" t="s">
        <v>238</v>
      </c>
      <c r="E115" t="s">
        <v>238</v>
      </c>
      <c r="F115" t="s">
        <v>238</v>
      </c>
      <c r="G115" t="s">
        <v>238</v>
      </c>
      <c r="H115" t="s">
        <v>238</v>
      </c>
      <c r="I115" t="s">
        <v>238</v>
      </c>
      <c r="J115" t="s">
        <v>238</v>
      </c>
      <c r="K115" t="s">
        <v>238</v>
      </c>
      <c r="L115">
        <v>0.001</v>
      </c>
      <c r="M115">
        <v>0.001</v>
      </c>
      <c r="N115">
        <v>0.001</v>
      </c>
      <c r="O115">
        <v>0.001</v>
      </c>
      <c r="P115">
        <v>0.001</v>
      </c>
      <c r="Q115">
        <v>0.001</v>
      </c>
      <c r="R115">
        <v>0.001</v>
      </c>
      <c r="S115">
        <v>0.001</v>
      </c>
      <c r="T115">
        <v>0.001</v>
      </c>
      <c r="U115">
        <v>0.001</v>
      </c>
      <c r="V115">
        <v>0.001</v>
      </c>
      <c r="W115">
        <v>0.001</v>
      </c>
      <c r="X115">
        <v>0.001</v>
      </c>
      <c r="Y115">
        <v>0.001</v>
      </c>
      <c r="Z115">
        <v>0.001</v>
      </c>
      <c r="AA115">
        <v>0.001</v>
      </c>
      <c r="AB115">
        <v>0.001</v>
      </c>
      <c r="AC115">
        <v>0.001</v>
      </c>
      <c r="AD115">
        <v>0.001</v>
      </c>
      <c r="AE115">
        <v>0.001</v>
      </c>
      <c r="AF115">
        <v>0.001</v>
      </c>
      <c r="AG115">
        <v>0.001</v>
      </c>
      <c r="AH115">
        <v>0.001</v>
      </c>
      <c r="AI115">
        <v>0.001</v>
      </c>
      <c r="AJ115">
        <v>0.001</v>
      </c>
      <c r="AK115">
        <v>0.001</v>
      </c>
      <c r="AL115">
        <v>0.001</v>
      </c>
      <c r="AM115">
        <v>0.001</v>
      </c>
      <c r="AN115">
        <v>0.001</v>
      </c>
      <c r="AO115">
        <v>0.001</v>
      </c>
      <c r="AP115">
        <v>0.001</v>
      </c>
      <c r="AQ115">
        <v>0.001</v>
      </c>
      <c r="AR115">
        <v>0.001</v>
      </c>
      <c r="AS115">
        <v>0.001</v>
      </c>
      <c r="AT115">
        <v>0.001</v>
      </c>
      <c r="AU115">
        <v>0.001</v>
      </c>
      <c r="AV115">
        <v>0.001</v>
      </c>
      <c r="AW115" t="s">
        <v>238</v>
      </c>
    </row>
    <row r="116" spans="1:49" ht="12.75">
      <c r="A116" t="s">
        <v>240</v>
      </c>
      <c r="B116" t="s">
        <v>70</v>
      </c>
      <c r="C116" t="s">
        <v>71</v>
      </c>
      <c r="D116" t="s">
        <v>238</v>
      </c>
      <c r="E116" t="s">
        <v>238</v>
      </c>
      <c r="F116" t="s">
        <v>238</v>
      </c>
      <c r="G116" t="s">
        <v>238</v>
      </c>
      <c r="H116" t="s">
        <v>238</v>
      </c>
      <c r="I116" t="s">
        <v>238</v>
      </c>
      <c r="J116" t="s">
        <v>238</v>
      </c>
      <c r="K116" t="s">
        <v>238</v>
      </c>
      <c r="L116">
        <v>0.001</v>
      </c>
      <c r="M116">
        <v>0.001</v>
      </c>
      <c r="N116">
        <v>0.001</v>
      </c>
      <c r="O116">
        <v>0.001</v>
      </c>
      <c r="P116">
        <v>0.001</v>
      </c>
      <c r="Q116">
        <v>0.001</v>
      </c>
      <c r="R116">
        <v>0.001</v>
      </c>
      <c r="S116">
        <v>0.001</v>
      </c>
      <c r="T116">
        <v>0.001</v>
      </c>
      <c r="U116">
        <v>0.001</v>
      </c>
      <c r="V116">
        <v>0.001</v>
      </c>
      <c r="W116">
        <v>0.001</v>
      </c>
      <c r="X116">
        <v>0.001</v>
      </c>
      <c r="Y116">
        <v>0.001</v>
      </c>
      <c r="Z116">
        <v>0.001</v>
      </c>
      <c r="AA116">
        <v>0.001</v>
      </c>
      <c r="AB116">
        <v>0.001</v>
      </c>
      <c r="AC116">
        <v>0.001</v>
      </c>
      <c r="AD116">
        <v>0.001</v>
      </c>
      <c r="AE116">
        <v>0.001</v>
      </c>
      <c r="AF116">
        <v>0.001</v>
      </c>
      <c r="AG116">
        <v>0.001</v>
      </c>
      <c r="AH116">
        <v>0.001</v>
      </c>
      <c r="AI116">
        <v>0.001</v>
      </c>
      <c r="AJ116">
        <v>0.001</v>
      </c>
      <c r="AK116">
        <v>0.001</v>
      </c>
      <c r="AL116">
        <v>0.001</v>
      </c>
      <c r="AM116">
        <v>0.001</v>
      </c>
      <c r="AN116">
        <v>0.001</v>
      </c>
      <c r="AO116">
        <v>0.001</v>
      </c>
      <c r="AP116">
        <v>0.001</v>
      </c>
      <c r="AQ116">
        <v>0.001</v>
      </c>
      <c r="AR116">
        <v>0.001</v>
      </c>
      <c r="AS116">
        <v>0.001</v>
      </c>
      <c r="AT116">
        <v>0.001</v>
      </c>
      <c r="AU116">
        <v>0.001</v>
      </c>
      <c r="AV116">
        <v>0.001</v>
      </c>
      <c r="AW116" t="s">
        <v>238</v>
      </c>
    </row>
    <row r="117" spans="1:49" ht="12.75">
      <c r="A117" t="s">
        <v>240</v>
      </c>
      <c r="B117" t="s">
        <v>70</v>
      </c>
      <c r="C117" t="s">
        <v>205</v>
      </c>
      <c r="D117" t="s">
        <v>238</v>
      </c>
      <c r="E117" t="s">
        <v>238</v>
      </c>
      <c r="F117" t="s">
        <v>238</v>
      </c>
      <c r="G117" t="s">
        <v>238</v>
      </c>
      <c r="H117" t="s">
        <v>238</v>
      </c>
      <c r="I117" t="s">
        <v>238</v>
      </c>
      <c r="J117" t="s">
        <v>238</v>
      </c>
      <c r="K117" t="s">
        <v>238</v>
      </c>
      <c r="L117">
        <v>0.001</v>
      </c>
      <c r="M117">
        <v>0.001</v>
      </c>
      <c r="N117">
        <v>0.001</v>
      </c>
      <c r="O117">
        <v>0.001</v>
      </c>
      <c r="P117">
        <v>0.001</v>
      </c>
      <c r="Q117">
        <v>0.001</v>
      </c>
      <c r="R117">
        <v>0.001</v>
      </c>
      <c r="S117">
        <v>0.001</v>
      </c>
      <c r="T117">
        <v>0.001</v>
      </c>
      <c r="U117">
        <v>0.001</v>
      </c>
      <c r="V117">
        <v>0.001</v>
      </c>
      <c r="W117">
        <v>0.001</v>
      </c>
      <c r="X117">
        <v>0.001</v>
      </c>
      <c r="Y117">
        <v>0.001</v>
      </c>
      <c r="Z117">
        <v>0.001</v>
      </c>
      <c r="AA117">
        <v>0.001</v>
      </c>
      <c r="AB117">
        <v>0.001</v>
      </c>
      <c r="AC117">
        <v>0.001</v>
      </c>
      <c r="AD117">
        <v>0.001</v>
      </c>
      <c r="AE117">
        <v>0.001</v>
      </c>
      <c r="AF117">
        <v>0.001</v>
      </c>
      <c r="AG117">
        <v>0.001</v>
      </c>
      <c r="AH117">
        <v>0.001</v>
      </c>
      <c r="AI117">
        <v>0.001</v>
      </c>
      <c r="AJ117">
        <v>0.001</v>
      </c>
      <c r="AK117">
        <v>0.001</v>
      </c>
      <c r="AL117">
        <v>0.001</v>
      </c>
      <c r="AM117">
        <v>0.001</v>
      </c>
      <c r="AN117">
        <v>0.001</v>
      </c>
      <c r="AO117">
        <v>0.001</v>
      </c>
      <c r="AP117">
        <v>0.001</v>
      </c>
      <c r="AQ117">
        <v>0.001</v>
      </c>
      <c r="AR117">
        <v>0.001</v>
      </c>
      <c r="AS117">
        <v>0.001</v>
      </c>
      <c r="AT117">
        <v>0.001</v>
      </c>
      <c r="AU117">
        <v>0.001</v>
      </c>
      <c r="AV117">
        <v>0.001</v>
      </c>
      <c r="AW117" t="s">
        <v>238</v>
      </c>
    </row>
    <row r="118" spans="1:49" ht="12.75">
      <c r="A118" t="s">
        <v>240</v>
      </c>
      <c r="B118" t="s">
        <v>70</v>
      </c>
      <c r="C118" t="s">
        <v>208</v>
      </c>
      <c r="D118" t="s">
        <v>238</v>
      </c>
      <c r="E118" t="s">
        <v>238</v>
      </c>
      <c r="F118" t="s">
        <v>238</v>
      </c>
      <c r="G118" t="s">
        <v>238</v>
      </c>
      <c r="H118" t="s">
        <v>238</v>
      </c>
      <c r="I118" t="s">
        <v>238</v>
      </c>
      <c r="J118" t="s">
        <v>238</v>
      </c>
      <c r="K118" t="s">
        <v>238</v>
      </c>
      <c r="L118">
        <v>0.001</v>
      </c>
      <c r="M118">
        <v>0.001</v>
      </c>
      <c r="N118">
        <v>0.001</v>
      </c>
      <c r="O118">
        <v>0.001</v>
      </c>
      <c r="P118">
        <v>0.001</v>
      </c>
      <c r="Q118">
        <v>0.001</v>
      </c>
      <c r="R118">
        <v>0.001</v>
      </c>
      <c r="S118">
        <v>0.001</v>
      </c>
      <c r="T118">
        <v>0.001</v>
      </c>
      <c r="U118">
        <v>0.001</v>
      </c>
      <c r="V118">
        <v>0.001</v>
      </c>
      <c r="W118">
        <v>0.001</v>
      </c>
      <c r="X118">
        <v>0.001</v>
      </c>
      <c r="Y118">
        <v>0.001</v>
      </c>
      <c r="Z118">
        <v>0.001</v>
      </c>
      <c r="AA118">
        <v>0.001</v>
      </c>
      <c r="AB118">
        <v>0.001</v>
      </c>
      <c r="AC118">
        <v>0.001</v>
      </c>
      <c r="AD118">
        <v>0.001</v>
      </c>
      <c r="AE118">
        <v>0.001</v>
      </c>
      <c r="AF118">
        <v>0.001</v>
      </c>
      <c r="AG118">
        <v>0.001</v>
      </c>
      <c r="AH118">
        <v>0.001</v>
      </c>
      <c r="AI118">
        <v>0.001</v>
      </c>
      <c r="AJ118">
        <v>0.001</v>
      </c>
      <c r="AK118">
        <v>0.001</v>
      </c>
      <c r="AL118">
        <v>0.001</v>
      </c>
      <c r="AM118">
        <v>0.001</v>
      </c>
      <c r="AN118">
        <v>0.001</v>
      </c>
      <c r="AO118">
        <v>0.001</v>
      </c>
      <c r="AP118">
        <v>0.001</v>
      </c>
      <c r="AQ118">
        <v>0.001</v>
      </c>
      <c r="AR118">
        <v>0.001</v>
      </c>
      <c r="AS118">
        <v>0.001</v>
      </c>
      <c r="AT118">
        <v>0.001</v>
      </c>
      <c r="AU118">
        <v>0.001</v>
      </c>
      <c r="AV118">
        <v>0.001</v>
      </c>
      <c r="AW118" t="s">
        <v>238</v>
      </c>
    </row>
    <row r="119" spans="1:49" ht="12.75">
      <c r="A119" t="s">
        <v>240</v>
      </c>
      <c r="B119" t="s">
        <v>70</v>
      </c>
      <c r="C119" t="s">
        <v>207</v>
      </c>
      <c r="D119" t="s">
        <v>238</v>
      </c>
      <c r="E119" t="s">
        <v>238</v>
      </c>
      <c r="F119" t="s">
        <v>238</v>
      </c>
      <c r="G119" t="s">
        <v>238</v>
      </c>
      <c r="H119" t="s">
        <v>238</v>
      </c>
      <c r="I119" t="s">
        <v>238</v>
      </c>
      <c r="J119" t="s">
        <v>238</v>
      </c>
      <c r="K119" t="s">
        <v>238</v>
      </c>
      <c r="L119">
        <v>0.001</v>
      </c>
      <c r="M119">
        <v>0.001</v>
      </c>
      <c r="N119">
        <v>0.001</v>
      </c>
      <c r="O119">
        <v>0.001</v>
      </c>
      <c r="P119">
        <v>0.001</v>
      </c>
      <c r="Q119">
        <v>0.001</v>
      </c>
      <c r="R119">
        <v>0.001</v>
      </c>
      <c r="S119">
        <v>0.001</v>
      </c>
      <c r="T119">
        <v>0.001</v>
      </c>
      <c r="U119">
        <v>0.001</v>
      </c>
      <c r="V119">
        <v>0.001</v>
      </c>
      <c r="W119">
        <v>0.001</v>
      </c>
      <c r="X119">
        <v>0.001</v>
      </c>
      <c r="Y119">
        <v>0.001</v>
      </c>
      <c r="Z119">
        <v>0.001</v>
      </c>
      <c r="AA119">
        <v>0.001</v>
      </c>
      <c r="AB119">
        <v>0.001</v>
      </c>
      <c r="AC119">
        <v>0.001</v>
      </c>
      <c r="AD119">
        <v>0.001</v>
      </c>
      <c r="AE119">
        <v>0.001</v>
      </c>
      <c r="AF119">
        <v>0.001</v>
      </c>
      <c r="AG119">
        <v>0.001</v>
      </c>
      <c r="AH119">
        <v>0.001</v>
      </c>
      <c r="AI119">
        <v>0.001</v>
      </c>
      <c r="AJ119">
        <v>0.001</v>
      </c>
      <c r="AK119">
        <v>0.001</v>
      </c>
      <c r="AL119">
        <v>0.001</v>
      </c>
      <c r="AM119">
        <v>0.001</v>
      </c>
      <c r="AN119">
        <v>0.001</v>
      </c>
      <c r="AO119">
        <v>0.001</v>
      </c>
      <c r="AP119">
        <v>0.001</v>
      </c>
      <c r="AQ119">
        <v>0.001</v>
      </c>
      <c r="AR119">
        <v>0.001</v>
      </c>
      <c r="AS119">
        <v>0.001</v>
      </c>
      <c r="AT119">
        <v>0.001</v>
      </c>
      <c r="AU119">
        <v>0.001</v>
      </c>
      <c r="AV119">
        <v>0.001</v>
      </c>
      <c r="AW119" t="s">
        <v>238</v>
      </c>
    </row>
    <row r="120" spans="1:49" ht="12.75">
      <c r="A120" t="s">
        <v>240</v>
      </c>
      <c r="B120" t="s">
        <v>70</v>
      </c>
      <c r="C120" t="s">
        <v>206</v>
      </c>
      <c r="D120" t="s">
        <v>238</v>
      </c>
      <c r="E120" t="s">
        <v>238</v>
      </c>
      <c r="F120" t="s">
        <v>238</v>
      </c>
      <c r="G120" t="s">
        <v>238</v>
      </c>
      <c r="H120" t="s">
        <v>238</v>
      </c>
      <c r="I120" t="s">
        <v>238</v>
      </c>
      <c r="J120" t="s">
        <v>238</v>
      </c>
      <c r="K120" t="s">
        <v>238</v>
      </c>
      <c r="L120">
        <v>0.001</v>
      </c>
      <c r="M120">
        <v>0.001</v>
      </c>
      <c r="N120">
        <v>0.001</v>
      </c>
      <c r="O120">
        <v>0.001</v>
      </c>
      <c r="P120">
        <v>0.001</v>
      </c>
      <c r="Q120">
        <v>0.001</v>
      </c>
      <c r="R120">
        <v>0.001</v>
      </c>
      <c r="S120">
        <v>0.001</v>
      </c>
      <c r="T120">
        <v>0.001</v>
      </c>
      <c r="U120">
        <v>0.001</v>
      </c>
      <c r="V120">
        <v>0.001</v>
      </c>
      <c r="W120">
        <v>0.001</v>
      </c>
      <c r="X120">
        <v>0.001</v>
      </c>
      <c r="Y120">
        <v>0.001</v>
      </c>
      <c r="Z120">
        <v>0.001</v>
      </c>
      <c r="AA120">
        <v>0.001</v>
      </c>
      <c r="AB120">
        <v>0.001</v>
      </c>
      <c r="AC120">
        <v>0.001</v>
      </c>
      <c r="AD120">
        <v>0.001</v>
      </c>
      <c r="AE120">
        <v>0.001</v>
      </c>
      <c r="AF120">
        <v>0.001</v>
      </c>
      <c r="AG120">
        <v>0.001</v>
      </c>
      <c r="AH120">
        <v>0.001</v>
      </c>
      <c r="AI120">
        <v>0.001</v>
      </c>
      <c r="AJ120">
        <v>0.001</v>
      </c>
      <c r="AK120">
        <v>0.001</v>
      </c>
      <c r="AL120">
        <v>0.001</v>
      </c>
      <c r="AM120">
        <v>0.001</v>
      </c>
      <c r="AN120">
        <v>0.001</v>
      </c>
      <c r="AO120">
        <v>0.001</v>
      </c>
      <c r="AP120">
        <v>0.001</v>
      </c>
      <c r="AQ120">
        <v>0.001</v>
      </c>
      <c r="AR120">
        <v>0.001</v>
      </c>
      <c r="AS120">
        <v>0.001</v>
      </c>
      <c r="AT120">
        <v>0.001</v>
      </c>
      <c r="AU120">
        <v>0.001</v>
      </c>
      <c r="AV120">
        <v>0.001</v>
      </c>
      <c r="AW120" t="s">
        <v>238</v>
      </c>
    </row>
    <row r="121" spans="1:49" ht="12.75">
      <c r="A121" t="s">
        <v>240</v>
      </c>
      <c r="B121" t="s">
        <v>70</v>
      </c>
      <c r="C121" t="s">
        <v>204</v>
      </c>
      <c r="D121" t="s">
        <v>238</v>
      </c>
      <c r="E121" t="s">
        <v>238</v>
      </c>
      <c r="F121" t="s">
        <v>238</v>
      </c>
      <c r="G121" t="s">
        <v>238</v>
      </c>
      <c r="H121" t="s">
        <v>238</v>
      </c>
      <c r="I121" t="s">
        <v>238</v>
      </c>
      <c r="J121" t="s">
        <v>238</v>
      </c>
      <c r="K121" t="s">
        <v>238</v>
      </c>
      <c r="L121">
        <v>0.001</v>
      </c>
      <c r="M121">
        <v>0.001</v>
      </c>
      <c r="N121">
        <v>0.001</v>
      </c>
      <c r="O121">
        <v>0.001</v>
      </c>
      <c r="P121">
        <v>0.001</v>
      </c>
      <c r="Q121">
        <v>0.001</v>
      </c>
      <c r="R121">
        <v>0.001</v>
      </c>
      <c r="S121">
        <v>0.001</v>
      </c>
      <c r="T121">
        <v>0.001</v>
      </c>
      <c r="U121">
        <v>0.001</v>
      </c>
      <c r="V121">
        <v>0.001</v>
      </c>
      <c r="W121">
        <v>0.001</v>
      </c>
      <c r="X121">
        <v>0.001</v>
      </c>
      <c r="Y121">
        <v>0.001</v>
      </c>
      <c r="Z121">
        <v>0.001</v>
      </c>
      <c r="AA121">
        <v>0.001</v>
      </c>
      <c r="AB121">
        <v>0.001</v>
      </c>
      <c r="AC121">
        <v>0.001</v>
      </c>
      <c r="AD121">
        <v>0.001</v>
      </c>
      <c r="AE121">
        <v>0.001</v>
      </c>
      <c r="AF121">
        <v>0.001</v>
      </c>
      <c r="AG121">
        <v>0.001</v>
      </c>
      <c r="AH121">
        <v>0.001</v>
      </c>
      <c r="AI121">
        <v>0.001</v>
      </c>
      <c r="AJ121">
        <v>0.001</v>
      </c>
      <c r="AK121">
        <v>0.001</v>
      </c>
      <c r="AL121">
        <v>0.001</v>
      </c>
      <c r="AM121">
        <v>0.001</v>
      </c>
      <c r="AN121">
        <v>0.001</v>
      </c>
      <c r="AO121">
        <v>0.001</v>
      </c>
      <c r="AP121">
        <v>0.001</v>
      </c>
      <c r="AQ121">
        <v>0.001</v>
      </c>
      <c r="AR121">
        <v>0.001</v>
      </c>
      <c r="AS121">
        <v>0.001</v>
      </c>
      <c r="AT121">
        <v>0.001</v>
      </c>
      <c r="AU121">
        <v>0.001</v>
      </c>
      <c r="AV121">
        <v>0.001</v>
      </c>
      <c r="AW121" t="s">
        <v>238</v>
      </c>
    </row>
    <row r="122" spans="1:49" ht="12.75">
      <c r="A122" t="s">
        <v>240</v>
      </c>
      <c r="B122" t="s">
        <v>29</v>
      </c>
      <c r="C122" t="s">
        <v>239</v>
      </c>
      <c r="D122" t="s">
        <v>238</v>
      </c>
      <c r="E122" t="s">
        <v>238</v>
      </c>
      <c r="F122" t="s">
        <v>202</v>
      </c>
      <c r="G122" t="s">
        <v>237</v>
      </c>
      <c r="H122" t="s">
        <v>238</v>
      </c>
      <c r="I122" t="s">
        <v>238</v>
      </c>
      <c r="J122" t="s">
        <v>238</v>
      </c>
      <c r="K122" t="s">
        <v>238</v>
      </c>
      <c r="L122">
        <v>0.040000000000000001</v>
      </c>
      <c r="M122">
        <v>0.040000000000000001</v>
      </c>
      <c r="N122">
        <v>0.040000000000000001</v>
      </c>
      <c r="O122">
        <v>0.040000000000000001</v>
      </c>
      <c r="P122">
        <v>0.040000000000000001</v>
      </c>
      <c r="Q122">
        <v>0.040000000000000001</v>
      </c>
      <c r="R122">
        <v>0.040000000000000001</v>
      </c>
      <c r="S122">
        <v>0.040000000000000001</v>
      </c>
      <c r="T122">
        <v>0.040000000000000001</v>
      </c>
      <c r="U122">
        <v>0.040000000000000001</v>
      </c>
      <c r="V122">
        <v>0.040000000000000001</v>
      </c>
      <c r="W122">
        <v>0.040000000000000001</v>
      </c>
      <c r="X122">
        <v>0.040000000000000001</v>
      </c>
      <c r="Y122">
        <v>0.040000000000000001</v>
      </c>
      <c r="Z122">
        <v>0.040000000000000001</v>
      </c>
      <c r="AA122">
        <v>0.040000000000000001</v>
      </c>
      <c r="AB122">
        <v>0.040000000000000001</v>
      </c>
      <c r="AC122">
        <v>0.040000000000000001</v>
      </c>
      <c r="AD122">
        <v>0.040000000000000001</v>
      </c>
      <c r="AE122">
        <v>0.040000000000000001</v>
      </c>
      <c r="AF122">
        <v>0.040000000000000001</v>
      </c>
      <c r="AG122">
        <v>0.040000000000000001</v>
      </c>
      <c r="AH122">
        <v>0.040000000000000001</v>
      </c>
      <c r="AI122">
        <v>0.040000000000000001</v>
      </c>
      <c r="AJ122">
        <v>0.040000000000000001</v>
      </c>
      <c r="AK122">
        <v>0.040000000000000001</v>
      </c>
      <c r="AL122">
        <v>0.040000000000000001</v>
      </c>
      <c r="AM122">
        <v>0.040000000000000001</v>
      </c>
      <c r="AN122">
        <v>0.040000000000000001</v>
      </c>
      <c r="AO122">
        <v>0.040000000000000001</v>
      </c>
      <c r="AP122">
        <v>0.040000000000000001</v>
      </c>
      <c r="AQ122">
        <v>0.040000000000000001</v>
      </c>
      <c r="AR122">
        <v>0.040000000000000001</v>
      </c>
      <c r="AS122">
        <v>0.040000000000000001</v>
      </c>
      <c r="AT122">
        <v>0.040000000000000001</v>
      </c>
      <c r="AU122">
        <v>0.040000000000000001</v>
      </c>
      <c r="AV122">
        <v>0.040000000000000001</v>
      </c>
      <c r="AW122" t="s">
        <v>238</v>
      </c>
    </row>
    <row r="123" spans="1:49" ht="12.75">
      <c r="A123" t="s">
        <v>240</v>
      </c>
      <c r="B123" t="s">
        <v>29</v>
      </c>
      <c r="C123" t="s">
        <v>236</v>
      </c>
      <c r="D123" t="s">
        <v>238</v>
      </c>
      <c r="E123" t="s">
        <v>238</v>
      </c>
      <c r="F123" t="s">
        <v>202</v>
      </c>
      <c r="G123" t="s">
        <v>237</v>
      </c>
      <c r="H123" t="s">
        <v>238</v>
      </c>
      <c r="I123" t="s">
        <v>238</v>
      </c>
      <c r="J123" t="s">
        <v>238</v>
      </c>
      <c r="K123" t="s">
        <v>238</v>
      </c>
      <c r="L123">
        <v>0.040000000000000001</v>
      </c>
      <c r="M123">
        <v>0.040000000000000001</v>
      </c>
      <c r="N123">
        <v>0.040000000000000001</v>
      </c>
      <c r="O123">
        <v>0.040000000000000001</v>
      </c>
      <c r="P123">
        <v>0.040000000000000001</v>
      </c>
      <c r="Q123">
        <v>0.040000000000000001</v>
      </c>
      <c r="R123">
        <v>0.040000000000000001</v>
      </c>
      <c r="S123">
        <v>0.040000000000000001</v>
      </c>
      <c r="T123">
        <v>0.040000000000000001</v>
      </c>
      <c r="U123">
        <v>0.040000000000000001</v>
      </c>
      <c r="V123">
        <v>0.040000000000000001</v>
      </c>
      <c r="W123">
        <v>0.040000000000000001</v>
      </c>
      <c r="X123">
        <v>0.040000000000000001</v>
      </c>
      <c r="Y123">
        <v>0.040000000000000001</v>
      </c>
      <c r="Z123">
        <v>0.040000000000000001</v>
      </c>
      <c r="AA123">
        <v>0.040000000000000001</v>
      </c>
      <c r="AB123">
        <v>0.040000000000000001</v>
      </c>
      <c r="AC123">
        <v>0.040000000000000001</v>
      </c>
      <c r="AD123">
        <v>0.040000000000000001</v>
      </c>
      <c r="AE123">
        <v>0.040000000000000001</v>
      </c>
      <c r="AF123">
        <v>0.040000000000000001</v>
      </c>
      <c r="AG123">
        <v>0.040000000000000001</v>
      </c>
      <c r="AH123">
        <v>0.040000000000000001</v>
      </c>
      <c r="AI123">
        <v>0.040000000000000001</v>
      </c>
      <c r="AJ123">
        <v>0.040000000000000001</v>
      </c>
      <c r="AK123">
        <v>0.040000000000000001</v>
      </c>
      <c r="AL123">
        <v>0.040000000000000001</v>
      </c>
      <c r="AM123">
        <v>0.040000000000000001</v>
      </c>
      <c r="AN123">
        <v>0.040000000000000001</v>
      </c>
      <c r="AO123">
        <v>0.040000000000000001</v>
      </c>
      <c r="AP123">
        <v>0.040000000000000001</v>
      </c>
      <c r="AQ123">
        <v>0.040000000000000001</v>
      </c>
      <c r="AR123">
        <v>0.040000000000000001</v>
      </c>
      <c r="AS123">
        <v>0.040000000000000001</v>
      </c>
      <c r="AT123">
        <v>0.040000000000000001</v>
      </c>
      <c r="AU123">
        <v>0.040000000000000001</v>
      </c>
      <c r="AV123">
        <v>0.040000000000000001</v>
      </c>
      <c r="AW123" t="s">
        <v>238</v>
      </c>
    </row>
    <row r="124" spans="1:49" ht="12.75">
      <c r="A124" t="s">
        <v>240</v>
      </c>
      <c r="B124" t="s">
        <v>29</v>
      </c>
      <c r="C124" t="s">
        <v>56</v>
      </c>
      <c r="D124" t="s">
        <v>238</v>
      </c>
      <c r="E124" t="s">
        <v>238</v>
      </c>
      <c r="F124" t="s">
        <v>202</v>
      </c>
      <c r="G124" t="s">
        <v>237</v>
      </c>
      <c r="H124" t="s">
        <v>238</v>
      </c>
      <c r="I124" t="s">
        <v>238</v>
      </c>
      <c r="J124" t="s">
        <v>238</v>
      </c>
      <c r="K124" t="s">
        <v>238</v>
      </c>
      <c r="L124">
        <v>0.11</v>
      </c>
      <c r="M124">
        <v>0.089999999999999997</v>
      </c>
      <c r="N124">
        <v>0.089999999999999997</v>
      </c>
      <c r="O124">
        <v>0.080000000000000002</v>
      </c>
      <c r="P124">
        <v>0.10000000000000001</v>
      </c>
      <c r="Q124">
        <v>0.080000000000000002</v>
      </c>
      <c r="R124">
        <v>0.10000000000000001</v>
      </c>
      <c r="S124">
        <v>0.11</v>
      </c>
      <c r="T124">
        <v>0.11</v>
      </c>
      <c r="U124">
        <v>0.089999999999999997</v>
      </c>
      <c r="V124">
        <v>0.10000000000000001</v>
      </c>
      <c r="W124">
        <v>0.11</v>
      </c>
      <c r="X124">
        <v>0.10000000000000001</v>
      </c>
      <c r="Y124">
        <v>0.11</v>
      </c>
      <c r="Z124">
        <v>0.089999999999999997</v>
      </c>
      <c r="AA124">
        <v>0.089999999999999997</v>
      </c>
      <c r="AB124">
        <v>0.089999999999999997</v>
      </c>
      <c r="AC124">
        <v>0.10000000000000001</v>
      </c>
      <c r="AD124">
        <v>0.10000000000000001</v>
      </c>
      <c r="AE124">
        <v>0.10000000000000001</v>
      </c>
      <c r="AF124">
        <v>0.089999999999999997</v>
      </c>
      <c r="AG124">
        <v>0.070000000000000007</v>
      </c>
      <c r="AH124">
        <v>0.080000000000000002</v>
      </c>
      <c r="AI124">
        <v>0.11</v>
      </c>
      <c r="AJ124">
        <v>0.11</v>
      </c>
      <c r="AK124">
        <v>0.089999999999999997</v>
      </c>
      <c r="AL124">
        <v>0.10000000000000001</v>
      </c>
      <c r="AM124">
        <v>0.089999999999999997</v>
      </c>
      <c r="AN124">
        <v>0.11</v>
      </c>
      <c r="AO124">
        <v>0.089999999999999997</v>
      </c>
      <c r="AP124">
        <v>0.10000000000000001</v>
      </c>
      <c r="AQ124">
        <v>0.10000000000000001</v>
      </c>
      <c r="AR124">
        <v>0.089999999999999997</v>
      </c>
      <c r="AS124">
        <v>0.10000000000000001</v>
      </c>
      <c r="AT124">
        <v>0.089999999999999997</v>
      </c>
      <c r="AU124">
        <v>0.11</v>
      </c>
      <c r="AV124">
        <v>0.059999999999999998</v>
      </c>
      <c r="AW124" t="s">
        <v>238</v>
      </c>
    </row>
    <row r="125" spans="1:49" ht="12.75">
      <c r="A125" t="s">
        <v>240</v>
      </c>
      <c r="B125" t="s">
        <v>29</v>
      </c>
      <c r="C125" t="s">
        <v>55</v>
      </c>
      <c r="D125" t="s">
        <v>238</v>
      </c>
      <c r="E125" t="s">
        <v>238</v>
      </c>
      <c r="F125" t="s">
        <v>202</v>
      </c>
      <c r="G125" t="s">
        <v>237</v>
      </c>
      <c r="H125" t="s">
        <v>238</v>
      </c>
      <c r="I125" t="s">
        <v>238</v>
      </c>
      <c r="J125" t="s">
        <v>238</v>
      </c>
      <c r="K125" t="s">
        <v>238</v>
      </c>
      <c r="L125">
        <v>0.080000000000000002</v>
      </c>
      <c r="M125">
        <v>0.10000000000000001</v>
      </c>
      <c r="N125">
        <v>0.10000000000000001</v>
      </c>
      <c r="O125">
        <v>0.089999999999999997</v>
      </c>
      <c r="P125">
        <v>0.059999999999999998</v>
      </c>
      <c r="Q125">
        <v>0.089999999999999997</v>
      </c>
      <c r="R125">
        <v>0.080000000000000002</v>
      </c>
      <c r="S125">
        <v>0.080000000000000002</v>
      </c>
      <c r="T125">
        <v>0.080000000000000002</v>
      </c>
      <c r="U125">
        <v>0.089999999999999997</v>
      </c>
      <c r="V125">
        <v>0.084722222222222296</v>
      </c>
      <c r="W125">
        <v>0.080000000000000002</v>
      </c>
      <c r="X125">
        <v>0.070000000000000007</v>
      </c>
      <c r="Y125">
        <v>0.080000000000000002</v>
      </c>
      <c r="Z125">
        <v>0.080000000000000002</v>
      </c>
      <c r="AA125">
        <v>0.10000000000000001</v>
      </c>
      <c r="AB125">
        <v>0.080000000000000002</v>
      </c>
      <c r="AC125">
        <v>0.10000000000000001</v>
      </c>
      <c r="AD125">
        <v>0.080000000000000002</v>
      </c>
      <c r="AE125">
        <v>0.070000000000000007</v>
      </c>
      <c r="AF125">
        <v>0.10000000000000001</v>
      </c>
      <c r="AG125">
        <v>0.10000000000000001</v>
      </c>
      <c r="AH125">
        <v>0.089999999999999997</v>
      </c>
      <c r="AI125">
        <v>0.089999999999999997</v>
      </c>
      <c r="AJ125">
        <v>0.080000000000000002</v>
      </c>
      <c r="AK125">
        <v>0.10000000000000001</v>
      </c>
      <c r="AL125">
        <v>0.080000000000000002</v>
      </c>
      <c r="AM125">
        <v>0.089999999999999997</v>
      </c>
      <c r="AN125">
        <v>0.080000000000000002</v>
      </c>
      <c r="AO125">
        <v>0.080000000000000002</v>
      </c>
      <c r="AP125">
        <v>0.070000000000000007</v>
      </c>
      <c r="AQ125">
        <v>0.059999999999999998</v>
      </c>
      <c r="AR125">
        <v>0.10000000000000001</v>
      </c>
      <c r="AS125">
        <v>0.080000000000000002</v>
      </c>
      <c r="AT125">
        <v>0.10000000000000001</v>
      </c>
      <c r="AU125">
        <v>0.080000000000000002</v>
      </c>
      <c r="AV125">
        <v>0.080000000000000002</v>
      </c>
      <c r="AW125" t="s">
        <v>238</v>
      </c>
    </row>
    <row r="126" spans="1:49" ht="12.75">
      <c r="A126" t="s">
        <v>240</v>
      </c>
      <c r="B126" t="s">
        <v>29</v>
      </c>
      <c r="C126" t="s">
        <v>75</v>
      </c>
      <c r="D126" t="s">
        <v>238</v>
      </c>
      <c r="E126" t="s">
        <v>238</v>
      </c>
      <c r="F126" t="s">
        <v>202</v>
      </c>
      <c r="G126" t="s">
        <v>237</v>
      </c>
      <c r="H126" t="s">
        <v>238</v>
      </c>
      <c r="I126" t="s">
        <v>238</v>
      </c>
      <c r="J126" t="s">
        <v>238</v>
      </c>
      <c r="K126" t="s">
        <v>238</v>
      </c>
      <c r="L126">
        <v>0.087499999999999994</v>
      </c>
      <c r="M126">
        <v>0.087499999999999994</v>
      </c>
      <c r="N126">
        <v>0.087499999999999994</v>
      </c>
      <c r="O126">
        <v>0.087499999999999994</v>
      </c>
      <c r="P126">
        <v>0.087499999999999994</v>
      </c>
      <c r="Q126">
        <v>0.087499999999999994</v>
      </c>
      <c r="R126">
        <v>0.087499999999999994</v>
      </c>
      <c r="S126">
        <v>0.10000000000000001</v>
      </c>
      <c r="T126">
        <v>0.087499999999999994</v>
      </c>
      <c r="U126">
        <v>0.089999999999999997</v>
      </c>
      <c r="V126">
        <v>0.087499999999999994</v>
      </c>
      <c r="W126">
        <v>0.087499999999999994</v>
      </c>
      <c r="X126">
        <v>0.087499999999999994</v>
      </c>
      <c r="Y126">
        <v>0.087499999999999994</v>
      </c>
      <c r="Z126">
        <v>0.087499999999999994</v>
      </c>
      <c r="AA126">
        <v>0.087499999999999994</v>
      </c>
      <c r="AB126">
        <v>0.087499999999999994</v>
      </c>
      <c r="AC126">
        <v>0.087499999999999994</v>
      </c>
      <c r="AD126">
        <v>0.10000000000000001</v>
      </c>
      <c r="AE126">
        <v>0.087499999999999994</v>
      </c>
      <c r="AF126">
        <v>0.087499999999999994</v>
      </c>
      <c r="AG126">
        <v>0.087499999999999994</v>
      </c>
      <c r="AH126">
        <v>0.087499999999999994</v>
      </c>
      <c r="AI126">
        <v>0.087499999999999994</v>
      </c>
      <c r="AJ126">
        <v>0.087499999999999994</v>
      </c>
      <c r="AK126">
        <v>0.087499999999999994</v>
      </c>
      <c r="AL126">
        <v>0.087499999999999994</v>
      </c>
      <c r="AM126">
        <v>0.087499999999999994</v>
      </c>
      <c r="AN126">
        <v>0.087499999999999994</v>
      </c>
      <c r="AO126">
        <v>0.087499999999999994</v>
      </c>
      <c r="AP126">
        <v>0.087499999999999994</v>
      </c>
      <c r="AQ126">
        <v>0.087499999999999994</v>
      </c>
      <c r="AR126">
        <v>0.087499999999999994</v>
      </c>
      <c r="AS126">
        <v>0.087499999999999994</v>
      </c>
      <c r="AT126">
        <v>0.087499999999999994</v>
      </c>
      <c r="AU126">
        <v>0.087499999999999994</v>
      </c>
      <c r="AV126">
        <v>0.059999999999999998</v>
      </c>
      <c r="AW126" t="s">
        <v>238</v>
      </c>
    </row>
    <row r="127" spans="1:49" ht="12.75">
      <c r="A127" t="s">
        <v>240</v>
      </c>
      <c r="B127" t="s">
        <v>29</v>
      </c>
      <c r="C127" t="s">
        <v>74</v>
      </c>
      <c r="D127" t="s">
        <v>238</v>
      </c>
      <c r="E127" t="s">
        <v>238</v>
      </c>
      <c r="F127" t="s">
        <v>202</v>
      </c>
      <c r="G127" t="s">
        <v>237</v>
      </c>
      <c r="H127" t="s">
        <v>238</v>
      </c>
      <c r="I127" t="s">
        <v>238</v>
      </c>
      <c r="J127" t="s">
        <v>238</v>
      </c>
      <c r="K127" t="s">
        <v>238</v>
      </c>
      <c r="L127">
        <v>0.080000000000000002</v>
      </c>
      <c r="M127">
        <v>0.080000000000000002</v>
      </c>
      <c r="N127">
        <v>0.080000000000000002</v>
      </c>
      <c r="O127">
        <v>0.080000000000000002</v>
      </c>
      <c r="P127">
        <v>0.080000000000000002</v>
      </c>
      <c r="Q127">
        <v>0.080000000000000002</v>
      </c>
      <c r="R127">
        <v>0.080000000000000002</v>
      </c>
      <c r="S127">
        <v>0.080000000000000002</v>
      </c>
      <c r="T127">
        <v>0.080000000000000002</v>
      </c>
      <c r="U127">
        <v>0.089999999999999997</v>
      </c>
      <c r="V127">
        <v>0.080000000000000002</v>
      </c>
      <c r="W127">
        <v>0.080000000000000002</v>
      </c>
      <c r="X127">
        <v>0.080000000000000002</v>
      </c>
      <c r="Y127">
        <v>0.080000000000000002</v>
      </c>
      <c r="Z127">
        <v>0.080000000000000002</v>
      </c>
      <c r="AA127">
        <v>0.080000000000000002</v>
      </c>
      <c r="AB127">
        <v>0.080000000000000002</v>
      </c>
      <c r="AC127">
        <v>0.080000000000000002</v>
      </c>
      <c r="AD127">
        <v>0.080000000000000002</v>
      </c>
      <c r="AE127">
        <v>0.080000000000000002</v>
      </c>
      <c r="AF127">
        <v>0.080000000000000002</v>
      </c>
      <c r="AG127">
        <v>0.080000000000000002</v>
      </c>
      <c r="AH127">
        <v>0.080000000000000002</v>
      </c>
      <c r="AI127">
        <v>0.080000000000000002</v>
      </c>
      <c r="AJ127">
        <v>0.080000000000000002</v>
      </c>
      <c r="AK127">
        <v>0.089999999999999997</v>
      </c>
      <c r="AL127">
        <v>0.080000000000000002</v>
      </c>
      <c r="AM127">
        <v>0.089999999999999997</v>
      </c>
      <c r="AN127">
        <v>0.080000000000000002</v>
      </c>
      <c r="AO127">
        <v>0.070000000000000007</v>
      </c>
      <c r="AP127">
        <v>0.070000000000000007</v>
      </c>
      <c r="AQ127">
        <v>0.080000000000000002</v>
      </c>
      <c r="AR127">
        <v>0.080000000000000002</v>
      </c>
      <c r="AS127">
        <v>0.080000000000000002</v>
      </c>
      <c r="AT127">
        <v>0.080000000000000002</v>
      </c>
      <c r="AU127">
        <v>0.080000000000000002</v>
      </c>
      <c r="AV127">
        <v>0.070000000000000007</v>
      </c>
      <c r="AW127" t="s">
        <v>238</v>
      </c>
    </row>
    <row r="128" spans="1:49" ht="12.75">
      <c r="A128" t="s">
        <v>240</v>
      </c>
      <c r="B128" t="s">
        <v>29</v>
      </c>
      <c r="C128" t="s">
        <v>54</v>
      </c>
      <c r="D128" t="s">
        <v>238</v>
      </c>
      <c r="E128" t="s">
        <v>238</v>
      </c>
      <c r="F128" t="s">
        <v>202</v>
      </c>
      <c r="G128" t="s">
        <v>237</v>
      </c>
      <c r="H128" t="s">
        <v>238</v>
      </c>
      <c r="I128" t="s">
        <v>238</v>
      </c>
      <c r="J128" t="s">
        <v>238</v>
      </c>
      <c r="K128" t="s">
        <v>238</v>
      </c>
      <c r="L128">
        <v>0.050000000000000003</v>
      </c>
      <c r="M128">
        <v>0.050000000000000003</v>
      </c>
      <c r="N128">
        <v>0.050000000000000003</v>
      </c>
      <c r="O128">
        <v>0.050000000000000003</v>
      </c>
      <c r="P128">
        <v>0.050000000000000003</v>
      </c>
      <c r="Q128">
        <v>0.050000000000000003</v>
      </c>
      <c r="R128">
        <v>0.050000000000000003</v>
      </c>
      <c r="S128">
        <v>0.050000000000000003</v>
      </c>
      <c r="T128">
        <v>0.050000000000000003</v>
      </c>
      <c r="U128">
        <v>0.050000000000000003</v>
      </c>
      <c r="V128">
        <v>0.050000000000000003</v>
      </c>
      <c r="W128">
        <v>0.050000000000000003</v>
      </c>
      <c r="X128">
        <v>0.050000000000000003</v>
      </c>
      <c r="Y128">
        <v>0.050000000000000003</v>
      </c>
      <c r="Z128">
        <v>0.050000000000000003</v>
      </c>
      <c r="AA128">
        <v>0.050000000000000003</v>
      </c>
      <c r="AB128">
        <v>0.050000000000000003</v>
      </c>
      <c r="AC128">
        <v>0.050000000000000003</v>
      </c>
      <c r="AD128">
        <v>0.050000000000000003</v>
      </c>
      <c r="AE128">
        <v>0.050000000000000003</v>
      </c>
      <c r="AF128">
        <v>0.050000000000000003</v>
      </c>
      <c r="AG128">
        <v>0.050000000000000003</v>
      </c>
      <c r="AH128">
        <v>0.050000000000000003</v>
      </c>
      <c r="AI128">
        <v>0.050000000000000003</v>
      </c>
      <c r="AJ128">
        <v>0.050000000000000003</v>
      </c>
      <c r="AK128">
        <v>0.050000000000000003</v>
      </c>
      <c r="AL128">
        <v>0.050000000000000003</v>
      </c>
      <c r="AM128">
        <v>0.050000000000000003</v>
      </c>
      <c r="AN128">
        <v>0.050000000000000003</v>
      </c>
      <c r="AO128">
        <v>0.050000000000000003</v>
      </c>
      <c r="AP128">
        <v>0.050000000000000003</v>
      </c>
      <c r="AQ128">
        <v>0.050000000000000003</v>
      </c>
      <c r="AR128">
        <v>0.050000000000000003</v>
      </c>
      <c r="AS128">
        <v>0.050000000000000003</v>
      </c>
      <c r="AT128">
        <v>0.050000000000000003</v>
      </c>
      <c r="AU128">
        <v>0.050000000000000003</v>
      </c>
      <c r="AV128">
        <v>0.050000000000000003</v>
      </c>
      <c r="AW128" t="s">
        <v>238</v>
      </c>
    </row>
    <row r="129" spans="1:49" ht="12.75">
      <c r="A129" t="s">
        <v>240</v>
      </c>
      <c r="B129" t="s">
        <v>29</v>
      </c>
      <c r="C129" t="s">
        <v>53</v>
      </c>
      <c r="D129" t="s">
        <v>238</v>
      </c>
      <c r="E129" t="s">
        <v>238</v>
      </c>
      <c r="F129" t="s">
        <v>202</v>
      </c>
      <c r="G129" t="s">
        <v>237</v>
      </c>
      <c r="H129" t="s">
        <v>238</v>
      </c>
      <c r="I129" t="s">
        <v>238</v>
      </c>
      <c r="J129" t="s">
        <v>238</v>
      </c>
      <c r="K129" t="s">
        <v>238</v>
      </c>
      <c r="L129">
        <v>0.075999999999999998</v>
      </c>
      <c r="M129">
        <v>0.075999999999999998</v>
      </c>
      <c r="N129">
        <v>0.075999999999999998</v>
      </c>
      <c r="O129">
        <v>0.075999999999999998</v>
      </c>
      <c r="P129">
        <v>0.075999999999999998</v>
      </c>
      <c r="Q129">
        <v>0.075999999999999998</v>
      </c>
      <c r="R129">
        <v>0.075999999999999998</v>
      </c>
      <c r="S129">
        <v>0.075999999999999998</v>
      </c>
      <c r="T129">
        <v>0.075999999999999998</v>
      </c>
      <c r="U129">
        <v>0.075999999999999998</v>
      </c>
      <c r="V129">
        <v>0.075999999999999998</v>
      </c>
      <c r="W129">
        <v>0.075999999999999998</v>
      </c>
      <c r="X129">
        <v>0.075999999999999998</v>
      </c>
      <c r="Y129">
        <v>0.075999999999999998</v>
      </c>
      <c r="Z129">
        <v>0.075999999999999998</v>
      </c>
      <c r="AA129">
        <v>0.075999999999999998</v>
      </c>
      <c r="AB129">
        <v>0.075999999999999998</v>
      </c>
      <c r="AC129">
        <v>0.075999999999999998</v>
      </c>
      <c r="AD129">
        <v>0.075999999999999998</v>
      </c>
      <c r="AE129">
        <v>0.075999999999999998</v>
      </c>
      <c r="AF129">
        <v>0.075999999999999998</v>
      </c>
      <c r="AG129">
        <v>0.075999999999999998</v>
      </c>
      <c r="AH129">
        <v>0.075999999999999998</v>
      </c>
      <c r="AI129">
        <v>0.089999999999999997</v>
      </c>
      <c r="AJ129">
        <v>0.075999999999999998</v>
      </c>
      <c r="AK129">
        <v>0.075999999999999998</v>
      </c>
      <c r="AL129">
        <v>0.075999999999999998</v>
      </c>
      <c r="AM129">
        <v>0.080000000000000002</v>
      </c>
      <c r="AN129">
        <v>0.075999999999999998</v>
      </c>
      <c r="AO129">
        <v>0.070000000000000007</v>
      </c>
      <c r="AP129">
        <v>0.070000000000000007</v>
      </c>
      <c r="AQ129">
        <v>0.075999999999999998</v>
      </c>
      <c r="AR129">
        <v>0.075999999999999998</v>
      </c>
      <c r="AS129">
        <v>0.075999999999999998</v>
      </c>
      <c r="AT129">
        <v>0.075999999999999998</v>
      </c>
      <c r="AU129">
        <v>0.075999999999999998</v>
      </c>
      <c r="AV129">
        <v>0.070000000000000007</v>
      </c>
      <c r="AW129" t="s">
        <v>238</v>
      </c>
    </row>
    <row r="130" spans="1:49" ht="12.75">
      <c r="A130" t="s">
        <v>240</v>
      </c>
      <c r="B130" t="s">
        <v>29</v>
      </c>
      <c r="C130" t="s">
        <v>57</v>
      </c>
      <c r="D130" t="s">
        <v>238</v>
      </c>
      <c r="E130" t="s">
        <v>238</v>
      </c>
      <c r="F130" t="s">
        <v>202</v>
      </c>
      <c r="G130" t="s">
        <v>237</v>
      </c>
      <c r="H130" t="s">
        <v>238</v>
      </c>
      <c r="I130" t="s">
        <v>238</v>
      </c>
      <c r="J130" t="s">
        <v>238</v>
      </c>
      <c r="K130" t="s">
        <v>238</v>
      </c>
      <c r="L130">
        <v>0.34999999999999998</v>
      </c>
      <c r="M130">
        <v>0.34999999999999998</v>
      </c>
      <c r="N130">
        <v>0.34999999999999998</v>
      </c>
      <c r="O130">
        <v>0.34999999999999998</v>
      </c>
      <c r="P130">
        <v>0.34999999999999998</v>
      </c>
      <c r="Q130">
        <v>0.34999999999999998</v>
      </c>
      <c r="R130">
        <v>0.34999999999999998</v>
      </c>
      <c r="S130">
        <v>0.34999999999999998</v>
      </c>
      <c r="T130">
        <v>0.34999999999999998</v>
      </c>
      <c r="U130">
        <v>0.34999999999999998</v>
      </c>
      <c r="V130">
        <v>0.34999999999999998</v>
      </c>
      <c r="W130">
        <v>0.34999999999999998</v>
      </c>
      <c r="X130">
        <v>0.34999999999999998</v>
      </c>
      <c r="Y130">
        <v>0.34999999999999998</v>
      </c>
      <c r="Z130">
        <v>0.34999999999999998</v>
      </c>
      <c r="AA130">
        <v>0.34999999999999998</v>
      </c>
      <c r="AB130">
        <v>0.34999999999999998</v>
      </c>
      <c r="AC130">
        <v>0.34999999999999998</v>
      </c>
      <c r="AD130">
        <v>0.34999999999999998</v>
      </c>
      <c r="AE130">
        <v>0.34999999999999998</v>
      </c>
      <c r="AF130">
        <v>0.34999999999999998</v>
      </c>
      <c r="AG130">
        <v>0.34999999999999998</v>
      </c>
      <c r="AH130">
        <v>0.34999999999999998</v>
      </c>
      <c r="AI130">
        <v>0.34999999999999998</v>
      </c>
      <c r="AJ130">
        <v>0.34999999999999998</v>
      </c>
      <c r="AK130">
        <v>0.34999999999999998</v>
      </c>
      <c r="AL130">
        <v>0.34999999999999998</v>
      </c>
      <c r="AM130">
        <v>0.34999999999999998</v>
      </c>
      <c r="AN130">
        <v>0.34999999999999998</v>
      </c>
      <c r="AO130">
        <v>0.34999999999999998</v>
      </c>
      <c r="AP130">
        <v>0.34999999999999998</v>
      </c>
      <c r="AQ130">
        <v>0.34999999999999998</v>
      </c>
      <c r="AR130">
        <v>0.34999999999999998</v>
      </c>
      <c r="AS130">
        <v>0.34999999999999998</v>
      </c>
      <c r="AT130">
        <v>0.34999999999999998</v>
      </c>
      <c r="AU130">
        <v>0.34999999999999998</v>
      </c>
      <c r="AV130">
        <v>0.34999999999999998</v>
      </c>
      <c r="AW130" t="s">
        <v>238</v>
      </c>
    </row>
    <row r="131" spans="1:49" ht="12.75">
      <c r="A131" t="s">
        <v>240</v>
      </c>
      <c r="B131" t="s">
        <v>29</v>
      </c>
      <c r="C131" t="s">
        <v>58</v>
      </c>
      <c r="D131" t="s">
        <v>238</v>
      </c>
      <c r="E131" t="s">
        <v>238</v>
      </c>
      <c r="F131" t="s">
        <v>202</v>
      </c>
      <c r="G131" t="s">
        <v>237</v>
      </c>
      <c r="H131" t="s">
        <v>238</v>
      </c>
      <c r="I131" t="s">
        <v>238</v>
      </c>
      <c r="J131" t="s">
        <v>238</v>
      </c>
      <c r="K131" t="s">
        <v>238</v>
      </c>
      <c r="L131">
        <v>0.34999999999999998</v>
      </c>
      <c r="M131">
        <v>0.34999999999999998</v>
      </c>
      <c r="N131">
        <v>0.34999999999999998</v>
      </c>
      <c r="O131">
        <v>0.34999999999999998</v>
      </c>
      <c r="P131">
        <v>0.34999999999999998</v>
      </c>
      <c r="Q131">
        <v>0.34999999999999998</v>
      </c>
      <c r="R131">
        <v>0.34999999999999998</v>
      </c>
      <c r="S131">
        <v>0.34999999999999998</v>
      </c>
      <c r="T131">
        <v>0.34999999999999998</v>
      </c>
      <c r="U131">
        <v>0.34999999999999998</v>
      </c>
      <c r="V131">
        <v>0.34999999999999998</v>
      </c>
      <c r="W131">
        <v>0.34999999999999998</v>
      </c>
      <c r="X131">
        <v>0.34999999999999998</v>
      </c>
      <c r="Y131">
        <v>0.34999999999999998</v>
      </c>
      <c r="Z131">
        <v>0.34999999999999998</v>
      </c>
      <c r="AA131">
        <v>0.34999999999999998</v>
      </c>
      <c r="AB131">
        <v>0.34999999999999998</v>
      </c>
      <c r="AC131">
        <v>0.34999999999999998</v>
      </c>
      <c r="AD131">
        <v>0.34999999999999998</v>
      </c>
      <c r="AE131">
        <v>0.34999999999999998</v>
      </c>
      <c r="AF131">
        <v>0.34999999999999998</v>
      </c>
      <c r="AG131">
        <v>0.34999999999999998</v>
      </c>
      <c r="AH131">
        <v>0.34999999999999998</v>
      </c>
      <c r="AI131">
        <v>0.34999999999999998</v>
      </c>
      <c r="AJ131">
        <v>0.34999999999999998</v>
      </c>
      <c r="AK131">
        <v>0.34999999999999998</v>
      </c>
      <c r="AL131">
        <v>0.34999999999999998</v>
      </c>
      <c r="AM131">
        <v>0.34999999999999998</v>
      </c>
      <c r="AN131">
        <v>0.34999999999999998</v>
      </c>
      <c r="AO131">
        <v>0.34999999999999998</v>
      </c>
      <c r="AP131">
        <v>0.34999999999999998</v>
      </c>
      <c r="AQ131">
        <v>0.34999999999999998</v>
      </c>
      <c r="AR131">
        <v>0.34999999999999998</v>
      </c>
      <c r="AS131">
        <v>0.34999999999999998</v>
      </c>
      <c r="AT131">
        <v>0.34999999999999998</v>
      </c>
      <c r="AU131">
        <v>0.34999999999999998</v>
      </c>
      <c r="AV131">
        <v>0.34999999999999998</v>
      </c>
      <c r="AW131" t="s">
        <v>238</v>
      </c>
    </row>
    <row r="132" spans="1:49" ht="12.75">
      <c r="A132" t="s">
        <v>240</v>
      </c>
      <c r="B132" t="s">
        <v>29</v>
      </c>
      <c r="C132" t="s">
        <v>59</v>
      </c>
      <c r="D132" t="s">
        <v>238</v>
      </c>
      <c r="E132" t="s">
        <v>238</v>
      </c>
      <c r="F132" t="s">
        <v>202</v>
      </c>
      <c r="G132" t="s">
        <v>237</v>
      </c>
      <c r="H132" t="s">
        <v>238</v>
      </c>
      <c r="I132" t="s">
        <v>238</v>
      </c>
      <c r="J132" t="s">
        <v>238</v>
      </c>
      <c r="K132" t="s">
        <v>238</v>
      </c>
      <c r="L132">
        <v>0.34999999999999998</v>
      </c>
      <c r="M132">
        <v>0.34999999999999998</v>
      </c>
      <c r="N132">
        <v>0.34999999999999998</v>
      </c>
      <c r="O132">
        <v>0.34999999999999998</v>
      </c>
      <c r="P132">
        <v>0.34999999999999998</v>
      </c>
      <c r="Q132">
        <v>0.34999999999999998</v>
      </c>
      <c r="R132">
        <v>0.34999999999999998</v>
      </c>
      <c r="S132">
        <v>0.34999999999999998</v>
      </c>
      <c r="T132">
        <v>0.34999999999999998</v>
      </c>
      <c r="U132">
        <v>0.34999999999999998</v>
      </c>
      <c r="V132">
        <v>0.34999999999999998</v>
      </c>
      <c r="W132">
        <v>0.34999999999999998</v>
      </c>
      <c r="X132">
        <v>0.34999999999999998</v>
      </c>
      <c r="Y132">
        <v>0.34999999999999998</v>
      </c>
      <c r="Z132">
        <v>0.34999999999999998</v>
      </c>
      <c r="AA132">
        <v>0.34999999999999998</v>
      </c>
      <c r="AB132">
        <v>0.34999999999999998</v>
      </c>
      <c r="AC132">
        <v>0.34999999999999998</v>
      </c>
      <c r="AD132">
        <v>0.34999999999999998</v>
      </c>
      <c r="AE132">
        <v>0.34999999999999998</v>
      </c>
      <c r="AF132">
        <v>0.34999999999999998</v>
      </c>
      <c r="AG132">
        <v>0.34999999999999998</v>
      </c>
      <c r="AH132">
        <v>0.34999999999999998</v>
      </c>
      <c r="AI132">
        <v>0.34999999999999998</v>
      </c>
      <c r="AJ132">
        <v>0.34999999999999998</v>
      </c>
      <c r="AK132">
        <v>0.34999999999999998</v>
      </c>
      <c r="AL132">
        <v>0.34999999999999998</v>
      </c>
      <c r="AM132">
        <v>0.34999999999999998</v>
      </c>
      <c r="AN132">
        <v>0.34999999999999998</v>
      </c>
      <c r="AO132">
        <v>0.34999999999999998</v>
      </c>
      <c r="AP132">
        <v>0.34999999999999998</v>
      </c>
      <c r="AQ132">
        <v>0.34999999999999998</v>
      </c>
      <c r="AR132">
        <v>0.34999999999999998</v>
      </c>
      <c r="AS132">
        <v>0.34999999999999998</v>
      </c>
      <c r="AT132">
        <v>0.34999999999999998</v>
      </c>
      <c r="AU132">
        <v>0.34999999999999998</v>
      </c>
      <c r="AV132">
        <v>0.34999999999999998</v>
      </c>
      <c r="AW132" t="s">
        <v>238</v>
      </c>
    </row>
    <row r="133" spans="1:49" ht="12.75">
      <c r="A133" t="s">
        <v>240</v>
      </c>
      <c r="B133" t="s">
        <v>29</v>
      </c>
      <c r="C133" t="s">
        <v>60</v>
      </c>
      <c r="D133" t="s">
        <v>238</v>
      </c>
      <c r="E133" t="s">
        <v>238</v>
      </c>
      <c r="F133" t="s">
        <v>202</v>
      </c>
      <c r="G133" t="s">
        <v>237</v>
      </c>
      <c r="H133" t="s">
        <v>238</v>
      </c>
      <c r="I133" t="s">
        <v>238</v>
      </c>
      <c r="J133" t="s">
        <v>238</v>
      </c>
      <c r="K133" t="s">
        <v>238</v>
      </c>
      <c r="L133">
        <v>0.34999999999999998</v>
      </c>
      <c r="M133">
        <v>0.34999999999999998</v>
      </c>
      <c r="N133">
        <v>0.34999999999999998</v>
      </c>
      <c r="O133">
        <v>0.34999999999999998</v>
      </c>
      <c r="P133">
        <v>0.34999999999999998</v>
      </c>
      <c r="Q133">
        <v>0.34999999999999998</v>
      </c>
      <c r="R133">
        <v>0.34999999999999998</v>
      </c>
      <c r="S133">
        <v>0.34999999999999998</v>
      </c>
      <c r="T133">
        <v>0.34999999999999998</v>
      </c>
      <c r="U133">
        <v>0.34999999999999998</v>
      </c>
      <c r="V133">
        <v>0.34999999999999998</v>
      </c>
      <c r="W133">
        <v>0.34999999999999998</v>
      </c>
      <c r="X133">
        <v>0.34999999999999998</v>
      </c>
      <c r="Y133">
        <v>0.34999999999999998</v>
      </c>
      <c r="Z133">
        <v>0.34999999999999998</v>
      </c>
      <c r="AA133">
        <v>0.34999999999999998</v>
      </c>
      <c r="AB133">
        <v>0.34999999999999998</v>
      </c>
      <c r="AC133">
        <v>0.34999999999999998</v>
      </c>
      <c r="AD133">
        <v>0.34999999999999998</v>
      </c>
      <c r="AE133">
        <v>0.34999999999999998</v>
      </c>
      <c r="AF133">
        <v>0.34999999999999998</v>
      </c>
      <c r="AG133">
        <v>0.34999999999999998</v>
      </c>
      <c r="AH133">
        <v>0.34999999999999998</v>
      </c>
      <c r="AI133">
        <v>0.34999999999999998</v>
      </c>
      <c r="AJ133">
        <v>0.34999999999999998</v>
      </c>
      <c r="AK133">
        <v>0.34999999999999998</v>
      </c>
      <c r="AL133">
        <v>0.34999999999999998</v>
      </c>
      <c r="AM133">
        <v>0.34999999999999998</v>
      </c>
      <c r="AN133">
        <v>0.34999999999999998</v>
      </c>
      <c r="AO133">
        <v>0.34999999999999998</v>
      </c>
      <c r="AP133">
        <v>0.34999999999999998</v>
      </c>
      <c r="AQ133">
        <v>0.34999999999999998</v>
      </c>
      <c r="AR133">
        <v>0.34999999999999998</v>
      </c>
      <c r="AS133">
        <v>0.34999999999999998</v>
      </c>
      <c r="AT133">
        <v>0.34999999999999998</v>
      </c>
      <c r="AU133">
        <v>0.34999999999999998</v>
      </c>
      <c r="AV133">
        <v>0.34999999999999998</v>
      </c>
      <c r="AW133" t="s">
        <v>238</v>
      </c>
    </row>
    <row r="134" spans="1:49" ht="12.75">
      <c r="A134" t="s">
        <v>240</v>
      </c>
      <c r="B134" t="s">
        <v>29</v>
      </c>
      <c r="C134" t="s">
        <v>61</v>
      </c>
      <c r="D134" t="s">
        <v>238</v>
      </c>
      <c r="E134" t="s">
        <v>238</v>
      </c>
      <c r="F134" t="s">
        <v>202</v>
      </c>
      <c r="G134" t="s">
        <v>237</v>
      </c>
      <c r="H134" t="s">
        <v>238</v>
      </c>
      <c r="I134" t="s">
        <v>238</v>
      </c>
      <c r="J134" t="s">
        <v>238</v>
      </c>
      <c r="K134" t="s">
        <v>238</v>
      </c>
      <c r="L134">
        <v>0.29999999999999999</v>
      </c>
      <c r="M134">
        <v>0.32000000000000001</v>
      </c>
      <c r="N134">
        <v>0.32000000000000001</v>
      </c>
      <c r="O134">
        <v>0.29999999999999999</v>
      </c>
      <c r="P134">
        <v>0.28999999999999998</v>
      </c>
      <c r="Q134">
        <v>0.29999999999999999</v>
      </c>
      <c r="R134">
        <v>0.31</v>
      </c>
      <c r="S134">
        <v>0.32000000000000001</v>
      </c>
      <c r="T134">
        <v>0.32000000000000001</v>
      </c>
      <c r="U134">
        <v>0.34000000000000002</v>
      </c>
      <c r="V134">
        <v>0.33000000000000002</v>
      </c>
      <c r="W134">
        <v>0.29999999999999999</v>
      </c>
      <c r="X134">
        <v>0.38</v>
      </c>
      <c r="Y134">
        <v>0.32000000000000001</v>
      </c>
      <c r="Z134">
        <v>0.32000000000000001</v>
      </c>
      <c r="AA134">
        <v>0.32000000000000001</v>
      </c>
      <c r="AB134">
        <v>0.34999999999999998</v>
      </c>
      <c r="AC134">
        <v>0.32000000000000001</v>
      </c>
      <c r="AD134">
        <v>0.34000000000000002</v>
      </c>
      <c r="AE134">
        <v>0.32000000000000001</v>
      </c>
      <c r="AF134">
        <v>0.32000000000000001</v>
      </c>
      <c r="AG134">
        <v>0.33000000000000002</v>
      </c>
      <c r="AH134">
        <v>0.29999999999999999</v>
      </c>
      <c r="AI134">
        <v>0.32000000000000001</v>
      </c>
      <c r="AJ134">
        <v>0.29999999999999999</v>
      </c>
      <c r="AK134">
        <v>0.31</v>
      </c>
      <c r="AL134">
        <v>0.34000000000000002</v>
      </c>
      <c r="AM134">
        <v>0.28000000000000003</v>
      </c>
      <c r="AN134">
        <v>0.33000000000000002</v>
      </c>
      <c r="AO134">
        <v>0.34999999999999998</v>
      </c>
      <c r="AP134">
        <v>0.38</v>
      </c>
      <c r="AQ134">
        <v>0.28999999999999998</v>
      </c>
      <c r="AR134">
        <v>0.32000000000000001</v>
      </c>
      <c r="AS134">
        <v>0.34000000000000002</v>
      </c>
      <c r="AT134">
        <v>0.32000000000000001</v>
      </c>
      <c r="AU134">
        <v>0.34000000000000002</v>
      </c>
      <c r="AV134">
        <v>0.33000000000000002</v>
      </c>
      <c r="AW134" t="s">
        <v>238</v>
      </c>
    </row>
    <row r="135" spans="1:49" ht="12.75">
      <c r="A135" t="s">
        <v>240</v>
      </c>
      <c r="B135" t="s">
        <v>29</v>
      </c>
      <c r="C135" t="s">
        <v>62</v>
      </c>
      <c r="D135" t="s">
        <v>238</v>
      </c>
      <c r="E135" t="s">
        <v>238</v>
      </c>
      <c r="F135" t="s">
        <v>202</v>
      </c>
      <c r="G135" t="s">
        <v>237</v>
      </c>
      <c r="H135" t="s">
        <v>238</v>
      </c>
      <c r="I135" t="s">
        <v>238</v>
      </c>
      <c r="J135" t="s">
        <v>238</v>
      </c>
      <c r="K135" t="s">
        <v>238</v>
      </c>
      <c r="L135">
        <v>0.47999999999999998</v>
      </c>
      <c r="M135">
        <v>0.52000000000000002</v>
      </c>
      <c r="N135">
        <v>0.53000000000000003</v>
      </c>
      <c r="O135">
        <v>0.52000000000000002</v>
      </c>
      <c r="P135">
        <v>0.51000000000000001</v>
      </c>
      <c r="Q135">
        <v>0.51000000000000001</v>
      </c>
      <c r="R135">
        <v>0.48999999999999999</v>
      </c>
      <c r="S135">
        <v>0.53000000000000003</v>
      </c>
      <c r="T135">
        <v>0.52000000000000002</v>
      </c>
      <c r="U135">
        <v>0.57999999999999996</v>
      </c>
      <c r="V135">
        <v>0.54000000000000004</v>
      </c>
      <c r="W135">
        <v>0.47999999999999998</v>
      </c>
      <c r="X135">
        <v>0.52000000000000002</v>
      </c>
      <c r="Y135">
        <v>0.52000000000000002</v>
      </c>
      <c r="Z135">
        <v>0.53000000000000003</v>
      </c>
      <c r="AA135">
        <v>0.53000000000000003</v>
      </c>
      <c r="AB135">
        <v>0.56000000000000005</v>
      </c>
      <c r="AC135">
        <v>0.56000000000000005</v>
      </c>
      <c r="AD135">
        <v>0.55000000000000004</v>
      </c>
      <c r="AE135">
        <v>0.55000000000000004</v>
      </c>
      <c r="AF135">
        <v>0.53000000000000003</v>
      </c>
      <c r="AG135">
        <v>0.51000000000000001</v>
      </c>
      <c r="AH135">
        <v>0.52000000000000002</v>
      </c>
      <c r="AI135">
        <v>0.54000000000000004</v>
      </c>
      <c r="AJ135">
        <v>0.47999999999999998</v>
      </c>
      <c r="AK135">
        <v>0.52000000000000002</v>
      </c>
      <c r="AL135">
        <v>0.54000000000000004</v>
      </c>
      <c r="AM135">
        <v>0.51000000000000001</v>
      </c>
      <c r="AN135">
        <v>0.52000000000000002</v>
      </c>
      <c r="AO135">
        <v>0.53000000000000003</v>
      </c>
      <c r="AP135">
        <v>0.52000000000000002</v>
      </c>
      <c r="AQ135">
        <v>0.48999999999999999</v>
      </c>
      <c r="AR135">
        <v>0.53000000000000003</v>
      </c>
      <c r="AS135">
        <v>0.54000000000000004</v>
      </c>
      <c r="AT135">
        <v>0.53000000000000003</v>
      </c>
      <c r="AU135">
        <v>0.56999999999999995</v>
      </c>
      <c r="AV135">
        <v>0.58999999999999997</v>
      </c>
      <c r="AW135" t="s">
        <v>238</v>
      </c>
    </row>
    <row r="136" spans="1:49" ht="12.75">
      <c r="A136" t="s">
        <v>240</v>
      </c>
      <c r="B136" t="s">
        <v>29</v>
      </c>
      <c r="C136" t="s">
        <v>63</v>
      </c>
      <c r="D136" t="s">
        <v>238</v>
      </c>
      <c r="E136" t="s">
        <v>238</v>
      </c>
      <c r="F136" t="s">
        <v>202</v>
      </c>
      <c r="G136" t="s">
        <v>237</v>
      </c>
      <c r="H136" t="s">
        <v>238</v>
      </c>
      <c r="I136" t="s">
        <v>238</v>
      </c>
      <c r="J136" t="s">
        <v>238</v>
      </c>
      <c r="K136" t="s">
        <v>238</v>
      </c>
      <c r="L136">
        <v>0.56999999999999995</v>
      </c>
      <c r="M136">
        <v>0.64000000000000001</v>
      </c>
      <c r="N136">
        <v>0.66000000000000003</v>
      </c>
      <c r="O136">
        <v>0.63</v>
      </c>
      <c r="P136">
        <v>0.57999999999999996</v>
      </c>
      <c r="Q136">
        <v>0.64000000000000001</v>
      </c>
      <c r="R136">
        <v>0.56000000000000005</v>
      </c>
      <c r="S136">
        <v>0.65000000000000002</v>
      </c>
      <c r="T136">
        <v>0.64000000000000001</v>
      </c>
      <c r="U136">
        <v>0.71999999999999997</v>
      </c>
      <c r="V136">
        <v>0.68000000000000005</v>
      </c>
      <c r="W136">
        <v>0.56999999999999995</v>
      </c>
      <c r="X136">
        <v>0.65000000000000002</v>
      </c>
      <c r="Y136">
        <v>0.62</v>
      </c>
      <c r="Z136">
        <v>0.64000000000000001</v>
      </c>
      <c r="AA136">
        <v>0.66000000000000003</v>
      </c>
      <c r="AB136">
        <v>0.69999999999999996</v>
      </c>
      <c r="AC136">
        <v>0.68000000000000005</v>
      </c>
      <c r="AD136">
        <v>0.70999999999999996</v>
      </c>
      <c r="AE136">
        <v>0.67000000000000004</v>
      </c>
      <c r="AF136">
        <v>0.66000000000000003</v>
      </c>
      <c r="AG136">
        <v>0.64000000000000001</v>
      </c>
      <c r="AH136">
        <v>0.63</v>
      </c>
      <c r="AI136">
        <v>0.67000000000000004</v>
      </c>
      <c r="AJ136">
        <v>0.56999999999999995</v>
      </c>
      <c r="AK136">
        <v>0.67000000000000004</v>
      </c>
      <c r="AL136">
        <v>0.67000000000000004</v>
      </c>
      <c r="AM136">
        <v>0.62</v>
      </c>
      <c r="AN136">
        <v>0.63</v>
      </c>
      <c r="AO136">
        <v>0.66000000000000003</v>
      </c>
      <c r="AP136">
        <v>0.64000000000000001</v>
      </c>
      <c r="AQ136">
        <v>0.56999999999999995</v>
      </c>
      <c r="AR136">
        <v>0.66000000000000003</v>
      </c>
      <c r="AS136">
        <v>0.66000000000000003</v>
      </c>
      <c r="AT136">
        <v>0.66000000000000003</v>
      </c>
      <c r="AU136">
        <v>0.69999999999999996</v>
      </c>
      <c r="AV136">
        <v>0.73999999999999999</v>
      </c>
      <c r="AW136" t="s">
        <v>238</v>
      </c>
    </row>
    <row r="137" spans="1:49" ht="12.75">
      <c r="A137" t="s">
        <v>240</v>
      </c>
      <c r="B137" t="s">
        <v>29</v>
      </c>
      <c r="C137" t="s">
        <v>64</v>
      </c>
      <c r="D137" t="s">
        <v>238</v>
      </c>
      <c r="E137" t="s">
        <v>238</v>
      </c>
      <c r="F137" t="s">
        <v>202</v>
      </c>
      <c r="G137" t="s">
        <v>237</v>
      </c>
      <c r="H137" t="s">
        <v>238</v>
      </c>
      <c r="I137" t="s">
        <v>238</v>
      </c>
      <c r="J137" t="s">
        <v>238</v>
      </c>
      <c r="K137" t="s">
        <v>238</v>
      </c>
      <c r="L137">
        <v>0.38</v>
      </c>
      <c r="M137">
        <v>0.40000000000000002</v>
      </c>
      <c r="N137">
        <v>0.40999999999999998</v>
      </c>
      <c r="O137">
        <v>0.40000000000000002</v>
      </c>
      <c r="P137">
        <v>0.39000000000000001</v>
      </c>
      <c r="Q137">
        <v>0.39000000000000001</v>
      </c>
      <c r="R137">
        <v>0.40000000000000002</v>
      </c>
      <c r="S137">
        <v>0.40999999999999998</v>
      </c>
      <c r="T137">
        <v>0.40000000000000002</v>
      </c>
      <c r="U137">
        <v>0.45000000000000001</v>
      </c>
      <c r="V137">
        <v>0.41999999999999998</v>
      </c>
      <c r="W137">
        <v>0.38</v>
      </c>
      <c r="X137">
        <v>0.46000000000000002</v>
      </c>
      <c r="Y137">
        <v>0.40000000000000002</v>
      </c>
      <c r="Z137">
        <v>0.40999999999999998</v>
      </c>
      <c r="AA137">
        <v>0.40999999999999998</v>
      </c>
      <c r="AB137">
        <v>0.44</v>
      </c>
      <c r="AC137">
        <v>0.42999999999999999</v>
      </c>
      <c r="AD137">
        <v>0.42999999999999999</v>
      </c>
      <c r="AE137">
        <v>0.42999999999999999</v>
      </c>
      <c r="AF137">
        <v>0.40999999999999998</v>
      </c>
      <c r="AG137">
        <v>0.40000000000000002</v>
      </c>
      <c r="AH137">
        <v>0.40000000000000002</v>
      </c>
      <c r="AI137">
        <v>0.40999999999999998</v>
      </c>
      <c r="AJ137">
        <v>0.38</v>
      </c>
      <c r="AK137">
        <v>0.40000000000000002</v>
      </c>
      <c r="AL137">
        <v>0.42999999999999999</v>
      </c>
      <c r="AM137">
        <v>0.40000000000000002</v>
      </c>
      <c r="AN137">
        <v>0.40000000000000002</v>
      </c>
      <c r="AO137">
        <v>0.41999999999999998</v>
      </c>
      <c r="AP137">
        <v>0.44</v>
      </c>
      <c r="AQ137">
        <v>0.39000000000000001</v>
      </c>
      <c r="AR137">
        <v>0.40999999999999998</v>
      </c>
      <c r="AS137">
        <v>0.41999999999999998</v>
      </c>
      <c r="AT137">
        <v>0.40999999999999998</v>
      </c>
      <c r="AU137">
        <v>0.44</v>
      </c>
      <c r="AV137">
        <v>0.45000000000000001</v>
      </c>
      <c r="AW137" t="s">
        <v>238</v>
      </c>
    </row>
    <row r="138" spans="1:49" ht="12.75">
      <c r="A138" t="s">
        <v>240</v>
      </c>
      <c r="B138" t="s">
        <v>29</v>
      </c>
      <c r="C138" t="s">
        <v>76</v>
      </c>
      <c r="D138" t="s">
        <v>238</v>
      </c>
      <c r="E138" t="s">
        <v>238</v>
      </c>
      <c r="F138" t="s">
        <v>202</v>
      </c>
      <c r="G138" t="s">
        <v>237</v>
      </c>
      <c r="H138" t="s">
        <v>238</v>
      </c>
      <c r="I138" t="s">
        <v>238</v>
      </c>
      <c r="J138" t="s">
        <v>238</v>
      </c>
      <c r="K138" t="s">
        <v>238</v>
      </c>
      <c r="L138">
        <v>0.185</v>
      </c>
      <c r="M138">
        <v>0.185</v>
      </c>
      <c r="N138">
        <v>0.185</v>
      </c>
      <c r="O138">
        <v>0.185</v>
      </c>
      <c r="P138">
        <v>0.185</v>
      </c>
      <c r="Q138">
        <v>0.19</v>
      </c>
      <c r="R138">
        <v>0.185</v>
      </c>
      <c r="S138">
        <v>0.185</v>
      </c>
      <c r="T138">
        <v>0.185</v>
      </c>
      <c r="U138">
        <v>0.185</v>
      </c>
      <c r="V138">
        <v>0.185</v>
      </c>
      <c r="W138">
        <v>0.185</v>
      </c>
      <c r="X138">
        <v>0.185</v>
      </c>
      <c r="Y138">
        <v>0.185</v>
      </c>
      <c r="Z138">
        <v>0.185</v>
      </c>
      <c r="AA138">
        <v>0.185</v>
      </c>
      <c r="AB138">
        <v>0.185</v>
      </c>
      <c r="AC138">
        <v>0.185</v>
      </c>
      <c r="AD138">
        <v>0.185</v>
      </c>
      <c r="AE138">
        <v>0.185</v>
      </c>
      <c r="AF138">
        <v>0.185</v>
      </c>
      <c r="AG138">
        <v>0.185</v>
      </c>
      <c r="AH138">
        <v>0.185</v>
      </c>
      <c r="AI138">
        <v>0.185</v>
      </c>
      <c r="AJ138">
        <v>0.185</v>
      </c>
      <c r="AK138">
        <v>0.185</v>
      </c>
      <c r="AL138">
        <v>0.185</v>
      </c>
      <c r="AM138">
        <v>0.185</v>
      </c>
      <c r="AN138">
        <v>0.185</v>
      </c>
      <c r="AO138">
        <v>0.185</v>
      </c>
      <c r="AP138">
        <v>0.185</v>
      </c>
      <c r="AQ138">
        <v>0.185</v>
      </c>
      <c r="AR138">
        <v>0.185</v>
      </c>
      <c r="AS138">
        <v>0.17999999999999999</v>
      </c>
      <c r="AT138">
        <v>0.185</v>
      </c>
      <c r="AU138">
        <v>0.185</v>
      </c>
      <c r="AV138">
        <v>0.185</v>
      </c>
      <c r="AW138" t="s">
        <v>238</v>
      </c>
    </row>
    <row r="139" spans="1:49" ht="12.75">
      <c r="A139" t="s">
        <v>240</v>
      </c>
      <c r="B139" t="s">
        <v>29</v>
      </c>
      <c r="C139" t="s">
        <v>77</v>
      </c>
      <c r="D139" t="s">
        <v>238</v>
      </c>
      <c r="E139" t="s">
        <v>238</v>
      </c>
      <c r="F139" t="s">
        <v>202</v>
      </c>
      <c r="G139" t="s">
        <v>237</v>
      </c>
      <c r="H139" t="s">
        <v>238</v>
      </c>
      <c r="I139" t="s">
        <v>238</v>
      </c>
      <c r="J139" t="s">
        <v>238</v>
      </c>
      <c r="K139" t="s">
        <v>238</v>
      </c>
      <c r="L139">
        <v>0.34999999999999998</v>
      </c>
      <c r="M139">
        <v>0.34999999999999998</v>
      </c>
      <c r="N139">
        <v>0.34999999999999998</v>
      </c>
      <c r="O139">
        <v>0.34999999999999998</v>
      </c>
      <c r="P139">
        <v>0.34999999999999998</v>
      </c>
      <c r="Q139">
        <v>0.37</v>
      </c>
      <c r="R139">
        <v>0.34999999999999998</v>
      </c>
      <c r="S139">
        <v>0.34999999999999998</v>
      </c>
      <c r="T139">
        <v>0.34999999999999998</v>
      </c>
      <c r="U139">
        <v>0.34999999999999998</v>
      </c>
      <c r="V139">
        <v>0.34999999999999998</v>
      </c>
      <c r="W139">
        <v>0.34999999999999998</v>
      </c>
      <c r="X139">
        <v>0.34999999999999998</v>
      </c>
      <c r="Y139">
        <v>0.34999999999999998</v>
      </c>
      <c r="Z139">
        <v>0.34999999999999998</v>
      </c>
      <c r="AA139">
        <v>0.34999999999999998</v>
      </c>
      <c r="AB139">
        <v>0.34999999999999998</v>
      </c>
      <c r="AC139">
        <v>0.34999999999999998</v>
      </c>
      <c r="AD139">
        <v>0.34999999999999998</v>
      </c>
      <c r="AE139">
        <v>0.34999999999999998</v>
      </c>
      <c r="AF139">
        <v>0.34999999999999998</v>
      </c>
      <c r="AG139">
        <v>0.34999999999999998</v>
      </c>
      <c r="AH139">
        <v>0.34999999999999998</v>
      </c>
      <c r="AI139">
        <v>0.34999999999999998</v>
      </c>
      <c r="AJ139">
        <v>0.34999999999999998</v>
      </c>
      <c r="AK139">
        <v>0.34999999999999998</v>
      </c>
      <c r="AL139">
        <v>0.34999999999999998</v>
      </c>
      <c r="AM139">
        <v>0.34999999999999998</v>
      </c>
      <c r="AN139">
        <v>0.34999999999999998</v>
      </c>
      <c r="AO139">
        <v>0.34999999999999998</v>
      </c>
      <c r="AP139">
        <v>0.34999999999999998</v>
      </c>
      <c r="AQ139">
        <v>0.34999999999999998</v>
      </c>
      <c r="AR139">
        <v>0.34999999999999998</v>
      </c>
      <c r="AS139">
        <v>0.33000000000000002</v>
      </c>
      <c r="AT139">
        <v>0.34999999999999998</v>
      </c>
      <c r="AU139">
        <v>0.34999999999999998</v>
      </c>
      <c r="AV139">
        <v>0.34999999999999998</v>
      </c>
      <c r="AW139" t="s">
        <v>238</v>
      </c>
    </row>
    <row r="140" spans="1:49" ht="12.75">
      <c r="A140" t="s">
        <v>240</v>
      </c>
      <c r="B140" t="s">
        <v>29</v>
      </c>
      <c r="C140" t="s">
        <v>78</v>
      </c>
      <c r="D140" t="s">
        <v>238</v>
      </c>
      <c r="E140" t="s">
        <v>238</v>
      </c>
      <c r="F140" t="s">
        <v>202</v>
      </c>
      <c r="G140" t="s">
        <v>237</v>
      </c>
      <c r="H140" t="s">
        <v>238</v>
      </c>
      <c r="I140" t="s">
        <v>238</v>
      </c>
      <c r="J140" t="s">
        <v>238</v>
      </c>
      <c r="K140" t="s">
        <v>238</v>
      </c>
      <c r="L140">
        <v>0.38</v>
      </c>
      <c r="M140">
        <v>0.38</v>
      </c>
      <c r="N140">
        <v>0.38</v>
      </c>
      <c r="O140">
        <v>0.38</v>
      </c>
      <c r="P140">
        <v>0.38</v>
      </c>
      <c r="Q140">
        <v>0.39000000000000001</v>
      </c>
      <c r="R140">
        <v>0.38</v>
      </c>
      <c r="S140">
        <v>0.38</v>
      </c>
      <c r="T140">
        <v>0.38</v>
      </c>
      <c r="U140">
        <v>0.38</v>
      </c>
      <c r="V140">
        <v>0.38</v>
      </c>
      <c r="W140">
        <v>0.38</v>
      </c>
      <c r="X140">
        <v>0.38</v>
      </c>
      <c r="Y140">
        <v>0.38</v>
      </c>
      <c r="Z140">
        <v>0.38</v>
      </c>
      <c r="AA140">
        <v>0.38</v>
      </c>
      <c r="AB140">
        <v>0.38</v>
      </c>
      <c r="AC140">
        <v>0.38</v>
      </c>
      <c r="AD140">
        <v>0.38</v>
      </c>
      <c r="AE140">
        <v>0.38</v>
      </c>
      <c r="AF140">
        <v>0.38</v>
      </c>
      <c r="AG140">
        <v>0.38</v>
      </c>
      <c r="AH140">
        <v>0.38</v>
      </c>
      <c r="AI140">
        <v>0.38</v>
      </c>
      <c r="AJ140">
        <v>0.38</v>
      </c>
      <c r="AK140">
        <v>0.38</v>
      </c>
      <c r="AL140">
        <v>0.38</v>
      </c>
      <c r="AM140">
        <v>0.38</v>
      </c>
      <c r="AN140">
        <v>0.38</v>
      </c>
      <c r="AO140">
        <v>0.38</v>
      </c>
      <c r="AP140">
        <v>0.38</v>
      </c>
      <c r="AQ140">
        <v>0.38</v>
      </c>
      <c r="AR140">
        <v>0.38</v>
      </c>
      <c r="AS140">
        <v>0.37</v>
      </c>
      <c r="AT140">
        <v>0.38</v>
      </c>
      <c r="AU140">
        <v>0.38</v>
      </c>
      <c r="AV140">
        <v>0.38</v>
      </c>
      <c r="AW140" t="s">
        <v>238</v>
      </c>
    </row>
    <row r="141" spans="1:49" ht="12.75">
      <c r="A141" t="s">
        <v>240</v>
      </c>
      <c r="B141" t="s">
        <v>29</v>
      </c>
      <c r="C141" t="s">
        <v>79</v>
      </c>
      <c r="D141" t="s">
        <v>238</v>
      </c>
      <c r="E141" t="s">
        <v>238</v>
      </c>
      <c r="F141" t="s">
        <v>202</v>
      </c>
      <c r="G141" t="s">
        <v>237</v>
      </c>
      <c r="H141" t="s">
        <v>238</v>
      </c>
      <c r="I141" t="s">
        <v>238</v>
      </c>
      <c r="J141" t="s">
        <v>238</v>
      </c>
      <c r="K141" t="s">
        <v>238</v>
      </c>
      <c r="L141">
        <v>0.28999999999999998</v>
      </c>
      <c r="M141">
        <v>0.28999999999999998</v>
      </c>
      <c r="N141">
        <v>0.28999999999999998</v>
      </c>
      <c r="O141">
        <v>0.28999999999999998</v>
      </c>
      <c r="P141">
        <v>0.28999999999999998</v>
      </c>
      <c r="Q141">
        <v>0.31</v>
      </c>
      <c r="R141">
        <v>0.28999999999999998</v>
      </c>
      <c r="S141">
        <v>0.28999999999999998</v>
      </c>
      <c r="T141">
        <v>0.28999999999999998</v>
      </c>
      <c r="U141">
        <v>0.28999999999999998</v>
      </c>
      <c r="V141">
        <v>0.28999999999999998</v>
      </c>
      <c r="W141">
        <v>0.28999999999999998</v>
      </c>
      <c r="X141">
        <v>0.28999999999999998</v>
      </c>
      <c r="Y141">
        <v>0.28999999999999998</v>
      </c>
      <c r="Z141">
        <v>0.28999999999999998</v>
      </c>
      <c r="AA141">
        <v>0.28999999999999998</v>
      </c>
      <c r="AB141">
        <v>0.28999999999999998</v>
      </c>
      <c r="AC141">
        <v>0.28999999999999998</v>
      </c>
      <c r="AD141">
        <v>0.28999999999999998</v>
      </c>
      <c r="AE141">
        <v>0.28999999999999998</v>
      </c>
      <c r="AF141">
        <v>0.28999999999999998</v>
      </c>
      <c r="AG141">
        <v>0.28999999999999998</v>
      </c>
      <c r="AH141">
        <v>0.28999999999999998</v>
      </c>
      <c r="AI141">
        <v>0.28999999999999998</v>
      </c>
      <c r="AJ141">
        <v>0.28999999999999998</v>
      </c>
      <c r="AK141">
        <v>0.28999999999999998</v>
      </c>
      <c r="AL141">
        <v>0.28999999999999998</v>
      </c>
      <c r="AM141">
        <v>0.28999999999999998</v>
      </c>
      <c r="AN141">
        <v>0.28999999999999998</v>
      </c>
      <c r="AO141">
        <v>0.28999999999999998</v>
      </c>
      <c r="AP141">
        <v>0.28999999999999998</v>
      </c>
      <c r="AQ141">
        <v>0.28999999999999998</v>
      </c>
      <c r="AR141">
        <v>0.28999999999999998</v>
      </c>
      <c r="AS141">
        <v>0.27000000000000002</v>
      </c>
      <c r="AT141">
        <v>0.28999999999999998</v>
      </c>
      <c r="AU141">
        <v>0.28999999999999998</v>
      </c>
      <c r="AV141">
        <v>0.28999999999999998</v>
      </c>
      <c r="AW141" t="s">
        <v>238</v>
      </c>
    </row>
    <row r="142" spans="1:49" ht="12.75">
      <c r="A142" t="s">
        <v>240</v>
      </c>
      <c r="B142" t="s">
        <v>29</v>
      </c>
      <c r="C142" t="s">
        <v>80</v>
      </c>
      <c r="D142" t="s">
        <v>238</v>
      </c>
      <c r="E142" t="s">
        <v>238</v>
      </c>
      <c r="F142" t="s">
        <v>202</v>
      </c>
      <c r="G142" t="s">
        <v>237</v>
      </c>
      <c r="H142" t="s">
        <v>238</v>
      </c>
      <c r="I142" t="s">
        <v>238</v>
      </c>
      <c r="J142" t="s">
        <v>238</v>
      </c>
      <c r="K142" t="s">
        <v>238</v>
      </c>
      <c r="L142">
        <v>0.23000000000000001</v>
      </c>
      <c r="M142">
        <v>0.23999999999999999</v>
      </c>
      <c r="N142">
        <v>0.28000000000000003</v>
      </c>
      <c r="O142">
        <v>0.25</v>
      </c>
      <c r="P142">
        <v>0.22</v>
      </c>
      <c r="Q142">
        <v>0.25</v>
      </c>
      <c r="R142">
        <v>0.23999999999999999</v>
      </c>
      <c r="S142">
        <v>0.27000000000000002</v>
      </c>
      <c r="T142">
        <v>0.25</v>
      </c>
      <c r="U142">
        <v>0.28999999999999998</v>
      </c>
      <c r="V142">
        <v>0.31</v>
      </c>
      <c r="W142">
        <v>0.23000000000000001</v>
      </c>
      <c r="X142">
        <v>0.28999999999999998</v>
      </c>
      <c r="Y142">
        <v>0.26000000000000001</v>
      </c>
      <c r="Z142">
        <v>0.26000000000000001</v>
      </c>
      <c r="AA142">
        <v>0.28000000000000003</v>
      </c>
      <c r="AB142">
        <v>0.28999999999999998</v>
      </c>
      <c r="AC142">
        <v>0.23999999999999999</v>
      </c>
      <c r="AD142">
        <v>0.25</v>
      </c>
      <c r="AE142">
        <v>0.23000000000000001</v>
      </c>
      <c r="AF142">
        <v>0.28000000000000003</v>
      </c>
      <c r="AG142">
        <v>0.28000000000000003</v>
      </c>
      <c r="AH142">
        <v>0.26000000000000001</v>
      </c>
      <c r="AI142">
        <v>0.28000000000000003</v>
      </c>
      <c r="AJ142">
        <v>0.23000000000000001</v>
      </c>
      <c r="AK142">
        <v>0.26000000000000001</v>
      </c>
      <c r="AL142">
        <v>0.28000000000000003</v>
      </c>
      <c r="AM142">
        <v>0.25</v>
      </c>
      <c r="AN142">
        <v>0.27000000000000002</v>
      </c>
      <c r="AO142">
        <v>0.28000000000000003</v>
      </c>
      <c r="AP142">
        <v>0.27000000000000002</v>
      </c>
      <c r="AQ142">
        <v>0.20999999999999999</v>
      </c>
      <c r="AR142">
        <v>0.28000000000000003</v>
      </c>
      <c r="AS142">
        <v>0.28000000000000003</v>
      </c>
      <c r="AT142">
        <v>0.28000000000000003</v>
      </c>
      <c r="AU142">
        <v>0.28000000000000003</v>
      </c>
      <c r="AV142">
        <v>0.26000000000000001</v>
      </c>
      <c r="AW142" t="s">
        <v>238</v>
      </c>
    </row>
    <row r="143" spans="1:49" ht="12.75">
      <c r="A143" t="s">
        <v>240</v>
      </c>
      <c r="B143" t="s">
        <v>29</v>
      </c>
      <c r="C143" t="s">
        <v>81</v>
      </c>
      <c r="D143" t="s">
        <v>238</v>
      </c>
      <c r="E143" t="s">
        <v>238</v>
      </c>
      <c r="F143" t="s">
        <v>202</v>
      </c>
      <c r="G143" t="s">
        <v>237</v>
      </c>
      <c r="H143" t="s">
        <v>238</v>
      </c>
      <c r="I143" t="s">
        <v>238</v>
      </c>
      <c r="J143" t="s">
        <v>238</v>
      </c>
      <c r="K143" t="s">
        <v>238</v>
      </c>
      <c r="L143">
        <v>0.40000000000000002</v>
      </c>
      <c r="M143">
        <v>0.44</v>
      </c>
      <c r="N143">
        <v>0.42999999999999999</v>
      </c>
      <c r="O143">
        <v>0.41999999999999998</v>
      </c>
      <c r="P143">
        <v>0.38</v>
      </c>
      <c r="Q143">
        <v>0.41999999999999998</v>
      </c>
      <c r="R143">
        <v>0.40000000000000002</v>
      </c>
      <c r="S143">
        <v>0.42999999999999999</v>
      </c>
      <c r="T143">
        <v>0.42999999999999999</v>
      </c>
      <c r="U143">
        <v>0.45000000000000001</v>
      </c>
      <c r="V143">
        <v>0.46000000000000002</v>
      </c>
      <c r="W143">
        <v>0.40000000000000002</v>
      </c>
      <c r="X143">
        <v>0.44</v>
      </c>
      <c r="Y143">
        <v>0.41999999999999998</v>
      </c>
      <c r="Z143">
        <v>0.46000000000000002</v>
      </c>
      <c r="AA143">
        <v>0.42999999999999999</v>
      </c>
      <c r="AB143">
        <v>0.46000000000000002</v>
      </c>
      <c r="AC143">
        <v>0.44</v>
      </c>
      <c r="AD143">
        <v>0.41999999999999998</v>
      </c>
      <c r="AE143">
        <v>0.44</v>
      </c>
      <c r="AF143">
        <v>0.42999999999999999</v>
      </c>
      <c r="AG143">
        <v>0.44</v>
      </c>
      <c r="AH143">
        <v>0.42999999999999999</v>
      </c>
      <c r="AI143">
        <v>0.45000000000000001</v>
      </c>
      <c r="AJ143">
        <v>0.40000000000000002</v>
      </c>
      <c r="AK143">
        <v>0.42999999999999999</v>
      </c>
      <c r="AL143">
        <v>0.44</v>
      </c>
      <c r="AM143">
        <v>0.40000000000000002</v>
      </c>
      <c r="AN143">
        <v>0.41999999999999998</v>
      </c>
      <c r="AO143">
        <v>0.42999999999999999</v>
      </c>
      <c r="AP143">
        <v>0.45000000000000001</v>
      </c>
      <c r="AQ143">
        <v>0.39000000000000001</v>
      </c>
      <c r="AR143">
        <v>0.42999999999999999</v>
      </c>
      <c r="AS143">
        <v>0.46000000000000002</v>
      </c>
      <c r="AT143">
        <v>0.44</v>
      </c>
      <c r="AU143">
        <v>0.45000000000000001</v>
      </c>
      <c r="AV143">
        <v>0.46000000000000002</v>
      </c>
      <c r="AW143" t="s">
        <v>238</v>
      </c>
    </row>
    <row r="144" spans="1:49" ht="12.75">
      <c r="A144" t="s">
        <v>240</v>
      </c>
      <c r="B144" t="s">
        <v>29</v>
      </c>
      <c r="C144" t="s">
        <v>82</v>
      </c>
      <c r="D144" t="s">
        <v>238</v>
      </c>
      <c r="E144" t="s">
        <v>238</v>
      </c>
      <c r="F144" t="s">
        <v>202</v>
      </c>
      <c r="G144" t="s">
        <v>237</v>
      </c>
      <c r="H144" t="s">
        <v>238</v>
      </c>
      <c r="I144" t="s">
        <v>238</v>
      </c>
      <c r="J144" t="s">
        <v>238</v>
      </c>
      <c r="K144" t="s">
        <v>238</v>
      </c>
      <c r="L144">
        <v>0.40999999999999998</v>
      </c>
      <c r="M144">
        <v>0.45000000000000001</v>
      </c>
      <c r="N144">
        <v>0.44</v>
      </c>
      <c r="O144">
        <v>0.42999999999999999</v>
      </c>
      <c r="P144">
        <v>0.38</v>
      </c>
      <c r="Q144">
        <v>0.44</v>
      </c>
      <c r="R144">
        <v>0.40999999999999998</v>
      </c>
      <c r="S144">
        <v>0.44</v>
      </c>
      <c r="T144">
        <v>0.44</v>
      </c>
      <c r="U144">
        <v>0.48999999999999999</v>
      </c>
      <c r="V144">
        <v>0.46999999999999997</v>
      </c>
      <c r="W144">
        <v>0.40999999999999998</v>
      </c>
      <c r="X144">
        <v>0.45000000000000001</v>
      </c>
      <c r="Y144">
        <v>0.42999999999999999</v>
      </c>
      <c r="Z144">
        <v>0.46999999999999997</v>
      </c>
      <c r="AA144">
        <v>0.44</v>
      </c>
      <c r="AB144">
        <v>0.46000000000000002</v>
      </c>
      <c r="AC144">
        <v>0.46000000000000002</v>
      </c>
      <c r="AD144">
        <v>0.45000000000000001</v>
      </c>
      <c r="AE144">
        <v>0.45000000000000001</v>
      </c>
      <c r="AF144">
        <v>0.44</v>
      </c>
      <c r="AG144">
        <v>0.44</v>
      </c>
      <c r="AH144">
        <v>0.47999999999999998</v>
      </c>
      <c r="AI144">
        <v>0.45000000000000001</v>
      </c>
      <c r="AJ144">
        <v>0.40999999999999998</v>
      </c>
      <c r="AK144">
        <v>0.44</v>
      </c>
      <c r="AL144">
        <v>0.46000000000000002</v>
      </c>
      <c r="AM144">
        <v>0.42999999999999999</v>
      </c>
      <c r="AN144">
        <v>0.41999999999999998</v>
      </c>
      <c r="AO144">
        <v>0.42999999999999999</v>
      </c>
      <c r="AP144">
        <v>0.46999999999999997</v>
      </c>
      <c r="AQ144">
        <v>0.39000000000000001</v>
      </c>
      <c r="AR144">
        <v>0.44</v>
      </c>
      <c r="AS144">
        <v>0.47999999999999998</v>
      </c>
      <c r="AT144">
        <v>0.44</v>
      </c>
      <c r="AU144">
        <v>0.46000000000000002</v>
      </c>
      <c r="AV144">
        <v>0.47999999999999998</v>
      </c>
      <c r="AW144" t="s">
        <v>238</v>
      </c>
    </row>
    <row r="145" spans="1:49" ht="12.75">
      <c r="A145" t="s">
        <v>240</v>
      </c>
      <c r="B145" t="s">
        <v>29</v>
      </c>
      <c r="C145" t="s">
        <v>83</v>
      </c>
      <c r="D145" t="s">
        <v>238</v>
      </c>
      <c r="E145" t="s">
        <v>238</v>
      </c>
      <c r="F145" t="s">
        <v>202</v>
      </c>
      <c r="G145" t="s">
        <v>237</v>
      </c>
      <c r="H145" t="s">
        <v>238</v>
      </c>
      <c r="I145" t="s">
        <v>238</v>
      </c>
      <c r="J145" t="s">
        <v>238</v>
      </c>
      <c r="K145" t="s">
        <v>238</v>
      </c>
      <c r="L145">
        <v>0.34000000000000002</v>
      </c>
      <c r="M145">
        <v>0.37</v>
      </c>
      <c r="N145">
        <v>0.35999999999999999</v>
      </c>
      <c r="O145">
        <v>0.35999999999999999</v>
      </c>
      <c r="P145">
        <v>0.32000000000000001</v>
      </c>
      <c r="Q145">
        <v>0.35999999999999999</v>
      </c>
      <c r="R145">
        <v>0.33000000000000002</v>
      </c>
      <c r="S145">
        <v>0.37</v>
      </c>
      <c r="T145">
        <v>0.37</v>
      </c>
      <c r="U145">
        <v>0.38</v>
      </c>
      <c r="V145">
        <v>0.40000000000000002</v>
      </c>
      <c r="W145">
        <v>0.34000000000000002</v>
      </c>
      <c r="X145">
        <v>0.38</v>
      </c>
      <c r="Y145">
        <v>0.35999999999999999</v>
      </c>
      <c r="Z145">
        <v>0.38</v>
      </c>
      <c r="AA145">
        <v>0.35999999999999999</v>
      </c>
      <c r="AB145">
        <v>0.39000000000000001</v>
      </c>
      <c r="AC145">
        <v>0.37</v>
      </c>
      <c r="AD145">
        <v>0.34999999999999998</v>
      </c>
      <c r="AE145">
        <v>0.37</v>
      </c>
      <c r="AF145">
        <v>0.35999999999999999</v>
      </c>
      <c r="AG145">
        <v>0.35999999999999999</v>
      </c>
      <c r="AH145">
        <v>0.35999999999999999</v>
      </c>
      <c r="AI145">
        <v>0.38</v>
      </c>
      <c r="AJ145">
        <v>0.34000000000000002</v>
      </c>
      <c r="AK145">
        <v>0.35999999999999999</v>
      </c>
      <c r="AL145">
        <v>0.37</v>
      </c>
      <c r="AM145">
        <v>0.34000000000000002</v>
      </c>
      <c r="AN145">
        <v>0.35999999999999999</v>
      </c>
      <c r="AO145">
        <v>0.37</v>
      </c>
      <c r="AP145">
        <v>0.39000000000000001</v>
      </c>
      <c r="AQ145">
        <v>0.33000000000000002</v>
      </c>
      <c r="AR145">
        <v>0.35999999999999999</v>
      </c>
      <c r="AS145">
        <v>0.38</v>
      </c>
      <c r="AT145">
        <v>0.37</v>
      </c>
      <c r="AU145">
        <v>0.39000000000000001</v>
      </c>
      <c r="AV145">
        <v>0.39000000000000001</v>
      </c>
      <c r="AW145" t="s">
        <v>238</v>
      </c>
    </row>
    <row r="146" spans="1:49" ht="12.75">
      <c r="A146" t="s">
        <v>240</v>
      </c>
      <c r="B146" t="s">
        <v>29</v>
      </c>
      <c r="C146" t="s">
        <v>65</v>
      </c>
      <c r="D146" t="s">
        <v>238</v>
      </c>
      <c r="E146" t="s">
        <v>238</v>
      </c>
      <c r="F146" t="s">
        <v>202</v>
      </c>
      <c r="G146" t="s">
        <v>237</v>
      </c>
      <c r="H146" t="s">
        <v>238</v>
      </c>
      <c r="I146" t="s">
        <v>238</v>
      </c>
      <c r="J146" t="s">
        <v>238</v>
      </c>
      <c r="K146" t="s">
        <v>238</v>
      </c>
      <c r="L146">
        <v>0.37</v>
      </c>
      <c r="M146">
        <v>0.38454545454545502</v>
      </c>
      <c r="N146">
        <v>0.41999999999999998</v>
      </c>
      <c r="O146">
        <v>0.34999999999999998</v>
      </c>
      <c r="P146">
        <v>0.35999999999999999</v>
      </c>
      <c r="Q146">
        <v>0.38454545454545502</v>
      </c>
      <c r="R146">
        <v>0.38454545454545502</v>
      </c>
      <c r="S146">
        <v>0.38454545454545502</v>
      </c>
      <c r="T146">
        <v>0.41999999999999998</v>
      </c>
      <c r="U146">
        <v>0.46999999999999997</v>
      </c>
      <c r="V146">
        <v>0.38454545454545502</v>
      </c>
      <c r="W146">
        <v>0.37</v>
      </c>
      <c r="X146">
        <v>0.38454545454545502</v>
      </c>
      <c r="Y146">
        <v>0.38454545454545502</v>
      </c>
      <c r="Z146">
        <v>0.38</v>
      </c>
      <c r="AA146">
        <v>0.41999999999999998</v>
      </c>
      <c r="AB146">
        <v>0.39000000000000001</v>
      </c>
      <c r="AC146">
        <v>0.37</v>
      </c>
      <c r="AD146">
        <v>0.38454545454545502</v>
      </c>
      <c r="AE146">
        <v>0.35999999999999999</v>
      </c>
      <c r="AF146">
        <v>0.41999999999999998</v>
      </c>
      <c r="AG146">
        <v>0.38454545454545502</v>
      </c>
      <c r="AH146">
        <v>0.38454545454545502</v>
      </c>
      <c r="AI146">
        <v>0.39000000000000001</v>
      </c>
      <c r="AJ146">
        <v>0.37</v>
      </c>
      <c r="AK146">
        <v>0.38454545454545502</v>
      </c>
      <c r="AL146">
        <v>0.38454545454545502</v>
      </c>
      <c r="AM146">
        <v>0.33000000000000002</v>
      </c>
      <c r="AN146">
        <v>0.38454545454545502</v>
      </c>
      <c r="AO146">
        <v>0.38</v>
      </c>
      <c r="AP146">
        <v>0.34999999999999998</v>
      </c>
      <c r="AQ146">
        <v>0.35999999999999999</v>
      </c>
      <c r="AR146">
        <v>0.41999999999999998</v>
      </c>
      <c r="AS146">
        <v>0.38454545454545502</v>
      </c>
      <c r="AT146">
        <v>0.38454545454545502</v>
      </c>
      <c r="AU146">
        <v>0.39000000000000001</v>
      </c>
      <c r="AV146">
        <v>0.37</v>
      </c>
      <c r="AW146" t="s">
        <v>238</v>
      </c>
    </row>
    <row r="147" spans="1:49" ht="12.75">
      <c r="A147" t="s">
        <v>240</v>
      </c>
      <c r="B147" t="s">
        <v>29</v>
      </c>
      <c r="C147" t="s">
        <v>66</v>
      </c>
      <c r="D147" t="s">
        <v>238</v>
      </c>
      <c r="E147" t="s">
        <v>238</v>
      </c>
      <c r="F147" t="s">
        <v>202</v>
      </c>
      <c r="G147" t="s">
        <v>237</v>
      </c>
      <c r="H147" t="s">
        <v>238</v>
      </c>
      <c r="I147" t="s">
        <v>238</v>
      </c>
      <c r="J147" t="s">
        <v>238</v>
      </c>
      <c r="K147" t="s">
        <v>238</v>
      </c>
      <c r="L147">
        <v>0.37</v>
      </c>
      <c r="M147">
        <v>0.38409090909090898</v>
      </c>
      <c r="N147">
        <v>0.41999999999999998</v>
      </c>
      <c r="O147">
        <v>0.34999999999999998</v>
      </c>
      <c r="P147">
        <v>0.35999999999999999</v>
      </c>
      <c r="Q147">
        <v>0.38409090909090898</v>
      </c>
      <c r="R147">
        <v>0.38409090909090898</v>
      </c>
      <c r="S147">
        <v>0.38409090909090898</v>
      </c>
      <c r="T147">
        <v>0.40999999999999998</v>
      </c>
      <c r="U147">
        <v>0.46999999999999997</v>
      </c>
      <c r="V147">
        <v>0.38409090909090898</v>
      </c>
      <c r="W147">
        <v>0.37</v>
      </c>
      <c r="X147">
        <v>0.38409090909090898</v>
      </c>
      <c r="Y147">
        <v>0.38409090909090898</v>
      </c>
      <c r="Z147">
        <v>0.38</v>
      </c>
      <c r="AA147">
        <v>0.41999999999999998</v>
      </c>
      <c r="AB147">
        <v>0.39000000000000001</v>
      </c>
      <c r="AC147">
        <v>0.37</v>
      </c>
      <c r="AD147">
        <v>0.38409090909090898</v>
      </c>
      <c r="AE147">
        <v>0.35999999999999999</v>
      </c>
      <c r="AF147">
        <v>0.41999999999999998</v>
      </c>
      <c r="AG147">
        <v>0.38409090909090898</v>
      </c>
      <c r="AH147">
        <v>0.38409090909090898</v>
      </c>
      <c r="AI147">
        <v>0.39000000000000001</v>
      </c>
      <c r="AJ147">
        <v>0.37</v>
      </c>
      <c r="AK147">
        <v>0.38409090909090898</v>
      </c>
      <c r="AL147">
        <v>0.38409090909090898</v>
      </c>
      <c r="AM147">
        <v>0.33000000000000002</v>
      </c>
      <c r="AN147">
        <v>0.38409090909090898</v>
      </c>
      <c r="AO147">
        <v>0.38</v>
      </c>
      <c r="AP147">
        <v>0.34999999999999998</v>
      </c>
      <c r="AQ147">
        <v>0.35999999999999999</v>
      </c>
      <c r="AR147">
        <v>0.41999999999999998</v>
      </c>
      <c r="AS147">
        <v>0.38409090909090898</v>
      </c>
      <c r="AT147">
        <v>0.38409090909090898</v>
      </c>
      <c r="AU147">
        <v>0.39000000000000001</v>
      </c>
      <c r="AV147">
        <v>0.37</v>
      </c>
      <c r="AW147" t="s">
        <v>238</v>
      </c>
    </row>
    <row r="148" spans="1:49" ht="12.75">
      <c r="A148" t="s">
        <v>240</v>
      </c>
      <c r="B148" t="s">
        <v>29</v>
      </c>
      <c r="C148" t="s">
        <v>67</v>
      </c>
      <c r="D148" t="s">
        <v>238</v>
      </c>
      <c r="E148" t="s">
        <v>238</v>
      </c>
      <c r="F148" t="s">
        <v>202</v>
      </c>
      <c r="G148" t="s">
        <v>237</v>
      </c>
      <c r="H148" t="s">
        <v>238</v>
      </c>
      <c r="I148" t="s">
        <v>238</v>
      </c>
      <c r="J148" t="s">
        <v>238</v>
      </c>
      <c r="K148" t="s">
        <v>238</v>
      </c>
      <c r="L148">
        <v>0.37</v>
      </c>
      <c r="M148">
        <v>0.38454545454545502</v>
      </c>
      <c r="N148">
        <v>0.41999999999999998</v>
      </c>
      <c r="O148">
        <v>0.34999999999999998</v>
      </c>
      <c r="P148">
        <v>0.35999999999999999</v>
      </c>
      <c r="Q148">
        <v>0.38454545454545502</v>
      </c>
      <c r="R148">
        <v>0.38454545454545502</v>
      </c>
      <c r="S148">
        <v>0.38454545454545502</v>
      </c>
      <c r="T148">
        <v>0.40999999999999998</v>
      </c>
      <c r="U148">
        <v>0.46999999999999997</v>
      </c>
      <c r="V148">
        <v>0.38454545454545502</v>
      </c>
      <c r="W148">
        <v>0.37</v>
      </c>
      <c r="X148">
        <v>0.38454545454545502</v>
      </c>
      <c r="Y148">
        <v>0.38454545454545502</v>
      </c>
      <c r="Z148">
        <v>0.38</v>
      </c>
      <c r="AA148">
        <v>0.41999999999999998</v>
      </c>
      <c r="AB148">
        <v>0.39000000000000001</v>
      </c>
      <c r="AC148">
        <v>0.37</v>
      </c>
      <c r="AD148">
        <v>0.38454545454545502</v>
      </c>
      <c r="AE148">
        <v>0.35999999999999999</v>
      </c>
      <c r="AF148">
        <v>0.41999999999999998</v>
      </c>
      <c r="AG148">
        <v>0.38454545454545502</v>
      </c>
      <c r="AH148">
        <v>0.38454545454545502</v>
      </c>
      <c r="AI148">
        <v>0.39000000000000001</v>
      </c>
      <c r="AJ148">
        <v>0.37</v>
      </c>
      <c r="AK148">
        <v>0.38454545454545502</v>
      </c>
      <c r="AL148">
        <v>0.38454545454545502</v>
      </c>
      <c r="AM148">
        <v>0.34000000000000002</v>
      </c>
      <c r="AN148">
        <v>0.38454545454545502</v>
      </c>
      <c r="AO148">
        <v>0.38</v>
      </c>
      <c r="AP148">
        <v>0.34999999999999998</v>
      </c>
      <c r="AQ148">
        <v>0.35999999999999999</v>
      </c>
      <c r="AR148">
        <v>0.41999999999999998</v>
      </c>
      <c r="AS148">
        <v>0.38454545454545502</v>
      </c>
      <c r="AT148">
        <v>0.38454545454545502</v>
      </c>
      <c r="AU148">
        <v>0.39000000000000001</v>
      </c>
      <c r="AV148">
        <v>0.37</v>
      </c>
      <c r="AW148" t="s">
        <v>238</v>
      </c>
    </row>
    <row r="149" spans="1:49" ht="12.75">
      <c r="A149" t="s">
        <v>240</v>
      </c>
      <c r="B149" t="s">
        <v>29</v>
      </c>
      <c r="C149" t="s">
        <v>68</v>
      </c>
      <c r="D149" t="s">
        <v>238</v>
      </c>
      <c r="E149" t="s">
        <v>238</v>
      </c>
      <c r="F149" t="s">
        <v>202</v>
      </c>
      <c r="G149" t="s">
        <v>237</v>
      </c>
      <c r="H149" t="s">
        <v>238</v>
      </c>
      <c r="I149" t="s">
        <v>238</v>
      </c>
      <c r="J149" t="s">
        <v>238</v>
      </c>
      <c r="K149" t="s">
        <v>238</v>
      </c>
      <c r="L149">
        <v>0.37</v>
      </c>
      <c r="M149">
        <v>0.38500000000000001</v>
      </c>
      <c r="N149">
        <v>0.41999999999999998</v>
      </c>
      <c r="O149">
        <v>0.34999999999999998</v>
      </c>
      <c r="P149">
        <v>0.35999999999999999</v>
      </c>
      <c r="Q149">
        <v>0.38500000000000001</v>
      </c>
      <c r="R149">
        <v>0.38500000000000001</v>
      </c>
      <c r="S149">
        <v>0.38500000000000001</v>
      </c>
      <c r="T149">
        <v>0.41999999999999998</v>
      </c>
      <c r="U149">
        <v>0.46999999999999997</v>
      </c>
      <c r="V149">
        <v>0.38500000000000001</v>
      </c>
      <c r="W149">
        <v>0.37</v>
      </c>
      <c r="X149">
        <v>0.38500000000000001</v>
      </c>
      <c r="Y149">
        <v>0.38500000000000001</v>
      </c>
      <c r="Z149">
        <v>0.38</v>
      </c>
      <c r="AA149">
        <v>0.41999999999999998</v>
      </c>
      <c r="AB149">
        <v>0.39000000000000001</v>
      </c>
      <c r="AC149">
        <v>0.37</v>
      </c>
      <c r="AD149">
        <v>0.38500000000000001</v>
      </c>
      <c r="AE149">
        <v>0.35999999999999999</v>
      </c>
      <c r="AF149">
        <v>0.41999999999999998</v>
      </c>
      <c r="AG149">
        <v>0.38500000000000001</v>
      </c>
      <c r="AH149">
        <v>0.38500000000000001</v>
      </c>
      <c r="AI149">
        <v>0.39000000000000001</v>
      </c>
      <c r="AJ149">
        <v>0.37</v>
      </c>
      <c r="AK149">
        <v>0.38500000000000001</v>
      </c>
      <c r="AL149">
        <v>0.38500000000000001</v>
      </c>
      <c r="AM149">
        <v>0.33000000000000002</v>
      </c>
      <c r="AN149">
        <v>0.38500000000000001</v>
      </c>
      <c r="AO149">
        <v>0.38</v>
      </c>
      <c r="AP149">
        <v>0.35999999999999999</v>
      </c>
      <c r="AQ149">
        <v>0.35999999999999999</v>
      </c>
      <c r="AR149">
        <v>0.41999999999999998</v>
      </c>
      <c r="AS149">
        <v>0.38500000000000001</v>
      </c>
      <c r="AT149">
        <v>0.38500000000000001</v>
      </c>
      <c r="AU149">
        <v>0.39000000000000001</v>
      </c>
      <c r="AV149">
        <v>0.37</v>
      </c>
      <c r="AW149" t="s">
        <v>238</v>
      </c>
    </row>
    <row r="150" spans="1:49" ht="12.75">
      <c r="A150" t="s">
        <v>240</v>
      </c>
      <c r="B150" t="s">
        <v>29</v>
      </c>
      <c r="C150" t="s">
        <v>84</v>
      </c>
      <c r="D150" t="s">
        <v>238</v>
      </c>
      <c r="E150" t="s">
        <v>238</v>
      </c>
      <c r="F150" t="s">
        <v>202</v>
      </c>
      <c r="G150" t="s">
        <v>237</v>
      </c>
      <c r="H150" t="s">
        <v>238</v>
      </c>
      <c r="I150" t="s">
        <v>238</v>
      </c>
      <c r="J150" t="s">
        <v>238</v>
      </c>
      <c r="K150" t="s">
        <v>238</v>
      </c>
      <c r="L150">
        <v>0.23000000000000001</v>
      </c>
      <c r="M150">
        <v>0.23999999999999999</v>
      </c>
      <c r="N150">
        <v>0.28000000000000003</v>
      </c>
      <c r="O150">
        <v>0.25</v>
      </c>
      <c r="P150">
        <v>0.22</v>
      </c>
      <c r="Q150">
        <v>0.25</v>
      </c>
      <c r="R150">
        <v>0.23999999999999999</v>
      </c>
      <c r="S150">
        <v>0.27000000000000002</v>
      </c>
      <c r="T150">
        <v>0.25</v>
      </c>
      <c r="U150">
        <v>0.28999999999999998</v>
      </c>
      <c r="V150">
        <v>0.31</v>
      </c>
      <c r="W150">
        <v>0.23000000000000001</v>
      </c>
      <c r="X150">
        <v>0.28999999999999998</v>
      </c>
      <c r="Y150">
        <v>0.26000000000000001</v>
      </c>
      <c r="Z150">
        <v>0.26000000000000001</v>
      </c>
      <c r="AA150">
        <v>0.28000000000000003</v>
      </c>
      <c r="AB150">
        <v>0.28999999999999998</v>
      </c>
      <c r="AC150">
        <v>0.23999999999999999</v>
      </c>
      <c r="AD150">
        <v>0.25</v>
      </c>
      <c r="AE150">
        <v>0.23000000000000001</v>
      </c>
      <c r="AF150">
        <v>0.28000000000000003</v>
      </c>
      <c r="AG150">
        <v>0.28000000000000003</v>
      </c>
      <c r="AH150">
        <v>0.26000000000000001</v>
      </c>
      <c r="AI150">
        <v>0.28000000000000003</v>
      </c>
      <c r="AJ150">
        <v>0.23000000000000001</v>
      </c>
      <c r="AK150">
        <v>0.26000000000000001</v>
      </c>
      <c r="AL150">
        <v>0.28000000000000003</v>
      </c>
      <c r="AM150">
        <v>0.25</v>
      </c>
      <c r="AN150">
        <v>0.27000000000000002</v>
      </c>
      <c r="AO150">
        <v>0.28000000000000003</v>
      </c>
      <c r="AP150">
        <v>0.27000000000000002</v>
      </c>
      <c r="AQ150">
        <v>0.20999999999999999</v>
      </c>
      <c r="AR150">
        <v>0.28000000000000003</v>
      </c>
      <c r="AS150">
        <v>0.28000000000000003</v>
      </c>
      <c r="AT150">
        <v>0.28000000000000003</v>
      </c>
      <c r="AU150">
        <v>0.28000000000000003</v>
      </c>
      <c r="AV150">
        <v>0.26000000000000001</v>
      </c>
      <c r="AW150" t="s">
        <v>238</v>
      </c>
    </row>
    <row r="151" spans="1:49" ht="12.75">
      <c r="A151" t="s">
        <v>240</v>
      </c>
      <c r="B151" t="s">
        <v>29</v>
      </c>
      <c r="C151" t="s">
        <v>85</v>
      </c>
      <c r="D151" t="s">
        <v>238</v>
      </c>
      <c r="E151" t="s">
        <v>238</v>
      </c>
      <c r="F151" t="s">
        <v>202</v>
      </c>
      <c r="G151" t="s">
        <v>237</v>
      </c>
      <c r="H151" t="s">
        <v>238</v>
      </c>
      <c r="I151" t="s">
        <v>238</v>
      </c>
      <c r="J151" t="s">
        <v>238</v>
      </c>
      <c r="K151" t="s">
        <v>238</v>
      </c>
      <c r="L151">
        <v>0.40000000000000002</v>
      </c>
      <c r="M151">
        <v>0.44</v>
      </c>
      <c r="N151">
        <v>0.42999999999999999</v>
      </c>
      <c r="O151">
        <v>0.41999999999999998</v>
      </c>
      <c r="P151">
        <v>0.38</v>
      </c>
      <c r="Q151">
        <v>0.41999999999999998</v>
      </c>
      <c r="R151">
        <v>0.40000000000000002</v>
      </c>
      <c r="S151">
        <v>0.42999999999999999</v>
      </c>
      <c r="T151">
        <v>0.42999999999999999</v>
      </c>
      <c r="U151">
        <v>0.45000000000000001</v>
      </c>
      <c r="V151">
        <v>0.46000000000000002</v>
      </c>
      <c r="W151">
        <v>0.40000000000000002</v>
      </c>
      <c r="X151">
        <v>0.44</v>
      </c>
      <c r="Y151">
        <v>0.41999999999999998</v>
      </c>
      <c r="Z151">
        <v>0.46000000000000002</v>
      </c>
      <c r="AA151">
        <v>0.42999999999999999</v>
      </c>
      <c r="AB151">
        <v>0.46000000000000002</v>
      </c>
      <c r="AC151">
        <v>0.44</v>
      </c>
      <c r="AD151">
        <v>0.41999999999999998</v>
      </c>
      <c r="AE151">
        <v>0.44</v>
      </c>
      <c r="AF151">
        <v>0.42999999999999999</v>
      </c>
      <c r="AG151">
        <v>0.44</v>
      </c>
      <c r="AH151">
        <v>0.42999999999999999</v>
      </c>
      <c r="AI151">
        <v>0.45000000000000001</v>
      </c>
      <c r="AJ151">
        <v>0.40000000000000002</v>
      </c>
      <c r="AK151">
        <v>0.42999999999999999</v>
      </c>
      <c r="AL151">
        <v>0.44</v>
      </c>
      <c r="AM151">
        <v>0.40000000000000002</v>
      </c>
      <c r="AN151">
        <v>0.41999999999999998</v>
      </c>
      <c r="AO151">
        <v>0.42999999999999999</v>
      </c>
      <c r="AP151">
        <v>0.45000000000000001</v>
      </c>
      <c r="AQ151">
        <v>0.39000000000000001</v>
      </c>
      <c r="AR151">
        <v>0.42999999999999999</v>
      </c>
      <c r="AS151">
        <v>0.46000000000000002</v>
      </c>
      <c r="AT151">
        <v>0.44</v>
      </c>
      <c r="AU151">
        <v>0.45000000000000001</v>
      </c>
      <c r="AV151">
        <v>0.46000000000000002</v>
      </c>
      <c r="AW151" t="s">
        <v>238</v>
      </c>
    </row>
    <row r="152" spans="1:49" ht="12.75">
      <c r="A152" t="s">
        <v>240</v>
      </c>
      <c r="B152" t="s">
        <v>29</v>
      </c>
      <c r="C152" t="s">
        <v>86</v>
      </c>
      <c r="D152" t="s">
        <v>238</v>
      </c>
      <c r="E152" t="s">
        <v>238</v>
      </c>
      <c r="F152" t="s">
        <v>202</v>
      </c>
      <c r="G152" t="s">
        <v>237</v>
      </c>
      <c r="H152" t="s">
        <v>238</v>
      </c>
      <c r="I152" t="s">
        <v>238</v>
      </c>
      <c r="J152" t="s">
        <v>238</v>
      </c>
      <c r="K152" t="s">
        <v>238</v>
      </c>
      <c r="L152">
        <v>0.40999999999999998</v>
      </c>
      <c r="M152">
        <v>0.45000000000000001</v>
      </c>
      <c r="N152">
        <v>0.44</v>
      </c>
      <c r="O152">
        <v>0.42999999999999999</v>
      </c>
      <c r="P152">
        <v>0.38</v>
      </c>
      <c r="Q152">
        <v>0.44</v>
      </c>
      <c r="R152">
        <v>0.40999999999999998</v>
      </c>
      <c r="S152">
        <v>0.44</v>
      </c>
      <c r="T152">
        <v>0.44</v>
      </c>
      <c r="U152">
        <v>0.48999999999999999</v>
      </c>
      <c r="V152">
        <v>0.46999999999999997</v>
      </c>
      <c r="W152">
        <v>0.40999999999999998</v>
      </c>
      <c r="X152">
        <v>0.45000000000000001</v>
      </c>
      <c r="Y152">
        <v>0.42999999999999999</v>
      </c>
      <c r="Z152">
        <v>0.46999999999999997</v>
      </c>
      <c r="AA152">
        <v>0.44</v>
      </c>
      <c r="AB152">
        <v>0.46000000000000002</v>
      </c>
      <c r="AC152">
        <v>0.46000000000000002</v>
      </c>
      <c r="AD152">
        <v>0.45000000000000001</v>
      </c>
      <c r="AE152">
        <v>0.45000000000000001</v>
      </c>
      <c r="AF152">
        <v>0.44</v>
      </c>
      <c r="AG152">
        <v>0.44</v>
      </c>
      <c r="AH152">
        <v>0.47999999999999998</v>
      </c>
      <c r="AI152">
        <v>0.45000000000000001</v>
      </c>
      <c r="AJ152">
        <v>0.40999999999999998</v>
      </c>
      <c r="AK152">
        <v>0.44</v>
      </c>
      <c r="AL152">
        <v>0.46000000000000002</v>
      </c>
      <c r="AM152">
        <v>0.42999999999999999</v>
      </c>
      <c r="AN152">
        <v>0.41999999999999998</v>
      </c>
      <c r="AO152">
        <v>0.42999999999999999</v>
      </c>
      <c r="AP152">
        <v>0.46999999999999997</v>
      </c>
      <c r="AQ152">
        <v>0.39000000000000001</v>
      </c>
      <c r="AR152">
        <v>0.44</v>
      </c>
      <c r="AS152">
        <v>0.47999999999999998</v>
      </c>
      <c r="AT152">
        <v>0.44</v>
      </c>
      <c r="AU152">
        <v>0.46000000000000002</v>
      </c>
      <c r="AV152">
        <v>0.47999999999999998</v>
      </c>
      <c r="AW152" t="s">
        <v>238</v>
      </c>
    </row>
    <row r="153" spans="1:49" ht="12.75">
      <c r="A153" t="s">
        <v>240</v>
      </c>
      <c r="B153" t="s">
        <v>29</v>
      </c>
      <c r="C153" t="s">
        <v>87</v>
      </c>
      <c r="D153" t="s">
        <v>238</v>
      </c>
      <c r="E153" t="s">
        <v>238</v>
      </c>
      <c r="F153" t="s">
        <v>202</v>
      </c>
      <c r="G153" t="s">
        <v>237</v>
      </c>
      <c r="H153" t="s">
        <v>238</v>
      </c>
      <c r="I153" t="s">
        <v>238</v>
      </c>
      <c r="J153" t="s">
        <v>238</v>
      </c>
      <c r="K153" t="s">
        <v>238</v>
      </c>
      <c r="L153">
        <v>0.34000000000000002</v>
      </c>
      <c r="M153">
        <v>0.37</v>
      </c>
      <c r="N153">
        <v>0.35999999999999999</v>
      </c>
      <c r="O153">
        <v>0.35999999999999999</v>
      </c>
      <c r="P153">
        <v>0.32000000000000001</v>
      </c>
      <c r="Q153">
        <v>0.35999999999999999</v>
      </c>
      <c r="R153">
        <v>0.33000000000000002</v>
      </c>
      <c r="S153">
        <v>0.37</v>
      </c>
      <c r="T153">
        <v>0.37</v>
      </c>
      <c r="U153">
        <v>0.38</v>
      </c>
      <c r="V153">
        <v>0.40000000000000002</v>
      </c>
      <c r="W153">
        <v>0.34000000000000002</v>
      </c>
      <c r="X153">
        <v>0.38</v>
      </c>
      <c r="Y153">
        <v>0.35999999999999999</v>
      </c>
      <c r="Z153">
        <v>0.38</v>
      </c>
      <c r="AA153">
        <v>0.35999999999999999</v>
      </c>
      <c r="AB153">
        <v>0.39000000000000001</v>
      </c>
      <c r="AC153">
        <v>0.37</v>
      </c>
      <c r="AD153">
        <v>0.34999999999999998</v>
      </c>
      <c r="AE153">
        <v>0.37</v>
      </c>
      <c r="AF153">
        <v>0.35999999999999999</v>
      </c>
      <c r="AG153">
        <v>0.35999999999999999</v>
      </c>
      <c r="AH153">
        <v>0.35999999999999999</v>
      </c>
      <c r="AI153">
        <v>0.38</v>
      </c>
      <c r="AJ153">
        <v>0.34000000000000002</v>
      </c>
      <c r="AK153">
        <v>0.35999999999999999</v>
      </c>
      <c r="AL153">
        <v>0.37</v>
      </c>
      <c r="AM153">
        <v>0.34000000000000002</v>
      </c>
      <c r="AN153">
        <v>0.35999999999999999</v>
      </c>
      <c r="AO153">
        <v>0.37</v>
      </c>
      <c r="AP153">
        <v>0.39000000000000001</v>
      </c>
      <c r="AQ153">
        <v>0.33000000000000002</v>
      </c>
      <c r="AR153">
        <v>0.35999999999999999</v>
      </c>
      <c r="AS153">
        <v>0.38</v>
      </c>
      <c r="AT153">
        <v>0.37</v>
      </c>
      <c r="AU153">
        <v>0.39000000000000001</v>
      </c>
      <c r="AV153">
        <v>0.39000000000000001</v>
      </c>
      <c r="AW153" t="s">
        <v>238</v>
      </c>
    </row>
    <row r="154" spans="1:49" ht="12.75">
      <c r="A154" t="s">
        <v>240</v>
      </c>
      <c r="B154" t="s">
        <v>29</v>
      </c>
      <c r="C154" t="s">
        <v>52</v>
      </c>
      <c r="D154" t="s">
        <v>238</v>
      </c>
      <c r="E154" t="s">
        <v>238</v>
      </c>
      <c r="F154" t="s">
        <v>202</v>
      </c>
      <c r="G154" t="s">
        <v>237</v>
      </c>
      <c r="H154" t="s">
        <v>238</v>
      </c>
      <c r="I154" t="s">
        <v>238</v>
      </c>
      <c r="J154" t="s">
        <v>238</v>
      </c>
      <c r="K154" t="s">
        <v>238</v>
      </c>
      <c r="L154">
        <v>0.116721265948143</v>
      </c>
      <c r="M154">
        <v>0.095218081183551601</v>
      </c>
      <c r="N154">
        <v>0.14463639347038099</v>
      </c>
      <c r="O154">
        <v>0.10361969848816199</v>
      </c>
      <c r="P154">
        <v>0.092784361390447698</v>
      </c>
      <c r="Q154">
        <v>0.11858440363995</v>
      </c>
      <c r="R154">
        <v>0.114044829974671</v>
      </c>
      <c r="S154">
        <v>0.10855632289622399</v>
      </c>
      <c r="T154">
        <v>0.11700010774532101</v>
      </c>
      <c r="U154">
        <v>0.092036888145743595</v>
      </c>
      <c r="V154">
        <v>0.118437880938806</v>
      </c>
      <c r="W154">
        <v>0.116721265948143</v>
      </c>
      <c r="X154">
        <v>0.118203291106111</v>
      </c>
      <c r="Y154">
        <v>0.103957439548966</v>
      </c>
      <c r="Z154">
        <v>0.095394324684570306</v>
      </c>
      <c r="AA154">
        <v>0.14463639347038099</v>
      </c>
      <c r="AB154">
        <v>0.113604413499276</v>
      </c>
      <c r="AC154">
        <v>0.17410163103408099</v>
      </c>
      <c r="AD154">
        <v>0.13212961864410999</v>
      </c>
      <c r="AE154">
        <v>0.113429238866598</v>
      </c>
      <c r="AF154">
        <v>0.14463639347038099</v>
      </c>
      <c r="AG154">
        <v>0.13399563454993901</v>
      </c>
      <c r="AH154">
        <v>0.11886177510938201</v>
      </c>
      <c r="AI154">
        <v>0.127491964405818</v>
      </c>
      <c r="AJ154">
        <v>0.116721265948143</v>
      </c>
      <c r="AK154">
        <v>0.108385724603052</v>
      </c>
      <c r="AL154">
        <v>0.131293205393269</v>
      </c>
      <c r="AM154">
        <v>0.11952731292831099</v>
      </c>
      <c r="AN154">
        <v>0.123912339422979</v>
      </c>
      <c r="AO154">
        <v>0.12619013889924299</v>
      </c>
      <c r="AP154">
        <v>0.14025631370671399</v>
      </c>
      <c r="AQ154">
        <v>0.114838437511216</v>
      </c>
      <c r="AR154">
        <v>0.14463639347038099</v>
      </c>
      <c r="AS154">
        <v>0.101009453044025</v>
      </c>
      <c r="AT154">
        <v>0.110848943480575</v>
      </c>
      <c r="AU154">
        <v>0.13040484478618999</v>
      </c>
      <c r="AV154">
        <v>0.11433939727898899</v>
      </c>
      <c r="AW154" t="s">
        <v>238</v>
      </c>
    </row>
    <row r="155" spans="1:49" ht="12.75">
      <c r="A155" t="s">
        <v>240</v>
      </c>
      <c r="B155" t="s">
        <v>29</v>
      </c>
      <c r="C155" t="s">
        <v>50</v>
      </c>
      <c r="D155" t="s">
        <v>238</v>
      </c>
      <c r="E155" t="s">
        <v>238</v>
      </c>
      <c r="F155" t="s">
        <v>202</v>
      </c>
      <c r="G155" t="s">
        <v>237</v>
      </c>
      <c r="H155" t="s">
        <v>238</v>
      </c>
      <c r="I155" t="s">
        <v>238</v>
      </c>
      <c r="J155" t="s">
        <v>238</v>
      </c>
      <c r="K155" t="s">
        <v>238</v>
      </c>
      <c r="L155">
        <v>0.132740332798573</v>
      </c>
      <c r="M155">
        <v>0.13274033134472199</v>
      </c>
      <c r="N155">
        <v>0.132740329079821</v>
      </c>
      <c r="O155">
        <v>0.13274033134472199</v>
      </c>
      <c r="P155">
        <v>0.13274033143188699</v>
      </c>
      <c r="Q155">
        <v>0.13274033134472199</v>
      </c>
      <c r="R155">
        <v>0.132740330622275</v>
      </c>
      <c r="S155">
        <v>0.13274033280153699</v>
      </c>
      <c r="T155">
        <v>0.13274033134472199</v>
      </c>
      <c r="U155">
        <v>0.13274033236171401</v>
      </c>
      <c r="V155">
        <v>0.13274033268186899</v>
      </c>
      <c r="W155">
        <v>0.132740332798573</v>
      </c>
      <c r="X155">
        <v>0.13274033304177199</v>
      </c>
      <c r="Y155">
        <v>0.13274032890759799</v>
      </c>
      <c r="Z155">
        <v>0.132740330015402</v>
      </c>
      <c r="AA155">
        <v>0.132740329079821</v>
      </c>
      <c r="AB155">
        <v>0.13274032865624</v>
      </c>
      <c r="AC155">
        <v>0.13274033483890499</v>
      </c>
      <c r="AD155">
        <v>0.13274032959922399</v>
      </c>
      <c r="AE155">
        <v>0.13274033194228499</v>
      </c>
      <c r="AF155">
        <v>0.132740329079821</v>
      </c>
      <c r="AG155">
        <v>0.132740332323141</v>
      </c>
      <c r="AH155">
        <v>0.13274033145288699</v>
      </c>
      <c r="AI155">
        <v>0.13274033178528399</v>
      </c>
      <c r="AJ155">
        <v>0.132740332798573</v>
      </c>
      <c r="AK155">
        <v>0.13274033296643101</v>
      </c>
      <c r="AL155">
        <v>0.13274033134472199</v>
      </c>
      <c r="AM155">
        <v>0.13274033215036801</v>
      </c>
      <c r="AN155">
        <v>0.13274033034493299</v>
      </c>
      <c r="AO155">
        <v>0.132740330241611</v>
      </c>
      <c r="AP155">
        <v>0.13274033134472199</v>
      </c>
      <c r="AQ155">
        <v>0.132740331352457</v>
      </c>
      <c r="AR155">
        <v>0.132740329079821</v>
      </c>
      <c r="AS155">
        <v>0.13274033086054701</v>
      </c>
      <c r="AT155">
        <v>0.13274033165865001</v>
      </c>
      <c r="AU155">
        <v>0.13274033134472199</v>
      </c>
      <c r="AV155">
        <v>0.132740333589635</v>
      </c>
      <c r="AW155" t="s">
        <v>238</v>
      </c>
    </row>
    <row r="156" spans="1:49" ht="12.75">
      <c r="A156" t="s">
        <v>240</v>
      </c>
      <c r="B156" t="s">
        <v>29</v>
      </c>
      <c r="C156" t="s">
        <v>71</v>
      </c>
      <c r="D156" t="s">
        <v>238</v>
      </c>
      <c r="E156" t="s">
        <v>238</v>
      </c>
      <c r="F156" t="s">
        <v>202</v>
      </c>
      <c r="G156" t="s">
        <v>237</v>
      </c>
      <c r="H156" t="s">
        <v>238</v>
      </c>
      <c r="I156" t="s">
        <v>238</v>
      </c>
      <c r="J156" t="s">
        <v>238</v>
      </c>
      <c r="K156" t="s">
        <v>238</v>
      </c>
      <c r="L156">
        <v>0.19590520158410299</v>
      </c>
      <c r="M156">
        <v>0.19590520158410299</v>
      </c>
      <c r="N156">
        <v>0.19590520158410299</v>
      </c>
      <c r="O156">
        <v>0.19590520158410299</v>
      </c>
      <c r="P156">
        <v>0.19590520158410299</v>
      </c>
      <c r="Q156">
        <v>0.201033948201707</v>
      </c>
      <c r="R156">
        <v>0.19590520158410299</v>
      </c>
      <c r="S156">
        <v>0.19590520158410299</v>
      </c>
      <c r="T156">
        <v>0.20155494551717101</v>
      </c>
      <c r="U156">
        <v>0.19590520158410299</v>
      </c>
      <c r="V156">
        <v>0.19590520158410299</v>
      </c>
      <c r="W156">
        <v>0.19590520158410299</v>
      </c>
      <c r="X156">
        <v>0.19590520158410299</v>
      </c>
      <c r="Y156">
        <v>0.19590520158410299</v>
      </c>
      <c r="Z156">
        <v>0.19590520158410299</v>
      </c>
      <c r="AA156">
        <v>0.19590520158410299</v>
      </c>
      <c r="AB156">
        <v>0.19590520158410299</v>
      </c>
      <c r="AC156">
        <v>0.19590520158410299</v>
      </c>
      <c r="AD156">
        <v>0.19590520158410299</v>
      </c>
      <c r="AE156">
        <v>0.19590520158410299</v>
      </c>
      <c r="AF156">
        <v>0.19590520158410299</v>
      </c>
      <c r="AG156">
        <v>0.19590520158410299</v>
      </c>
      <c r="AH156">
        <v>0.19590520158410299</v>
      </c>
      <c r="AI156">
        <v>0.19590520158410299</v>
      </c>
      <c r="AJ156">
        <v>0.19590520158410299</v>
      </c>
      <c r="AK156">
        <v>0.19590520158410299</v>
      </c>
      <c r="AL156">
        <v>0.19590520158410299</v>
      </c>
      <c r="AM156">
        <v>0.18512671103343101</v>
      </c>
      <c r="AN156">
        <v>0.19590520158410299</v>
      </c>
      <c r="AO156">
        <v>0.19590520158410299</v>
      </c>
      <c r="AP156">
        <v>0.19590520158410299</v>
      </c>
      <c r="AQ156">
        <v>0.19590520158410299</v>
      </c>
      <c r="AR156">
        <v>0.19590520158410299</v>
      </c>
      <c r="AS156">
        <v>0.19590520158410299</v>
      </c>
      <c r="AT156">
        <v>0.19590520158410299</v>
      </c>
      <c r="AU156">
        <v>0.19590520158410299</v>
      </c>
      <c r="AV156">
        <v>0.19590520158410299</v>
      </c>
      <c r="AW156" t="s">
        <v>238</v>
      </c>
    </row>
    <row r="157" spans="1:49" ht="12.75">
      <c r="A157" t="s">
        <v>240</v>
      </c>
      <c r="B157" t="s">
        <v>29</v>
      </c>
      <c r="C157" t="s">
        <v>205</v>
      </c>
      <c r="D157" t="s">
        <v>238</v>
      </c>
      <c r="E157" t="s">
        <v>238</v>
      </c>
      <c r="F157" t="s">
        <v>202</v>
      </c>
      <c r="G157" t="s">
        <v>237</v>
      </c>
      <c r="H157" t="s">
        <v>238</v>
      </c>
      <c r="I157" t="s">
        <v>238</v>
      </c>
      <c r="J157" t="s">
        <v>238</v>
      </c>
      <c r="K157" t="s">
        <v>238</v>
      </c>
      <c r="L157">
        <v>0.28530028770007299</v>
      </c>
      <c r="M157">
        <v>0.27607800722082898</v>
      </c>
      <c r="N157">
        <v>0.30442078071888801</v>
      </c>
      <c r="O157">
        <v>0.26373111002703598</v>
      </c>
      <c r="P157">
        <v>0.27405218846524698</v>
      </c>
      <c r="Q157">
        <v>0.263852616088118</v>
      </c>
      <c r="R157">
        <v>0.28261437103842102</v>
      </c>
      <c r="S157">
        <v>0.28152640208186502</v>
      </c>
      <c r="T157">
        <v>0.276151674033561</v>
      </c>
      <c r="U157">
        <v>0.34325607958311299</v>
      </c>
      <c r="V157">
        <v>0.30007660684610199</v>
      </c>
      <c r="W157">
        <v>0.28530028770007299</v>
      </c>
      <c r="X157">
        <v>0.260419905506247</v>
      </c>
      <c r="Y157">
        <v>0.29501642937591399</v>
      </c>
      <c r="Z157">
        <v>0.29836198041588902</v>
      </c>
      <c r="AA157">
        <v>0.30442078071888801</v>
      </c>
      <c r="AB157">
        <v>0.29353528190740003</v>
      </c>
      <c r="AC157">
        <v>0.284071716210475</v>
      </c>
      <c r="AD157">
        <v>0.28038592569264298</v>
      </c>
      <c r="AE157">
        <v>0.30777259609093999</v>
      </c>
      <c r="AF157">
        <v>0.30442078071888801</v>
      </c>
      <c r="AG157">
        <v>0.26583414397588701</v>
      </c>
      <c r="AH157">
        <v>0.26136750862705599</v>
      </c>
      <c r="AI157">
        <v>0.33873081073968803</v>
      </c>
      <c r="AJ157">
        <v>0.28530028770007299</v>
      </c>
      <c r="AK157">
        <v>0.29587930793622502</v>
      </c>
      <c r="AL157">
        <v>0.29427295083614502</v>
      </c>
      <c r="AM157">
        <v>0.25530972339468899</v>
      </c>
      <c r="AN157">
        <v>0.30207090554948601</v>
      </c>
      <c r="AO157">
        <v>0.29287270250473402</v>
      </c>
      <c r="AP157">
        <v>0.26381358585829001</v>
      </c>
      <c r="AQ157">
        <v>0.27733247347114598</v>
      </c>
      <c r="AR157">
        <v>0.30442078071888801</v>
      </c>
      <c r="AS157">
        <v>0.31405752375711199</v>
      </c>
      <c r="AT157">
        <v>0.30659073260956099</v>
      </c>
      <c r="AU157">
        <v>0.29346495783648302</v>
      </c>
      <c r="AV157">
        <v>0.29880129206297701</v>
      </c>
      <c r="AW157" t="s">
        <v>238</v>
      </c>
    </row>
    <row r="158" spans="1:49" ht="12.75">
      <c r="A158" t="s">
        <v>240</v>
      </c>
      <c r="B158" t="s">
        <v>29</v>
      </c>
      <c r="C158" t="s">
        <v>208</v>
      </c>
      <c r="D158" t="s">
        <v>238</v>
      </c>
      <c r="E158" t="s">
        <v>238</v>
      </c>
      <c r="F158" t="s">
        <v>202</v>
      </c>
      <c r="G158" t="s">
        <v>237</v>
      </c>
      <c r="H158" t="s">
        <v>238</v>
      </c>
      <c r="I158" t="s">
        <v>238</v>
      </c>
      <c r="J158" t="s">
        <v>238</v>
      </c>
      <c r="K158" t="s">
        <v>238</v>
      </c>
      <c r="L158">
        <v>0.20672091711649401</v>
      </c>
      <c r="M158">
        <v>0.23085306861781801</v>
      </c>
      <c r="N158">
        <v>0.24121002964204599</v>
      </c>
      <c r="O158">
        <v>0.22389667370097999</v>
      </c>
      <c r="P158">
        <v>0.19843802578681799</v>
      </c>
      <c r="Q158">
        <v>0.22378876804671</v>
      </c>
      <c r="R158">
        <v>0.206290289052558</v>
      </c>
      <c r="S158">
        <v>0.23478593428678801</v>
      </c>
      <c r="T158">
        <v>0.21907325466827701</v>
      </c>
      <c r="U158">
        <v>0.25399193257367297</v>
      </c>
      <c r="V158">
        <v>0.26067792413551999</v>
      </c>
      <c r="W158">
        <v>0.20672091711649401</v>
      </c>
      <c r="X158">
        <v>0.25542797205033302</v>
      </c>
      <c r="Y158">
        <v>0.240916245751196</v>
      </c>
      <c r="Z158">
        <v>0.238834836382566</v>
      </c>
      <c r="AA158">
        <v>0.24121002964204599</v>
      </c>
      <c r="AB158">
        <v>0.255604985969833</v>
      </c>
      <c r="AC158">
        <v>0.204213248102036</v>
      </c>
      <c r="AD158">
        <v>0.20824947035015201</v>
      </c>
      <c r="AE158">
        <v>0.24658039096319201</v>
      </c>
      <c r="AF158">
        <v>0.24121002964204599</v>
      </c>
      <c r="AG158">
        <v>0.208861707868195</v>
      </c>
      <c r="AH158">
        <v>0.219925956692754</v>
      </c>
      <c r="AI158">
        <v>0.24966681444230401</v>
      </c>
      <c r="AJ158">
        <v>0.20672091711649401</v>
      </c>
      <c r="AK158">
        <v>0.248865849380247</v>
      </c>
      <c r="AL158">
        <v>0.221238278896112</v>
      </c>
      <c r="AM158">
        <v>0.20783416507324201</v>
      </c>
      <c r="AN158">
        <v>0.23488290223038</v>
      </c>
      <c r="AO158">
        <v>0.22963511582382101</v>
      </c>
      <c r="AP158">
        <v>0.25744571379536801</v>
      </c>
      <c r="AQ158">
        <v>0.218901913564027</v>
      </c>
      <c r="AR158">
        <v>0.24121002964204599</v>
      </c>
      <c r="AS158">
        <v>0.24488618769385201</v>
      </c>
      <c r="AT158">
        <v>0.23270651946024801</v>
      </c>
      <c r="AU158">
        <v>0.24030829229325601</v>
      </c>
      <c r="AV158">
        <v>0.25494022134887701</v>
      </c>
      <c r="AW158" t="s">
        <v>238</v>
      </c>
    </row>
    <row r="159" spans="1:49" ht="12.75">
      <c r="A159" t="s">
        <v>240</v>
      </c>
      <c r="B159" t="s">
        <v>29</v>
      </c>
      <c r="C159" t="s">
        <v>207</v>
      </c>
      <c r="D159" t="s">
        <v>238</v>
      </c>
      <c r="E159" t="s">
        <v>238</v>
      </c>
      <c r="F159" t="s">
        <v>202</v>
      </c>
      <c r="G159" t="s">
        <v>237</v>
      </c>
      <c r="H159" t="s">
        <v>238</v>
      </c>
      <c r="I159" t="s">
        <v>238</v>
      </c>
      <c r="J159" t="s">
        <v>238</v>
      </c>
      <c r="K159" t="s">
        <v>238</v>
      </c>
      <c r="L159">
        <v>0.226178244331562</v>
      </c>
      <c r="M159">
        <v>0.226178244331562</v>
      </c>
      <c r="N159">
        <v>0.226178244331562</v>
      </c>
      <c r="O159">
        <v>0.226178244331562</v>
      </c>
      <c r="P159">
        <v>0.226178244331562</v>
      </c>
      <c r="Q159">
        <v>0.226178244331562</v>
      </c>
      <c r="R159">
        <v>0.226178244331562</v>
      </c>
      <c r="S159">
        <v>0.226178244331562</v>
      </c>
      <c r="T159">
        <v>0.20776782691618501</v>
      </c>
      <c r="U159">
        <v>0.24536740821942299</v>
      </c>
      <c r="V159">
        <v>0.226178244331562</v>
      </c>
      <c r="W159">
        <v>0.226178244331562</v>
      </c>
      <c r="X159">
        <v>0.226178244331562</v>
      </c>
      <c r="Y159">
        <v>0.226178244331562</v>
      </c>
      <c r="Z159">
        <v>0.226178244331562</v>
      </c>
      <c r="AA159">
        <v>0.226178244331562</v>
      </c>
      <c r="AB159">
        <v>0.226178244331562</v>
      </c>
      <c r="AC159">
        <v>0.226178244331562</v>
      </c>
      <c r="AD159">
        <v>0.226178244331562</v>
      </c>
      <c r="AE159">
        <v>0.226178244331562</v>
      </c>
      <c r="AF159">
        <v>0.226178244331562</v>
      </c>
      <c r="AG159">
        <v>0.226178244331562</v>
      </c>
      <c r="AH159">
        <v>0.226178244331562</v>
      </c>
      <c r="AI159">
        <v>0.23657049838102201</v>
      </c>
      <c r="AJ159">
        <v>0.226178244331562</v>
      </c>
      <c r="AK159">
        <v>0.226178244331562</v>
      </c>
      <c r="AL159">
        <v>0.226178244331562</v>
      </c>
      <c r="AM159">
        <v>0.192931910247019</v>
      </c>
      <c r="AN159">
        <v>0.226178244331562</v>
      </c>
      <c r="AO159">
        <v>0.21820368088498501</v>
      </c>
      <c r="AP159">
        <v>0.24202019834538499</v>
      </c>
      <c r="AQ159">
        <v>0.226178244331562</v>
      </c>
      <c r="AR159">
        <v>0.226178244331562</v>
      </c>
      <c r="AS159">
        <v>0.226178244331562</v>
      </c>
      <c r="AT159">
        <v>0.226178244331562</v>
      </c>
      <c r="AU159">
        <v>0.226178244331562</v>
      </c>
      <c r="AV159">
        <v>0.240386187326915</v>
      </c>
      <c r="AW159" t="s">
        <v>238</v>
      </c>
    </row>
    <row r="160" spans="1:49" ht="12.75">
      <c r="A160" t="s">
        <v>240</v>
      </c>
      <c r="B160" t="s">
        <v>29</v>
      </c>
      <c r="C160" t="s">
        <v>206</v>
      </c>
      <c r="D160" t="s">
        <v>238</v>
      </c>
      <c r="E160" t="s">
        <v>238</v>
      </c>
      <c r="F160" t="s">
        <v>202</v>
      </c>
      <c r="G160" t="s">
        <v>237</v>
      </c>
      <c r="H160" t="s">
        <v>238</v>
      </c>
      <c r="I160" t="s">
        <v>238</v>
      </c>
      <c r="J160" t="s">
        <v>238</v>
      </c>
      <c r="K160" t="s">
        <v>238</v>
      </c>
      <c r="L160">
        <v>1.04407952057914</v>
      </c>
      <c r="M160">
        <v>1.0926091864909799</v>
      </c>
      <c r="N160">
        <v>1.1118936673731299</v>
      </c>
      <c r="O160">
        <v>1.04008416766686</v>
      </c>
      <c r="P160">
        <v>1.0809728679292001</v>
      </c>
      <c r="Q160">
        <v>1.02425023016475</v>
      </c>
      <c r="R160">
        <v>1.0489902907589299</v>
      </c>
      <c r="S160">
        <v>1.0060849834952801</v>
      </c>
      <c r="T160">
        <v>1.00082109353235</v>
      </c>
      <c r="U160">
        <v>1.07619552705011</v>
      </c>
      <c r="V160">
        <v>1.0700032998865801</v>
      </c>
      <c r="W160">
        <v>1.04407952057914</v>
      </c>
      <c r="X160">
        <v>1.0620986964299399</v>
      </c>
      <c r="Y160">
        <v>1.06861504462526</v>
      </c>
      <c r="Z160">
        <v>1.0962915869083101</v>
      </c>
      <c r="AA160">
        <v>1.1118936673731299</v>
      </c>
      <c r="AB160">
        <v>1.0853198828822199</v>
      </c>
      <c r="AC160">
        <v>1.1296479504677801</v>
      </c>
      <c r="AD160">
        <v>1.0700032998865801</v>
      </c>
      <c r="AE160">
        <v>1.0091866506112199</v>
      </c>
      <c r="AF160">
        <v>1.1118936673731299</v>
      </c>
      <c r="AG160">
        <v>0.94581153754626901</v>
      </c>
      <c r="AH160">
        <v>1.03408804019147</v>
      </c>
      <c r="AI160">
        <v>1.1421317411434799</v>
      </c>
      <c r="AJ160">
        <v>1.04407952057914</v>
      </c>
      <c r="AK160">
        <v>1.0700032998865801</v>
      </c>
      <c r="AL160">
        <v>1.0409873884962799</v>
      </c>
      <c r="AM160">
        <v>1.0954418262893</v>
      </c>
      <c r="AN160">
        <v>1.07499559239017</v>
      </c>
      <c r="AO160">
        <v>1.0742847621741101</v>
      </c>
      <c r="AP160">
        <v>1.06544825294274</v>
      </c>
      <c r="AQ160">
        <v>1.1215290869288499</v>
      </c>
      <c r="AR160">
        <v>1.1118936673731299</v>
      </c>
      <c r="AS160">
        <v>1.1144086519030401</v>
      </c>
      <c r="AT160">
        <v>1.09058159604954</v>
      </c>
      <c r="AU160">
        <v>1.0872236728367</v>
      </c>
      <c r="AV160">
        <v>1.0921986570087301</v>
      </c>
      <c r="AW160" t="s">
        <v>238</v>
      </c>
    </row>
    <row r="161" spans="1:49" ht="12.75">
      <c r="A161" t="s">
        <v>240</v>
      </c>
      <c r="B161" t="s">
        <v>29</v>
      </c>
      <c r="C161" t="s">
        <v>204</v>
      </c>
      <c r="D161" t="s">
        <v>238</v>
      </c>
      <c r="E161" t="s">
        <v>238</v>
      </c>
      <c r="F161" t="s">
        <v>202</v>
      </c>
      <c r="G161" t="s">
        <v>237</v>
      </c>
      <c r="H161" t="s">
        <v>238</v>
      </c>
      <c r="I161" t="s">
        <v>238</v>
      </c>
      <c r="J161" t="s">
        <v>238</v>
      </c>
      <c r="K161" t="s">
        <v>238</v>
      </c>
      <c r="L161">
        <v>0.66157845747139299</v>
      </c>
      <c r="M161">
        <v>0.66228902854446503</v>
      </c>
      <c r="N161">
        <v>0.62332167431113294</v>
      </c>
      <c r="O161">
        <v>0.62115282413403095</v>
      </c>
      <c r="P161">
        <v>0.62135946642728801</v>
      </c>
      <c r="Q161">
        <v>0.62519225563357095</v>
      </c>
      <c r="R161">
        <v>0.67343536932501602</v>
      </c>
      <c r="S161">
        <v>0.63916072257318401</v>
      </c>
      <c r="T161">
        <v>0.65855006849275399</v>
      </c>
      <c r="U161">
        <v>0.68668376506741302</v>
      </c>
      <c r="V161">
        <v>0.63182255673669196</v>
      </c>
      <c r="W161">
        <v>0.66157845747139299</v>
      </c>
      <c r="X161">
        <v>0.61177499726832396</v>
      </c>
      <c r="Y161">
        <v>0.63929780923731505</v>
      </c>
      <c r="Z161">
        <v>0.664028999866633</v>
      </c>
      <c r="AA161">
        <v>0.62332167431113294</v>
      </c>
      <c r="AB161">
        <v>0.69449288880836701</v>
      </c>
      <c r="AC161">
        <v>0.58797955123031997</v>
      </c>
      <c r="AD161">
        <v>0.58938033841892101</v>
      </c>
      <c r="AE161">
        <v>0.70408081539127998</v>
      </c>
      <c r="AF161">
        <v>0.62332167431113294</v>
      </c>
      <c r="AG161">
        <v>0.60559248221631101</v>
      </c>
      <c r="AH161">
        <v>0.60080446789406206</v>
      </c>
      <c r="AI161">
        <v>0.69047268099483095</v>
      </c>
      <c r="AJ161">
        <v>0.66157845747139299</v>
      </c>
      <c r="AK161">
        <v>0.61913698461467603</v>
      </c>
      <c r="AL161">
        <v>0.663635556629942</v>
      </c>
      <c r="AM161">
        <v>0.55242465994008505</v>
      </c>
      <c r="AN161">
        <v>0.66809808446014296</v>
      </c>
      <c r="AO161">
        <v>0.70023054498904502</v>
      </c>
      <c r="AP161">
        <v>0.54531145867043795</v>
      </c>
      <c r="AQ161">
        <v>0.64459762948690702</v>
      </c>
      <c r="AR161">
        <v>0.62332167431113294</v>
      </c>
      <c r="AS161">
        <v>0.67951552245869196</v>
      </c>
      <c r="AT161">
        <v>0.62391660117547698</v>
      </c>
      <c r="AU161">
        <v>0.64926878656446996</v>
      </c>
      <c r="AV161">
        <v>0.68827141846571804</v>
      </c>
      <c r="AW161" t="s">
        <v>238</v>
      </c>
    </row>
    <row r="162" spans="1:49" ht="12.75">
      <c r="A162" t="s">
        <v>240</v>
      </c>
      <c r="B162" t="s">
        <v>29</v>
      </c>
      <c r="C162" t="s">
        <v>201</v>
      </c>
      <c r="D162" t="s">
        <v>238</v>
      </c>
      <c r="E162" t="s">
        <v>238</v>
      </c>
      <c r="F162" t="s">
        <v>202</v>
      </c>
      <c r="G162" t="s">
        <v>237</v>
      </c>
      <c r="H162" t="s">
        <v>238</v>
      </c>
      <c r="I162" t="s">
        <v>238</v>
      </c>
      <c r="J162" t="s">
        <v>238</v>
      </c>
      <c r="K162" t="s">
        <v>238</v>
      </c>
      <c r="L162">
        <v>3.78465476610041</v>
      </c>
      <c r="M162">
        <v>1.6329350433318</v>
      </c>
      <c r="N162">
        <v>2.3413537593197198</v>
      </c>
      <c r="O162">
        <v>2.8815491517987799</v>
      </c>
      <c r="P162">
        <v>2.8119783752011398</v>
      </c>
      <c r="Q162">
        <v>2.1261905567694201</v>
      </c>
      <c r="R162">
        <v>3.78465476610041</v>
      </c>
      <c r="S162">
        <v>2.5755527677619701</v>
      </c>
      <c r="T162">
        <v>2.1261905567694201</v>
      </c>
      <c r="U162">
        <v>2.8070036805702201</v>
      </c>
      <c r="V162">
        <v>4.8370710587135699</v>
      </c>
      <c r="W162">
        <v>3.78465476610041</v>
      </c>
      <c r="X162">
        <v>1.1953807965524801</v>
      </c>
      <c r="Y162">
        <v>2.9289386840426399</v>
      </c>
      <c r="Z162">
        <v>1.79518626524491</v>
      </c>
      <c r="AA162">
        <v>2.3413537593197198</v>
      </c>
      <c r="AB162">
        <v>3.1042957715570298</v>
      </c>
      <c r="AC162">
        <v>2.67268223593195</v>
      </c>
      <c r="AD162">
        <v>2.9289386840426399</v>
      </c>
      <c r="AE162">
        <v>1.4771971129305701</v>
      </c>
      <c r="AF162">
        <v>2.3413537593197198</v>
      </c>
      <c r="AG162">
        <v>5.0842829645674801</v>
      </c>
      <c r="AH162">
        <v>1.37070805579523</v>
      </c>
      <c r="AI162">
        <v>6.4468605375145902</v>
      </c>
      <c r="AJ162">
        <v>3.78465476610041</v>
      </c>
      <c r="AK162">
        <v>2.3413537593197198</v>
      </c>
      <c r="AL162">
        <v>3.78465476610041</v>
      </c>
      <c r="AM162">
        <v>3.8628381968993999</v>
      </c>
      <c r="AN162">
        <v>2.9289386840426399</v>
      </c>
      <c r="AO162">
        <v>3.9128459998698499</v>
      </c>
      <c r="AP162">
        <v>2.5353321968992999</v>
      </c>
      <c r="AQ162">
        <v>2.74673961869743</v>
      </c>
      <c r="AR162">
        <v>2.3413537593197198</v>
      </c>
      <c r="AS162">
        <v>2.85678010930833</v>
      </c>
      <c r="AT162">
        <v>2.5285479888666602</v>
      </c>
      <c r="AU162">
        <v>2.9674086137932201</v>
      </c>
      <c r="AV162">
        <v>4.0217023757756403</v>
      </c>
      <c r="AW162" t="s">
        <v>238</v>
      </c>
    </row>
    <row r="163" spans="1:49" ht="12.75">
      <c r="A163" t="s">
        <v>240</v>
      </c>
      <c r="B163" t="s">
        <v>29</v>
      </c>
      <c r="C163" t="s">
        <v>200</v>
      </c>
      <c r="D163" t="s">
        <v>238</v>
      </c>
      <c r="E163" t="s">
        <v>238</v>
      </c>
      <c r="F163" t="s">
        <v>202</v>
      </c>
      <c r="G163" t="s">
        <v>237</v>
      </c>
      <c r="H163" t="s">
        <v>238</v>
      </c>
      <c r="I163" t="s">
        <v>238</v>
      </c>
      <c r="J163" t="s">
        <v>238</v>
      </c>
      <c r="K163" t="s">
        <v>238</v>
      </c>
      <c r="L163">
        <v>8.9266542365621504</v>
      </c>
      <c r="M163">
        <v>4.0445924688402002</v>
      </c>
      <c r="N163">
        <v>6.6862754654571104</v>
      </c>
      <c r="O163">
        <v>7.5822325027447501</v>
      </c>
      <c r="P163">
        <v>7.3197084710461704</v>
      </c>
      <c r="Q163">
        <v>5.7252969655256196</v>
      </c>
      <c r="R163">
        <v>8.9266542365621504</v>
      </c>
      <c r="S163">
        <v>6.37255405023165</v>
      </c>
      <c r="T163">
        <v>5.7252969655256196</v>
      </c>
      <c r="U163">
        <v>7.7590345516623804</v>
      </c>
      <c r="V163">
        <v>7.4350999025258098</v>
      </c>
      <c r="W163">
        <v>8.9266542365621504</v>
      </c>
      <c r="X163">
        <v>3.0940781560137598</v>
      </c>
      <c r="Y163">
        <v>8.3284177965425705</v>
      </c>
      <c r="Z163">
        <v>4.9141994868778598</v>
      </c>
      <c r="AA163">
        <v>6.6862754654571104</v>
      </c>
      <c r="AB163">
        <v>7.8803969977790498</v>
      </c>
      <c r="AC163">
        <v>7.4350999025258098</v>
      </c>
      <c r="AD163">
        <v>8.3284177965425705</v>
      </c>
      <c r="AE163">
        <v>3.6933977936560298</v>
      </c>
      <c r="AF163">
        <v>6.6862754654571104</v>
      </c>
      <c r="AG163">
        <v>7.4350999025258098</v>
      </c>
      <c r="AH163">
        <v>3.4655239862829399</v>
      </c>
      <c r="AI163">
        <v>7.4350999025258098</v>
      </c>
      <c r="AJ163">
        <v>8.9266542365621504</v>
      </c>
      <c r="AK163">
        <v>6.6862754654571104</v>
      </c>
      <c r="AL163">
        <v>8.9266542365621504</v>
      </c>
      <c r="AM163">
        <v>10.6567202460497</v>
      </c>
      <c r="AN163">
        <v>8.3284177965425705</v>
      </c>
      <c r="AO163">
        <v>10.843178690949999</v>
      </c>
      <c r="AP163">
        <v>7.4601847368482197</v>
      </c>
      <c r="AQ163">
        <v>7.9200136408570101</v>
      </c>
      <c r="AR163">
        <v>6.6862754654571104</v>
      </c>
      <c r="AS163">
        <v>7.6521888184174296</v>
      </c>
      <c r="AT163">
        <v>7.6142099742370499</v>
      </c>
      <c r="AU163">
        <v>10.653106581443501</v>
      </c>
      <c r="AV163">
        <v>11.932479798638701</v>
      </c>
      <c r="AW163" t="s">
        <v>238</v>
      </c>
    </row>
    <row r="164" spans="1:49" ht="12.75">
      <c r="A164" t="s">
        <v>240</v>
      </c>
      <c r="B164" t="s">
        <v>29</v>
      </c>
      <c r="C164" t="s">
        <v>199</v>
      </c>
      <c r="D164" t="s">
        <v>238</v>
      </c>
      <c r="E164" t="s">
        <v>238</v>
      </c>
      <c r="F164" t="s">
        <v>202</v>
      </c>
      <c r="G164" t="s">
        <v>237</v>
      </c>
      <c r="H164" t="s">
        <v>238</v>
      </c>
      <c r="I164" t="s">
        <v>238</v>
      </c>
      <c r="J164" t="s">
        <v>238</v>
      </c>
      <c r="K164" t="s">
        <v>238</v>
      </c>
      <c r="L164">
        <v>0.97355985989246396</v>
      </c>
      <c r="M164">
        <v>0.81137362563056203</v>
      </c>
      <c r="N164">
        <v>0.91533720538881502</v>
      </c>
      <c r="O164">
        <v>1.0123218618433001</v>
      </c>
      <c r="P164">
        <v>1.27346642048685</v>
      </c>
      <c r="Q164">
        <v>0.78025748135999295</v>
      </c>
      <c r="R164">
        <v>0.97355985989246396</v>
      </c>
      <c r="S164">
        <v>0.73769853735657298</v>
      </c>
      <c r="T164">
        <v>0.78025748135999295</v>
      </c>
      <c r="U164">
        <v>1.14629453110492</v>
      </c>
      <c r="V164">
        <v>0.573042976191662</v>
      </c>
      <c r="W164">
        <v>0.97355985989246396</v>
      </c>
      <c r="X164">
        <v>0.42916952243657602</v>
      </c>
      <c r="Y164">
        <v>1.00036199998741</v>
      </c>
      <c r="Z164">
        <v>0.79285512447286499</v>
      </c>
      <c r="AA164">
        <v>0.91533720538881502</v>
      </c>
      <c r="AB164">
        <v>1.1366769627464399</v>
      </c>
      <c r="AC164">
        <v>0.86347723292651701</v>
      </c>
      <c r="AD164">
        <v>1.00036199998741</v>
      </c>
      <c r="AE164">
        <v>0.81984226064527399</v>
      </c>
      <c r="AF164">
        <v>0.91533720538881502</v>
      </c>
      <c r="AG164">
        <v>0.603907354334835</v>
      </c>
      <c r="AH164">
        <v>0.60807186062982399</v>
      </c>
      <c r="AI164">
        <v>0.90414895662916706</v>
      </c>
      <c r="AJ164">
        <v>0.97355985989246396</v>
      </c>
      <c r="AK164">
        <v>0.91533720538881502</v>
      </c>
      <c r="AL164">
        <v>0.97355985989246396</v>
      </c>
      <c r="AM164">
        <v>1.3740129540761199</v>
      </c>
      <c r="AN164">
        <v>1.00036199998741</v>
      </c>
      <c r="AO164">
        <v>1.38852861321823</v>
      </c>
      <c r="AP164">
        <v>1.27793641197648</v>
      </c>
      <c r="AQ164">
        <v>0.74863034153162</v>
      </c>
      <c r="AR164">
        <v>0.91533720538881502</v>
      </c>
      <c r="AS164">
        <v>0.93006865074656897</v>
      </c>
      <c r="AT164">
        <v>0.85969098798793597</v>
      </c>
      <c r="AU164">
        <v>0.93006865074656897</v>
      </c>
      <c r="AV164">
        <v>1.18516995081553</v>
      </c>
      <c r="AW164" t="s">
        <v>238</v>
      </c>
    </row>
    <row r="165" spans="1:49" ht="12.75">
      <c r="A165" t="s">
        <v>240</v>
      </c>
      <c r="B165" t="s">
        <v>29</v>
      </c>
      <c r="C165" t="s">
        <v>198</v>
      </c>
      <c r="D165" t="s">
        <v>238</v>
      </c>
      <c r="E165" t="s">
        <v>238</v>
      </c>
      <c r="F165" t="s">
        <v>202</v>
      </c>
      <c r="G165" t="s">
        <v>237</v>
      </c>
      <c r="H165" t="s">
        <v>238</v>
      </c>
      <c r="I165" t="s">
        <v>238</v>
      </c>
      <c r="J165" t="s">
        <v>238</v>
      </c>
      <c r="K165" t="s">
        <v>238</v>
      </c>
      <c r="L165">
        <v>1.73998237754697</v>
      </c>
      <c r="M165">
        <v>1.3598963820016201</v>
      </c>
      <c r="N165">
        <v>1.8746910931129701</v>
      </c>
      <c r="O165">
        <v>1.80149697409103</v>
      </c>
      <c r="P165">
        <v>2.32270460413711</v>
      </c>
      <c r="Q165">
        <v>1.43120673995403</v>
      </c>
      <c r="R165">
        <v>1.73998237754697</v>
      </c>
      <c r="S165">
        <v>1.2922833793588999</v>
      </c>
      <c r="T165">
        <v>1.43120673995403</v>
      </c>
      <c r="U165">
        <v>2.3440229380779698</v>
      </c>
      <c r="V165">
        <v>1.05752896784242</v>
      </c>
      <c r="W165">
        <v>1.73998237754697</v>
      </c>
      <c r="X165">
        <v>0.95831856885004696</v>
      </c>
      <c r="Y165">
        <v>1.84860683206827</v>
      </c>
      <c r="Z165">
        <v>1.4623659611783</v>
      </c>
      <c r="AA165">
        <v>1.8746910931129701</v>
      </c>
      <c r="AB165">
        <v>2.0285440240435202</v>
      </c>
      <c r="AC165">
        <v>2.4241595115338299</v>
      </c>
      <c r="AD165">
        <v>1.84860683206827</v>
      </c>
      <c r="AE165">
        <v>1.37564514461948</v>
      </c>
      <c r="AF165">
        <v>1.8746910931129701</v>
      </c>
      <c r="AG165">
        <v>0.84718542139535902</v>
      </c>
      <c r="AH165">
        <v>1.0296364338050601</v>
      </c>
      <c r="AI165">
        <v>1.82810804407939</v>
      </c>
      <c r="AJ165">
        <v>1.73998237754697</v>
      </c>
      <c r="AK165">
        <v>1.8746910931129701</v>
      </c>
      <c r="AL165">
        <v>1.73998237754697</v>
      </c>
      <c r="AM165">
        <v>2.4944889767297198</v>
      </c>
      <c r="AN165">
        <v>1.84860683206827</v>
      </c>
      <c r="AO165">
        <v>2.5874255181935002</v>
      </c>
      <c r="AP165">
        <v>2.5230022616640499</v>
      </c>
      <c r="AQ165">
        <v>1.58007398256926</v>
      </c>
      <c r="AR165">
        <v>1.8746910931129701</v>
      </c>
      <c r="AS165">
        <v>1.7344237893747401</v>
      </c>
      <c r="AT165">
        <v>1.79878355915983</v>
      </c>
      <c r="AU165">
        <v>2.2320962271087601</v>
      </c>
      <c r="AV165">
        <v>2.4673222562452501</v>
      </c>
      <c r="AW165" t="s">
        <v>238</v>
      </c>
    </row>
    <row r="166" spans="1:49" ht="12.75">
      <c r="A166" t="s">
        <v>240</v>
      </c>
      <c r="B166" t="s">
        <v>29</v>
      </c>
      <c r="C166" t="s">
        <v>301</v>
      </c>
      <c r="D166" t="s">
        <v>238</v>
      </c>
      <c r="E166" t="s">
        <v>238</v>
      </c>
      <c r="F166" t="s">
        <v>202</v>
      </c>
      <c r="G166" t="s">
        <v>237</v>
      </c>
      <c r="H166" t="s">
        <v>238</v>
      </c>
      <c r="I166" t="s">
        <v>238</v>
      </c>
      <c r="J166" t="s">
        <v>238</v>
      </c>
      <c r="K166" t="s">
        <v>238</v>
      </c>
      <c r="L166">
        <v>3.4212803696093399</v>
      </c>
      <c r="M166">
        <v>3.4212803696093399</v>
      </c>
      <c r="N166">
        <v>3.4212803696093399</v>
      </c>
      <c r="O166">
        <v>3.4575392165452001</v>
      </c>
      <c r="P166">
        <v>3.4212803696093399</v>
      </c>
      <c r="Q166">
        <v>3.1446749389572002</v>
      </c>
      <c r="R166">
        <v>3.4212803696093399</v>
      </c>
      <c r="S166">
        <v>2.92218335580342</v>
      </c>
      <c r="T166">
        <v>3.1446749389572002</v>
      </c>
      <c r="U166">
        <v>3.4212803696093399</v>
      </c>
      <c r="V166">
        <v>3.4212803696093399</v>
      </c>
      <c r="W166">
        <v>3.4212803696093399</v>
      </c>
      <c r="X166">
        <v>1.84588163669965</v>
      </c>
      <c r="Y166">
        <v>3.7701628369328901</v>
      </c>
      <c r="Z166">
        <v>3.6378198916265401</v>
      </c>
      <c r="AA166">
        <v>3.4212803696093399</v>
      </c>
      <c r="AB166">
        <v>3.4212803696093399</v>
      </c>
      <c r="AC166">
        <v>3.4212803696093399</v>
      </c>
      <c r="AD166">
        <v>3.7701628369328901</v>
      </c>
      <c r="AE166">
        <v>2.3597705391350301</v>
      </c>
      <c r="AF166">
        <v>3.4212803696093399</v>
      </c>
      <c r="AG166">
        <v>3.4212803696093399</v>
      </c>
      <c r="AH166">
        <v>3.4212803696093399</v>
      </c>
      <c r="AI166">
        <v>3.4212803696093399</v>
      </c>
      <c r="AJ166">
        <v>3.4212803696093399</v>
      </c>
      <c r="AK166">
        <v>3.4212803696093399</v>
      </c>
      <c r="AL166">
        <v>3.4212803696093399</v>
      </c>
      <c r="AM166">
        <v>4.4146101066077001</v>
      </c>
      <c r="AN166">
        <v>3.7701628369328901</v>
      </c>
      <c r="AO166">
        <v>3.4212803696093399</v>
      </c>
      <c r="AP166">
        <v>4.0194479929769598</v>
      </c>
      <c r="AQ166">
        <v>3.4212803696093399</v>
      </c>
      <c r="AR166">
        <v>3.4212803696093399</v>
      </c>
      <c r="AS166">
        <v>3.3370038808875302</v>
      </c>
      <c r="AT166">
        <v>3.2380795825778899</v>
      </c>
      <c r="AU166">
        <v>3.4212803696093399</v>
      </c>
      <c r="AV166">
        <v>4.4870309525670899</v>
      </c>
      <c r="AW166" t="s">
        <v>238</v>
      </c>
    </row>
    <row r="167" spans="1:49" ht="12.75">
      <c r="A167" t="s">
        <v>240</v>
      </c>
      <c r="B167" t="s">
        <v>29</v>
      </c>
      <c r="C167" t="s">
        <v>302</v>
      </c>
      <c r="D167" t="s">
        <v>238</v>
      </c>
      <c r="E167" t="s">
        <v>238</v>
      </c>
      <c r="F167" t="s">
        <v>202</v>
      </c>
      <c r="G167" t="s">
        <v>237</v>
      </c>
      <c r="H167" t="s">
        <v>238</v>
      </c>
      <c r="I167" t="s">
        <v>238</v>
      </c>
      <c r="J167" t="s">
        <v>238</v>
      </c>
      <c r="K167" t="s">
        <v>238</v>
      </c>
      <c r="L167">
        <v>5.7518614157094703</v>
      </c>
      <c r="M167">
        <v>4.2115584872369496</v>
      </c>
      <c r="N167">
        <v>5.4278909733590996</v>
      </c>
      <c r="O167">
        <v>4.58055345858254</v>
      </c>
      <c r="P167">
        <v>6.0404228927579098</v>
      </c>
      <c r="Q167">
        <v>4.6960433851451802</v>
      </c>
      <c r="R167">
        <v>5.7518614157094703</v>
      </c>
      <c r="S167">
        <v>3.3880372906341498</v>
      </c>
      <c r="T167">
        <v>4.6960433851451802</v>
      </c>
      <c r="U167">
        <v>6.2633703308187902</v>
      </c>
      <c r="V167">
        <v>3.2476802860300702</v>
      </c>
      <c r="W167">
        <v>5.7518614157094703</v>
      </c>
      <c r="X167">
        <v>3.5283295923804499</v>
      </c>
      <c r="Y167">
        <v>5.4692413303914398</v>
      </c>
      <c r="Z167">
        <v>6.1115430081200204</v>
      </c>
      <c r="AA167">
        <v>5.4278909733590996</v>
      </c>
      <c r="AB167">
        <v>6.2770826914191398</v>
      </c>
      <c r="AC167">
        <v>4.3040979839443096</v>
      </c>
      <c r="AD167">
        <v>5.4692413303914398</v>
      </c>
      <c r="AE167">
        <v>4.24757859076656</v>
      </c>
      <c r="AF167">
        <v>5.4278909733590996</v>
      </c>
      <c r="AG167">
        <v>5.3074937039855197</v>
      </c>
      <c r="AH167">
        <v>5.3074937039855197</v>
      </c>
      <c r="AI167">
        <v>4.8199605723275996</v>
      </c>
      <c r="AJ167">
        <v>5.7518614157094703</v>
      </c>
      <c r="AK167">
        <v>5.4278909733590996</v>
      </c>
      <c r="AL167">
        <v>5.7518614157094703</v>
      </c>
      <c r="AM167">
        <v>6.6866526792878096</v>
      </c>
      <c r="AN167">
        <v>5.4692413303914398</v>
      </c>
      <c r="AO167">
        <v>6.8302387992181997</v>
      </c>
      <c r="AP167">
        <v>7.1624821494586302</v>
      </c>
      <c r="AQ167">
        <v>3.9426166406077199</v>
      </c>
      <c r="AR167">
        <v>5.4278909733590996</v>
      </c>
      <c r="AS167">
        <v>4.9832416207055301</v>
      </c>
      <c r="AT167">
        <v>5.3074937039855197</v>
      </c>
      <c r="AU167">
        <v>5.9522580583089502</v>
      </c>
      <c r="AV167">
        <v>6.1785080960947196</v>
      </c>
      <c r="AW167" t="s">
        <v>238</v>
      </c>
    </row>
  </sheetData>
  <pageMargins left="0.7" right="0.7" top="0.75" bottom="0.75" header="0.3" footer="0.3"/>
  <pageSetup orientation="portrait" paperSize="1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O69"/>
  <sheetViews>
    <sheetView workbookViewId="0" topLeftCell="A1">
      <selection pane="topLeft" activeCell="D33" sqref="D33"/>
    </sheetView>
  </sheetViews>
  <sheetFormatPr defaultRowHeight="12.75"/>
  <cols>
    <col min="1" max="1" width="25.5714285714286" customWidth="1"/>
    <col min="2" max="2" width="21.8571428571429" bestFit="1" customWidth="1"/>
  </cols>
  <sheetData>
    <row r="2" spans="2:41" ht="15.75" thickBot="1">
      <c r="B2" s="10" t="s">
        <v>182</v>
      </c>
      <c r="C2" s="10" t="s">
        <v>183</v>
      </c>
      <c r="D2" s="10" t="s">
        <v>184</v>
      </c>
      <c r="E2" s="11" t="s">
        <v>41</v>
      </c>
      <c r="F2" s="11" t="s">
        <v>0</v>
      </c>
      <c r="G2" s="11" t="s">
        <v>45</v>
      </c>
      <c r="H2" s="11" t="s">
        <v>1</v>
      </c>
      <c r="I2" s="11" t="s">
        <v>31</v>
      </c>
      <c r="J2" s="11" t="s">
        <v>2</v>
      </c>
      <c r="K2" s="11" t="s">
        <v>3</v>
      </c>
      <c r="L2" s="11" t="s">
        <v>4</v>
      </c>
      <c r="M2" s="11" t="s">
        <v>5</v>
      </c>
      <c r="N2" s="11" t="s">
        <v>6</v>
      </c>
      <c r="O2" s="11" t="s">
        <v>7</v>
      </c>
      <c r="P2" s="11" t="s">
        <v>48</v>
      </c>
      <c r="Q2" s="11" t="s">
        <v>8</v>
      </c>
      <c r="R2" s="11" t="s">
        <v>9</v>
      </c>
      <c r="S2" s="11" t="s">
        <v>10</v>
      </c>
      <c r="T2" s="11" t="s">
        <v>32</v>
      </c>
      <c r="U2" s="11" t="s">
        <v>11</v>
      </c>
      <c r="V2" s="11" t="s">
        <v>12</v>
      </c>
      <c r="W2" s="11" t="s">
        <v>13</v>
      </c>
      <c r="X2" s="11" t="s">
        <v>27</v>
      </c>
      <c r="Y2" s="11" t="s">
        <v>46</v>
      </c>
      <c r="Z2" s="11" t="s">
        <v>14</v>
      </c>
      <c r="AA2" s="11" t="s">
        <v>15</v>
      </c>
      <c r="AB2" s="11" t="s">
        <v>16</v>
      </c>
      <c r="AC2" s="11" t="s">
        <v>42</v>
      </c>
      <c r="AD2" s="11" t="s">
        <v>33</v>
      </c>
      <c r="AE2" s="11" t="s">
        <v>17</v>
      </c>
      <c r="AF2" s="11" t="s">
        <v>18</v>
      </c>
      <c r="AG2" s="11" t="s">
        <v>19</v>
      </c>
      <c r="AH2" s="11" t="s">
        <v>20</v>
      </c>
      <c r="AI2" s="11" t="s">
        <v>21</v>
      </c>
      <c r="AJ2" s="11" t="s">
        <v>22</v>
      </c>
      <c r="AK2" s="11" t="s">
        <v>43</v>
      </c>
      <c r="AL2" s="11" t="s">
        <v>23</v>
      </c>
      <c r="AM2" s="11" t="s">
        <v>24</v>
      </c>
      <c r="AN2" s="11" t="s">
        <v>25</v>
      </c>
      <c r="AO2" s="11" t="s">
        <v>26</v>
      </c>
    </row>
    <row r="3" spans="1:41" ht="15">
      <c r="A3" t="s">
        <v>194</v>
      </c>
      <c r="B3" s="8" t="s">
        <v>57</v>
      </c>
      <c r="C3" s="8" t="s">
        <v>185</v>
      </c>
      <c r="D3" s="8" t="s">
        <v>189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0.90</v>
      </c>
      <c r="K3" s="9">
        <v>0</v>
      </c>
      <c r="L3" s="9">
        <v>0</v>
      </c>
      <c r="M3" s="9">
        <v>9.1999999999999993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97.21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0.12</v>
      </c>
      <c r="AG3" s="9">
        <v>0</v>
      </c>
      <c r="AH3" s="9">
        <v>0</v>
      </c>
      <c r="AI3" s="9">
        <v>0</v>
      </c>
      <c r="AJ3" s="9">
        <v>0</v>
      </c>
      <c r="AK3" s="9">
        <v>1.0558825338492195</v>
      </c>
      <c r="AL3" s="9">
        <v>2.42</v>
      </c>
      <c r="AM3" s="9">
        <v>0</v>
      </c>
      <c r="AN3" s="9">
        <v>0</v>
      </c>
      <c r="AO3" s="9">
        <v>0.18</v>
      </c>
    </row>
    <row r="4" spans="2:41" ht="15">
      <c r="B4" s="8" t="s">
        <v>58</v>
      </c>
      <c r="C4" s="8" t="s">
        <v>185</v>
      </c>
      <c r="D4" s="8" t="s">
        <v>189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2.34</v>
      </c>
      <c r="K4" s="9">
        <v>0</v>
      </c>
      <c r="L4" s="9">
        <v>0</v>
      </c>
      <c r="M4" s="9">
        <v>23.90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252.71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0</v>
      </c>
      <c r="AE4" s="9">
        <v>0</v>
      </c>
      <c r="AF4" s="9">
        <v>0.32</v>
      </c>
      <c r="AG4" s="9">
        <v>0</v>
      </c>
      <c r="AH4" s="9">
        <v>0</v>
      </c>
      <c r="AI4" s="9">
        <v>0</v>
      </c>
      <c r="AJ4" s="9">
        <v>0</v>
      </c>
      <c r="AK4" s="9">
        <v>2.7449035606319954</v>
      </c>
      <c r="AL4" s="9">
        <v>8.90</v>
      </c>
      <c r="AM4" s="9">
        <v>0</v>
      </c>
      <c r="AN4" s="9">
        <v>0</v>
      </c>
      <c r="AO4" s="9">
        <v>0.48</v>
      </c>
    </row>
    <row r="5" spans="2:41" ht="15">
      <c r="B5" s="8" t="s">
        <v>59</v>
      </c>
      <c r="C5" s="8" t="s">
        <v>185</v>
      </c>
      <c r="D5" s="8" t="s">
        <v>189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2.29</v>
      </c>
      <c r="K5" s="9">
        <v>0</v>
      </c>
      <c r="L5" s="9">
        <v>0</v>
      </c>
      <c r="M5" s="9">
        <v>23.34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246.79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0.32</v>
      </c>
      <c r="AG5" s="9">
        <v>0</v>
      </c>
      <c r="AH5" s="9">
        <v>0</v>
      </c>
      <c r="AI5" s="9">
        <v>0</v>
      </c>
      <c r="AJ5" s="9">
        <v>0</v>
      </c>
      <c r="AK5" s="9">
        <v>2.6806012810271462</v>
      </c>
      <c r="AL5" s="9">
        <v>8.94</v>
      </c>
      <c r="AM5" s="9">
        <v>0</v>
      </c>
      <c r="AN5" s="9">
        <v>0</v>
      </c>
      <c r="AO5" s="9">
        <v>0.47</v>
      </c>
    </row>
    <row r="6" spans="2:41" ht="15">
      <c r="B6" s="8" t="s">
        <v>60</v>
      </c>
      <c r="C6" s="8" t="s">
        <v>185</v>
      </c>
      <c r="D6" s="8" t="s">
        <v>189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1.05</v>
      </c>
      <c r="K6" s="9">
        <v>0</v>
      </c>
      <c r="L6" s="9">
        <v>0</v>
      </c>
      <c r="M6" s="9">
        <v>10.72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113.31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>
        <v>0</v>
      </c>
      <c r="AF6" s="9">
        <v>0.15</v>
      </c>
      <c r="AG6" s="9">
        <v>0</v>
      </c>
      <c r="AH6" s="9">
        <v>0</v>
      </c>
      <c r="AI6" s="9">
        <v>0</v>
      </c>
      <c r="AJ6" s="9">
        <v>0</v>
      </c>
      <c r="AK6" s="9">
        <v>1.2307586658826775</v>
      </c>
      <c r="AL6" s="9">
        <v>4.74</v>
      </c>
      <c r="AM6" s="9">
        <v>0</v>
      </c>
      <c r="AN6" s="9">
        <v>0</v>
      </c>
      <c r="AO6" s="9">
        <v>0.21</v>
      </c>
    </row>
    <row r="7" spans="2:41" ht="15">
      <c r="B7" s="8" t="s">
        <v>61</v>
      </c>
      <c r="C7" s="8" t="s">
        <v>186</v>
      </c>
      <c r="D7" s="8" t="s">
        <v>189</v>
      </c>
      <c r="E7" s="9">
        <v>9.5478683417426282</v>
      </c>
      <c r="F7" s="9">
        <v>509.07</v>
      </c>
      <c r="G7" s="9">
        <v>56.753139695839572</v>
      </c>
      <c r="H7" s="9">
        <v>509.08</v>
      </c>
      <c r="I7" s="9">
        <v>212.83</v>
      </c>
      <c r="J7" s="9">
        <v>259.88</v>
      </c>
      <c r="K7" s="9">
        <v>34.71</v>
      </c>
      <c r="L7" s="9">
        <v>218.49</v>
      </c>
      <c r="M7" s="9">
        <v>3483.21</v>
      </c>
      <c r="N7" s="9">
        <v>93.82</v>
      </c>
      <c r="O7" s="9">
        <v>51.42</v>
      </c>
      <c r="P7" s="9">
        <v>41.98</v>
      </c>
      <c r="Q7" s="9">
        <v>2108.62</v>
      </c>
      <c r="R7" s="9">
        <v>228.80</v>
      </c>
      <c r="S7" s="9">
        <v>2771.18</v>
      </c>
      <c r="T7" s="9">
        <v>75.959999999999994</v>
      </c>
      <c r="U7" s="9">
        <v>124.01</v>
      </c>
      <c r="V7" s="9">
        <v>115.16</v>
      </c>
      <c r="W7" s="9">
        <v>16.91</v>
      </c>
      <c r="X7" s="9">
        <v>2443.14</v>
      </c>
      <c r="Y7" s="9">
        <v>15.390674570464421</v>
      </c>
      <c r="Z7" s="9">
        <v>177.92</v>
      </c>
      <c r="AA7" s="9">
        <v>57.92</v>
      </c>
      <c r="AB7" s="9">
        <v>70.72</v>
      </c>
      <c r="AC7" s="9">
        <v>2.6764694270050571</v>
      </c>
      <c r="AD7" s="9">
        <v>16.14</v>
      </c>
      <c r="AE7" s="9">
        <v>7.97</v>
      </c>
      <c r="AF7" s="9">
        <v>361.29</v>
      </c>
      <c r="AG7" s="9">
        <v>211.50</v>
      </c>
      <c r="AH7" s="9">
        <v>694.30</v>
      </c>
      <c r="AI7" s="9">
        <v>425.20</v>
      </c>
      <c r="AJ7" s="9">
        <v>298.81</v>
      </c>
      <c r="AK7" s="9">
        <v>70.522924088572864</v>
      </c>
      <c r="AL7" s="9">
        <v>270.85000000000002</v>
      </c>
      <c r="AM7" s="9">
        <v>69.86</v>
      </c>
      <c r="AN7" s="9">
        <v>82.80</v>
      </c>
      <c r="AO7" s="9">
        <v>2069.75</v>
      </c>
    </row>
    <row r="8" spans="2:41" ht="15">
      <c r="B8" s="8" t="s">
        <v>62</v>
      </c>
      <c r="C8" s="8" t="s">
        <v>186</v>
      </c>
      <c r="D8" s="8" t="s">
        <v>189</v>
      </c>
      <c r="E8" s="9">
        <v>10.216537539568341</v>
      </c>
      <c r="F8" s="9">
        <v>872.35</v>
      </c>
      <c r="G8" s="9">
        <v>131.07166004266901</v>
      </c>
      <c r="H8" s="9">
        <v>1128.43</v>
      </c>
      <c r="I8" s="9">
        <v>303.18</v>
      </c>
      <c r="J8" s="9">
        <v>198.78</v>
      </c>
      <c r="K8" s="9">
        <v>8.8800000000000008</v>
      </c>
      <c r="L8" s="9">
        <v>407.23</v>
      </c>
      <c r="M8" s="9">
        <v>3109.20</v>
      </c>
      <c r="N8" s="9">
        <v>189.54</v>
      </c>
      <c r="O8" s="9">
        <v>26.14</v>
      </c>
      <c r="P8" s="9">
        <v>44.92</v>
      </c>
      <c r="Q8" s="9">
        <v>4274.0600000000004</v>
      </c>
      <c r="R8" s="9">
        <v>134.11000000000001</v>
      </c>
      <c r="S8" s="9">
        <v>6576.88</v>
      </c>
      <c r="T8" s="9">
        <v>175.43</v>
      </c>
      <c r="U8" s="9">
        <v>204.45</v>
      </c>
      <c r="V8" s="9">
        <v>173.67</v>
      </c>
      <c r="W8" s="9">
        <v>8.60</v>
      </c>
      <c r="X8" s="9">
        <v>4903.8100000000004</v>
      </c>
      <c r="Y8" s="9">
        <v>35.544839914383537</v>
      </c>
      <c r="Z8" s="9">
        <v>161.85</v>
      </c>
      <c r="AA8" s="9">
        <v>64.53</v>
      </c>
      <c r="AB8" s="9">
        <v>39.799999999999997</v>
      </c>
      <c r="AC8" s="9">
        <v>2.8639115450468595</v>
      </c>
      <c r="AD8" s="9">
        <v>23</v>
      </c>
      <c r="AE8" s="9">
        <v>24.59</v>
      </c>
      <c r="AF8" s="9">
        <v>386.22</v>
      </c>
      <c r="AG8" s="9">
        <v>197.84</v>
      </c>
      <c r="AH8" s="9">
        <v>1310</v>
      </c>
      <c r="AI8" s="9">
        <v>681.17</v>
      </c>
      <c r="AJ8" s="9">
        <v>489.17</v>
      </c>
      <c r="AK8" s="9">
        <v>162.87304598286386</v>
      </c>
      <c r="AL8" s="9">
        <v>151.06</v>
      </c>
      <c r="AM8" s="9">
        <v>126.18</v>
      </c>
      <c r="AN8" s="9">
        <v>144.02000000000001</v>
      </c>
      <c r="AO8" s="9">
        <v>2530.87</v>
      </c>
    </row>
    <row r="9" spans="2:41" ht="15">
      <c r="B9" s="8" t="s">
        <v>63</v>
      </c>
      <c r="C9" s="8" t="s">
        <v>186</v>
      </c>
      <c r="D9" s="8" t="s">
        <v>189</v>
      </c>
      <c r="E9" s="9">
        <v>8.1422983952926664</v>
      </c>
      <c r="F9" s="9">
        <v>851.92</v>
      </c>
      <c r="G9" s="9">
        <v>128.00089379530326</v>
      </c>
      <c r="H9" s="9">
        <v>1102.01</v>
      </c>
      <c r="I9" s="9">
        <v>296.08</v>
      </c>
      <c r="J9" s="9">
        <v>194.12</v>
      </c>
      <c r="K9" s="9">
        <v>8.67</v>
      </c>
      <c r="L9" s="9">
        <v>397.69</v>
      </c>
      <c r="M9" s="9">
        <v>3036.41</v>
      </c>
      <c r="N9" s="9">
        <v>185.11</v>
      </c>
      <c r="O9" s="9">
        <v>25.53</v>
      </c>
      <c r="P9" s="9">
        <v>35.799999999999997</v>
      </c>
      <c r="Q9" s="9">
        <v>3269.74</v>
      </c>
      <c r="R9" s="9">
        <v>130.97</v>
      </c>
      <c r="S9" s="9">
        <v>6422.89</v>
      </c>
      <c r="T9" s="9">
        <v>171.32</v>
      </c>
      <c r="U9" s="9">
        <v>199.67</v>
      </c>
      <c r="V9" s="9">
        <v>79.540000000000006</v>
      </c>
      <c r="W9" s="9">
        <v>8.39</v>
      </c>
      <c r="X9" s="9">
        <v>4788.99</v>
      </c>
      <c r="Y9" s="9">
        <v>34.712090144970574</v>
      </c>
      <c r="Z9" s="9">
        <v>158.06</v>
      </c>
      <c r="AA9" s="9">
        <v>63.08</v>
      </c>
      <c r="AB9" s="9">
        <v>38.869999999999997</v>
      </c>
      <c r="AC9" s="9">
        <v>2.2824584441824927</v>
      </c>
      <c r="AD9" s="9">
        <v>22.46</v>
      </c>
      <c r="AE9" s="9">
        <v>24.02</v>
      </c>
      <c r="AF9" s="9">
        <v>377.18</v>
      </c>
      <c r="AG9" s="9">
        <v>170.98</v>
      </c>
      <c r="AH9" s="9">
        <v>1279.33</v>
      </c>
      <c r="AI9" s="9">
        <v>665.22</v>
      </c>
      <c r="AJ9" s="9">
        <v>477.71</v>
      </c>
      <c r="AK9" s="9">
        <v>159.05723215974595</v>
      </c>
      <c r="AL9" s="9">
        <v>151.77000000000001</v>
      </c>
      <c r="AM9" s="9">
        <v>123.23</v>
      </c>
      <c r="AN9" s="9">
        <v>140.65</v>
      </c>
      <c r="AO9" s="9">
        <v>2471.61</v>
      </c>
    </row>
    <row r="10" spans="2:41" ht="15">
      <c r="B10" s="8" t="s">
        <v>64</v>
      </c>
      <c r="C10" s="8" t="s">
        <v>186</v>
      </c>
      <c r="D10" s="8" t="s">
        <v>189</v>
      </c>
      <c r="E10" s="9">
        <v>4.8012267911907314</v>
      </c>
      <c r="F10" s="9">
        <v>391.14</v>
      </c>
      <c r="G10" s="9">
        <v>58.770431391189327</v>
      </c>
      <c r="H10" s="9">
        <v>505.96</v>
      </c>
      <c r="I10" s="9">
        <v>135.94</v>
      </c>
      <c r="J10" s="9">
        <v>89.13</v>
      </c>
      <c r="K10" s="9">
        <v>3.98</v>
      </c>
      <c r="L10" s="9">
        <v>182.59</v>
      </c>
      <c r="M10" s="9">
        <v>1394.08</v>
      </c>
      <c r="N10" s="9">
        <v>84.99</v>
      </c>
      <c r="O10" s="9">
        <v>11.72</v>
      </c>
      <c r="P10" s="9">
        <v>21.11</v>
      </c>
      <c r="Q10" s="9">
        <v>1814.42</v>
      </c>
      <c r="R10" s="9">
        <v>60.13</v>
      </c>
      <c r="S10" s="9">
        <v>2948.89</v>
      </c>
      <c r="T10" s="9">
        <v>78.66</v>
      </c>
      <c r="U10" s="9">
        <v>91.67</v>
      </c>
      <c r="V10" s="9">
        <v>127.95</v>
      </c>
      <c r="W10" s="9">
        <v>3.85</v>
      </c>
      <c r="X10" s="9">
        <v>2198.73</v>
      </c>
      <c r="Y10" s="9">
        <v>15.937736462779508</v>
      </c>
      <c r="Z10" s="9">
        <v>72.569999999999993</v>
      </c>
      <c r="AA10" s="9">
        <v>30.38</v>
      </c>
      <c r="AB10" s="9">
        <v>17.85</v>
      </c>
      <c r="AC10" s="9">
        <v>1.3458854121981123</v>
      </c>
      <c r="AD10" s="9">
        <v>10.31</v>
      </c>
      <c r="AE10" s="9">
        <v>11.03</v>
      </c>
      <c r="AF10" s="9">
        <v>173.31</v>
      </c>
      <c r="AG10" s="9">
        <v>110.94</v>
      </c>
      <c r="AH10" s="9">
        <v>587.37</v>
      </c>
      <c r="AI10" s="9">
        <v>305.42</v>
      </c>
      <c r="AJ10" s="9">
        <v>219.33</v>
      </c>
      <c r="AK10" s="9">
        <v>73.029663096460538</v>
      </c>
      <c r="AL10" s="9">
        <v>66.63</v>
      </c>
      <c r="AM10" s="9">
        <v>56.58</v>
      </c>
      <c r="AN10" s="9">
        <v>64.58</v>
      </c>
      <c r="AO10" s="9">
        <v>1134.77</v>
      </c>
    </row>
    <row r="11" spans="2:41" ht="15">
      <c r="B11" s="8" t="s">
        <v>76</v>
      </c>
      <c r="C11" s="8" t="s">
        <v>187</v>
      </c>
      <c r="D11" s="8" t="s">
        <v>189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0.44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19.82</v>
      </c>
      <c r="AM11" s="9">
        <v>0</v>
      </c>
      <c r="AN11" s="9">
        <v>0</v>
      </c>
      <c r="AO11" s="9">
        <v>0</v>
      </c>
    </row>
    <row r="12" spans="2:41" ht="15">
      <c r="B12" s="8" t="s">
        <v>77</v>
      </c>
      <c r="C12" s="8" t="s">
        <v>187</v>
      </c>
      <c r="D12" s="8" t="s">
        <v>189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1.1399999999999999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72.78</v>
      </c>
      <c r="AM12" s="9">
        <v>0</v>
      </c>
      <c r="AN12" s="9">
        <v>0</v>
      </c>
      <c r="AO12" s="9">
        <v>0</v>
      </c>
    </row>
    <row r="13" spans="2:41" ht="15">
      <c r="B13" s="8" t="s">
        <v>78</v>
      </c>
      <c r="C13" s="8" t="s">
        <v>187</v>
      </c>
      <c r="D13" s="8" t="s">
        <v>189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1.1100000000000001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73.12</v>
      </c>
      <c r="AM13" s="9">
        <v>0</v>
      </c>
      <c r="AN13" s="9">
        <v>0</v>
      </c>
      <c r="AO13" s="9">
        <v>0</v>
      </c>
    </row>
    <row r="14" spans="2:41" ht="15">
      <c r="B14" s="8" t="s">
        <v>79</v>
      </c>
      <c r="C14" s="8" t="s">
        <v>187</v>
      </c>
      <c r="D14" s="8" t="s">
        <v>189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0.51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38.770000000000003</v>
      </c>
      <c r="AM14" s="9">
        <v>0</v>
      </c>
      <c r="AN14" s="9">
        <v>0</v>
      </c>
      <c r="AO14" s="9">
        <v>0</v>
      </c>
    </row>
    <row r="15" spans="2:41" ht="15">
      <c r="B15" s="8" t="s">
        <v>80</v>
      </c>
      <c r="C15" s="8" t="s">
        <v>187</v>
      </c>
      <c r="D15" s="8" t="s">
        <v>189</v>
      </c>
      <c r="E15" s="9">
        <v>7.4709744401183817</v>
      </c>
      <c r="F15" s="9">
        <v>192.76</v>
      </c>
      <c r="G15" s="9">
        <v>11.081003780669596</v>
      </c>
      <c r="H15" s="9">
        <v>149.02000000000001</v>
      </c>
      <c r="I15" s="9">
        <v>52.89</v>
      </c>
      <c r="J15" s="9">
        <v>805.57</v>
      </c>
      <c r="K15" s="9">
        <v>23.27</v>
      </c>
      <c r="L15" s="9">
        <v>134.50</v>
      </c>
      <c r="M15" s="9">
        <v>3124.93</v>
      </c>
      <c r="N15" s="9">
        <v>110.06</v>
      </c>
      <c r="O15" s="9">
        <v>56.61</v>
      </c>
      <c r="P15" s="9">
        <v>233.41</v>
      </c>
      <c r="Q15" s="9">
        <v>1144.80</v>
      </c>
      <c r="R15" s="9">
        <v>313.37</v>
      </c>
      <c r="S15" s="9">
        <v>509.92</v>
      </c>
      <c r="T15" s="9">
        <v>27.39</v>
      </c>
      <c r="U15" s="9">
        <v>66.040000000000006</v>
      </c>
      <c r="V15" s="9">
        <v>102.17</v>
      </c>
      <c r="W15" s="9">
        <v>30.63</v>
      </c>
      <c r="X15" s="9">
        <v>470.76</v>
      </c>
      <c r="Y15" s="9">
        <v>3.0143481281586237</v>
      </c>
      <c r="Z15" s="9">
        <v>158.56</v>
      </c>
      <c r="AA15" s="9">
        <v>27.25</v>
      </c>
      <c r="AB15" s="9">
        <v>64.510000000000005</v>
      </c>
      <c r="AC15" s="9">
        <v>3.6577774362493378</v>
      </c>
      <c r="AD15" s="9">
        <v>7.74</v>
      </c>
      <c r="AE15" s="9">
        <v>3.28</v>
      </c>
      <c r="AF15" s="9">
        <v>969.70</v>
      </c>
      <c r="AG15" s="9">
        <v>483.99</v>
      </c>
      <c r="AH15" s="9">
        <v>400.48</v>
      </c>
      <c r="AI15" s="9">
        <v>47.07</v>
      </c>
      <c r="AJ15" s="9">
        <v>88.69</v>
      </c>
      <c r="AK15" s="9">
        <v>20.057508223494811</v>
      </c>
      <c r="AL15" s="9">
        <v>1515.46</v>
      </c>
      <c r="AM15" s="9">
        <v>23.40</v>
      </c>
      <c r="AN15" s="9">
        <v>48.16</v>
      </c>
      <c r="AO15" s="9">
        <v>2029.67</v>
      </c>
    </row>
    <row r="16" spans="2:41" ht="15">
      <c r="B16" s="8" t="s">
        <v>81</v>
      </c>
      <c r="C16" s="8" t="s">
        <v>187</v>
      </c>
      <c r="D16" s="8" t="s">
        <v>189</v>
      </c>
      <c r="E16" s="9">
        <v>41.399716208979555</v>
      </c>
      <c r="F16" s="9">
        <v>488.15</v>
      </c>
      <c r="G16" s="9">
        <v>71.502614391951241</v>
      </c>
      <c r="H16" s="9">
        <v>430.66</v>
      </c>
      <c r="I16" s="9">
        <v>373.82</v>
      </c>
      <c r="J16" s="9">
        <v>1067.5999999999999</v>
      </c>
      <c r="K16" s="9">
        <v>179.24</v>
      </c>
      <c r="L16" s="9">
        <v>647.79999999999995</v>
      </c>
      <c r="M16" s="9">
        <v>9395.2999999999993</v>
      </c>
      <c r="N16" s="9">
        <v>631.03</v>
      </c>
      <c r="O16" s="9">
        <v>127.94</v>
      </c>
      <c r="P16" s="9">
        <v>1293.42</v>
      </c>
      <c r="Q16" s="9">
        <v>3931.95</v>
      </c>
      <c r="R16" s="9">
        <v>929.39</v>
      </c>
      <c r="S16" s="9">
        <v>2494.9299999999998</v>
      </c>
      <c r="T16" s="9">
        <v>176.74</v>
      </c>
      <c r="U16" s="9">
        <v>431.55</v>
      </c>
      <c r="V16" s="9">
        <v>603.86</v>
      </c>
      <c r="W16" s="9">
        <v>69.23</v>
      </c>
      <c r="X16" s="9">
        <v>2383.06</v>
      </c>
      <c r="Y16" s="9">
        <v>19.45074436548942</v>
      </c>
      <c r="Z16" s="9">
        <v>345.81</v>
      </c>
      <c r="AA16" s="9">
        <v>34</v>
      </c>
      <c r="AB16" s="9">
        <v>141.06</v>
      </c>
      <c r="AC16" s="9">
        <v>20.269236500551042</v>
      </c>
      <c r="AD16" s="9">
        <v>54.68</v>
      </c>
      <c r="AE16" s="9">
        <v>20.66</v>
      </c>
      <c r="AF16" s="9">
        <v>1653</v>
      </c>
      <c r="AG16" s="9">
        <v>413.44</v>
      </c>
      <c r="AH16" s="9">
        <v>2314.36</v>
      </c>
      <c r="AI16" s="9">
        <v>243.49</v>
      </c>
      <c r="AJ16" s="9">
        <v>560.16999999999996</v>
      </c>
      <c r="AK16" s="9">
        <v>129.42548387807494</v>
      </c>
      <c r="AL16" s="9">
        <v>951.22</v>
      </c>
      <c r="AM16" s="9">
        <v>168.48</v>
      </c>
      <c r="AN16" s="9">
        <v>222.29</v>
      </c>
      <c r="AO16" s="9">
        <v>5885.71</v>
      </c>
    </row>
    <row r="17" spans="2:41" ht="15">
      <c r="B17" s="8" t="s">
        <v>82</v>
      </c>
      <c r="C17" s="8" t="s">
        <v>187</v>
      </c>
      <c r="D17" s="8" t="s">
        <v>189</v>
      </c>
      <c r="E17" s="9">
        <v>97.517005603815889</v>
      </c>
      <c r="F17" s="9">
        <v>1132.6600000000001</v>
      </c>
      <c r="G17" s="9">
        <v>266.87458758512247</v>
      </c>
      <c r="H17" s="9">
        <v>1284.54</v>
      </c>
      <c r="I17" s="9">
        <v>958.71</v>
      </c>
      <c r="J17" s="9">
        <v>972.29</v>
      </c>
      <c r="K17" s="9">
        <v>195.71</v>
      </c>
      <c r="L17" s="9">
        <v>2212.25</v>
      </c>
      <c r="M17" s="9">
        <v>13429.25</v>
      </c>
      <c r="N17" s="9">
        <v>669.17</v>
      </c>
      <c r="O17" s="9">
        <v>65.400000000000006</v>
      </c>
      <c r="P17" s="9">
        <v>3046.65</v>
      </c>
      <c r="Q17" s="9">
        <v>3981.04</v>
      </c>
      <c r="R17" s="9">
        <v>642.52</v>
      </c>
      <c r="S17" s="9">
        <v>8331.68</v>
      </c>
      <c r="T17" s="9">
        <v>659.66</v>
      </c>
      <c r="U17" s="9">
        <v>1668.32</v>
      </c>
      <c r="V17" s="9">
        <v>450.26</v>
      </c>
      <c r="W17" s="9">
        <v>35.39</v>
      </c>
      <c r="X17" s="9">
        <v>16337.15</v>
      </c>
      <c r="Y17" s="9">
        <v>72.597476678390564</v>
      </c>
      <c r="Z17" s="9">
        <v>495.70</v>
      </c>
      <c r="AA17" s="9">
        <v>45.08</v>
      </c>
      <c r="AB17" s="9">
        <v>55.23</v>
      </c>
      <c r="AC17" s="9">
        <v>47.744173883505617</v>
      </c>
      <c r="AD17" s="9">
        <v>140.24</v>
      </c>
      <c r="AE17" s="9">
        <v>140.15</v>
      </c>
      <c r="AF17" s="9">
        <v>2806</v>
      </c>
      <c r="AG17" s="9">
        <v>457.83</v>
      </c>
      <c r="AH17" s="9">
        <v>6764.32</v>
      </c>
      <c r="AI17" s="9">
        <v>2169.2600000000002</v>
      </c>
      <c r="AJ17" s="9">
        <v>2666.51</v>
      </c>
      <c r="AK17" s="9">
        <v>483.06447151188695</v>
      </c>
      <c r="AL17" s="9">
        <v>579.42999999999995</v>
      </c>
      <c r="AM17" s="9">
        <v>438.73</v>
      </c>
      <c r="AN17" s="9">
        <v>813.03</v>
      </c>
      <c r="AO17" s="9">
        <v>9544.6200000000008</v>
      </c>
    </row>
    <row r="18" spans="2:41" ht="15">
      <c r="B18" s="8" t="s">
        <v>83</v>
      </c>
      <c r="C18" s="8" t="s">
        <v>187</v>
      </c>
      <c r="D18" s="8" t="s">
        <v>189</v>
      </c>
      <c r="E18" s="9">
        <v>15.770314496578237</v>
      </c>
      <c r="F18" s="9">
        <v>218.87</v>
      </c>
      <c r="G18" s="9">
        <v>32.061684907559894</v>
      </c>
      <c r="H18" s="9">
        <v>193.10</v>
      </c>
      <c r="I18" s="9">
        <v>167.61</v>
      </c>
      <c r="J18" s="9">
        <v>478.68</v>
      </c>
      <c r="K18" s="9">
        <v>80.37</v>
      </c>
      <c r="L18" s="9">
        <v>290.45</v>
      </c>
      <c r="M18" s="9">
        <v>4212.6000000000004</v>
      </c>
      <c r="N18" s="9">
        <v>282.94</v>
      </c>
      <c r="O18" s="9">
        <v>57.36</v>
      </c>
      <c r="P18" s="9">
        <v>492.70</v>
      </c>
      <c r="Q18" s="9">
        <v>1619.21</v>
      </c>
      <c r="R18" s="9">
        <v>416.71</v>
      </c>
      <c r="S18" s="9">
        <v>1118.6600000000001</v>
      </c>
      <c r="T18" s="9">
        <v>79.25</v>
      </c>
      <c r="U18" s="9">
        <v>193.50</v>
      </c>
      <c r="V18" s="9">
        <v>246.68</v>
      </c>
      <c r="W18" s="9">
        <v>31.04</v>
      </c>
      <c r="X18" s="9">
        <v>1068.50</v>
      </c>
      <c r="Y18" s="9">
        <v>8.7216900020653867</v>
      </c>
      <c r="Z18" s="9">
        <v>155.05000000000001</v>
      </c>
      <c r="AA18" s="9">
        <v>14.76</v>
      </c>
      <c r="AB18" s="9">
        <v>63.25</v>
      </c>
      <c r="AC18" s="9">
        <v>7.7211213865731922</v>
      </c>
      <c r="AD18" s="9">
        <v>24.52</v>
      </c>
      <c r="AE18" s="9">
        <v>9.26</v>
      </c>
      <c r="AF18" s="9">
        <v>741.30</v>
      </c>
      <c r="AG18" s="9">
        <v>229.60</v>
      </c>
      <c r="AH18" s="9">
        <v>1037.83</v>
      </c>
      <c r="AI18" s="9">
        <v>109.17</v>
      </c>
      <c r="AJ18" s="9">
        <v>251.16</v>
      </c>
      <c r="AK18" s="9">
        <v>58.034228795617508</v>
      </c>
      <c r="AL18" s="9">
        <v>419.60</v>
      </c>
      <c r="AM18" s="9">
        <v>75.540000000000006</v>
      </c>
      <c r="AN18" s="9">
        <v>99.67</v>
      </c>
      <c r="AO18" s="9">
        <v>2638.99</v>
      </c>
    </row>
    <row r="19" spans="2:41" ht="15">
      <c r="B19" s="8" t="s">
        <v>65</v>
      </c>
      <c r="C19" s="8" t="s">
        <v>188</v>
      </c>
      <c r="D19" s="8" t="s">
        <v>189</v>
      </c>
      <c r="E19" s="9">
        <v>0</v>
      </c>
      <c r="F19" s="9">
        <v>0</v>
      </c>
      <c r="G19" s="9">
        <v>0</v>
      </c>
      <c r="H19" s="9">
        <v>4.91</v>
      </c>
      <c r="I19" s="9">
        <v>13.46</v>
      </c>
      <c r="J19" s="9">
        <v>0</v>
      </c>
      <c r="K19" s="9">
        <v>0</v>
      </c>
      <c r="L19" s="9">
        <v>0</v>
      </c>
      <c r="M19" s="9">
        <v>55.87</v>
      </c>
      <c r="N19" s="9">
        <v>0.0019167789818072382</v>
      </c>
      <c r="O19" s="9">
        <v>0</v>
      </c>
      <c r="P19" s="9">
        <v>1.25</v>
      </c>
      <c r="Q19" s="9">
        <v>0</v>
      </c>
      <c r="R19" s="9">
        <v>0</v>
      </c>
      <c r="S19" s="9">
        <v>29.30</v>
      </c>
      <c r="T19" s="9">
        <v>6.54</v>
      </c>
      <c r="U19" s="9">
        <v>0.65</v>
      </c>
      <c r="V19" s="9">
        <v>0.12</v>
      </c>
      <c r="W19" s="9">
        <v>0</v>
      </c>
      <c r="X19" s="9">
        <v>289.50</v>
      </c>
      <c r="Y19" s="9">
        <v>1.3117340122350234</v>
      </c>
      <c r="Z19" s="9">
        <v>0</v>
      </c>
      <c r="AA19" s="9">
        <v>0</v>
      </c>
      <c r="AB19" s="9">
        <v>2.13</v>
      </c>
      <c r="AC19" s="9">
        <v>0</v>
      </c>
      <c r="AD19" s="9">
        <v>1.52</v>
      </c>
      <c r="AE19" s="9">
        <v>0</v>
      </c>
      <c r="AF19" s="9">
        <v>28.89</v>
      </c>
      <c r="AG19" s="9">
        <v>0</v>
      </c>
      <c r="AH19" s="9">
        <v>339.28</v>
      </c>
      <c r="AI19" s="9">
        <v>5.20</v>
      </c>
      <c r="AJ19" s="9">
        <v>29.09</v>
      </c>
      <c r="AK19" s="9">
        <v>33.504479861051095</v>
      </c>
      <c r="AL19" s="9">
        <v>0</v>
      </c>
      <c r="AM19" s="9">
        <v>0</v>
      </c>
      <c r="AN19" s="9">
        <v>7.38</v>
      </c>
      <c r="AO19" s="9">
        <v>3.56</v>
      </c>
    </row>
    <row r="20" spans="2:41" ht="15">
      <c r="B20" s="8" t="s">
        <v>66</v>
      </c>
      <c r="C20" s="8" t="s">
        <v>188</v>
      </c>
      <c r="D20" s="8" t="s">
        <v>189</v>
      </c>
      <c r="E20" s="9">
        <v>0</v>
      </c>
      <c r="F20" s="9">
        <v>0</v>
      </c>
      <c r="G20" s="9">
        <v>0</v>
      </c>
      <c r="H20" s="9">
        <v>12.76</v>
      </c>
      <c r="I20" s="9">
        <v>34.979999999999997</v>
      </c>
      <c r="J20" s="9">
        <v>0</v>
      </c>
      <c r="K20" s="9">
        <v>0</v>
      </c>
      <c r="L20" s="9">
        <v>0</v>
      </c>
      <c r="M20" s="9">
        <v>145.24</v>
      </c>
      <c r="N20" s="9">
        <v>0.0049828705802341736</v>
      </c>
      <c r="O20" s="9">
        <v>0</v>
      </c>
      <c r="P20" s="9">
        <v>2.48</v>
      </c>
      <c r="Q20" s="9">
        <v>0</v>
      </c>
      <c r="R20" s="9">
        <v>0</v>
      </c>
      <c r="S20" s="9">
        <v>76.17</v>
      </c>
      <c r="T20" s="9">
        <v>17.010000000000002</v>
      </c>
      <c r="U20" s="9">
        <v>1.70</v>
      </c>
      <c r="V20" s="9">
        <v>0.23</v>
      </c>
      <c r="W20" s="9">
        <v>0</v>
      </c>
      <c r="X20" s="9">
        <v>752.55</v>
      </c>
      <c r="Y20" s="9">
        <v>3.4117118575103591</v>
      </c>
      <c r="Z20" s="9">
        <v>0</v>
      </c>
      <c r="AA20" s="9">
        <v>0</v>
      </c>
      <c r="AB20" s="9">
        <v>5.54</v>
      </c>
      <c r="AC20" s="9">
        <v>0</v>
      </c>
      <c r="AD20" s="9">
        <v>3.95</v>
      </c>
      <c r="AE20" s="9">
        <v>0</v>
      </c>
      <c r="AF20" s="9">
        <v>75.099999999999994</v>
      </c>
      <c r="AG20" s="9">
        <v>0</v>
      </c>
      <c r="AH20" s="9">
        <v>881.96</v>
      </c>
      <c r="AI20" s="9">
        <v>13.52</v>
      </c>
      <c r="AJ20" s="9">
        <v>75.63</v>
      </c>
      <c r="AK20" s="9">
        <v>87.142385693651249</v>
      </c>
      <c r="AL20" s="9">
        <v>0</v>
      </c>
      <c r="AM20" s="9">
        <v>0</v>
      </c>
      <c r="AN20" s="9">
        <v>19.18</v>
      </c>
      <c r="AO20" s="9">
        <v>9.25</v>
      </c>
    </row>
    <row r="21" spans="2:41" ht="15">
      <c r="B21" s="8" t="s">
        <v>67</v>
      </c>
      <c r="C21" s="8" t="s">
        <v>188</v>
      </c>
      <c r="D21" s="8" t="s">
        <v>189</v>
      </c>
      <c r="E21" s="9">
        <v>0</v>
      </c>
      <c r="F21" s="9">
        <v>0</v>
      </c>
      <c r="G21" s="9">
        <v>0</v>
      </c>
      <c r="H21" s="9">
        <v>12.46</v>
      </c>
      <c r="I21" s="9">
        <v>34.17</v>
      </c>
      <c r="J21" s="9">
        <v>0</v>
      </c>
      <c r="K21" s="9">
        <v>0</v>
      </c>
      <c r="L21" s="9">
        <v>0</v>
      </c>
      <c r="M21" s="9">
        <v>141.84</v>
      </c>
      <c r="N21" s="9">
        <v>0.0048662239266071003</v>
      </c>
      <c r="O21" s="9">
        <v>0</v>
      </c>
      <c r="P21" s="9">
        <v>1.98</v>
      </c>
      <c r="Q21" s="9">
        <v>0</v>
      </c>
      <c r="R21" s="9">
        <v>0</v>
      </c>
      <c r="S21" s="9">
        <v>74.38</v>
      </c>
      <c r="T21" s="9">
        <v>16.61</v>
      </c>
      <c r="U21" s="9">
        <v>1.66</v>
      </c>
      <c r="V21" s="9">
        <v>0.10</v>
      </c>
      <c r="W21" s="9">
        <v>0</v>
      </c>
      <c r="X21" s="9">
        <v>734.93</v>
      </c>
      <c r="Y21" s="9">
        <v>3.3314834775571462</v>
      </c>
      <c r="Z21" s="9">
        <v>0</v>
      </c>
      <c r="AA21" s="9">
        <v>0</v>
      </c>
      <c r="AB21" s="9">
        <v>5.41</v>
      </c>
      <c r="AC21" s="9">
        <v>0</v>
      </c>
      <c r="AD21" s="9">
        <v>3.86</v>
      </c>
      <c r="AE21" s="9">
        <v>0</v>
      </c>
      <c r="AF21" s="9">
        <v>73.34</v>
      </c>
      <c r="AG21" s="9">
        <v>0</v>
      </c>
      <c r="AH21" s="9">
        <v>861.31</v>
      </c>
      <c r="AI21" s="9">
        <v>13.21</v>
      </c>
      <c r="AJ21" s="9">
        <v>73.86</v>
      </c>
      <c r="AK21" s="9">
        <v>85.093182032424878</v>
      </c>
      <c r="AL21" s="9">
        <v>0</v>
      </c>
      <c r="AM21" s="9">
        <v>0</v>
      </c>
      <c r="AN21" s="9">
        <v>18.73</v>
      </c>
      <c r="AO21" s="9">
        <v>9.0399999999999991</v>
      </c>
    </row>
    <row r="22" spans="2:41" ht="15">
      <c r="B22" s="8" t="s">
        <v>68</v>
      </c>
      <c r="C22" s="8" t="s">
        <v>188</v>
      </c>
      <c r="D22" s="8" t="s">
        <v>189</v>
      </c>
      <c r="E22" s="9">
        <v>0</v>
      </c>
      <c r="F22" s="9">
        <v>0</v>
      </c>
      <c r="G22" s="9">
        <v>0</v>
      </c>
      <c r="H22" s="9">
        <v>5.72</v>
      </c>
      <c r="I22" s="9">
        <v>15.69</v>
      </c>
      <c r="J22" s="9">
        <v>0</v>
      </c>
      <c r="K22" s="9">
        <v>0</v>
      </c>
      <c r="L22" s="9">
        <v>0</v>
      </c>
      <c r="M22" s="9">
        <v>65.12</v>
      </c>
      <c r="N22" s="9">
        <v>0.0022341264953514833</v>
      </c>
      <c r="O22" s="9">
        <v>0</v>
      </c>
      <c r="P22" s="9">
        <v>1.17</v>
      </c>
      <c r="Q22" s="9">
        <v>0</v>
      </c>
      <c r="R22" s="9">
        <v>0</v>
      </c>
      <c r="S22" s="9">
        <v>34.15</v>
      </c>
      <c r="T22" s="9">
        <v>7.63</v>
      </c>
      <c r="U22" s="9">
        <v>0.76</v>
      </c>
      <c r="V22" s="9">
        <v>0.17</v>
      </c>
      <c r="W22" s="9">
        <v>0</v>
      </c>
      <c r="X22" s="9">
        <v>337.42</v>
      </c>
      <c r="Y22" s="9">
        <v>1.530356347607527</v>
      </c>
      <c r="Z22" s="9">
        <v>0</v>
      </c>
      <c r="AA22" s="9">
        <v>0</v>
      </c>
      <c r="AB22" s="9">
        <v>2.4900000000000002</v>
      </c>
      <c r="AC22" s="9">
        <v>0</v>
      </c>
      <c r="AD22" s="9">
        <v>1.77</v>
      </c>
      <c r="AE22" s="9">
        <v>0</v>
      </c>
      <c r="AF22" s="9">
        <v>33.67</v>
      </c>
      <c r="AG22" s="9">
        <v>0</v>
      </c>
      <c r="AH22" s="9">
        <v>395.45</v>
      </c>
      <c r="AI22" s="9">
        <v>6.06</v>
      </c>
      <c r="AJ22" s="9">
        <v>33.909999999999997</v>
      </c>
      <c r="AK22" s="9">
        <v>39.088559837892944</v>
      </c>
      <c r="AL22" s="9">
        <v>0</v>
      </c>
      <c r="AM22" s="9">
        <v>0</v>
      </c>
      <c r="AN22" s="9">
        <v>8.60</v>
      </c>
      <c r="AO22" s="9">
        <v>4.1500000000000004</v>
      </c>
    </row>
    <row r="23" spans="2:41" ht="15">
      <c r="B23" s="8" t="s">
        <v>84</v>
      </c>
      <c r="C23" s="8" t="s">
        <v>187</v>
      </c>
      <c r="D23" s="8" t="s">
        <v>189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0.68</v>
      </c>
      <c r="M23" s="9">
        <v>0</v>
      </c>
      <c r="N23" s="9">
        <v>0.02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0.14000000000000001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7.67</v>
      </c>
      <c r="AG23" s="9">
        <v>0</v>
      </c>
      <c r="AH23" s="9">
        <v>51.21</v>
      </c>
      <c r="AI23" s="9">
        <v>1.1000000000000001</v>
      </c>
      <c r="AJ23" s="9">
        <v>0</v>
      </c>
      <c r="AK23" s="9">
        <v>0</v>
      </c>
      <c r="AL23" s="9">
        <v>1.88</v>
      </c>
      <c r="AM23" s="9">
        <v>0</v>
      </c>
      <c r="AN23" s="9">
        <v>0</v>
      </c>
      <c r="AO23" s="9">
        <v>0.27</v>
      </c>
    </row>
    <row r="24" spans="2:41" ht="15">
      <c r="B24" s="8" t="s">
        <v>85</v>
      </c>
      <c r="C24" s="8" t="s">
        <v>187</v>
      </c>
      <c r="D24" s="8" t="s">
        <v>189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1.78</v>
      </c>
      <c r="M24" s="9">
        <v>0</v>
      </c>
      <c r="N24" s="9">
        <v>0.14000000000000001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0.14000000000000001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19.93</v>
      </c>
      <c r="AG24" s="9">
        <v>0</v>
      </c>
      <c r="AH24" s="9">
        <v>133.11000000000001</v>
      </c>
      <c r="AI24" s="9">
        <v>2.85</v>
      </c>
      <c r="AJ24" s="9">
        <v>0</v>
      </c>
      <c r="AK24" s="9">
        <v>0</v>
      </c>
      <c r="AL24" s="9">
        <v>6.91</v>
      </c>
      <c r="AM24" s="9">
        <v>0</v>
      </c>
      <c r="AN24" s="9">
        <v>0</v>
      </c>
      <c r="AO24" s="9">
        <v>0.71</v>
      </c>
    </row>
    <row r="25" spans="2:41" ht="15">
      <c r="B25" s="8" t="s">
        <v>86</v>
      </c>
      <c r="C25" s="8" t="s">
        <v>187</v>
      </c>
      <c r="D25" s="8" t="s">
        <v>189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1.74</v>
      </c>
      <c r="M25" s="9">
        <v>0</v>
      </c>
      <c r="N25" s="9">
        <v>0.12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0.14000000000000001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19.46</v>
      </c>
      <c r="AG25" s="9">
        <v>0</v>
      </c>
      <c r="AH25" s="9">
        <v>130</v>
      </c>
      <c r="AI25" s="9">
        <v>2.78</v>
      </c>
      <c r="AJ25" s="9">
        <v>0</v>
      </c>
      <c r="AK25" s="9">
        <v>0</v>
      </c>
      <c r="AL25" s="9">
        <v>6.94</v>
      </c>
      <c r="AM25" s="9">
        <v>0</v>
      </c>
      <c r="AN25" s="9">
        <v>0</v>
      </c>
      <c r="AO25" s="9">
        <v>0.70</v>
      </c>
    </row>
    <row r="26" spans="2:41" ht="15">
      <c r="B26" s="8" t="s">
        <v>87</v>
      </c>
      <c r="C26" s="8" t="s">
        <v>187</v>
      </c>
      <c r="D26" s="8" t="s">
        <v>189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0.80</v>
      </c>
      <c r="M26" s="9">
        <v>0</v>
      </c>
      <c r="N26" s="9">
        <v>0.06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0.14000000000000001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8.94</v>
      </c>
      <c r="AG26" s="9">
        <v>0</v>
      </c>
      <c r="AH26" s="9">
        <v>59.68</v>
      </c>
      <c r="AI26" s="9">
        <v>1.28</v>
      </c>
      <c r="AJ26" s="9">
        <v>0</v>
      </c>
      <c r="AK26" s="9">
        <v>0</v>
      </c>
      <c r="AL26" s="9">
        <v>3.68</v>
      </c>
      <c r="AM26" s="9">
        <v>0</v>
      </c>
      <c r="AN26" s="9">
        <v>0</v>
      </c>
      <c r="AO26" s="9">
        <v>0.32</v>
      </c>
    </row>
    <row r="28" spans="2:41" ht="15">
      <c r="B28" s="8" t="s">
        <v>190</v>
      </c>
      <c r="E28" s="7">
        <f>E3+E7+E11+E15+E19+E23</f>
        <v>17.018842781861011</v>
      </c>
      <c r="F28" s="7">
        <f t="shared" si="0" ref="F28:AO31">F3+F7+F11+F15+F19+F23</f>
        <v>701.82999999999993</v>
      </c>
      <c r="G28" s="7">
        <f t="shared" si="0"/>
        <v>67.834143476509169</v>
      </c>
      <c r="H28" s="7">
        <f t="shared" si="0"/>
        <v>663.00999999999999</v>
      </c>
      <c r="I28" s="7">
        <f t="shared" si="0"/>
        <v>279.18000000000001</v>
      </c>
      <c r="J28" s="7">
        <f t="shared" si="0"/>
        <v>1066.79</v>
      </c>
      <c r="K28" s="7">
        <f t="shared" si="0"/>
        <v>57.980000000000004</v>
      </c>
      <c r="L28" s="7">
        <f t="shared" si="0"/>
        <v>353.67000000000002</v>
      </c>
      <c r="M28" s="7">
        <f t="shared" si="0"/>
        <v>6673.21</v>
      </c>
      <c r="N28" s="7">
        <f t="shared" si="0"/>
        <v>203.90191677898181</v>
      </c>
      <c r="O28" s="7">
        <f t="shared" si="0"/>
        <v>108.03</v>
      </c>
      <c r="P28" s="7">
        <f t="shared" si="0"/>
        <v>276.63999999999999</v>
      </c>
      <c r="Q28" s="7">
        <f t="shared" si="0"/>
        <v>3253.4200000000001</v>
      </c>
      <c r="R28" s="7">
        <f t="shared" si="0"/>
        <v>542.17000000000007</v>
      </c>
      <c r="S28" s="7">
        <f t="shared" si="0"/>
        <v>3310.4000000000001</v>
      </c>
      <c r="T28" s="7">
        <f t="shared" si="0"/>
        <v>109.89</v>
      </c>
      <c r="U28" s="7">
        <f t="shared" si="0"/>
        <v>190.70000000000002</v>
      </c>
      <c r="V28" s="7">
        <f t="shared" si="0"/>
        <v>217.44999999999999</v>
      </c>
      <c r="W28" s="7">
        <f t="shared" si="0"/>
        <v>47.68</v>
      </c>
      <c r="X28" s="7">
        <f t="shared" si="0"/>
        <v>3300.6099999999997</v>
      </c>
      <c r="Y28" s="7">
        <f t="shared" si="0"/>
        <v>19.716756710858071</v>
      </c>
      <c r="Z28" s="7">
        <f t="shared" si="0"/>
        <v>336.48000000000002</v>
      </c>
      <c r="AA28" s="7">
        <f t="shared" si="0"/>
        <v>85.170000000000002</v>
      </c>
      <c r="AB28" s="7">
        <f t="shared" si="0"/>
        <v>137.36000000000001</v>
      </c>
      <c r="AC28" s="7">
        <f t="shared" si="0"/>
        <v>6.3342468632543945</v>
      </c>
      <c r="AD28" s="7">
        <f t="shared" si="0"/>
        <v>25.400000000000002</v>
      </c>
      <c r="AE28" s="7">
        <f t="shared" si="0"/>
        <v>11.25</v>
      </c>
      <c r="AF28" s="7">
        <f t="shared" si="0"/>
        <v>1367.6700000000003</v>
      </c>
      <c r="AG28" s="7">
        <f t="shared" si="0"/>
        <v>695.49000000000001</v>
      </c>
      <c r="AH28" s="7">
        <f t="shared" si="0"/>
        <v>1485.27</v>
      </c>
      <c r="AI28" s="7">
        <f t="shared" si="0"/>
        <v>478.56999999999999</v>
      </c>
      <c r="AJ28" s="7">
        <f t="shared" si="0"/>
        <v>416.58999999999997</v>
      </c>
      <c r="AK28" s="7">
        <f t="shared" si="0"/>
        <v>125.14079470696798</v>
      </c>
      <c r="AL28" s="7">
        <f t="shared" si="0"/>
        <v>1810.4300000000003</v>
      </c>
      <c r="AM28" s="7">
        <f t="shared" si="0"/>
        <v>93.259999999999991</v>
      </c>
      <c r="AN28" s="7">
        <f t="shared" si="0"/>
        <v>138.33999999999997</v>
      </c>
      <c r="AO28" s="7">
        <f t="shared" si="0"/>
        <v>4103.4300000000012</v>
      </c>
    </row>
    <row r="29" spans="2:41" ht="15">
      <c r="B29" s="8" t="s">
        <v>191</v>
      </c>
      <c r="E29" s="7">
        <f>E4+E8+E12+E16+E20+E24</f>
        <v>51.616253748547898</v>
      </c>
      <c r="F29" s="7">
        <f t="shared" si="1" ref="F29:T29">F4+F8+F12+F16+F20+F24</f>
        <v>1360.5</v>
      </c>
      <c r="G29" s="7">
        <f t="shared" si="1"/>
        <v>202.57427443462024</v>
      </c>
      <c r="H29" s="7">
        <f t="shared" si="1"/>
        <v>1571.8500000000001</v>
      </c>
      <c r="I29" s="7">
        <f t="shared" si="1"/>
        <v>711.98000000000002</v>
      </c>
      <c r="J29" s="7">
        <f t="shared" si="1"/>
        <v>1269.8599999999999</v>
      </c>
      <c r="K29" s="7">
        <f t="shared" si="1"/>
        <v>188.12</v>
      </c>
      <c r="L29" s="7">
        <f t="shared" si="1"/>
        <v>1056.8099999999999</v>
      </c>
      <c r="M29" s="7">
        <f t="shared" si="1"/>
        <v>12673.639999999999</v>
      </c>
      <c r="N29" s="7">
        <f t="shared" si="1"/>
        <v>820.71498287058012</v>
      </c>
      <c r="O29" s="7">
        <f t="shared" si="1"/>
        <v>154.07999999999998</v>
      </c>
      <c r="P29" s="7">
        <f t="shared" si="1"/>
        <v>1340.8200000000002</v>
      </c>
      <c r="Q29" s="7">
        <f t="shared" si="1"/>
        <v>8206.0100000000002</v>
      </c>
      <c r="R29" s="7">
        <f t="shared" si="1"/>
        <v>1063.5</v>
      </c>
      <c r="S29" s="7">
        <f t="shared" si="1"/>
        <v>9147.9799999999996</v>
      </c>
      <c r="T29" s="7">
        <f t="shared" si="1"/>
        <v>369.18000000000001</v>
      </c>
      <c r="U29" s="7">
        <f t="shared" si="0"/>
        <v>637.70000000000005</v>
      </c>
      <c r="V29" s="7">
        <f t="shared" si="0"/>
        <v>777.75999999999999</v>
      </c>
      <c r="W29" s="7">
        <f t="shared" si="0"/>
        <v>77.969999999999999</v>
      </c>
      <c r="X29" s="7">
        <f t="shared" si="0"/>
        <v>8292.1299999999992</v>
      </c>
      <c r="Y29" s="7">
        <f t="shared" si="0"/>
        <v>58.407296137383319</v>
      </c>
      <c r="Z29" s="7">
        <f t="shared" si="0"/>
        <v>507.65999999999997</v>
      </c>
      <c r="AA29" s="7">
        <f t="shared" si="0"/>
        <v>98.530000000000001</v>
      </c>
      <c r="AB29" s="7">
        <f t="shared" si="0"/>
        <v>186.40000000000001</v>
      </c>
      <c r="AC29" s="7">
        <f t="shared" si="0"/>
        <v>23.133148045597903</v>
      </c>
      <c r="AD29" s="7">
        <f t="shared" si="0"/>
        <v>81.63000000000001</v>
      </c>
      <c r="AE29" s="7">
        <f t="shared" si="0"/>
        <v>45.25</v>
      </c>
      <c r="AF29" s="7">
        <f t="shared" si="0"/>
        <v>2134.5699999999997</v>
      </c>
      <c r="AG29" s="7">
        <f t="shared" si="0"/>
        <v>611.27999999999997</v>
      </c>
      <c r="AH29" s="7">
        <f t="shared" si="0"/>
        <v>4639.4299999999994</v>
      </c>
      <c r="AI29" s="7">
        <f t="shared" si="0"/>
        <v>941.02999999999997</v>
      </c>
      <c r="AJ29" s="7">
        <f t="shared" si="0"/>
        <v>1124.9699999999998</v>
      </c>
      <c r="AK29" s="7">
        <f t="shared" si="0"/>
        <v>382.18581911522205</v>
      </c>
      <c r="AL29" s="7">
        <f t="shared" si="0"/>
        <v>1190.8700000000001</v>
      </c>
      <c r="AM29" s="7">
        <f t="shared" si="0"/>
        <v>294.65999999999997</v>
      </c>
      <c r="AN29" s="7">
        <f t="shared" si="0"/>
        <v>385.49000000000001</v>
      </c>
      <c r="AO29" s="7">
        <f t="shared" si="0"/>
        <v>8427.0199999999986</v>
      </c>
    </row>
    <row r="30" spans="2:41" ht="15">
      <c r="B30" s="8" t="s">
        <v>192</v>
      </c>
      <c r="E30" s="7">
        <f>E5+E9+E13+E17+E21+E25</f>
        <v>105.65930399910856</v>
      </c>
      <c r="F30" s="7">
        <f t="shared" si="0"/>
        <v>1984.5799999999999</v>
      </c>
      <c r="G30" s="7">
        <f t="shared" si="0"/>
        <v>394.87548138042575</v>
      </c>
      <c r="H30" s="7">
        <f t="shared" si="0"/>
        <v>2399.0100000000002</v>
      </c>
      <c r="I30" s="7">
        <f t="shared" si="0"/>
        <v>1288.96</v>
      </c>
      <c r="J30" s="7">
        <f t="shared" si="0"/>
        <v>1169.8099999999999</v>
      </c>
      <c r="K30" s="7">
        <f t="shared" si="0"/>
        <v>204.38</v>
      </c>
      <c r="L30" s="7">
        <f t="shared" si="0"/>
        <v>2611.6799999999998</v>
      </c>
      <c r="M30" s="7">
        <f t="shared" si="0"/>
        <v>16630.84</v>
      </c>
      <c r="N30" s="7">
        <f t="shared" si="0"/>
        <v>854.40486622392655</v>
      </c>
      <c r="O30" s="7">
        <f t="shared" si="0"/>
        <v>90.930000000000007</v>
      </c>
      <c r="P30" s="7">
        <f t="shared" si="0"/>
        <v>3084.4300000000003</v>
      </c>
      <c r="Q30" s="7">
        <f t="shared" si="0"/>
        <v>7250.7799999999997</v>
      </c>
      <c r="R30" s="7">
        <f t="shared" si="0"/>
        <v>773.49000000000001</v>
      </c>
      <c r="S30" s="7">
        <f t="shared" si="0"/>
        <v>14828.949999999999</v>
      </c>
      <c r="T30" s="7">
        <f t="shared" si="0"/>
        <v>847.59000000000003</v>
      </c>
      <c r="U30" s="7">
        <f t="shared" si="0"/>
        <v>1869.6500000000001</v>
      </c>
      <c r="V30" s="7">
        <f t="shared" si="0"/>
        <v>529.89999999999998</v>
      </c>
      <c r="W30" s="7">
        <f t="shared" si="0"/>
        <v>43.920000000000002</v>
      </c>
      <c r="X30" s="7">
        <f t="shared" si="0"/>
        <v>22107.860000000001</v>
      </c>
      <c r="Y30" s="7">
        <f t="shared" si="0"/>
        <v>110.64105030091828</v>
      </c>
      <c r="Z30" s="7">
        <f t="shared" si="0"/>
        <v>653.75999999999999</v>
      </c>
      <c r="AA30" s="7">
        <f t="shared" si="0"/>
        <v>108.16</v>
      </c>
      <c r="AB30" s="7">
        <f t="shared" si="0"/>
        <v>99.509999999999991</v>
      </c>
      <c r="AC30" s="7">
        <f t="shared" si="0"/>
        <v>50.026632327688112</v>
      </c>
      <c r="AD30" s="7">
        <f t="shared" si="0"/>
        <v>166.56000000000003</v>
      </c>
      <c r="AE30" s="7">
        <f t="shared" si="0"/>
        <v>164.17000000000002</v>
      </c>
      <c r="AF30" s="7">
        <f t="shared" si="0"/>
        <v>3276.3000000000002</v>
      </c>
      <c r="AG30" s="7">
        <f t="shared" si="0"/>
        <v>628.80999999999995</v>
      </c>
      <c r="AH30" s="7">
        <f t="shared" si="0"/>
        <v>9034.9599999999991</v>
      </c>
      <c r="AI30" s="7">
        <f t="shared" si="0"/>
        <v>2850.4700000000007</v>
      </c>
      <c r="AJ30" s="7">
        <f t="shared" si="0"/>
        <v>3218.0800000000004</v>
      </c>
      <c r="AK30" s="7">
        <f t="shared" si="0"/>
        <v>729.89548698508497</v>
      </c>
      <c r="AL30" s="7">
        <f t="shared" si="0"/>
        <v>820.20000000000005</v>
      </c>
      <c r="AM30" s="7">
        <f t="shared" si="0"/>
        <v>561.96000000000004</v>
      </c>
      <c r="AN30" s="7">
        <f t="shared" si="0"/>
        <v>972.40999999999997</v>
      </c>
      <c r="AO30" s="7">
        <f t="shared" si="0"/>
        <v>12026.440000000002</v>
      </c>
    </row>
    <row r="31" spans="2:41" ht="15">
      <c r="B31" s="8" t="s">
        <v>193</v>
      </c>
      <c r="E31" s="7">
        <f>E6+E10+E14+E18+E22+E26</f>
        <v>20.571541287768969</v>
      </c>
      <c r="F31" s="7">
        <f t="shared" si="0"/>
        <v>610.00999999999999</v>
      </c>
      <c r="G31" s="7">
        <f t="shared" si="0"/>
        <v>90.832116298749213</v>
      </c>
      <c r="H31" s="7">
        <f t="shared" si="0"/>
        <v>704.77999999999997</v>
      </c>
      <c r="I31" s="7">
        <f t="shared" si="0"/>
        <v>319.24000000000001</v>
      </c>
      <c r="J31" s="7">
        <f t="shared" si="0"/>
        <v>569.37</v>
      </c>
      <c r="K31" s="7">
        <f t="shared" si="0"/>
        <v>84.350000000000009</v>
      </c>
      <c r="L31" s="7">
        <f t="shared" si="0"/>
        <v>473.83999999999997</v>
      </c>
      <c r="M31" s="7">
        <f t="shared" si="0"/>
        <v>5682.5200000000004</v>
      </c>
      <c r="N31" s="7">
        <f t="shared" si="0"/>
        <v>367.99223412649536</v>
      </c>
      <c r="O31" s="7">
        <f t="shared" si="0"/>
        <v>69.079999999999998</v>
      </c>
      <c r="P31" s="7">
        <f t="shared" si="0"/>
        <v>514.9799999999999</v>
      </c>
      <c r="Q31" s="7">
        <f t="shared" si="0"/>
        <v>3433.6300000000001</v>
      </c>
      <c r="R31" s="7">
        <f t="shared" si="0"/>
        <v>476.83999999999997</v>
      </c>
      <c r="S31" s="7">
        <f t="shared" si="0"/>
        <v>4101.6999999999998</v>
      </c>
      <c r="T31" s="7">
        <f t="shared" si="0"/>
        <v>165.53999999999999</v>
      </c>
      <c r="U31" s="7">
        <f t="shared" si="0"/>
        <v>285.93000000000001</v>
      </c>
      <c r="V31" s="7">
        <f t="shared" si="0"/>
        <v>374.80000000000001</v>
      </c>
      <c r="W31" s="7">
        <f t="shared" si="0"/>
        <v>35.030000000000001</v>
      </c>
      <c r="X31" s="7">
        <f t="shared" si="0"/>
        <v>3717.96</v>
      </c>
      <c r="Y31" s="7">
        <f t="shared" si="0"/>
        <v>26.189782812452421</v>
      </c>
      <c r="Z31" s="7">
        <f t="shared" si="0"/>
        <v>227.62</v>
      </c>
      <c r="AA31" s="7">
        <f t="shared" si="0"/>
        <v>45.140000000000001</v>
      </c>
      <c r="AB31" s="7">
        <f t="shared" si="0"/>
        <v>83.589999999999989</v>
      </c>
      <c r="AC31" s="7">
        <f t="shared" si="0"/>
        <v>9.0670067987713043</v>
      </c>
      <c r="AD31" s="7">
        <f t="shared" si="0"/>
        <v>36.600000000000001</v>
      </c>
      <c r="AE31" s="7">
        <f t="shared" si="0"/>
        <v>20.289999999999999</v>
      </c>
      <c r="AF31" s="7">
        <f t="shared" si="0"/>
        <v>957.37</v>
      </c>
      <c r="AG31" s="7">
        <f t="shared" si="0"/>
        <v>340.53999999999996</v>
      </c>
      <c r="AH31" s="7">
        <f t="shared" si="0"/>
        <v>2080.3299999999999</v>
      </c>
      <c r="AI31" s="7">
        <f t="shared" si="0"/>
        <v>421.93000000000001</v>
      </c>
      <c r="AJ31" s="7">
        <f t="shared" si="0"/>
        <v>504.39999999999998</v>
      </c>
      <c r="AK31" s="7">
        <f t="shared" si="0"/>
        <v>171.38321039585367</v>
      </c>
      <c r="AL31" s="7">
        <f t="shared" si="0"/>
        <v>533.41999999999996</v>
      </c>
      <c r="AM31" s="7">
        <f t="shared" si="0"/>
        <v>132.12</v>
      </c>
      <c r="AN31" s="7">
        <f t="shared" si="0"/>
        <v>172.84999999999999</v>
      </c>
      <c r="AO31" s="7">
        <f t="shared" si="0"/>
        <v>3778.4400000000001</v>
      </c>
    </row>
    <row r="32" spans="2:41" ht="15">
      <c r="B32" s="8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</row>
    <row r="33" spans="1:2" ht="15">
      <c r="A33" t="s">
        <v>195</v>
      </c>
      <c r="B33" s="8" t="s">
        <v>30</v>
      </c>
    </row>
    <row r="34" spans="2:41" ht="15">
      <c r="B34" s="8" t="s">
        <v>57</v>
      </c>
      <c r="C34" s="8"/>
      <c r="D34" s="8"/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16.1625</v>
      </c>
      <c r="K34" s="9">
        <v>0</v>
      </c>
      <c r="L34" s="9">
        <v>0</v>
      </c>
      <c r="M34" s="9">
        <v>30.598700000000001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12.0975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6.6436000000000002</v>
      </c>
      <c r="AG34" s="9">
        <v>0</v>
      </c>
      <c r="AH34" s="9">
        <v>0</v>
      </c>
      <c r="AI34" s="9">
        <v>0</v>
      </c>
      <c r="AJ34" s="9">
        <v>0</v>
      </c>
      <c r="AK34" s="9">
        <v>12.0975</v>
      </c>
      <c r="AL34" s="9">
        <v>5.2009800000000004</v>
      </c>
      <c r="AM34" s="9">
        <v>0</v>
      </c>
      <c r="AN34" s="9">
        <v>0</v>
      </c>
      <c r="AO34" s="9">
        <v>0</v>
      </c>
    </row>
    <row r="35" spans="2:41" ht="15">
      <c r="B35" s="8" t="s">
        <v>58</v>
      </c>
      <c r="C35" s="8"/>
      <c r="D35" s="8"/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16.1625</v>
      </c>
      <c r="K35" s="9">
        <v>0</v>
      </c>
      <c r="L35" s="9">
        <v>0</v>
      </c>
      <c r="M35" s="9">
        <v>29.8109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12.3414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7.1553800000000001</v>
      </c>
      <c r="AG35" s="9">
        <v>0</v>
      </c>
      <c r="AH35" s="9">
        <v>0</v>
      </c>
      <c r="AI35" s="9">
        <v>0</v>
      </c>
      <c r="AJ35" s="9">
        <v>0</v>
      </c>
      <c r="AK35" s="9">
        <v>12.3414</v>
      </c>
      <c r="AL35" s="9">
        <v>5.2818100000000001</v>
      </c>
      <c r="AM35" s="9">
        <v>0</v>
      </c>
      <c r="AN35" s="9">
        <v>0</v>
      </c>
      <c r="AO35" s="9">
        <v>0</v>
      </c>
    </row>
    <row r="36" spans="2:41" ht="15">
      <c r="B36" s="8" t="s">
        <v>59</v>
      </c>
      <c r="C36" s="8"/>
      <c r="D36" s="8"/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16.1625</v>
      </c>
      <c r="K36" s="9">
        <v>0</v>
      </c>
      <c r="L36" s="9">
        <v>0</v>
      </c>
      <c r="M36" s="9">
        <v>29.791899999999998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15.1212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6.6436000000000002</v>
      </c>
      <c r="AG36" s="9">
        <v>0</v>
      </c>
      <c r="AH36" s="9">
        <v>0</v>
      </c>
      <c r="AI36" s="9">
        <v>0</v>
      </c>
      <c r="AJ36" s="9">
        <v>0</v>
      </c>
      <c r="AK36" s="9">
        <v>15.1212</v>
      </c>
      <c r="AL36" s="9">
        <v>5.2904600000000004</v>
      </c>
      <c r="AM36" s="9">
        <v>0</v>
      </c>
      <c r="AN36" s="9">
        <v>0</v>
      </c>
      <c r="AO36" s="9">
        <v>0</v>
      </c>
    </row>
    <row r="37" spans="2:41" ht="15">
      <c r="B37" s="8" t="s">
        <v>60</v>
      </c>
      <c r="C37" s="8"/>
      <c r="D37" s="8"/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16.1625</v>
      </c>
      <c r="K37" s="9">
        <v>0</v>
      </c>
      <c r="L37" s="9">
        <v>0</v>
      </c>
      <c r="M37" s="9">
        <v>30.252400000000002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12.7515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8.0601900000000004</v>
      </c>
      <c r="AG37" s="9">
        <v>0</v>
      </c>
      <c r="AH37" s="9">
        <v>0</v>
      </c>
      <c r="AI37" s="9">
        <v>0</v>
      </c>
      <c r="AJ37" s="9">
        <v>0</v>
      </c>
      <c r="AK37" s="9">
        <v>12.7515</v>
      </c>
      <c r="AL37" s="9">
        <v>5.4882900000000001</v>
      </c>
      <c r="AM37" s="9">
        <v>0</v>
      </c>
      <c r="AN37" s="9">
        <v>0</v>
      </c>
      <c r="AO37" s="9">
        <v>0</v>
      </c>
    </row>
    <row r="38" spans="2:41" ht="15">
      <c r="B38" s="8" t="s">
        <v>61</v>
      </c>
      <c r="C38" s="8"/>
      <c r="D38" s="8"/>
      <c r="E38" s="9">
        <v>23.029800000000002</v>
      </c>
      <c r="F38" s="9">
        <v>28.644600000000001</v>
      </c>
      <c r="G38" s="9">
        <v>20.534800000000001</v>
      </c>
      <c r="H38" s="9">
        <v>22.2029</v>
      </c>
      <c r="I38" s="9">
        <v>11.162800000000001</v>
      </c>
      <c r="J38" s="9">
        <v>19.091899999999999</v>
      </c>
      <c r="K38" s="9">
        <v>17.9343</v>
      </c>
      <c r="L38" s="9">
        <v>20.240100000000002</v>
      </c>
      <c r="M38" s="9">
        <v>24.641500000000001</v>
      </c>
      <c r="N38" s="9">
        <v>32.213500000000003</v>
      </c>
      <c r="O38" s="9">
        <v>22.435199999999998</v>
      </c>
      <c r="P38" s="9">
        <v>23.029800000000002</v>
      </c>
      <c r="Q38" s="9">
        <v>19.0031</v>
      </c>
      <c r="R38" s="9">
        <v>23.7821</v>
      </c>
      <c r="S38" s="9">
        <v>18.8005</v>
      </c>
      <c r="T38" s="9">
        <v>20.534800000000001</v>
      </c>
      <c r="U38" s="9">
        <v>25.579000000000001</v>
      </c>
      <c r="V38" s="9">
        <v>22.860800000000001</v>
      </c>
      <c r="W38" s="9">
        <v>16.421800000000001</v>
      </c>
      <c r="X38" s="9">
        <v>16.1706</v>
      </c>
      <c r="Y38" s="9">
        <v>20.534800000000001</v>
      </c>
      <c r="Z38" s="9">
        <v>7.6256599999999999</v>
      </c>
      <c r="AA38" s="9">
        <v>67.863</v>
      </c>
      <c r="AB38" s="9">
        <v>24.470099999999999</v>
      </c>
      <c r="AC38" s="9">
        <v>23.029800000000002</v>
      </c>
      <c r="AD38" s="9">
        <v>30.495</v>
      </c>
      <c r="AE38" s="9">
        <v>3.3300399999999999</v>
      </c>
      <c r="AF38" s="9">
        <v>33.462699999999998</v>
      </c>
      <c r="AG38" s="9">
        <v>23.327100000000002</v>
      </c>
      <c r="AH38" s="9">
        <v>13.8141</v>
      </c>
      <c r="AI38" s="9">
        <v>19.518599999999999</v>
      </c>
      <c r="AJ38" s="9">
        <v>10.7438</v>
      </c>
      <c r="AK38" s="9">
        <v>20.534800000000001</v>
      </c>
      <c r="AL38" s="9">
        <v>39.236400000000003</v>
      </c>
      <c r="AM38" s="9">
        <v>24.8525</v>
      </c>
      <c r="AN38" s="9">
        <v>11.883900000000001</v>
      </c>
      <c r="AO38" s="9">
        <v>19.110399999999998</v>
      </c>
    </row>
    <row r="39" spans="2:41" ht="15">
      <c r="B39" s="8" t="s">
        <v>62</v>
      </c>
      <c r="C39" s="8"/>
      <c r="D39" s="8"/>
      <c r="E39" s="9">
        <v>19.682600000000001</v>
      </c>
      <c r="F39" s="9">
        <v>26.341100000000001</v>
      </c>
      <c r="G39" s="9">
        <v>18.903300000000002</v>
      </c>
      <c r="H39" s="9">
        <v>23.735900000000001</v>
      </c>
      <c r="I39" s="9">
        <v>12.5225</v>
      </c>
      <c r="J39" s="9">
        <v>17.0763</v>
      </c>
      <c r="K39" s="9">
        <v>13.663600000000001</v>
      </c>
      <c r="L39" s="9">
        <v>18.413399999999999</v>
      </c>
      <c r="M39" s="9">
        <v>24.1191</v>
      </c>
      <c r="N39" s="9">
        <v>30.905899999999999</v>
      </c>
      <c r="O39" s="9">
        <v>19.766500000000001</v>
      </c>
      <c r="P39" s="9">
        <v>19.682600000000001</v>
      </c>
      <c r="Q39" s="9">
        <v>17.291699999999999</v>
      </c>
      <c r="R39" s="9">
        <v>23.4268</v>
      </c>
      <c r="S39" s="9">
        <v>17.762599999999999</v>
      </c>
      <c r="T39" s="9">
        <v>18.903300000000002</v>
      </c>
      <c r="U39" s="9">
        <v>23.867100000000001</v>
      </c>
      <c r="V39" s="9">
        <v>22.054200000000002</v>
      </c>
      <c r="W39" s="9">
        <v>18.053799999999999</v>
      </c>
      <c r="X39" s="9">
        <v>15.0969</v>
      </c>
      <c r="Y39" s="9">
        <v>18.903300000000002</v>
      </c>
      <c r="Z39" s="9">
        <v>5.9673100000000003</v>
      </c>
      <c r="AA39" s="9">
        <v>69.064599999999999</v>
      </c>
      <c r="AB39" s="9">
        <v>20.394500000000001</v>
      </c>
      <c r="AC39" s="9">
        <v>19.682600000000001</v>
      </c>
      <c r="AD39" s="9">
        <v>27.66</v>
      </c>
      <c r="AE39" s="9">
        <v>3.5101399999999998</v>
      </c>
      <c r="AF39" s="9">
        <v>33.128900000000002</v>
      </c>
      <c r="AG39" s="9">
        <v>23.597799999999999</v>
      </c>
      <c r="AH39" s="9">
        <v>14.1127</v>
      </c>
      <c r="AI39" s="9">
        <v>19.518599999999999</v>
      </c>
      <c r="AJ39" s="9">
        <v>9.1672700000000003</v>
      </c>
      <c r="AK39" s="9">
        <v>18.903300000000002</v>
      </c>
      <c r="AL39" s="9">
        <v>35.022100000000002</v>
      </c>
      <c r="AM39" s="9">
        <v>24.9801</v>
      </c>
      <c r="AN39" s="9">
        <v>11.8965</v>
      </c>
      <c r="AO39" s="9">
        <v>17.5383</v>
      </c>
    </row>
    <row r="40" spans="2:41" ht="15">
      <c r="B40" s="8" t="s">
        <v>63</v>
      </c>
      <c r="C40" s="8"/>
      <c r="D40" s="8"/>
      <c r="E40" s="9">
        <v>13.2971</v>
      </c>
      <c r="F40" s="9">
        <v>26.5225</v>
      </c>
      <c r="G40" s="9">
        <v>18.903300000000002</v>
      </c>
      <c r="H40" s="9">
        <v>21.687000000000001</v>
      </c>
      <c r="I40" s="9">
        <v>12.5122</v>
      </c>
      <c r="J40" s="9">
        <v>17.064800000000002</v>
      </c>
      <c r="K40" s="9">
        <v>12.8825</v>
      </c>
      <c r="L40" s="9">
        <v>18.413399999999999</v>
      </c>
      <c r="M40" s="9">
        <v>24.033000000000001</v>
      </c>
      <c r="N40" s="9">
        <v>29.33</v>
      </c>
      <c r="O40" s="9">
        <v>21.111899999999999</v>
      </c>
      <c r="P40" s="9">
        <v>13.2971</v>
      </c>
      <c r="Q40" s="9">
        <v>17.0657</v>
      </c>
      <c r="R40" s="9">
        <v>24.872199999999999</v>
      </c>
      <c r="S40" s="9">
        <v>17.9041</v>
      </c>
      <c r="T40" s="9">
        <v>18.903300000000002</v>
      </c>
      <c r="U40" s="9">
        <v>23.867100000000001</v>
      </c>
      <c r="V40" s="9">
        <v>22.225899999999999</v>
      </c>
      <c r="W40" s="9">
        <v>17.6751</v>
      </c>
      <c r="X40" s="9">
        <v>16.965900000000001</v>
      </c>
      <c r="Y40" s="9">
        <v>18.903300000000002</v>
      </c>
      <c r="Z40" s="9">
        <v>5.9673100000000003</v>
      </c>
      <c r="AA40" s="9">
        <v>68.787400000000005</v>
      </c>
      <c r="AB40" s="9">
        <v>23.053899999999999</v>
      </c>
      <c r="AC40" s="9">
        <v>13.2971</v>
      </c>
      <c r="AD40" s="9">
        <v>25.8461</v>
      </c>
      <c r="AE40" s="9">
        <v>3.6430799999999999</v>
      </c>
      <c r="AF40" s="9">
        <v>32.542200000000001</v>
      </c>
      <c r="AG40" s="9">
        <v>23.7897</v>
      </c>
      <c r="AH40" s="9">
        <v>13.330399999999999</v>
      </c>
      <c r="AI40" s="9">
        <v>19.518599999999999</v>
      </c>
      <c r="AJ40" s="9">
        <v>9.1672700000000003</v>
      </c>
      <c r="AK40" s="9">
        <v>18.903300000000002</v>
      </c>
      <c r="AL40" s="9">
        <v>34.8127</v>
      </c>
      <c r="AM40" s="9">
        <v>23.4068</v>
      </c>
      <c r="AN40" s="9">
        <v>11.8965</v>
      </c>
      <c r="AO40" s="9">
        <v>14.9747</v>
      </c>
    </row>
    <row r="41" spans="2:41" ht="15">
      <c r="B41" s="8" t="s">
        <v>64</v>
      </c>
      <c r="C41" s="8"/>
      <c r="D41" s="8"/>
      <c r="E41" s="9">
        <v>20.250599999999999</v>
      </c>
      <c r="F41" s="9">
        <v>26.933800000000002</v>
      </c>
      <c r="G41" s="9">
        <v>19.439499999999999</v>
      </c>
      <c r="H41" s="9">
        <v>22.4619</v>
      </c>
      <c r="I41" s="9">
        <v>6.6320800000000002</v>
      </c>
      <c r="J41" s="9">
        <v>18.041</v>
      </c>
      <c r="K41" s="9">
        <v>13.648099999999999</v>
      </c>
      <c r="L41" s="9">
        <v>18.413399999999999</v>
      </c>
      <c r="M41" s="9">
        <v>24.665199999999999</v>
      </c>
      <c r="N41" s="9">
        <v>29.5565</v>
      </c>
      <c r="O41" s="9">
        <v>20.333600000000001</v>
      </c>
      <c r="P41" s="9">
        <v>20.250599999999999</v>
      </c>
      <c r="Q41" s="9">
        <v>17.088699999999999</v>
      </c>
      <c r="R41" s="9">
        <v>22.436199999999999</v>
      </c>
      <c r="S41" s="9">
        <v>18.046800000000001</v>
      </c>
      <c r="T41" s="9">
        <v>19.439499999999999</v>
      </c>
      <c r="U41" s="9">
        <v>23.867100000000001</v>
      </c>
      <c r="V41" s="9">
        <v>22.016400000000001</v>
      </c>
      <c r="W41" s="9">
        <v>19.264700000000001</v>
      </c>
      <c r="X41" s="9">
        <v>15.4991</v>
      </c>
      <c r="Y41" s="9">
        <v>19.439499999999999</v>
      </c>
      <c r="Z41" s="9">
        <v>5.9673100000000003</v>
      </c>
      <c r="AA41" s="9">
        <v>73.224999999999994</v>
      </c>
      <c r="AB41" s="9">
        <v>25.421199999999999</v>
      </c>
      <c r="AC41" s="9">
        <v>20.250599999999999</v>
      </c>
      <c r="AD41" s="9">
        <v>27.66</v>
      </c>
      <c r="AE41" s="9">
        <v>3.5163099999999998</v>
      </c>
      <c r="AF41" s="9">
        <v>32.637300000000003</v>
      </c>
      <c r="AG41" s="9">
        <v>23.148</v>
      </c>
      <c r="AH41" s="9">
        <v>13.9253</v>
      </c>
      <c r="AI41" s="9">
        <v>19.518599999999999</v>
      </c>
      <c r="AJ41" s="9">
        <v>9.1672700000000003</v>
      </c>
      <c r="AK41" s="9">
        <v>19.439499999999999</v>
      </c>
      <c r="AL41" s="9">
        <v>36.3048</v>
      </c>
      <c r="AM41" s="9">
        <v>25.445900000000002</v>
      </c>
      <c r="AN41" s="9">
        <v>11.8965</v>
      </c>
      <c r="AO41" s="9">
        <v>18.377199999999998</v>
      </c>
    </row>
    <row r="42" spans="2:41" ht="15">
      <c r="B42" s="8" t="s">
        <v>76</v>
      </c>
      <c r="C42" s="8"/>
      <c r="D42" s="8"/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11.1287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0</v>
      </c>
      <c r="AK42" s="9">
        <v>0</v>
      </c>
      <c r="AL42" s="9">
        <v>16.749199999999998</v>
      </c>
      <c r="AM42" s="9">
        <v>0</v>
      </c>
      <c r="AN42" s="9">
        <v>0</v>
      </c>
      <c r="AO42" s="9">
        <v>0</v>
      </c>
    </row>
    <row r="43" spans="2:41" ht="15">
      <c r="B43" s="8" t="s">
        <v>77</v>
      </c>
      <c r="C43" s="8"/>
      <c r="D43" s="8"/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11.1287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16.370799999999999</v>
      </c>
      <c r="AM43" s="9">
        <v>0</v>
      </c>
      <c r="AN43" s="9">
        <v>0</v>
      </c>
      <c r="AO43" s="9">
        <v>0</v>
      </c>
    </row>
    <row r="44" spans="2:41" ht="15">
      <c r="B44" s="8" t="s">
        <v>78</v>
      </c>
      <c r="C44" s="8"/>
      <c r="D44" s="8"/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11.1287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15.3071</v>
      </c>
      <c r="AM44" s="9">
        <v>0</v>
      </c>
      <c r="AN44" s="9">
        <v>0</v>
      </c>
      <c r="AO44" s="9">
        <v>0</v>
      </c>
    </row>
    <row r="45" spans="2:41" ht="15">
      <c r="B45" s="8" t="s">
        <v>79</v>
      </c>
      <c r="C45" s="8"/>
      <c r="D45" s="8"/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11.1287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16.805099999999999</v>
      </c>
      <c r="AM45" s="9">
        <v>0</v>
      </c>
      <c r="AN45" s="9">
        <v>0</v>
      </c>
      <c r="AO45" s="9">
        <v>0</v>
      </c>
    </row>
    <row r="46" spans="2:41" ht="15">
      <c r="B46" s="8" t="s">
        <v>80</v>
      </c>
      <c r="C46" s="8"/>
      <c r="D46" s="8"/>
      <c r="E46" s="9">
        <v>9.7206799999999998</v>
      </c>
      <c r="F46" s="9">
        <v>15.465999999999999</v>
      </c>
      <c r="G46" s="9">
        <v>11.6698</v>
      </c>
      <c r="H46" s="9">
        <v>8.2721300000000006</v>
      </c>
      <c r="I46" s="9">
        <v>5.7729600000000003</v>
      </c>
      <c r="J46" s="9">
        <v>14.978999999999999</v>
      </c>
      <c r="K46" s="9">
        <v>15.1014</v>
      </c>
      <c r="L46" s="9">
        <v>9.3872199999999992</v>
      </c>
      <c r="M46" s="9">
        <v>12.5715</v>
      </c>
      <c r="N46" s="9">
        <v>19.9298</v>
      </c>
      <c r="O46" s="9">
        <v>16.203299999999999</v>
      </c>
      <c r="P46" s="9">
        <v>9.7206799999999998</v>
      </c>
      <c r="Q46" s="9">
        <v>14.0922</v>
      </c>
      <c r="R46" s="9">
        <v>10.5501</v>
      </c>
      <c r="S46" s="9">
        <v>12.7613</v>
      </c>
      <c r="T46" s="9">
        <v>11.6698</v>
      </c>
      <c r="U46" s="9">
        <v>10.6456</v>
      </c>
      <c r="V46" s="9">
        <v>19.9739</v>
      </c>
      <c r="W46" s="9">
        <v>12.864800000000001</v>
      </c>
      <c r="X46" s="9">
        <v>11.2913</v>
      </c>
      <c r="Y46" s="9">
        <v>11.6698</v>
      </c>
      <c r="Z46" s="9">
        <v>5.1572300000000002</v>
      </c>
      <c r="AA46" s="9">
        <v>44.097999999999999</v>
      </c>
      <c r="AB46" s="9">
        <v>15.652100000000001</v>
      </c>
      <c r="AC46" s="9">
        <v>9.7206799999999998</v>
      </c>
      <c r="AD46" s="9">
        <v>10.1213</v>
      </c>
      <c r="AE46" s="9">
        <v>8.0372400000000006</v>
      </c>
      <c r="AF46" s="9">
        <v>10.5364</v>
      </c>
      <c r="AG46" s="9">
        <v>9.9621399999999998</v>
      </c>
      <c r="AH46" s="9">
        <v>5.9304199999999998</v>
      </c>
      <c r="AI46" s="9">
        <v>10.6304</v>
      </c>
      <c r="AJ46" s="9">
        <v>6.4410999999999996</v>
      </c>
      <c r="AK46" s="9">
        <v>11.6698</v>
      </c>
      <c r="AL46" s="9">
        <v>13.471399999999999</v>
      </c>
      <c r="AM46" s="9">
        <v>15.4709</v>
      </c>
      <c r="AN46" s="9">
        <v>12.9636</v>
      </c>
      <c r="AO46" s="9">
        <v>15.4458</v>
      </c>
    </row>
    <row r="47" spans="2:41" ht="15">
      <c r="B47" s="8" t="s">
        <v>81</v>
      </c>
      <c r="C47" s="8"/>
      <c r="D47" s="8"/>
      <c r="E47" s="9">
        <v>9.1454400000000007</v>
      </c>
      <c r="F47" s="9">
        <v>14.9224</v>
      </c>
      <c r="G47" s="9">
        <v>11.8812</v>
      </c>
      <c r="H47" s="9">
        <v>9.6917000000000009</v>
      </c>
      <c r="I47" s="9">
        <v>5.4128299999999996</v>
      </c>
      <c r="J47" s="9">
        <v>13.435</v>
      </c>
      <c r="K47" s="9">
        <v>13.7628</v>
      </c>
      <c r="L47" s="9">
        <v>9.1841500000000007</v>
      </c>
      <c r="M47" s="9">
        <v>10.887700000000001</v>
      </c>
      <c r="N47" s="9">
        <v>15.3682</v>
      </c>
      <c r="O47" s="9">
        <v>14.897</v>
      </c>
      <c r="P47" s="9">
        <v>9.1454400000000007</v>
      </c>
      <c r="Q47" s="9">
        <v>7.6632499999999997</v>
      </c>
      <c r="R47" s="9">
        <v>10.515599999999999</v>
      </c>
      <c r="S47" s="9">
        <v>11.874700000000001</v>
      </c>
      <c r="T47" s="9">
        <v>11.8812</v>
      </c>
      <c r="U47" s="9">
        <v>10.7989</v>
      </c>
      <c r="V47" s="9">
        <v>17.970199999999998</v>
      </c>
      <c r="W47" s="9">
        <v>13.395899999999999</v>
      </c>
      <c r="X47" s="9">
        <v>9.6733600000000006</v>
      </c>
      <c r="Y47" s="9">
        <v>11.8812</v>
      </c>
      <c r="Z47" s="9">
        <v>3.9107099999999999</v>
      </c>
      <c r="AA47" s="9">
        <v>44.284500000000001</v>
      </c>
      <c r="AB47" s="9">
        <v>13.428800000000001</v>
      </c>
      <c r="AC47" s="9">
        <v>9.1454400000000007</v>
      </c>
      <c r="AD47" s="9">
        <v>9.7376400000000007</v>
      </c>
      <c r="AE47" s="9">
        <v>8.5177999999999994</v>
      </c>
      <c r="AF47" s="9">
        <v>10.7516</v>
      </c>
      <c r="AG47" s="9">
        <v>10.1554</v>
      </c>
      <c r="AH47" s="9">
        <v>6.1784299999999996</v>
      </c>
      <c r="AI47" s="9">
        <v>10.5128</v>
      </c>
      <c r="AJ47" s="9">
        <v>6.6146900000000004</v>
      </c>
      <c r="AK47" s="9">
        <v>11.8812</v>
      </c>
      <c r="AL47" s="9">
        <v>12.6475</v>
      </c>
      <c r="AM47" s="9">
        <v>17.744299999999999</v>
      </c>
      <c r="AN47" s="9">
        <v>8.5815800000000007</v>
      </c>
      <c r="AO47" s="9">
        <v>14.109299999999999</v>
      </c>
    </row>
    <row r="48" spans="2:41" ht="15">
      <c r="B48" s="8" t="s">
        <v>82</v>
      </c>
      <c r="C48" s="8"/>
      <c r="D48" s="8"/>
      <c r="E48" s="9">
        <v>6.59924</v>
      </c>
      <c r="F48" s="9">
        <v>13.423</v>
      </c>
      <c r="G48" s="9">
        <v>11.510999999999999</v>
      </c>
      <c r="H48" s="9">
        <v>10.481400000000001</v>
      </c>
      <c r="I48" s="9">
        <v>5.80105</v>
      </c>
      <c r="J48" s="9">
        <v>11.076700000000001</v>
      </c>
      <c r="K48" s="9">
        <v>12.084300000000001</v>
      </c>
      <c r="L48" s="9">
        <v>8.6676300000000008</v>
      </c>
      <c r="M48" s="9">
        <v>9.0140700000000002</v>
      </c>
      <c r="N48" s="9">
        <v>13.9666</v>
      </c>
      <c r="O48" s="9">
        <v>13.2774</v>
      </c>
      <c r="P48" s="9">
        <v>6.59924</v>
      </c>
      <c r="Q48" s="9">
        <v>6.5509000000000004</v>
      </c>
      <c r="R48" s="9">
        <v>10.7516</v>
      </c>
      <c r="S48" s="9">
        <v>9.9579799999999992</v>
      </c>
      <c r="T48" s="9">
        <v>11.510999999999999</v>
      </c>
      <c r="U48" s="9">
        <v>9.9195799999999998</v>
      </c>
      <c r="V48" s="9">
        <v>17.7197</v>
      </c>
      <c r="W48" s="9">
        <v>12.9208</v>
      </c>
      <c r="X48" s="9">
        <v>7.0178799999999999</v>
      </c>
      <c r="Y48" s="9">
        <v>11.510999999999999</v>
      </c>
      <c r="Z48" s="9">
        <v>3.8382999999999998</v>
      </c>
      <c r="AA48" s="9">
        <v>44.016100000000002</v>
      </c>
      <c r="AB48" s="9">
        <v>13.573499999999999</v>
      </c>
      <c r="AC48" s="9">
        <v>6.59924</v>
      </c>
      <c r="AD48" s="9">
        <v>9.0625699999999991</v>
      </c>
      <c r="AE48" s="9">
        <v>7.9329200000000002</v>
      </c>
      <c r="AF48" s="9">
        <v>10.516299999999999</v>
      </c>
      <c r="AG48" s="9">
        <v>9.9722899999999992</v>
      </c>
      <c r="AH48" s="9">
        <v>6.03932</v>
      </c>
      <c r="AI48" s="9">
        <v>10.059699999999999</v>
      </c>
      <c r="AJ48" s="9">
        <v>5.0827200000000001</v>
      </c>
      <c r="AK48" s="9">
        <v>11.510999999999999</v>
      </c>
      <c r="AL48" s="9">
        <v>10.941700000000001</v>
      </c>
      <c r="AM48" s="9">
        <v>11.9842</v>
      </c>
      <c r="AN48" s="9">
        <v>8.5815800000000007</v>
      </c>
      <c r="AO48" s="9">
        <v>12.3371</v>
      </c>
    </row>
    <row r="49" spans="2:41" ht="15">
      <c r="B49" s="8" t="s">
        <v>83</v>
      </c>
      <c r="C49" s="8"/>
      <c r="D49" s="8"/>
      <c r="E49" s="9">
        <v>9.4613399999999999</v>
      </c>
      <c r="F49" s="9">
        <v>14.8161</v>
      </c>
      <c r="G49" s="9">
        <v>11.4002</v>
      </c>
      <c r="H49" s="9">
        <v>9.1909700000000001</v>
      </c>
      <c r="I49" s="9">
        <v>5.4803600000000001</v>
      </c>
      <c r="J49" s="9">
        <v>13.176600000000001</v>
      </c>
      <c r="K49" s="9">
        <v>13.3172</v>
      </c>
      <c r="L49" s="9">
        <v>9.2827999999999999</v>
      </c>
      <c r="M49" s="9">
        <v>11.116400000000001</v>
      </c>
      <c r="N49" s="9">
        <v>15.3376</v>
      </c>
      <c r="O49" s="9">
        <v>15.5503</v>
      </c>
      <c r="P49" s="9">
        <v>9.4613399999999999</v>
      </c>
      <c r="Q49" s="9">
        <v>7.2602000000000002</v>
      </c>
      <c r="R49" s="9">
        <v>10.486800000000001</v>
      </c>
      <c r="S49" s="9">
        <v>12.3832</v>
      </c>
      <c r="T49" s="9">
        <v>11.4002</v>
      </c>
      <c r="U49" s="9">
        <v>10.61</v>
      </c>
      <c r="V49" s="9">
        <v>18.953499999999998</v>
      </c>
      <c r="W49" s="9">
        <v>13.5497</v>
      </c>
      <c r="X49" s="9">
        <v>9.0844000000000005</v>
      </c>
      <c r="Y49" s="9">
        <v>11.4002</v>
      </c>
      <c r="Z49" s="9">
        <v>3.88042</v>
      </c>
      <c r="AA49" s="9">
        <v>44.174300000000002</v>
      </c>
      <c r="AB49" s="9">
        <v>13.0284</v>
      </c>
      <c r="AC49" s="9">
        <v>9.4613399999999999</v>
      </c>
      <c r="AD49" s="9">
        <v>9.8940300000000008</v>
      </c>
      <c r="AE49" s="9">
        <v>8.1748899999999995</v>
      </c>
      <c r="AF49" s="9">
        <v>10.821300000000001</v>
      </c>
      <c r="AG49" s="9">
        <v>9.8859200000000005</v>
      </c>
      <c r="AH49" s="9">
        <v>6.0590999999999999</v>
      </c>
      <c r="AI49" s="9">
        <v>10.5083</v>
      </c>
      <c r="AJ49" s="9">
        <v>6.5694900000000001</v>
      </c>
      <c r="AK49" s="9">
        <v>11.4002</v>
      </c>
      <c r="AL49" s="9">
        <v>13.005100000000001</v>
      </c>
      <c r="AM49" s="9">
        <v>15.908899999999999</v>
      </c>
      <c r="AN49" s="9">
        <v>8.29359</v>
      </c>
      <c r="AO49" s="9">
        <v>15.1126</v>
      </c>
    </row>
    <row r="50" spans="2:41" ht="15">
      <c r="B50" s="8" t="s">
        <v>65</v>
      </c>
      <c r="C50" s="8"/>
      <c r="D50" s="8"/>
      <c r="E50" s="9">
        <v>127.303</v>
      </c>
      <c r="F50" s="9">
        <v>0</v>
      </c>
      <c r="G50" s="9">
        <v>24.028199999999998</v>
      </c>
      <c r="H50" s="9">
        <v>24.198699999999999</v>
      </c>
      <c r="I50" s="9">
        <v>55.4985</v>
      </c>
      <c r="J50" s="9">
        <v>0</v>
      </c>
      <c r="K50" s="9">
        <v>0</v>
      </c>
      <c r="L50" s="9">
        <v>0</v>
      </c>
      <c r="M50" s="9">
        <v>21.715699999999998</v>
      </c>
      <c r="N50" s="9">
        <v>23.837399999999999</v>
      </c>
      <c r="O50" s="9">
        <v>0</v>
      </c>
      <c r="P50" s="9">
        <v>127.303</v>
      </c>
      <c r="Q50" s="9">
        <v>0</v>
      </c>
      <c r="R50" s="9">
        <v>0</v>
      </c>
      <c r="S50" s="9">
        <v>8.9685299999999994</v>
      </c>
      <c r="T50" s="9">
        <v>24.028199999999998</v>
      </c>
      <c r="U50" s="9">
        <v>100.03700000000001</v>
      </c>
      <c r="V50" s="9">
        <v>106.209</v>
      </c>
      <c r="W50" s="9">
        <v>0</v>
      </c>
      <c r="X50" s="9">
        <v>7.9006800000000004</v>
      </c>
      <c r="Y50" s="9">
        <v>24.028199999999998</v>
      </c>
      <c r="Z50" s="9">
        <v>0</v>
      </c>
      <c r="AA50" s="9">
        <v>0</v>
      </c>
      <c r="AB50" s="9">
        <v>23.205300000000001</v>
      </c>
      <c r="AC50" s="9">
        <v>127.303</v>
      </c>
      <c r="AD50" s="9">
        <v>0</v>
      </c>
      <c r="AE50" s="9">
        <v>0</v>
      </c>
      <c r="AF50" s="9">
        <v>19.421299999999999</v>
      </c>
      <c r="AG50" s="9">
        <v>0</v>
      </c>
      <c r="AH50" s="9">
        <v>10.713200000000001</v>
      </c>
      <c r="AI50" s="9">
        <v>12.294600000000001</v>
      </c>
      <c r="AJ50" s="9">
        <v>1.3607100000000001</v>
      </c>
      <c r="AK50" s="9">
        <v>24.028199999999998</v>
      </c>
      <c r="AL50" s="9">
        <v>0</v>
      </c>
      <c r="AM50" s="9">
        <v>0</v>
      </c>
      <c r="AN50" s="9">
        <v>9.1716899999999999</v>
      </c>
      <c r="AO50" s="9">
        <v>38.757399999999997</v>
      </c>
    </row>
    <row r="51" spans="2:41" ht="15">
      <c r="B51" s="8" t="s">
        <v>66</v>
      </c>
      <c r="C51" s="8"/>
      <c r="D51" s="8"/>
      <c r="E51" s="9">
        <v>108.955</v>
      </c>
      <c r="F51" s="9">
        <v>0</v>
      </c>
      <c r="G51" s="9">
        <v>24.028199999999998</v>
      </c>
      <c r="H51" s="9">
        <v>24.181799999999999</v>
      </c>
      <c r="I51" s="9">
        <v>55.501399999999997</v>
      </c>
      <c r="J51" s="9">
        <v>0</v>
      </c>
      <c r="K51" s="9">
        <v>0</v>
      </c>
      <c r="L51" s="9">
        <v>0</v>
      </c>
      <c r="M51" s="9">
        <v>21.552299999999999</v>
      </c>
      <c r="N51" s="9">
        <v>22.719000000000001</v>
      </c>
      <c r="O51" s="9">
        <v>0</v>
      </c>
      <c r="P51" s="9">
        <v>108.955</v>
      </c>
      <c r="Q51" s="9">
        <v>0</v>
      </c>
      <c r="R51" s="9">
        <v>0</v>
      </c>
      <c r="S51" s="9">
        <v>9.4785799999999991</v>
      </c>
      <c r="T51" s="9">
        <v>24.028199999999998</v>
      </c>
      <c r="U51" s="9">
        <v>100.03700000000001</v>
      </c>
      <c r="V51" s="9">
        <v>48.545</v>
      </c>
      <c r="W51" s="9">
        <v>0</v>
      </c>
      <c r="X51" s="9">
        <v>8.7792300000000001</v>
      </c>
      <c r="Y51" s="9">
        <v>24.028199999999998</v>
      </c>
      <c r="Z51" s="9">
        <v>0</v>
      </c>
      <c r="AA51" s="9">
        <v>0</v>
      </c>
      <c r="AB51" s="9">
        <v>23.205300000000001</v>
      </c>
      <c r="AC51" s="9">
        <v>108.955</v>
      </c>
      <c r="AD51" s="9">
        <v>0</v>
      </c>
      <c r="AE51" s="9">
        <v>0</v>
      </c>
      <c r="AF51" s="9">
        <v>19.416699999999999</v>
      </c>
      <c r="AG51" s="9">
        <v>0</v>
      </c>
      <c r="AH51" s="9">
        <v>10.713200000000001</v>
      </c>
      <c r="AI51" s="9">
        <v>12.1586</v>
      </c>
      <c r="AJ51" s="9">
        <v>1.3607100000000001</v>
      </c>
      <c r="AK51" s="9">
        <v>24.028199999999998</v>
      </c>
      <c r="AL51" s="9">
        <v>0</v>
      </c>
      <c r="AM51" s="9">
        <v>0</v>
      </c>
      <c r="AN51" s="9">
        <v>9.1716899999999999</v>
      </c>
      <c r="AO51" s="9">
        <v>35.505299999999998</v>
      </c>
    </row>
    <row r="52" spans="2:41" ht="15">
      <c r="B52" s="8" t="s">
        <v>67</v>
      </c>
      <c r="C52" s="8"/>
      <c r="D52" s="8"/>
      <c r="E52" s="9">
        <v>83.713399999999993</v>
      </c>
      <c r="F52" s="9">
        <v>0</v>
      </c>
      <c r="G52" s="9">
        <v>24.028199999999998</v>
      </c>
      <c r="H52" s="9">
        <v>24.099799999999998</v>
      </c>
      <c r="I52" s="9">
        <v>55.508000000000003</v>
      </c>
      <c r="J52" s="9">
        <v>0</v>
      </c>
      <c r="K52" s="9">
        <v>0</v>
      </c>
      <c r="L52" s="9">
        <v>0</v>
      </c>
      <c r="M52" s="9">
        <v>21.462399999999999</v>
      </c>
      <c r="N52" s="9">
        <v>21.683399999999999</v>
      </c>
      <c r="O52" s="9">
        <v>0</v>
      </c>
      <c r="P52" s="9">
        <v>83.713399999999993</v>
      </c>
      <c r="Q52" s="9">
        <v>0</v>
      </c>
      <c r="R52" s="9">
        <v>0</v>
      </c>
      <c r="S52" s="9">
        <v>9.6721800000000009</v>
      </c>
      <c r="T52" s="9">
        <v>24.028199999999998</v>
      </c>
      <c r="U52" s="9">
        <v>100.03700000000001</v>
      </c>
      <c r="V52" s="9">
        <v>38.860300000000002</v>
      </c>
      <c r="W52" s="9">
        <v>0</v>
      </c>
      <c r="X52" s="9">
        <v>11.298</v>
      </c>
      <c r="Y52" s="9">
        <v>24.028199999999998</v>
      </c>
      <c r="Z52" s="9">
        <v>0</v>
      </c>
      <c r="AA52" s="9">
        <v>0</v>
      </c>
      <c r="AB52" s="9">
        <v>23.205300000000001</v>
      </c>
      <c r="AC52" s="9">
        <v>83.713399999999993</v>
      </c>
      <c r="AD52" s="9">
        <v>0</v>
      </c>
      <c r="AE52" s="9">
        <v>0</v>
      </c>
      <c r="AF52" s="9">
        <v>19.435600000000001</v>
      </c>
      <c r="AG52" s="9">
        <v>0</v>
      </c>
      <c r="AH52" s="9">
        <v>10.713200000000001</v>
      </c>
      <c r="AI52" s="9">
        <v>11.634600000000001</v>
      </c>
      <c r="AJ52" s="9">
        <v>1.3607100000000001</v>
      </c>
      <c r="AK52" s="9">
        <v>24.028199999999998</v>
      </c>
      <c r="AL52" s="9">
        <v>0</v>
      </c>
      <c r="AM52" s="9">
        <v>0</v>
      </c>
      <c r="AN52" s="9">
        <v>9.1716899999999999</v>
      </c>
      <c r="AO52" s="9">
        <v>29.854099999999999</v>
      </c>
    </row>
    <row r="53" spans="2:41" ht="15">
      <c r="B53" s="8" t="s">
        <v>68</v>
      </c>
      <c r="C53" s="8"/>
      <c r="D53" s="8"/>
      <c r="E53" s="9">
        <v>118.13500000000001</v>
      </c>
      <c r="F53" s="9">
        <v>0</v>
      </c>
      <c r="G53" s="9">
        <v>24.028199999999998</v>
      </c>
      <c r="H53" s="9">
        <v>24.2529</v>
      </c>
      <c r="I53" s="9">
        <v>65.521299999999997</v>
      </c>
      <c r="J53" s="9">
        <v>0</v>
      </c>
      <c r="K53" s="9">
        <v>0</v>
      </c>
      <c r="L53" s="9">
        <v>0</v>
      </c>
      <c r="M53" s="9">
        <v>21.535799999999998</v>
      </c>
      <c r="N53" s="9">
        <v>22.423100000000002</v>
      </c>
      <c r="O53" s="9">
        <v>0</v>
      </c>
      <c r="P53" s="9">
        <v>118.13500000000001</v>
      </c>
      <c r="Q53" s="9">
        <v>0</v>
      </c>
      <c r="R53" s="9">
        <v>0</v>
      </c>
      <c r="S53" s="9">
        <v>9.7871400000000008</v>
      </c>
      <c r="T53" s="9">
        <v>24.028199999999998</v>
      </c>
      <c r="U53" s="9">
        <v>100.03700000000001</v>
      </c>
      <c r="V53" s="9">
        <v>34.800699999999999</v>
      </c>
      <c r="W53" s="9">
        <v>0</v>
      </c>
      <c r="X53" s="9">
        <v>8.2216000000000005</v>
      </c>
      <c r="Y53" s="9">
        <v>24.028199999999998</v>
      </c>
      <c r="Z53" s="9">
        <v>0</v>
      </c>
      <c r="AA53" s="9">
        <v>0</v>
      </c>
      <c r="AB53" s="9">
        <v>23.205300000000001</v>
      </c>
      <c r="AC53" s="9">
        <v>118.13500000000001</v>
      </c>
      <c r="AD53" s="9">
        <v>0</v>
      </c>
      <c r="AE53" s="9">
        <v>0</v>
      </c>
      <c r="AF53" s="9">
        <v>19.4133</v>
      </c>
      <c r="AG53" s="9">
        <v>0</v>
      </c>
      <c r="AH53" s="9">
        <v>10.713200000000001</v>
      </c>
      <c r="AI53" s="9">
        <v>12.153499999999999</v>
      </c>
      <c r="AJ53" s="9">
        <v>1.3607100000000001</v>
      </c>
      <c r="AK53" s="9">
        <v>24.028199999999998</v>
      </c>
      <c r="AL53" s="9">
        <v>0</v>
      </c>
      <c r="AM53" s="9">
        <v>0</v>
      </c>
      <c r="AN53" s="9">
        <v>9.1716899999999999</v>
      </c>
      <c r="AO53" s="9">
        <v>36.0533</v>
      </c>
    </row>
    <row r="54" spans="2:41" ht="15">
      <c r="B54" s="8" t="s">
        <v>84</v>
      </c>
      <c r="C54" s="8"/>
      <c r="D54" s="8"/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12.6342</v>
      </c>
      <c r="M54" s="9">
        <v>0</v>
      </c>
      <c r="N54" s="9">
        <v>8.8403299999999998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12.6557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13.200200000000001</v>
      </c>
      <c r="AG54" s="9">
        <v>0</v>
      </c>
      <c r="AH54" s="9">
        <v>9.1143300000000007</v>
      </c>
      <c r="AI54" s="9">
        <v>14.3268</v>
      </c>
      <c r="AJ54" s="9">
        <v>0</v>
      </c>
      <c r="AK54" s="9">
        <v>0</v>
      </c>
      <c r="AL54" s="9">
        <v>13.193099999999999</v>
      </c>
      <c r="AM54" s="9">
        <v>0</v>
      </c>
      <c r="AN54" s="9">
        <v>0</v>
      </c>
      <c r="AO54" s="9">
        <v>11.5725</v>
      </c>
    </row>
    <row r="55" spans="2:41" ht="15">
      <c r="B55" s="8" t="s">
        <v>85</v>
      </c>
      <c r="C55" s="8"/>
      <c r="D55" s="8"/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12.6325</v>
      </c>
      <c r="M55" s="9">
        <v>0</v>
      </c>
      <c r="N55" s="9">
        <v>8.4369899999999998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12.6557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13.202</v>
      </c>
      <c r="AG55" s="9">
        <v>0</v>
      </c>
      <c r="AH55" s="9">
        <v>9.1143300000000007</v>
      </c>
      <c r="AI55" s="9">
        <v>14.397600000000001</v>
      </c>
      <c r="AJ55" s="9">
        <v>0</v>
      </c>
      <c r="AK55" s="9">
        <v>0</v>
      </c>
      <c r="AL55" s="9">
        <v>13.440200000000001</v>
      </c>
      <c r="AM55" s="9">
        <v>0</v>
      </c>
      <c r="AN55" s="9">
        <v>0</v>
      </c>
      <c r="AO55" s="9">
        <v>10.4354</v>
      </c>
    </row>
    <row r="56" spans="2:41" ht="15">
      <c r="B56" s="8" t="s">
        <v>86</v>
      </c>
      <c r="C56" s="8"/>
      <c r="D56" s="8"/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11.6523</v>
      </c>
      <c r="M56" s="9">
        <v>0</v>
      </c>
      <c r="N56" s="9">
        <v>9.1547400000000003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12.6557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13.2021</v>
      </c>
      <c r="AG56" s="9">
        <v>0</v>
      </c>
      <c r="AH56" s="9">
        <v>9.1143300000000007</v>
      </c>
      <c r="AI56" s="9">
        <v>14.397600000000001</v>
      </c>
      <c r="AJ56" s="9">
        <v>0</v>
      </c>
      <c r="AK56" s="9">
        <v>0</v>
      </c>
      <c r="AL56" s="9">
        <v>13.390599999999999</v>
      </c>
      <c r="AM56" s="9">
        <v>0</v>
      </c>
      <c r="AN56" s="9">
        <v>0</v>
      </c>
      <c r="AO56" s="9">
        <v>9.1486599999999996</v>
      </c>
    </row>
    <row r="57" spans="2:41" ht="15">
      <c r="B57" s="8" t="s">
        <v>87</v>
      </c>
      <c r="C57" s="8"/>
      <c r="D57" s="8"/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12.601699999999999</v>
      </c>
      <c r="M57" s="9">
        <v>0</v>
      </c>
      <c r="N57" s="9">
        <v>8.5523500000000006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12.6557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13.201499999999999</v>
      </c>
      <c r="AG57" s="9">
        <v>0</v>
      </c>
      <c r="AH57" s="9">
        <v>9.1143300000000007</v>
      </c>
      <c r="AI57" s="9">
        <v>14.760400000000001</v>
      </c>
      <c r="AJ57" s="9">
        <v>0</v>
      </c>
      <c r="AK57" s="9">
        <v>0</v>
      </c>
      <c r="AL57" s="9">
        <v>14.0517</v>
      </c>
      <c r="AM57" s="9">
        <v>0</v>
      </c>
      <c r="AN57" s="9">
        <v>0</v>
      </c>
      <c r="AO57" s="9">
        <v>11.174300000000001</v>
      </c>
    </row>
    <row r="58" spans="2:41" ht="15">
      <c r="B58" s="8"/>
      <c r="C58" s="8"/>
      <c r="D58" s="8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</row>
    <row r="59" spans="1:41" ht="15">
      <c r="A59" t="s">
        <v>197</v>
      </c>
      <c r="B59" s="8" t="s">
        <v>190</v>
      </c>
      <c r="E59" s="7">
        <f>E34*'Average km per veh'!E3+E38*'Average km per veh'!E7+E42*'Average km per veh'!E11+E46*'Average km per veh'!E15+E50*'Average km per veh'!E19+E54*'Average km per veh'!E23</f>
        <v>292.50845015723434</v>
      </c>
      <c r="F59" s="7">
        <f>F34*'Average km per veh'!F3+F38*'Average km per veh'!F7+F42*'Average km per veh'!F11+F46*'Average km per veh'!F15+F50*'Average km per veh'!F19+F54*'Average km per veh'!F23</f>
        <v>17563.332682</v>
      </c>
      <c r="G59" s="7">
        <f>G34*'Average km per veh'!G3+G38*'Average km per veh'!G7+G42*'Average km per veh'!G11+G46*'Average km per veh'!G15+G50*'Average km per veh'!G19+G54*'Average km per veh'!G23</f>
        <v>1294.7274709457845</v>
      </c>
      <c r="H59" s="7">
        <f>H34*'Average km per veh'!H3+H38*'Average km per veh'!H7+H42*'Average km per veh'!H11+H46*'Average km per veh'!H15+H50*'Average km per veh'!H19+H54*'Average km per veh'!H23</f>
        <v>12654.5807616</v>
      </c>
      <c r="I59" s="7">
        <f>I34*'Average km per veh'!I3+I38*'Average km per veh'!I7+I42*'Average km per veh'!I11+I46*'Average km per veh'!I15+I50*'Average km per veh'!I19+I54*'Average km per veh'!I23</f>
        <v>3428.1203884000001</v>
      </c>
      <c r="J59" s="7">
        <f>J34*'Average km per veh'!J3+J38*'Average km per veh'!J7+J42*'Average km per veh'!J11+J46*'Average km per veh'!J15+J50*'Average km per veh'!J19+J54*'Average km per veh'!J23</f>
        <v>17047.678879999999</v>
      </c>
      <c r="K59" s="7">
        <f>K34*'Average km per veh'!K3+K38*'Average km per veh'!K7+K42*'Average km per veh'!K11+K46*'Average km per veh'!K15+K50*'Average km per veh'!K19+K54*'Average km per veh'!K23</f>
        <v>973.909131</v>
      </c>
      <c r="L59" s="7">
        <f>L34*'Average km per veh'!L3+L38*'Average km per veh'!L7+L42*'Average km per veh'!L11+L46*'Average km per veh'!L15+L50*'Average km per veh'!L19+L54*'Average km per veh'!L23</f>
        <v>5693.4317949999995</v>
      </c>
      <c r="M59" s="7">
        <f>M34*'Average km per veh'!M3+M38*'Average km per veh'!M7+M42*'Average km per veh'!M11+M46*'Average km per veh'!M15+M50*'Average km per veh'!M19+M54*'Average km per veh'!M23</f>
        <v>126611.34090900001</v>
      </c>
      <c r="N59" s="7">
        <f>N34*'Average km per veh'!N3+N38*'Average km per veh'!N7+N42*'Average km per veh'!N11+N46*'Average km per veh'!N15+N50*'Average km per veh'!N19+N54*'Average km per veh'!N23</f>
        <v>5215.9668556273009</v>
      </c>
      <c r="O59" s="7">
        <f>O34*'Average km per veh'!O3+O38*'Average km per veh'!O7+O42*'Average km per veh'!O11+O46*'Average km per veh'!O15+O50*'Average km per veh'!O19+O54*'Average km per veh'!O23</f>
        <v>2070.8867970000001</v>
      </c>
      <c r="P59" s="7">
        <f>P34*'Average km per veh'!P3+P38*'Average km per veh'!P7+P42*'Average km per veh'!P11+P46*'Average km per veh'!P15+P50*'Average km per veh'!P19+P54*'Average km per veh'!P23</f>
        <v>3394.8236727999997</v>
      </c>
      <c r="Q59" s="7">
        <f>Q34*'Average km per veh'!Q3+Q38*'Average km per veh'!Q7+Q42*'Average km per veh'!Q11+Q46*'Average km per veh'!Q15+Q50*'Average km per veh'!Q19+Q54*'Average km per veh'!Q23</f>
        <v>56203.067281999996</v>
      </c>
      <c r="R59" s="7">
        <f>R34*'Average km per veh'!R3+R38*'Average km per veh'!R7+R42*'Average km per veh'!R11+R46*'Average km per veh'!R15+R50*'Average km per veh'!R19+R54*'Average km per veh'!R23</f>
        <v>8747.4293170000019</v>
      </c>
      <c r="S59" s="7">
        <f>S34*'Average km per veh'!S3+S38*'Average km per veh'!S7+S42*'Average km per veh'!S11+S46*'Average km per veh'!S15+S50*'Average km per veh'!S19+S54*'Average km per veh'!S23</f>
        <v>58869.589615000004</v>
      </c>
      <c r="T59" s="7">
        <f>T34*'Average km per veh'!T3+T38*'Average km per veh'!T7+T42*'Average km per veh'!T11+T46*'Average km per veh'!T15+T50*'Average km per veh'!T19+T54*'Average km per veh'!T23</f>
        <v>2036.603658</v>
      </c>
      <c r="U59" s="7">
        <f>U34*'Average km per veh'!U3+U38*'Average km per veh'!U7+U42*'Average km per veh'!U11+U46*'Average km per veh'!U15+U50*'Average km per veh'!U19+U54*'Average km per veh'!U23</f>
        <v>3940.1112640000001</v>
      </c>
      <c r="V59" s="7">
        <f>V34*'Average km per veh'!V3+V38*'Average km per veh'!V7+V42*'Average km per veh'!V11+V46*'Average km per veh'!V15+V50*'Average km per veh'!V19+V54*'Average km per veh'!V23</f>
        <v>4686.1281709999994</v>
      </c>
      <c r="W59" s="7">
        <f>W34*'Average km per veh'!W3+W38*'Average km per veh'!W7+W42*'Average km per veh'!W11+W46*'Average km per veh'!W15+W50*'Average km per veh'!W19+W54*'Average km per veh'!W23</f>
        <v>673.51326000000006</v>
      </c>
      <c r="X59" s="7">
        <f>X34*'Average km per veh'!X3+X38*'Average km per veh'!X7+X42*'Average km per veh'!X11+X46*'Average km per veh'!X15+X50*'Average km per veh'!X19+X54*'Average km per veh'!X23</f>
        <v>48285.776906999992</v>
      </c>
      <c r="Y59" s="7">
        <f>Y34*'Average km per veh'!Y3+Y38*'Average km per veh'!Y7+Y42*'Average km per veh'!Y11+Y46*'Average km per veh'!Y15+Y50*'Average km per veh'!Y19+Y54*'Average km per veh'!Y23</f>
        <v>382.73987114834387</v>
      </c>
      <c r="Z59" s="7">
        <f>Z34*'Average km per veh'!Z3+Z38*'Average km per veh'!Z7+Z42*'Average km per veh'!Z11+Z46*'Average km per veh'!Z15+Z50*'Average km per veh'!Z19+Z54*'Average km per veh'!Z23</f>
        <v>2174.4878159999998</v>
      </c>
      <c r="AA59" s="7">
        <f>AA34*'Average km per veh'!AA3+AA38*'Average km per veh'!AA7+AA42*'Average km per veh'!AA11+AA46*'Average km per veh'!AA15+AA50*'Average km per veh'!AA19+AA54*'Average km per veh'!AA23</f>
        <v>5132.2954600000003</v>
      </c>
      <c r="AB59" s="7">
        <f>AB34*'Average km per veh'!AB3+AB38*'Average km per veh'!AB7+AB42*'Average km per veh'!AB11+AB46*'Average km per veh'!AB15+AB50*'Average km per veh'!AB19+AB54*'Average km per veh'!AB23</f>
        <v>2789.6697320000003</v>
      </c>
      <c r="AC59" s="7">
        <f>AC34*'Average km per veh'!AC3+AC38*'Average km per veh'!AC7+AC42*'Average km per veh'!AC11+AC46*'Average km per veh'!AC15+AC50*'Average km per veh'!AC19+AC54*'Average km per veh'!AC23</f>
        <v>97.194639579041279</v>
      </c>
      <c r="AD59" s="7">
        <f>AD34*'Average km per veh'!AD3+AD38*'Average km per veh'!AD7+AD42*'Average km per veh'!AD11+AD46*'Average km per veh'!AD15+AD50*'Average km per veh'!AD19+AD54*'Average km per veh'!AD23</f>
        <v>570.52816200000007</v>
      </c>
      <c r="AE59" s="7">
        <f>AE34*'Average km per veh'!AE3+AE38*'Average km per veh'!AE7+AE42*'Average km per veh'!AE11+AE46*'Average km per veh'!AE15+AE50*'Average km per veh'!AE19+AE54*'Average km per veh'!AE23</f>
        <v>52.902565999999993</v>
      </c>
      <c r="AF59" s="7">
        <f>AF34*'Average km per veh'!AF3+AF38*'Average km per veh'!AF7+AF42*'Average km per veh'!AF11+AF46*'Average km per veh'!AF15+AF50*'Average km per veh'!AF19+AF54*'Average km per veh'!AF23</f>
        <v>22970.010086000002</v>
      </c>
      <c r="AG59" s="7">
        <f>AG34*'Average km per veh'!AG3+AG38*'Average km per veh'!AG7+AG42*'Average km per veh'!AG11+AG46*'Average km per veh'!AG15+AG50*'Average km per veh'!AG19+AG54*'Average km per veh'!AG23</f>
        <v>9755.2577885999999</v>
      </c>
      <c r="AH59" s="7">
        <f>AH34*'Average km per veh'!AH3+AH38*'Average km per veh'!AH7+AH42*'Average km per veh'!AH11+AH46*'Average km per veh'!AH15+AH50*'Average km per veh'!AH19+AH54*'Average km per veh'!AH23</f>
        <v>16067.663566899999</v>
      </c>
      <c r="AI59" s="7">
        <f>AI34*'Average km per veh'!AI3+AI38*'Average km per veh'!AI7+AI42*'Average km per veh'!AI11+AI46*'Average km per veh'!AI15+AI50*'Average km per veh'!AI19+AI54*'Average km per veh'!AI23</f>
        <v>8879.3730480000013</v>
      </c>
      <c r="AJ59" s="7">
        <f>AJ34*'Average km per veh'!AJ3+AJ38*'Average km per veh'!AJ7+AJ42*'Average km per veh'!AJ11+AJ46*'Average km per veh'!AJ15+AJ50*'Average km per veh'!AJ19+AJ54*'Average km per veh'!AJ23</f>
        <v>3821.1990908999996</v>
      </c>
      <c r="AK59" s="7">
        <f>AK34*'Average km per veh'!AK3+AK38*'Average km per veh'!AK7+AK42*'Average km per veh'!AK11+AK46*'Average km per veh'!AK15+AK50*'Average km per veh'!AK19+AK54*'Average km per veh'!AK23</f>
        <v>2500.0671329911147</v>
      </c>
      <c r="AL59" s="7">
        <f>AL34*'Average km per veh'!AL3+AL38*'Average km per veh'!AL7+AL42*'Average km per veh'!AL11+AL46*'Average km per veh'!AL15+AL50*'Average km per veh'!AL19+AL54*'Average km per veh'!AL23</f>
        <v>31411.905327600001</v>
      </c>
      <c r="AM59" s="7">
        <f>AM34*'Average km per veh'!AM3+AM38*'Average km per veh'!AM7+AM42*'Average km per veh'!AM11+AM46*'Average km per veh'!AM15+AM50*'Average km per veh'!AM19+AM54*'Average km per veh'!AM23</f>
        <v>2098.2147099999997</v>
      </c>
      <c r="AN59" s="7">
        <f>AN34*'Average km per veh'!AN3+AN38*'Average km per veh'!AN7+AN42*'Average km per veh'!AN11+AN46*'Average km per veh'!AN15+AN50*'Average km per veh'!AN19+AN54*'Average km per veh'!AN23</f>
        <v>1676.0009682000002</v>
      </c>
      <c r="AO59" s="7">
        <f>AO34*'Average km per veh'!AO3+AO38*'Average km per veh'!AO7+AO42*'Average km per veh'!AO11+AO46*'Average km per veh'!AO15+AO50*'Average km per veh'!AO19+AO54*'Average km per veh'!AO23</f>
        <v>71044.728204999992</v>
      </c>
    </row>
    <row r="60" spans="2:41" ht="15">
      <c r="B60" s="8" t="s">
        <v>191</v>
      </c>
      <c r="E60" s="7">
        <f>E35*'Average km per veh'!E4+E39*'Average km per veh'!E8+E43*'Average km per veh'!E12+E47*'Average km per veh'!E16+E51*'Average km per veh'!E20+E55*'Average km per veh'!E24</f>
        <v>579.7066423825579</v>
      </c>
      <c r="F60" s="7">
        <f>F35*'Average km per veh'!F4+F39*'Average km per veh'!F8+F43*'Average km per veh'!F12+F47*'Average km per veh'!F16+F51*'Average km per veh'!F20+F55*'Average km per veh'!F24</f>
        <v>30263.028145</v>
      </c>
      <c r="G60" s="7">
        <f>G35*'Average km per veh'!G4+G39*'Average km per veh'!G8+G43*'Average km per veh'!G12+G47*'Average km per veh'!G16+G51*'Average km per veh'!G20+G55*'Average km per veh'!G24</f>
        <v>3327.2237733982365</v>
      </c>
      <c r="H60" s="7">
        <f>H35*'Average km per veh'!H4+H39*'Average km per veh'!H8+H43*'Average km per veh'!H12+H47*'Average km per veh'!H16+H51*'Average km per veh'!H20+H55*'Average km per veh'!H24</f>
        <v>31266.688927000003</v>
      </c>
      <c r="I60" s="7">
        <f>I35*'Average km per veh'!I4+I39*'Average km per veh'!I8+I43*'Average km per veh'!I12+I47*'Average km per veh'!I16+I51*'Average km per veh'!I20+I55*'Average km per veh'!I24</f>
        <v>7761.4346326000004</v>
      </c>
      <c r="J60" s="7">
        <f>J35*'Average km per veh'!J4+J39*'Average km per veh'!J8+J43*'Average km per veh'!J12+J47*'Average km per veh'!J16+J51*'Average km per veh'!J20+J55*'Average km per veh'!J24</f>
        <v>17788.139881999999</v>
      </c>
      <c r="K60" s="7">
        <f>K35*'Average km per veh'!K4+K39*'Average km per veh'!K8+K43*'Average km per veh'!K12+K47*'Average km per veh'!K16+K51*'Average km per veh'!K20+K55*'Average km per veh'!K24</f>
        <v>2588.1770400000005</v>
      </c>
      <c r="L60" s="7">
        <f>L35*'Average km per veh'!L4+L39*'Average km per veh'!L8+L43*'Average km per veh'!L12+L47*'Average km per veh'!L16+L51*'Average km per veh'!L20+L55*'Average km per veh'!L24</f>
        <v>13470.467101999999</v>
      </c>
      <c r="M60" s="7">
        <f>M35*'Average km per veh'!M4+M39*'Average km per veh'!M8+M43*'Average km per veh'!M12+M47*'Average km per veh'!M16+M51*'Average km per veh'!M20+M55*'Average km per veh'!M24</f>
        <v>181127.05009199999</v>
      </c>
      <c r="N60" s="7">
        <f>N35*'Average km per veh'!N4+N39*'Average km per veh'!N8+N43*'Average km per veh'!N12+N47*'Average km per veh'!N16+N51*'Average km per veh'!N20+N55*'Average km per veh'!N24</f>
        <v>15556.993916436712</v>
      </c>
      <c r="O60" s="7">
        <f>O35*'Average km per veh'!O4+O39*'Average km per veh'!O8+O43*'Average km per veh'!O12+O47*'Average km per veh'!O16+O51*'Average km per veh'!O20+O55*'Average km per veh'!O24</f>
        <v>2422.6184899999998</v>
      </c>
      <c r="P60" s="7">
        <f>P35*'Average km per veh'!P4+P39*'Average km per veh'!P8+P43*'Average km per veh'!P12+P47*'Average km per veh'!P16+P51*'Average km per veh'!P20+P55*'Average km per veh'!P24</f>
        <v>12983.245796800002</v>
      </c>
      <c r="Q60" s="7">
        <f>Q35*'Average km per veh'!Q4+Q39*'Average km per veh'!Q8+Q43*'Average km per veh'!Q12+Q47*'Average km per veh'!Q16+Q51*'Average km per veh'!Q20+Q55*'Average km per veh'!Q24</f>
        <v>104037.27913949999</v>
      </c>
      <c r="R60" s="7">
        <f>R35*'Average km per veh'!R4+R39*'Average km per veh'!R8+R43*'Average km per veh'!R12+R47*'Average km per veh'!R16+R51*'Average km per veh'!R20+R55*'Average km per veh'!R24</f>
        <v>12914.861632</v>
      </c>
      <c r="S60" s="7">
        <f>S35*'Average km per veh'!S4+S39*'Average km per veh'!S8+S43*'Average km per veh'!S12+S47*'Average km per veh'!S16+S51*'Average km per veh'!S20+S55*'Average km per veh'!S24</f>
        <v>147171.01739759999</v>
      </c>
      <c r="T60" s="7">
        <f>T35*'Average km per veh'!T4+T39*'Average km per veh'!T8+T43*'Average km per veh'!T12+T47*'Average km per veh'!T16+T51*'Average km per veh'!T20+T55*'Average km per veh'!T24</f>
        <v>5824.8088890000008</v>
      </c>
      <c r="U60" s="7">
        <f>U35*'Average km per veh'!U4+U39*'Average km per veh'!U8+U43*'Average km per veh'!U12+U47*'Average km per veh'!U16+U51*'Average km per veh'!U20+U55*'Average km per veh'!U24</f>
        <v>9709.9567900000002</v>
      </c>
      <c r="V60" s="7">
        <f>V35*'Average km per veh'!V4+V39*'Average km per veh'!V8+V43*'Average km per veh'!V12+V47*'Average km per veh'!V16+V51*'Average km per veh'!V20+V55*'Average km per veh'!V24</f>
        <v>14692.803235999998</v>
      </c>
      <c r="W60" s="7">
        <f>W35*'Average km per veh'!W4+W39*'Average km per veh'!W8+W43*'Average km per veh'!W12+W47*'Average km per veh'!W16+W51*'Average km per veh'!W20+W55*'Average km per veh'!W24</f>
        <v>1084.4326349999999</v>
      </c>
      <c r="X60" s="7">
        <f>X35*'Average km per veh'!X4+X39*'Average km per veh'!X8+X43*'Average km per veh'!X12+X47*'Average km per veh'!X16+X51*'Average km per veh'!X20+X55*'Average km per veh'!X24</f>
        <v>106810.13120110003</v>
      </c>
      <c r="Y60" s="7">
        <f>Y35*'Average km per veh'!Y4+Y39*'Average km per veh'!Y8+Y43*'Average km per veh'!Y12+Y47*'Average km per veh'!Y16+Y51*'Average km per veh'!Y20+Y55*'Average km per veh'!Y24</f>
        <v>984.99025116344967</v>
      </c>
      <c r="Z60" s="7">
        <f>Z35*'Average km per veh'!Z4+Z39*'Average km per veh'!Z8+Z43*'Average km per veh'!Z12+Z47*'Average km per veh'!Z16+Z51*'Average km per veh'!Z20+Z55*'Average km per veh'!Z24</f>
        <v>2318.1717486000002</v>
      </c>
      <c r="AA60" s="7">
        <f>AA35*'Average km per veh'!AA4+AA39*'Average km per veh'!AA8+AA43*'Average km per veh'!AA12+AA47*'Average km per veh'!AA16+AA51*'Average km per veh'!AA20+AA55*'Average km per veh'!AA24</f>
        <v>5962.4116379999996</v>
      </c>
      <c r="AB60" s="7">
        <f>AB35*'Average km per veh'!AB4+AB39*'Average km per veh'!AB8+AB43*'Average km per veh'!AB12+AB47*'Average km per veh'!AB16+AB51*'Average km per veh'!AB20+AB55*'Average km per veh'!AB24</f>
        <v>2834.5249900000003</v>
      </c>
      <c r="AC60" s="7">
        <f>AC35*'Average km per veh'!AC4+AC39*'Average km per veh'!AC8+AC43*'Average km per veh'!AC12+AC47*'Average km per veh'!AC16+AC51*'Average km per veh'!AC20+AC55*'Average km per veh'!AC24</f>
        <v>241.74031163813885</v>
      </c>
      <c r="AD60" s="7">
        <f>AD35*'Average km per veh'!AD4+AD39*'Average km per veh'!AD8+AD43*'Average km per veh'!AD12+AD47*'Average km per veh'!AD16+AD51*'Average km per veh'!AD20+AD55*'Average km per veh'!AD24</f>
        <v>1168.6341551999999</v>
      </c>
      <c r="AE60" s="7">
        <f>AE35*'Average km per veh'!AE4+AE39*'Average km per veh'!AE8+AE43*'Average km per veh'!AE12+AE47*'Average km per veh'!AE16+AE51*'Average km per veh'!AE20+AE55*'Average km per veh'!AE24</f>
        <v>262.29209059999999</v>
      </c>
      <c r="AF60" s="7">
        <f>AF35*'Average km per veh'!AF4+AF39*'Average km per veh'!AF8+AF43*'Average km per veh'!AF12+AF47*'Average km per veh'!AF16+AF51*'Average km per veh'!AF20+AF55*'Average km per veh'!AF24</f>
        <v>32291.038309600001</v>
      </c>
      <c r="AG60" s="7">
        <f>AG35*'Average km per veh'!AG4+AG39*'Average km per veh'!AG8+AG43*'Average km per veh'!AG12+AG47*'Average km per veh'!AG16+AG51*'Average km per veh'!AG20+AG55*'Average km per veh'!AG24</f>
        <v>8867.2373279999993</v>
      </c>
      <c r="AH60" s="7">
        <f>AH35*'Average km per veh'!AH4+AH39*'Average km per veh'!AH8+AH43*'Average km per veh'!AH12+AH47*'Average km per veh'!AH16+AH51*'Average km per veh'!AH20+AH55*'Average km per veh'!AH24</f>
        <v>43448.570593099997</v>
      </c>
      <c r="AI60" s="7">
        <f>AI35*'Average km per veh'!AI4+AI39*'Average km per veh'!AI8+AI43*'Average km per veh'!AI12+AI47*'Average km per veh'!AI16+AI51*'Average km per veh'!AI20+AI55*'Average km per veh'!AI24</f>
        <v>16060.663865999999</v>
      </c>
      <c r="AJ60" s="7">
        <f>AJ35*'Average km per veh'!AJ4+AJ39*'Average km per veh'!AJ8+AJ43*'Average km per veh'!AJ12+AJ47*'Average km per veh'!AJ16+AJ51*'Average km per veh'!AJ20+AJ55*'Average km per veh'!AJ24</f>
        <v>8292.6148604999998</v>
      </c>
      <c r="AK60" s="7">
        <f>AK35*'Average km per veh'!AK4+AK39*'Average km per veh'!AK8+AK43*'Average km per veh'!AK12+AK47*'Average km per veh'!AK16+AK51*'Average km per veh'!AK20+AK55*'Average km per veh'!AK24</f>
        <v>6744.3187339074293</v>
      </c>
      <c r="AL60" s="7">
        <f>AL35*'Average km per veh'!AL4+AL39*'Average km per veh'!AL8+AL43*'Average km per veh'!AL12+AL47*'Average km per veh'!AL16+AL51*'Average km per veh'!AL20+AL55*'Average km per veh'!AL24</f>
        <v>18652.340091000002</v>
      </c>
      <c r="AM60" s="7">
        <f>AM35*'Average km per veh'!AM4+AM39*'Average km per veh'!AM8+AM43*'Average km per veh'!AM12+AM47*'Average km per veh'!AM16+AM51*'Average km per veh'!AM20+AM55*'Average km per veh'!AM24</f>
        <v>6141.5486820000006</v>
      </c>
      <c r="AN60" s="7">
        <f>AN35*'Average km per veh'!AN4+AN39*'Average km per veh'!AN8+AN43*'Average km per veh'!AN12+AN47*'Average km per veh'!AN16+AN51*'Average km per veh'!AN20+AN55*'Average km per veh'!AN24</f>
        <v>3796.8463624000001</v>
      </c>
      <c r="AO60" s="7">
        <f>AO35*'Average km per veh'!AO4+AO39*'Average km per veh'!AO8+AO43*'Average km per veh'!AO12+AO47*'Average km per veh'!AO16+AO51*'Average km per veh'!AO20+AO55*'Average km per veh'!AO24</f>
        <v>127766.238583</v>
      </c>
    </row>
    <row r="61" spans="2:41" ht="15">
      <c r="B61" s="8" t="s">
        <v>192</v>
      </c>
      <c r="E61" s="7">
        <f>E36*'Average km per veh'!E5+E40*'Average km per veh'!E9+E44*'Average km per veh'!E13+E48*'Average km per veh'!E17+E52*'Average km per veh'!E21+E56*'Average km per veh'!E25</f>
        <v>751.80708005297208</v>
      </c>
      <c r="F61" s="7">
        <f>F36*'Average km per veh'!F5+F40*'Average km per veh'!F9+F44*'Average km per veh'!F13+F48*'Average km per veh'!F17+F52*'Average km per veh'!F21+F56*'Average km per veh'!F25</f>
        <v>37798.74338</v>
      </c>
      <c r="G61" s="7">
        <f>G36*'Average km per veh'!G5+G40*'Average km per veh'!G9+G44*'Average km per veh'!G13+G48*'Average km per veh'!G17+G52*'Average km per veh'!G21+G56*'Average km per veh'!G25</f>
        <v>5491.6326733731003</v>
      </c>
      <c r="H61" s="7">
        <f>H36*'Average km per veh'!H5+H40*'Average km per veh'!H9+H44*'Average km per veh'!H13+H48*'Average km per veh'!H17+H52*'Average km per veh'!H21+H56*'Average km per veh'!H25</f>
        <v>37663.351933999998</v>
      </c>
      <c r="I61" s="7">
        <f>I36*'Average km per veh'!I5+I40*'Average km per veh'!I9+I44*'Average km per veh'!I13+I48*'Average km per veh'!I17+I52*'Average km per veh'!I21+I56*'Average km per veh'!I25</f>
        <v>11162.845181500001</v>
      </c>
      <c r="J61" s="7">
        <f>J36*'Average km per veh'!J5+J40*'Average km per veh'!J9+J44*'Average km per veh'!J13+J48*'Average km per veh'!J17+J52*'Average km per veh'!J21+J56*'Average km per veh'!J25</f>
        <v>14131.748601000001</v>
      </c>
      <c r="K61" s="7">
        <f>K36*'Average km per veh'!K5+K40*'Average km per veh'!K9+K44*'Average km per veh'!K13+K48*'Average km per veh'!K17+K52*'Average km per veh'!K21+K56*'Average km per veh'!K25</f>
        <v>2476.7096280000005</v>
      </c>
      <c r="L61" s="7">
        <f>L36*'Average km per veh'!L5+L40*'Average km per veh'!L9+L44*'Average km per veh'!L13+L48*'Average km per veh'!L17+L52*'Average km per veh'!L21+L56*'Average km per veh'!L25</f>
        <v>26518.064515499998</v>
      </c>
      <c r="M61" s="7">
        <f>M36*'Average km per veh'!M5+M40*'Average km per veh'!M9+M44*'Average km per veh'!M13+M48*'Average km per veh'!M17+M52*'Average km per veh'!M21+M56*'Average km per veh'!M25</f>
        <v>197765.81083950002</v>
      </c>
      <c r="N61" s="7">
        <f>N36*'Average km per veh'!N5+N40*'Average km per veh'!N9+N44*'Average km per veh'!N13+N48*'Average km per veh'!N17+N52*'Average km per veh'!N21+N56*'Average km per veh'!N25</f>
        <v>14776.51010707989</v>
      </c>
      <c r="O61" s="7">
        <f>O36*'Average km per veh'!O5+O40*'Average km per veh'!O9+O44*'Average km per veh'!O13+O48*'Average km per veh'!O17+O52*'Average km per veh'!O21+O56*'Average km per veh'!O25</f>
        <v>1407.328767</v>
      </c>
      <c r="P61" s="7">
        <f>P36*'Average km per veh'!P5+P40*'Average km per veh'!P9+P44*'Average km per veh'!P13+P48*'Average km per veh'!P17+P52*'Average km per veh'!P21+P56*'Average km per veh'!P25</f>
        <v>20747.363257999998</v>
      </c>
      <c r="Q61" s="7">
        <f>Q36*'Average km per veh'!Q5+Q40*'Average km per veh'!Q9+Q44*'Average km per veh'!Q13+Q48*'Average km per veh'!Q17+Q52*'Average km per veh'!Q21+Q56*'Average km per veh'!Q25</f>
        <v>81879.796854</v>
      </c>
      <c r="R61" s="7">
        <f>R36*'Average km per veh'!R5+R40*'Average km per veh'!R9+R44*'Average km per veh'!R13+R48*'Average km per veh'!R17+R52*'Average km per veh'!R21+R56*'Average km per veh'!R25</f>
        <v>10165.630066</v>
      </c>
      <c r="S61" s="7">
        <f>S36*'Average km per veh'!S5+S40*'Average km per veh'!S9+S44*'Average km per veh'!S13+S48*'Average km per veh'!S17+S52*'Average km per veh'!S21+S56*'Average km per veh'!S25</f>
        <v>198682.18440379997</v>
      </c>
      <c r="T61" s="7">
        <f>T36*'Average km per veh'!T5+T40*'Average km per veh'!T9+T44*'Average km per veh'!T13+T48*'Average km per veh'!T17+T52*'Average km per veh'!T21+T56*'Average km per veh'!T25</f>
        <v>11230.968018</v>
      </c>
      <c r="U61" s="7">
        <f>U36*'Average km per veh'!U5+U40*'Average km per veh'!U9+U44*'Average km per veh'!U13+U48*'Average km per veh'!U17+U52*'Average km per veh'!U21+U56*'Average km per veh'!U25</f>
        <v>21480.638982600001</v>
      </c>
      <c r="V61" s="7">
        <f>V36*'Average km per veh'!V5+V40*'Average km per veh'!V9+V44*'Average km per veh'!V13+V48*'Average km per veh'!V17+V52*'Average km per veh'!V21+V56*'Average km per veh'!V25</f>
        <v>9750.2062379999988</v>
      </c>
      <c r="W61" s="7">
        <f>W36*'Average km per veh'!W5+W40*'Average km per veh'!W9+W44*'Average km per veh'!W13+W48*'Average km per veh'!W17+W52*'Average km per veh'!W21+W56*'Average km per veh'!W25</f>
        <v>607.33299899999997</v>
      </c>
      <c r="X61" s="7">
        <f>X36*'Average km per veh'!X5+X40*'Average km per veh'!X9+X44*'Average km per veh'!X13+X48*'Average km per veh'!X17+X52*'Average km per veh'!X21+X56*'Average km per veh'!X25</f>
        <v>207936.68377099998</v>
      </c>
      <c r="Y61" s="7">
        <f>Y36*'Average km per veh'!Y5+Y40*'Average km per veh'!Y9+Y44*'Average km per veh'!Y13+Y48*'Average km per veh'!Y17+Y52*'Average km per veh'!Y21+Y56*'Average km per veh'!Y25</f>
        <v>1571.8921589778147</v>
      </c>
      <c r="Z61" s="7">
        <f>Z36*'Average km per veh'!Z5+Z40*'Average km per veh'!Z9+Z44*'Average km per veh'!Z13+Z48*'Average km per veh'!Z17+Z52*'Average km per veh'!Z21+Z56*'Average km per veh'!Z25</f>
        <v>2845.8383285999998</v>
      </c>
      <c r="AA61" s="7">
        <f>AA36*'Average km per veh'!AA5+AA40*'Average km per veh'!AA9+AA44*'Average km per veh'!AA13+AA48*'Average km per veh'!AA17+AA52*'Average km per veh'!AA21+AA56*'Average km per veh'!AA25</f>
        <v>6323.3549800000001</v>
      </c>
      <c r="AB61" s="7">
        <f>AB36*'Average km per veh'!AB5+AB40*'Average km per veh'!AB9+AB44*'Average km per veh'!AB13+AB48*'Average km per veh'!AB17+AB52*'Average km per veh'!AB21+AB56*'Average km per veh'!AB25</f>
        <v>1771.3101709999996</v>
      </c>
      <c r="AC61" s="7">
        <f>AC36*'Average km per veh'!AC5+AC40*'Average km per veh'!AC9+AC44*'Average km per veh'!AC13+AC48*'Average km per veh'!AC17+AC52*'Average km per veh'!AC21+AC56*'Average km per veh'!AC25</f>
        <v>345.42534023712466</v>
      </c>
      <c r="AD61" s="7">
        <f>AD36*'Average km per veh'!AD5+AD40*'Average km per veh'!AD9+AD44*'Average km per veh'!AD13+AD48*'Average km per veh'!AD17+AD52*'Average km per veh'!AD21+AD56*'Average km per veh'!AD25</f>
        <v>1851.4382227999999</v>
      </c>
      <c r="AE61" s="7">
        <f>AE36*'Average km per veh'!AE5+AE40*'Average km per veh'!AE9+AE44*'Average km per veh'!AE13+AE48*'Average km per veh'!AE17+AE52*'Average km per veh'!AE21+AE56*'Average km per veh'!AE25</f>
        <v>1199.3055196000003</v>
      </c>
      <c r="AF61" s="7">
        <f>AF36*'Average km per veh'!AF5+AF40*'Average km per veh'!AF9+AF44*'Average km per veh'!AF13+AF48*'Average km per veh'!AF17+AF52*'Average km per veh'!AF21+AF56*'Average km per veh'!AF25</f>
        <v>43467.450517999998</v>
      </c>
      <c r="AG61" s="7">
        <f>AG36*'Average km per veh'!AG5+AG40*'Average km per veh'!AG9+AG44*'Average km per veh'!AG13+AG48*'Average km per veh'!AG17+AG52*'Average km per veh'!AG21+AG56*'Average km per veh'!AG25</f>
        <v>8633.1764366999996</v>
      </c>
      <c r="AH61" s="7">
        <f>AH36*'Average km per veh'!AH5+AH40*'Average km per veh'!AH9+AH44*'Average km per veh'!AH13+AH48*'Average km per veh'!AH17+AH52*'Average km per veh'!AH21+AH56*'Average km per veh'!AH25</f>
        <v>68318.1228864</v>
      </c>
      <c r="AI61" s="7">
        <f>AI36*'Average km per veh'!AI5+AI40*'Average km per veh'!AI9+AI44*'Average km per veh'!AI13+AI48*'Average km per veh'!AI17+AI52*'Average km per veh'!AI21+AI56*'Average km per veh'!AI25</f>
        <v>34999.986308000007</v>
      </c>
      <c r="AJ61" s="7">
        <f>AJ36*'Average km per veh'!AJ5+AJ40*'Average km per veh'!AJ9+AJ44*'Average km per veh'!AJ13+AJ48*'Average km per veh'!AJ17+AJ52*'Average km per veh'!AJ21+AJ56*'Average km per veh'!AJ25</f>
        <v>18032.922299500002</v>
      </c>
      <c r="AK61" s="7">
        <f>AK36*'Average km per veh'!AK5+AK40*'Average km per veh'!AK9+AK44*'Average km per veh'!AK13+AK48*'Average km per veh'!AK17+AK52*'Average km per veh'!AK21+AK56*'Average km per veh'!AK25</f>
        <v>10652.431612860835</v>
      </c>
      <c r="AL61" s="7">
        <f>AL36*'Average km per veh'!AL5+AL40*'Average km per veh'!AL9+AL44*'Average km per veh'!AL13+AL48*'Average km per veh'!AL17+AL52*'Average km per veh'!AL21+AL56*'Average km per veh'!AL25</f>
        <v>12882.955338399999</v>
      </c>
      <c r="AM61" s="7">
        <f>AM36*'Average km per veh'!AM5+AM40*'Average km per veh'!AM9+AM44*'Average km per veh'!AM13+AM48*'Average km per veh'!AM17+AM52*'Average km per veh'!AM21+AM56*'Average km per veh'!AM25</f>
        <v>8142.2480300000007</v>
      </c>
      <c r="AN61" s="7">
        <f>AN36*'Average km per veh'!AN5+AN40*'Average km per veh'!AN9+AN44*'Average km per veh'!AN13+AN48*'Average km per veh'!AN17+AN52*'Average km per veh'!AN21+AN56*'Average km per veh'!AN25</f>
        <v>8822.1104661000008</v>
      </c>
      <c r="AO61" s="7">
        <f>AO36*'Average km per veh'!AO5+AO40*'Average km per veh'!AO9+AO44*'Average km per veh'!AO13+AO48*'Average km per veh'!AO17+AO52*'Average km per veh'!AO21+AO56*'Average km per veh'!AO25</f>
        <v>155040.83479499997</v>
      </c>
    </row>
    <row r="62" spans="2:41" ht="15">
      <c r="B62" s="8" t="s">
        <v>193</v>
      </c>
      <c r="E62" s="7">
        <f>E37*'Average km per veh'!E6+E41*'Average km per veh'!E10+E45*'Average km per veh'!E14+E49*'Average km per veh'!E18+E53*'Average km per veh'!E22+E57*'Average km per veh'!E26</f>
        <v>246.43603061674256</v>
      </c>
      <c r="F62" s="7">
        <f>F37*'Average km per veh'!F6+F41*'Average km per veh'!F10+F45*'Average km per veh'!F14+F49*'Average km per veh'!F18+F53*'Average km per veh'!F22+F57*'Average km per veh'!F26</f>
        <v>13777.686339</v>
      </c>
      <c r="G62" s="7">
        <f>G37*'Average km per veh'!G6+G41*'Average km per veh'!G10+G45*'Average km per veh'!G14+G49*'Average km per veh'!G18+G53*'Average km per veh'!G22+G57*'Average km per veh'!G26</f>
        <v>1507.9774213121891</v>
      </c>
      <c r="H62" s="7">
        <f>H37*'Average km per veh'!H6+H41*'Average km per veh'!H10+H45*'Average km per veh'!H14+H49*'Average km per veh'!H18+H53*'Average km per veh'!H22+H57*'Average km per veh'!H26</f>
        <v>13278.325819</v>
      </c>
      <c r="I62" s="7">
        <f>I37*'Average km per veh'!I6+I41*'Average km per veh'!I10+I45*'Average km per veh'!I14+I49*'Average km per veh'!I18+I53*'Average km per veh'!I22+I57*'Average km per veh'!I26</f>
        <v>2848.1572918000002</v>
      </c>
      <c r="J62" s="7">
        <f>J37*'Average km per veh'!J6+J41*'Average km per veh'!J10+J45*'Average km per veh'!J14+J49*'Average km per veh'!J18+J53*'Average km per veh'!J22+J57*'Average km per veh'!J26</f>
        <v>7938.01548</v>
      </c>
      <c r="K62" s="7">
        <f>K37*'Average km per veh'!K6+K41*'Average km per veh'!K10+K45*'Average km per veh'!K14+K49*'Average km per veh'!K18+K53*'Average km per veh'!K22+K57*'Average km per veh'!K26</f>
        <v>1124.6228020000001</v>
      </c>
      <c r="L62" s="7">
        <f>L37*'Average km per veh'!L6+L41*'Average km per veh'!L10+L45*'Average km per veh'!L14+L49*'Average km per veh'!L18+L53*'Average km per veh'!L22+L57*'Average km per veh'!L26</f>
        <v>6068.3733260000008</v>
      </c>
      <c r="M62" s="7">
        <f>M37*'Average km per veh'!M6+M41*'Average km per veh'!M10+M45*'Average km per veh'!M14+M49*'Average km per veh'!M18+M53*'Average km per veh'!M22+M57*'Average km per veh'!M26</f>
        <v>82940.925680000015</v>
      </c>
      <c r="N62" s="7">
        <f>N37*'Average km per veh'!N6+N41*'Average km per veh'!N10+N45*'Average km per veh'!N14+N49*'Average km per veh'!N18+N53*'Average km per veh'!N22+N57*'Average km per veh'!N26</f>
        <v>6852.1907160418186</v>
      </c>
      <c r="O62" s="7">
        <f>O37*'Average km per veh'!O6+O41*'Average km per veh'!O10+O45*'Average km per veh'!O14+O49*'Average km per veh'!O18+O53*'Average km per veh'!O22+O57*'Average km per veh'!O26</f>
        <v>1130.2750000000001</v>
      </c>
      <c r="P62" s="7">
        <f>P37*'Average km per veh'!P6+P41*'Average km per veh'!P10+P45*'Average km per veh'!P14+P49*'Average km per veh'!P18+P53*'Average km per veh'!P22+P57*'Average km per veh'!P26</f>
        <v>5227.3103339999998</v>
      </c>
      <c r="Q62" s="7">
        <f>Q37*'Average km per veh'!Q6+Q41*'Average km per veh'!Q10+Q45*'Average km per veh'!Q14+Q49*'Average km per veh'!Q18+Q53*'Average km per veh'!Q22+Q57*'Average km per veh'!Q26</f>
        <v>42761.867496000006</v>
      </c>
      <c r="R62" s="7">
        <f>R37*'Average km per veh'!R6+R41*'Average km per veh'!R10+R45*'Average km per veh'!R14+R49*'Average km per veh'!R18+R53*'Average km per veh'!R22+R57*'Average km per veh'!R26</f>
        <v>5719.0431339999996</v>
      </c>
      <c r="S62" s="7">
        <f>S37*'Average km per veh'!S6+S41*'Average km per veh'!S10+S45*'Average km per veh'!S14+S49*'Average km per veh'!S18+S53*'Average km per veh'!S22+S57*'Average km per veh'!S26</f>
        <v>67404.849394999997</v>
      </c>
      <c r="T62" s="7">
        <f>T37*'Average km per veh'!T6+T41*'Average km per veh'!T10+T45*'Average km per veh'!T14+T49*'Average km per veh'!T18+T53*'Average km per veh'!T22+T57*'Average km per veh'!T26</f>
        <v>2615.9120859999998</v>
      </c>
      <c r="U62" s="7">
        <f>U37*'Average km per veh'!U6+U41*'Average km per veh'!U10+U45*'Average km per veh'!U14+U49*'Average km per veh'!U18+U53*'Average km per veh'!U22+U57*'Average km per veh'!U26</f>
        <v>4316.9601769999999</v>
      </c>
      <c r="V62" s="7">
        <f>V37*'Average km per veh'!V6+V41*'Average km per veh'!V10+V45*'Average km per veh'!V14+V49*'Average km per veh'!V18+V53*'Average km per veh'!V22+V57*'Average km per veh'!V26</f>
        <v>7498.3638790000005</v>
      </c>
      <c r="W62" s="7">
        <f>W37*'Average km per veh'!W6+W41*'Average km per veh'!W10+W45*'Average km per veh'!W14+W49*'Average km per veh'!W18+W53*'Average km per veh'!W22+W57*'Average km per veh'!W26</f>
        <v>496.52358099999998</v>
      </c>
      <c r="X62" s="7">
        <f>X37*'Average km per veh'!X6+X41*'Average km per veh'!X10+X45*'Average km per veh'!X14+X49*'Average km per veh'!X18+X53*'Average km per veh'!X22+X57*'Average km per veh'!X26</f>
        <v>48004.022280000005</v>
      </c>
      <c r="Y62" s="7">
        <f>Y37*'Average km per veh'!Y6+Y41*'Average km per veh'!Y10+Y45*'Average km per veh'!Y14+Y49*'Average km per veh'!Y18+Y53*'Average km per veh'!Y22+Y57*'Average km per veh'!Y26</f>
        <v>446.02234672133119</v>
      </c>
      <c r="Z62" s="7">
        <f>Z37*'Average km per veh'!Z6+Z41*'Average km per veh'!Z10+Z45*'Average km per veh'!Z14+Z49*'Average km per veh'!Z18+Z53*'Average km per veh'!Z22+Z57*'Average km per veh'!Z26</f>
        <v>1034.7068076999999</v>
      </c>
      <c r="AA62" s="7">
        <f>AA37*'Average km per veh'!AA6+AA41*'Average km per veh'!AA10+AA45*'Average km per veh'!AA14+AA49*'Average km per veh'!AA18+AA53*'Average km per veh'!AA22+AA57*'Average km per veh'!AA26</f>
        <v>2876.5881680000002</v>
      </c>
      <c r="AB62" s="7">
        <f>AB37*'Average km per veh'!AB6+AB41*'Average km per veh'!AB10+AB45*'Average km per veh'!AB14+AB49*'Average km per veh'!AB18+AB53*'Average km per veh'!AB22+AB57*'Average km per veh'!AB26</f>
        <v>1335.5959169999999</v>
      </c>
      <c r="AC62" s="7">
        <f>AC37*'Average km per veh'!AC6+AC41*'Average km per veh'!AC10+AC45*'Average km per veh'!AC14+AC49*'Average km per veh'!AC18+AC53*'Average km per veh'!AC22+AC57*'Average km per veh'!AC26</f>
        <v>100.30714174789949</v>
      </c>
      <c r="AD62" s="7">
        <f>AD37*'Average km per veh'!AD6+AD41*'Average km per veh'!AD10+AD45*'Average km per veh'!AD14+AD49*'Average km per veh'!AD18+AD53*'Average km per veh'!AD22+AD57*'Average km per veh'!AD26</f>
        <v>527.7762156</v>
      </c>
      <c r="AE62" s="7">
        <f>AE37*'Average km per veh'!AE6+AE41*'Average km per veh'!AE10+AE45*'Average km per veh'!AE14+AE49*'Average km per veh'!AE18+AE53*'Average km per veh'!AE22+AE57*'Average km per veh'!AE26</f>
        <v>114.4843807</v>
      </c>
      <c r="AF62" s="7">
        <f>AF37*'Average km per veh'!AF6+AF41*'Average km per veh'!AF10+AF45*'Average km per veh'!AF14+AF49*'Average km per veh'!AF18+AF53*'Average km per veh'!AF22+AF57*'Average km per veh'!AF26</f>
        <v>14451.076402500001</v>
      </c>
      <c r="AG62" s="7">
        <f>AG37*'Average km per veh'!AG6+AG41*'Average km per veh'!AG10+AG45*'Average km per veh'!AG14+AG49*'Average km per veh'!AG18+AG53*'Average km per veh'!AG22+AG57*'Average km per veh'!AG26</f>
        <v>4837.8463520000005</v>
      </c>
      <c r="AH62" s="7">
        <f>AH37*'Average km per veh'!AH6+AH41*'Average km per veh'!AH10+AH45*'Average km per veh'!AH14+AH49*'Average km per veh'!AH18+AH53*'Average km per veh'!AH22+AH57*'Average km per veh'!AH26</f>
        <v>19248.097368399998</v>
      </c>
      <c r="AI62" s="7">
        <f>AI37*'Average km per veh'!AI6+AI41*'Average km per veh'!AI10+AI45*'Average km per veh'!AI14+AI49*'Average km per veh'!AI18+AI53*'Average km per veh'!AI22+AI57*'Average km per veh'!AI26</f>
        <v>7201.1054450000001</v>
      </c>
      <c r="AJ62" s="7">
        <f>AJ37*'Average km per veh'!AJ6+AJ41*'Average km per veh'!AJ10+AJ45*'Average km per veh'!AJ14+AJ49*'Average km per veh'!AJ18+AJ53*'Average km per veh'!AJ22+AJ57*'Average km per veh'!AJ26</f>
        <v>3706.7921136000004</v>
      </c>
      <c r="AK62" s="7">
        <f>AK37*'Average km per veh'!AK6+AK41*'Average km per veh'!AK10+AK45*'Average km per veh'!AK14+AK49*'Average km per veh'!AK18+AK53*'Average km per veh'!AK22+AK57*'Average km per veh'!AK26</f>
        <v>3036.1837035043054</v>
      </c>
      <c r="AL62" s="7">
        <f>AL37*'Average km per veh'!AL6+AL41*'Average km per veh'!AL10+AL45*'Average km per veh'!AL14+AL49*'Average km per veh'!AL18+AL53*'Average km per veh'!AL22+AL57*'Average km per veh'!AL26</f>
        <v>8605.1872616000019</v>
      </c>
      <c r="AM62" s="7">
        <f>AM37*'Average km per veh'!AM6+AM41*'Average km per veh'!AM10+AM45*'Average km per veh'!AM14+AM49*'Average km per veh'!AM18+AM53*'Average km per veh'!AM22+AM57*'Average km per veh'!AM26</f>
        <v>2641.4873280000002</v>
      </c>
      <c r="AN62" s="7">
        <f>AN37*'Average km per veh'!AN6+AN41*'Average km per veh'!AN10+AN45*'Average km per veh'!AN14+AN49*'Average km per veh'!AN18+AN53*'Average km per veh'!AN22+AN57*'Average km per veh'!AN26</f>
        <v>1673.7746192999998</v>
      </c>
      <c r="AO62" s="7">
        <f>AO37*'Average km per veh'!AO6+AO41*'Average km per veh'!AO10+AO45*'Average km per veh'!AO14+AO49*'Average km per veh'!AO18+AO53*'Average km per veh'!AO22+AO57*'Average km per veh'!AO26</f>
        <v>60889.092488999995</v>
      </c>
    </row>
    <row r="64" spans="1:1" ht="12.75">
      <c r="A64" t="s">
        <v>196</v>
      </c>
    </row>
    <row r="65" spans="5:41" ht="15.75" thickBot="1">
      <c r="E65" s="5" t="s">
        <v>41</v>
      </c>
      <c r="F65" s="5" t="s">
        <v>0</v>
      </c>
      <c r="G65" s="5" t="s">
        <v>45</v>
      </c>
      <c r="H65" s="5" t="s">
        <v>1</v>
      </c>
      <c r="I65" s="5" t="s">
        <v>31</v>
      </c>
      <c r="J65" s="5" t="s">
        <v>2</v>
      </c>
      <c r="K65" s="5" t="s">
        <v>3</v>
      </c>
      <c r="L65" s="5" t="s">
        <v>4</v>
      </c>
      <c r="M65" s="5" t="s">
        <v>5</v>
      </c>
      <c r="N65" s="5" t="s">
        <v>6</v>
      </c>
      <c r="O65" s="5" t="s">
        <v>7</v>
      </c>
      <c r="P65" s="5" t="s">
        <v>48</v>
      </c>
      <c r="Q65" s="5" t="s">
        <v>8</v>
      </c>
      <c r="R65" s="5" t="s">
        <v>9</v>
      </c>
      <c r="S65" s="5" t="s">
        <v>10</v>
      </c>
      <c r="T65" s="5" t="s">
        <v>32</v>
      </c>
      <c r="U65" s="5" t="s">
        <v>11</v>
      </c>
      <c r="V65" s="5" t="s">
        <v>12</v>
      </c>
      <c r="W65" s="5" t="s">
        <v>13</v>
      </c>
      <c r="X65" s="5" t="s">
        <v>27</v>
      </c>
      <c r="Y65" s="5" t="s">
        <v>46</v>
      </c>
      <c r="Z65" s="5" t="s">
        <v>14</v>
      </c>
      <c r="AA65" s="5" t="s">
        <v>15</v>
      </c>
      <c r="AB65" s="5" t="s">
        <v>16</v>
      </c>
      <c r="AC65" s="5" t="s">
        <v>42</v>
      </c>
      <c r="AD65" s="5" t="s">
        <v>33</v>
      </c>
      <c r="AE65" s="5" t="s">
        <v>17</v>
      </c>
      <c r="AF65" s="5" t="s">
        <v>18</v>
      </c>
      <c r="AG65" s="5" t="s">
        <v>19</v>
      </c>
      <c r="AH65" s="5" t="s">
        <v>20</v>
      </c>
      <c r="AI65" s="5" t="s">
        <v>21</v>
      </c>
      <c r="AJ65" s="5" t="s">
        <v>22</v>
      </c>
      <c r="AK65" s="5" t="s">
        <v>43</v>
      </c>
      <c r="AL65" s="5" t="s">
        <v>23</v>
      </c>
      <c r="AM65" s="5" t="s">
        <v>24</v>
      </c>
      <c r="AN65" s="5" t="s">
        <v>25</v>
      </c>
      <c r="AO65" s="5" t="s">
        <v>26</v>
      </c>
    </row>
    <row r="66" spans="2:41" ht="15">
      <c r="B66" s="8" t="s">
        <v>190</v>
      </c>
      <c r="E66" s="6">
        <f>E59/E28</f>
        <v>17.187329003884749</v>
      </c>
      <c r="F66" s="6">
        <f t="shared" si="2" ref="F66:AO69">F59/F28</f>
        <v>25.025052622429936</v>
      </c>
      <c r="G66" s="6">
        <f t="shared" si="2"/>
        <v>19.086663508829385</v>
      </c>
      <c r="H66" s="6">
        <f t="shared" si="2"/>
        <v>19.086560929096091</v>
      </c>
      <c r="I66" s="6">
        <f t="shared" si="2"/>
        <v>12.279247755569884</v>
      </c>
      <c r="J66" s="6">
        <f t="shared" si="2"/>
        <v>15.980351221889968</v>
      </c>
      <c r="K66" s="6">
        <f t="shared" si="2"/>
        <v>16.797328923766816</v>
      </c>
      <c r="L66" s="6">
        <f t="shared" si="2"/>
        <v>16.09814741142873</v>
      </c>
      <c r="M66" s="6">
        <f t="shared" si="2"/>
        <v>18.973079059253344</v>
      </c>
      <c r="N66" s="6">
        <f t="shared" si="2"/>
        <v>25.580764212634229</v>
      </c>
      <c r="O66" s="6">
        <f t="shared" si="2"/>
        <v>19.16955287420161</v>
      </c>
      <c r="P66" s="6">
        <f t="shared" si="2"/>
        <v>12.271629817813764</v>
      </c>
      <c r="Q66" s="6">
        <f t="shared" si="2"/>
        <v>17.275072779413662</v>
      </c>
      <c r="R66" s="6">
        <f t="shared" si="2"/>
        <v>16.134107967980523</v>
      </c>
      <c r="S66" s="6">
        <f t="shared" si="2"/>
        <v>17.783225475773321</v>
      </c>
      <c r="T66" s="6">
        <f t="shared" si="2"/>
        <v>18.53311182091182</v>
      </c>
      <c r="U66" s="6">
        <f t="shared" si="2"/>
        <v>20.661307100157313</v>
      </c>
      <c r="V66" s="6">
        <f t="shared" si="2"/>
        <v>21.550370986433663</v>
      </c>
      <c r="W66" s="6">
        <f t="shared" si="2"/>
        <v>14.125697567114095</v>
      </c>
      <c r="X66" s="6">
        <f t="shared" si="2"/>
        <v>14.629349395111811</v>
      </c>
      <c r="Y66" s="6">
        <f t="shared" si="2"/>
        <v>19.411908193682176</v>
      </c>
      <c r="Z66" s="6">
        <f t="shared" si="2"/>
        <v>6.4624578459343782</v>
      </c>
      <c r="AA66" s="6">
        <f t="shared" si="2"/>
        <v>60.259427732769758</v>
      </c>
      <c r="AB66" s="6">
        <f t="shared" si="2"/>
        <v>20.309185585323238</v>
      </c>
      <c r="AC66" s="6">
        <f t="shared" si="2"/>
        <v>15.344308751665046</v>
      </c>
      <c r="AD66" s="6">
        <f t="shared" si="2"/>
        <v>22.461738661417325</v>
      </c>
      <c r="AE66" s="6">
        <f t="shared" si="2"/>
        <v>4.7024503111111109</v>
      </c>
      <c r="AF66" s="6">
        <f t="shared" si="2"/>
        <v>16.794994469426101</v>
      </c>
      <c r="AG66" s="6">
        <f t="shared" si="2"/>
        <v>14.026452987965319</v>
      </c>
      <c r="AH66" s="6">
        <f t="shared" si="2"/>
        <v>10.81800855527951</v>
      </c>
      <c r="AI66" s="6">
        <f t="shared" si="2"/>
        <v>18.55396921662453</v>
      </c>
      <c r="AJ66" s="6">
        <f t="shared" si="2"/>
        <v>9.1725655702249203</v>
      </c>
      <c r="AK66" s="6">
        <f t="shared" si="2"/>
        <v>19.978034651652312</v>
      </c>
      <c r="AL66" s="6">
        <f t="shared" si="2"/>
        <v>17.350521880216299</v>
      </c>
      <c r="AM66" s="6">
        <f t="shared" si="2"/>
        <v>22.498549324469224</v>
      </c>
      <c r="AN66" s="6">
        <f t="shared" si="2"/>
        <v>12.115085790082409</v>
      </c>
      <c r="AO66" s="6">
        <f t="shared" si="2"/>
        <v>17.313498269740187</v>
      </c>
    </row>
    <row r="67" spans="2:41" ht="15">
      <c r="B67" s="8" t="s">
        <v>191</v>
      </c>
      <c r="E67" s="6">
        <f>E60/E29</f>
        <v>11.231087114664275</v>
      </c>
      <c r="F67" s="6">
        <f t="shared" si="3" ref="F67:T67">F60/F29</f>
        <v>22.244048618155091</v>
      </c>
      <c r="G67" s="6">
        <f t="shared" si="3"/>
        <v>16.42471030778432</v>
      </c>
      <c r="H67" s="6">
        <f t="shared" si="3"/>
        <v>19.891649283964757</v>
      </c>
      <c r="I67" s="6">
        <f t="shared" si="3"/>
        <v>10.901197551335713</v>
      </c>
      <c r="J67" s="6">
        <f t="shared" si="3"/>
        <v>14.007953539760289</v>
      </c>
      <c r="K67" s="6">
        <f t="shared" si="3"/>
        <v>13.758117371890284</v>
      </c>
      <c r="L67" s="6">
        <f>L60/L29</f>
        <v>12.746347121999223</v>
      </c>
      <c r="M67" s="6">
        <f t="shared" si="3"/>
        <v>14.291636032899783</v>
      </c>
      <c r="N67" s="6">
        <f t="shared" si="3"/>
        <v>18.955415998406256</v>
      </c>
      <c r="O67" s="6">
        <f t="shared" si="3"/>
        <v>15.723121041017654</v>
      </c>
      <c r="P67" s="6">
        <f t="shared" si="3"/>
        <v>9.6830639435569275</v>
      </c>
      <c r="Q67" s="6">
        <f t="shared" si="3"/>
        <v>12.678180886874376</v>
      </c>
      <c r="R67" s="6">
        <f t="shared" si="3"/>
        <v>12.143734491772449</v>
      </c>
      <c r="S67" s="6">
        <f t="shared" si="3"/>
        <v>16.087815823558863</v>
      </c>
      <c r="T67" s="6">
        <f t="shared" si="3"/>
        <v>15.777693507232247</v>
      </c>
      <c r="U67" s="6">
        <f t="shared" si="2"/>
        <v>15.226527818723538</v>
      </c>
      <c r="V67" s="6">
        <f t="shared" si="2"/>
        <v>18.891178816087223</v>
      </c>
      <c r="W67" s="6">
        <f t="shared" si="2"/>
        <v>13.908331858407079</v>
      </c>
      <c r="X67" s="6">
        <f t="shared" si="2"/>
        <v>12.880904086296288</v>
      </c>
      <c r="Y67" s="6">
        <f t="shared" si="2"/>
        <v>16.8641645188744</v>
      </c>
      <c r="Z67" s="6">
        <f t="shared" si="2"/>
        <v>4.5663864566836079</v>
      </c>
      <c r="AA67" s="6">
        <f t="shared" si="2"/>
        <v>60.513667289150504</v>
      </c>
      <c r="AB67" s="6">
        <f t="shared" si="2"/>
        <v>15.206679130901289</v>
      </c>
      <c r="AC67" s="6">
        <f t="shared" si="2"/>
        <v>10.449953078657643</v>
      </c>
      <c r="AD67" s="6">
        <f t="shared" si="2"/>
        <v>14.316233678794557</v>
      </c>
      <c r="AE67" s="6">
        <f t="shared" si="2"/>
        <v>5.7965102895027627</v>
      </c>
      <c r="AF67" s="6">
        <f t="shared" si="2"/>
        <v>15.127654895177955</v>
      </c>
      <c r="AG67" s="6">
        <f t="shared" si="2"/>
        <v>14.506015783274441</v>
      </c>
      <c r="AH67" s="6">
        <f t="shared" si="2"/>
        <v>9.3650665260818684</v>
      </c>
      <c r="AI67" s="6">
        <f t="shared" si="2"/>
        <v>17.0671114268408</v>
      </c>
      <c r="AJ67" s="6">
        <f t="shared" si="2"/>
        <v>7.3714097802608078</v>
      </c>
      <c r="AK67" s="6">
        <f t="shared" si="2"/>
        <v>17.646700627252056</v>
      </c>
      <c r="AL67" s="6">
        <f t="shared" si="2"/>
        <v>15.662784427351433</v>
      </c>
      <c r="AM67" s="6">
        <f t="shared" si="2"/>
        <v>20.842831337813077</v>
      </c>
      <c r="AN67" s="6">
        <f t="shared" si="2"/>
        <v>9.8494029998184125</v>
      </c>
      <c r="AO67" s="6">
        <f t="shared" si="2"/>
        <v>15.161497015908354</v>
      </c>
    </row>
    <row r="68" spans="2:41" ht="15">
      <c r="B68" s="8" t="s">
        <v>192</v>
      </c>
      <c r="E68" s="6">
        <f>E61/E30</f>
        <v>7.1153892898945754</v>
      </c>
      <c r="F68" s="6">
        <f t="shared" si="2"/>
        <v>19.046218031019158</v>
      </c>
      <c r="G68" s="6">
        <f t="shared" si="2"/>
        <v>13.907251607963026</v>
      </c>
      <c r="H68" s="6">
        <f t="shared" si="2"/>
        <v>15.699539365821733</v>
      </c>
      <c r="I68" s="6">
        <f t="shared" si="2"/>
        <v>8.6603503456274833</v>
      </c>
      <c r="J68" s="6">
        <f t="shared" si="2"/>
        <v>12.080379378702526</v>
      </c>
      <c r="K68" s="6">
        <f t="shared" si="2"/>
        <v>12.118160426656232</v>
      </c>
      <c r="L68" s="6">
        <f t="shared" si="2"/>
        <v>10.153642297486675</v>
      </c>
      <c r="M68" s="6">
        <f t="shared" si="2"/>
        <v>11.891510641645281</v>
      </c>
      <c r="N68" s="6">
        <f t="shared" si="2"/>
        <v>17.294506025445777</v>
      </c>
      <c r="O68" s="6">
        <f t="shared" si="2"/>
        <v>15.477056713955788</v>
      </c>
      <c r="P68" s="6">
        <f t="shared" si="2"/>
        <v>6.7264821240877559</v>
      </c>
      <c r="Q68" s="6">
        <f t="shared" si="2"/>
        <v>11.29255016067237</v>
      </c>
      <c r="R68" s="6">
        <f t="shared" si="2"/>
        <v>13.142548793132425</v>
      </c>
      <c r="S68" s="6">
        <f t="shared" si="2"/>
        <v>13.398263828780863</v>
      </c>
      <c r="T68" s="6">
        <f t="shared" si="2"/>
        <v>13.250472537429653</v>
      </c>
      <c r="U68" s="6">
        <f t="shared" si="2"/>
        <v>11.48912308859947</v>
      </c>
      <c r="V68" s="6">
        <f t="shared" si="2"/>
        <v>18.400087257973201</v>
      </c>
      <c r="W68" s="6">
        <f t="shared" si="2"/>
        <v>13.82816482240437</v>
      </c>
      <c r="X68" s="6">
        <f t="shared" si="2"/>
        <v>9.4055545752053789</v>
      </c>
      <c r="Y68" s="6">
        <f t="shared" si="2"/>
        <v>14.207133380446304</v>
      </c>
      <c r="Z68" s="6">
        <f t="shared" si="2"/>
        <v>4.3530321962187957</v>
      </c>
      <c r="AA68" s="6">
        <f t="shared" si="2"/>
        <v>58.462971338757399</v>
      </c>
      <c r="AB68" s="6">
        <f t="shared" si="2"/>
        <v>17.80032329414129</v>
      </c>
      <c r="AC68" s="6">
        <f t="shared" si="2"/>
        <v>6.904828971386566</v>
      </c>
      <c r="AD68" s="6">
        <f t="shared" si="2"/>
        <v>11.115743412584051</v>
      </c>
      <c r="AE68" s="6">
        <f t="shared" si="2"/>
        <v>7.3052660023146743</v>
      </c>
      <c r="AF68" s="6">
        <f t="shared" si="2"/>
        <v>13.267237590574732</v>
      </c>
      <c r="AG68" s="6">
        <f t="shared" si="2"/>
        <v>13.729387949778152</v>
      </c>
      <c r="AH68" s="6">
        <f t="shared" si="2"/>
        <v>7.5615301989604831</v>
      </c>
      <c r="AI68" s="6">
        <f t="shared" si="2"/>
        <v>12.278672046364283</v>
      </c>
      <c r="AJ68" s="6">
        <f t="shared" si="2"/>
        <v>5.6036277219646493</v>
      </c>
      <c r="AK68" s="6">
        <f t="shared" si="2"/>
        <v>14.594461539777287</v>
      </c>
      <c r="AL68" s="6">
        <f t="shared" si="2"/>
        <v>15.707090146793464</v>
      </c>
      <c r="AM68" s="6">
        <f t="shared" si="2"/>
        <v>14.48901706527155</v>
      </c>
      <c r="AN68" s="6">
        <f t="shared" si="2"/>
        <v>9.0724184923026314</v>
      </c>
      <c r="AO68" s="6">
        <f t="shared" si="2"/>
        <v>12.891664931184952</v>
      </c>
    </row>
    <row r="69" spans="2:41" ht="15">
      <c r="B69" s="8" t="s">
        <v>193</v>
      </c>
      <c r="E69" s="6">
        <f>E62/E31</f>
        <v>11.979463627417346</v>
      </c>
      <c r="F69" s="6">
        <f t="shared" si="2"/>
        <v>22.586000785233029</v>
      </c>
      <c r="G69" s="6">
        <f t="shared" si="2"/>
        <v>16.601808729771438</v>
      </c>
      <c r="H69" s="6">
        <f t="shared" si="2"/>
        <v>18.840383976560062</v>
      </c>
      <c r="I69" s="6">
        <f t="shared" si="2"/>
        <v>8.9216805281293077</v>
      </c>
      <c r="J69" s="6">
        <f t="shared" si="2"/>
        <v>13.941752252489593</v>
      </c>
      <c r="K69" s="6">
        <f t="shared" si="2"/>
        <v>13.332813301719028</v>
      </c>
      <c r="L69" s="6">
        <f t="shared" si="2"/>
        <v>12.806798341212225</v>
      </c>
      <c r="M69" s="6">
        <f t="shared" si="2"/>
        <v>14.595800046458264</v>
      </c>
      <c r="N69" s="6">
        <f t="shared" si="2"/>
        <v>18.620476413875664</v>
      </c>
      <c r="O69" s="6">
        <f t="shared" si="2"/>
        <v>16.361826867400119</v>
      </c>
      <c r="P69" s="6">
        <f t="shared" si="2"/>
        <v>10.150511348013517</v>
      </c>
      <c r="Q69" s="6">
        <f t="shared" si="2"/>
        <v>12.453836754688188</v>
      </c>
      <c r="R69" s="6">
        <f t="shared" si="2"/>
        <v>11.99363126834997</v>
      </c>
      <c r="S69" s="6">
        <f t="shared" si="2"/>
        <v>16.433393323500013</v>
      </c>
      <c r="T69" s="6">
        <f t="shared" si="2"/>
        <v>15.80229603721155</v>
      </c>
      <c r="U69" s="6">
        <f t="shared" si="2"/>
        <v>15.097961658447872</v>
      </c>
      <c r="V69" s="6">
        <f t="shared" si="2"/>
        <v>20.006307041088583</v>
      </c>
      <c r="W69" s="6">
        <f t="shared" si="2"/>
        <v>14.174238681130458</v>
      </c>
      <c r="X69" s="6">
        <f t="shared" si="2"/>
        <v>12.91138750282413</v>
      </c>
      <c r="Y69" s="6">
        <f t="shared" si="2"/>
        <v>17.030395017604405</v>
      </c>
      <c r="Z69" s="6">
        <f t="shared" si="2"/>
        <v>4.5457640264475874</v>
      </c>
      <c r="AA69" s="6">
        <f t="shared" si="2"/>
        <v>63.725923083739481</v>
      </c>
      <c r="AB69" s="6">
        <f t="shared" si="2"/>
        <v>15.977938952027754</v>
      </c>
      <c r="AC69" s="6">
        <f t="shared" si="2"/>
        <v>11.062872673867675</v>
      </c>
      <c r="AD69" s="6">
        <f t="shared" si="2"/>
        <v>14.420115180327869</v>
      </c>
      <c r="AE69" s="6">
        <f t="shared" si="2"/>
        <v>5.6424041744701832</v>
      </c>
      <c r="AF69" s="6">
        <f t="shared" si="2"/>
        <v>15.094557383770121</v>
      </c>
      <c r="AG69" s="6">
        <f t="shared" si="2"/>
        <v>14.206396758090095</v>
      </c>
      <c r="AH69" s="6">
        <f t="shared" si="2"/>
        <v>9.2524250327592252</v>
      </c>
      <c r="AI69" s="6">
        <f t="shared" si="2"/>
        <v>17.067061941554286</v>
      </c>
      <c r="AJ69" s="6">
        <f t="shared" si="2"/>
        <v>7.3489137858842204</v>
      </c>
      <c r="AK69" s="6">
        <f t="shared" si="2"/>
        <v>17.715759300409051</v>
      </c>
      <c r="AL69" s="6">
        <f t="shared" si="2"/>
        <v>16.132104648494625</v>
      </c>
      <c r="AM69" s="6">
        <f t="shared" si="2"/>
        <v>19.993092098092642</v>
      </c>
      <c r="AN69" s="6">
        <f t="shared" si="2"/>
        <v>9.6833938056118019</v>
      </c>
      <c r="AO69" s="6">
        <f t="shared" si="2"/>
        <v>16.114876109981896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3"/>
  <sheetViews>
    <sheetView workbookViewId="0" topLeftCell="A36">
      <selection pane="topLeft" activeCell="E58" sqref="E58:K58"/>
    </sheetView>
  </sheetViews>
  <sheetFormatPr defaultRowHeight="12.75"/>
  <cols>
    <col min="1" max="1" width="17.7142857142857" customWidth="1"/>
    <col min="2" max="2" width="17.4285714285714" customWidth="1"/>
  </cols>
  <sheetData>
    <row r="1" spans="1:1" s="12" customFormat="1" ht="18.75">
      <c r="A1" s="12" t="s">
        <v>209</v>
      </c>
    </row>
    <row r="3" spans="1:8" ht="15">
      <c r="A3" s="13" t="s">
        <v>244</v>
      </c>
      <c r="H3" s="18" t="s">
        <v>245</v>
      </c>
    </row>
    <row r="4" spans="1:6" ht="15">
      <c r="A4" s="14" t="s">
        <v>36</v>
      </c>
      <c r="B4" s="14" t="s">
        <v>94</v>
      </c>
      <c r="C4" s="14" t="s">
        <v>37</v>
      </c>
      <c r="D4" s="14" t="s">
        <v>9</v>
      </c>
      <c r="F4" s="18" t="s">
        <v>246</v>
      </c>
    </row>
    <row r="5" spans="1:6" ht="12.75">
      <c r="A5" t="s">
        <v>194</v>
      </c>
      <c r="B5" t="s">
        <v>217</v>
      </c>
      <c r="C5">
        <v>2010</v>
      </c>
      <c r="D5" s="19">
        <v>2500</v>
      </c>
      <c r="F5">
        <v>1980.098</v>
      </c>
    </row>
    <row r="6" spans="1:6" ht="12.75">
      <c r="A6" t="s">
        <v>194</v>
      </c>
      <c r="B6" t="s">
        <v>220</v>
      </c>
      <c r="C6">
        <v>2010</v>
      </c>
      <c r="D6" s="19">
        <v>0</v>
      </c>
      <c r="F6">
        <v>0.023</v>
      </c>
    </row>
    <row r="7" spans="1:11" ht="12.75">
      <c r="A7" t="s">
        <v>194</v>
      </c>
      <c r="B7" t="s">
        <v>170</v>
      </c>
      <c r="C7">
        <v>2010</v>
      </c>
      <c r="D7" s="19">
        <v>0</v>
      </c>
      <c r="F7">
        <v>0.002</v>
      </c>
      <c r="H7" t="s">
        <v>194</v>
      </c>
      <c r="I7" t="s">
        <v>221</v>
      </c>
      <c r="J7">
        <v>2010</v>
      </c>
      <c r="K7">
        <v>0</v>
      </c>
    </row>
    <row r="8" spans="1:11" ht="12.75">
      <c r="A8" t="s">
        <v>194</v>
      </c>
      <c r="B8" t="s">
        <v>160</v>
      </c>
      <c r="C8">
        <v>2010</v>
      </c>
      <c r="D8" s="19">
        <v>0</v>
      </c>
      <c r="F8">
        <v>0.08</v>
      </c>
      <c r="H8" t="s">
        <v>194</v>
      </c>
      <c r="I8" t="s">
        <v>233</v>
      </c>
      <c r="J8">
        <v>2010</v>
      </c>
      <c r="K8">
        <v>0</v>
      </c>
    </row>
    <row r="9" spans="8:11" ht="12.75">
      <c r="H9" t="s">
        <v>194</v>
      </c>
      <c r="I9" t="s">
        <v>132</v>
      </c>
      <c r="J9">
        <v>2010</v>
      </c>
      <c r="K9">
        <v>0.044999999999999998</v>
      </c>
    </row>
    <row r="10" spans="8:11" ht="12.75">
      <c r="H10" t="s">
        <v>194</v>
      </c>
      <c r="I10" t="s">
        <v>133</v>
      </c>
      <c r="J10">
        <v>2010</v>
      </c>
      <c r="K10">
        <v>273.166</v>
      </c>
    </row>
    <row r="11" spans="8:11" ht="12.75">
      <c r="H11" t="s">
        <v>194</v>
      </c>
      <c r="I11" t="s">
        <v>134</v>
      </c>
      <c r="J11">
        <v>2010</v>
      </c>
      <c r="K11">
        <v>18.943000000000001</v>
      </c>
    </row>
    <row r="12" spans="8:11" ht="12.75">
      <c r="H12" t="s">
        <v>194</v>
      </c>
      <c r="I12" t="s">
        <v>135</v>
      </c>
      <c r="J12">
        <v>2010</v>
      </c>
      <c r="K12">
        <v>0</v>
      </c>
    </row>
    <row r="13" spans="8:11" ht="12.75">
      <c r="H13" t="s">
        <v>194</v>
      </c>
      <c r="I13" t="s">
        <v>234</v>
      </c>
      <c r="J13">
        <v>2010</v>
      </c>
      <c r="K13">
        <v>0</v>
      </c>
    </row>
    <row r="14" spans="8:11" ht="12.75">
      <c r="H14" t="s">
        <v>194</v>
      </c>
      <c r="I14" t="s">
        <v>136</v>
      </c>
      <c r="J14">
        <v>2010</v>
      </c>
      <c r="K14">
        <v>221.09800000000001</v>
      </c>
    </row>
    <row r="15" spans="8:11" ht="12.75">
      <c r="H15" t="s">
        <v>194</v>
      </c>
      <c r="I15" t="s">
        <v>171</v>
      </c>
      <c r="J15">
        <v>2010</v>
      </c>
      <c r="K15">
        <v>0.36599999999999999</v>
      </c>
    </row>
    <row r="16" spans="8:11" ht="12.75">
      <c r="H16" t="s">
        <v>194</v>
      </c>
      <c r="I16" t="s">
        <v>210</v>
      </c>
      <c r="J16">
        <v>2010</v>
      </c>
      <c r="K16">
        <v>0.085000000000000006</v>
      </c>
    </row>
    <row r="17" spans="8:11" ht="12.75">
      <c r="H17" t="s">
        <v>194</v>
      </c>
      <c r="I17" t="s">
        <v>211</v>
      </c>
      <c r="J17">
        <v>2010</v>
      </c>
      <c r="K17">
        <v>11.349</v>
      </c>
    </row>
    <row r="18" spans="8:11" ht="12.75">
      <c r="H18" t="s">
        <v>194</v>
      </c>
      <c r="I18" t="s">
        <v>212</v>
      </c>
      <c r="J18">
        <v>2010</v>
      </c>
      <c r="K18">
        <v>0.05</v>
      </c>
    </row>
    <row r="19" spans="8:11" ht="12.75">
      <c r="H19" t="s">
        <v>194</v>
      </c>
      <c r="I19" t="s">
        <v>213</v>
      </c>
      <c r="J19">
        <v>2010</v>
      </c>
      <c r="K19">
        <v>0</v>
      </c>
    </row>
    <row r="20" spans="8:11" ht="12.75">
      <c r="H20" t="s">
        <v>194</v>
      </c>
      <c r="I20" t="s">
        <v>161</v>
      </c>
      <c r="J20">
        <v>2010</v>
      </c>
      <c r="K20">
        <v>0.037999999999999999</v>
      </c>
    </row>
    <row r="21" spans="8:11" ht="12.75">
      <c r="H21" t="s">
        <v>194</v>
      </c>
      <c r="I21" t="s">
        <v>130</v>
      </c>
      <c r="J21">
        <v>2010</v>
      </c>
      <c r="K21">
        <v>95.965</v>
      </c>
    </row>
    <row r="22" spans="8:11" ht="12.75">
      <c r="H22" t="s">
        <v>194</v>
      </c>
      <c r="I22" t="s">
        <v>131</v>
      </c>
      <c r="J22">
        <v>2010</v>
      </c>
      <c r="K22">
        <v>1.20</v>
      </c>
    </row>
    <row r="23" spans="8:11" ht="12.75">
      <c r="H23" t="s">
        <v>194</v>
      </c>
      <c r="I23" t="s">
        <v>137</v>
      </c>
      <c r="J23">
        <v>2010</v>
      </c>
      <c r="K23">
        <v>216.077</v>
      </c>
    </row>
    <row r="24" spans="8:11" ht="12.75">
      <c r="H24" t="s">
        <v>194</v>
      </c>
      <c r="I24" t="s">
        <v>214</v>
      </c>
      <c r="J24">
        <v>2010</v>
      </c>
      <c r="K24">
        <v>0.485</v>
      </c>
    </row>
    <row r="25" spans="8:11" ht="12.75">
      <c r="H25" t="s">
        <v>194</v>
      </c>
      <c r="I25" t="s">
        <v>215</v>
      </c>
      <c r="J25">
        <v>2010</v>
      </c>
      <c r="K25">
        <v>505.63200000000001</v>
      </c>
    </row>
    <row r="26" spans="8:11" ht="12.75">
      <c r="H26" t="s">
        <v>194</v>
      </c>
      <c r="I26" t="s">
        <v>216</v>
      </c>
      <c r="J26">
        <v>2010</v>
      </c>
      <c r="K26">
        <v>0</v>
      </c>
    </row>
    <row r="27" spans="8:11" ht="12.75">
      <c r="H27" t="s">
        <v>194</v>
      </c>
      <c r="I27" t="s">
        <v>218</v>
      </c>
      <c r="J27">
        <v>2010</v>
      </c>
      <c r="K27">
        <v>0</v>
      </c>
    </row>
    <row r="28" spans="8:11" ht="12.75">
      <c r="H28" t="s">
        <v>194</v>
      </c>
      <c r="I28" t="s">
        <v>219</v>
      </c>
      <c r="J28">
        <v>2010</v>
      </c>
      <c r="K28">
        <v>0</v>
      </c>
    </row>
    <row r="34" spans="1:1" s="12" customFormat="1" ht="18.75">
      <c r="A34" s="12" t="s">
        <v>222</v>
      </c>
    </row>
    <row r="36" spans="1:1" ht="15">
      <c r="A36" s="13" t="s">
        <v>244</v>
      </c>
    </row>
    <row r="37" spans="1:11" ht="15">
      <c r="A37" s="15" t="s">
        <v>36</v>
      </c>
      <c r="B37" s="15" t="s">
        <v>94</v>
      </c>
      <c r="C37" s="15" t="s">
        <v>223</v>
      </c>
      <c r="D37" s="16" t="s">
        <v>224</v>
      </c>
      <c r="E37" s="16" t="s">
        <v>225</v>
      </c>
      <c r="F37" s="16" t="s">
        <v>226</v>
      </c>
      <c r="G37" s="16" t="s">
        <v>227</v>
      </c>
      <c r="H37" s="16" t="s">
        <v>228</v>
      </c>
      <c r="I37" s="16" t="s">
        <v>229</v>
      </c>
      <c r="J37" s="16" t="s">
        <v>230</v>
      </c>
      <c r="K37" s="16" t="s">
        <v>231</v>
      </c>
    </row>
    <row r="38" spans="1:11" ht="12.75">
      <c r="A38" t="s">
        <v>232</v>
      </c>
      <c r="B38" t="s">
        <v>210</v>
      </c>
      <c r="C38">
        <v>0.047</v>
      </c>
      <c r="D38">
        <v>0.056000000000000001</v>
      </c>
      <c r="E38">
        <v>0.074999999999999997</v>
      </c>
      <c r="F38">
        <v>0.070000000000000007</v>
      </c>
      <c r="G38">
        <v>0.060999999999999999</v>
      </c>
      <c r="H38">
        <v>0.128</v>
      </c>
      <c r="I38">
        <v>0.42699999999999999</v>
      </c>
      <c r="J38">
        <v>0.94699999999999995</v>
      </c>
      <c r="K38">
        <v>5</v>
      </c>
    </row>
    <row r="39" spans="1:11" ht="12.75">
      <c r="A39" t="s">
        <v>232</v>
      </c>
      <c r="B39" t="s">
        <v>211</v>
      </c>
      <c r="C39">
        <v>12.105</v>
      </c>
      <c r="D39">
        <v>8.65</v>
      </c>
      <c r="E39">
        <v>9.6180000000000003</v>
      </c>
      <c r="F39">
        <v>8.3960000000000008</v>
      </c>
      <c r="G39">
        <v>7.0229999999999997</v>
      </c>
      <c r="H39">
        <v>5.7619999999999996</v>
      </c>
      <c r="I39">
        <v>4.7690000000000001</v>
      </c>
      <c r="J39">
        <v>4.0679999999999996</v>
      </c>
      <c r="K39">
        <v>5</v>
      </c>
    </row>
    <row r="40" spans="1:11" ht="12.75">
      <c r="A40" t="s">
        <v>232</v>
      </c>
      <c r="B40" t="s">
        <v>212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5</v>
      </c>
    </row>
    <row r="41" spans="1:11" ht="12.75">
      <c r="A41" t="s">
        <v>232</v>
      </c>
      <c r="B41" t="s">
        <v>213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5</v>
      </c>
    </row>
    <row r="42" spans="1:11" ht="12.75">
      <c r="A42" t="s">
        <v>232</v>
      </c>
      <c r="B42" t="s">
        <v>161</v>
      </c>
      <c r="C42">
        <v>0.072999999999999995</v>
      </c>
      <c r="D42">
        <v>0.20899999999999999</v>
      </c>
      <c r="E42">
        <v>0.91100000000000003</v>
      </c>
      <c r="F42">
        <v>2.4289999999999998</v>
      </c>
      <c r="G42">
        <v>4.6710000000000003</v>
      </c>
      <c r="H42">
        <v>7.806</v>
      </c>
      <c r="I42">
        <v>11.834</v>
      </c>
      <c r="J42">
        <v>16.053000000000001</v>
      </c>
      <c r="K42">
        <v>5</v>
      </c>
    </row>
    <row r="43" spans="1:11" ht="12.75">
      <c r="A43" t="s">
        <v>232</v>
      </c>
      <c r="B43" t="s">
        <v>130</v>
      </c>
      <c r="C43">
        <v>97.956999999999994</v>
      </c>
      <c r="D43">
        <v>97.283000000000001</v>
      </c>
      <c r="E43">
        <v>90.730999999999995</v>
      </c>
      <c r="F43">
        <v>88.084000000000003</v>
      </c>
      <c r="G43">
        <v>83.552999999999997</v>
      </c>
      <c r="H43">
        <v>74.418999999999997</v>
      </c>
      <c r="I43">
        <v>63.536999999999999</v>
      </c>
      <c r="J43">
        <v>52.90</v>
      </c>
      <c r="K43">
        <v>5</v>
      </c>
    </row>
    <row r="44" spans="1:11" ht="12.75">
      <c r="A44" t="s">
        <v>232</v>
      </c>
      <c r="B44" t="s">
        <v>131</v>
      </c>
      <c r="C44">
        <v>1.5569999999999999</v>
      </c>
      <c r="D44">
        <v>2.0830000000000002</v>
      </c>
      <c r="E44">
        <v>2.2429999999999999</v>
      </c>
      <c r="F44">
        <v>1.9079999999999999</v>
      </c>
      <c r="G44">
        <v>1.512</v>
      </c>
      <c r="H44">
        <v>1.0760000000000001</v>
      </c>
      <c r="I44">
        <v>0.67200000000000004</v>
      </c>
      <c r="J44">
        <v>0.376</v>
      </c>
      <c r="K44">
        <v>5</v>
      </c>
    </row>
    <row r="45" spans="1:11" ht="12.75">
      <c r="A45" t="s">
        <v>232</v>
      </c>
      <c r="B45" t="s">
        <v>160</v>
      </c>
      <c r="C45">
        <v>0.124</v>
      </c>
      <c r="D45">
        <v>0.33700000000000002</v>
      </c>
      <c r="E45">
        <v>9.5060000000000002</v>
      </c>
      <c r="F45">
        <v>43.035</v>
      </c>
      <c r="G45">
        <v>111.182</v>
      </c>
      <c r="H45">
        <v>177.83</v>
      </c>
      <c r="I45">
        <v>224.16900000000001</v>
      </c>
      <c r="J45">
        <v>248.648</v>
      </c>
      <c r="K45">
        <v>5</v>
      </c>
    </row>
    <row r="46" spans="1:11" ht="12.75">
      <c r="A46" t="s">
        <v>232</v>
      </c>
      <c r="B46" t="s">
        <v>132</v>
      </c>
      <c r="C46">
        <v>0.189</v>
      </c>
      <c r="D46">
        <v>0.85899999999999999</v>
      </c>
      <c r="E46">
        <v>1.2150000000000001</v>
      </c>
      <c r="F46">
        <v>0.99299999999999999</v>
      </c>
      <c r="G46">
        <v>0.629</v>
      </c>
      <c r="H46">
        <v>0.34599999999999997</v>
      </c>
      <c r="I46">
        <v>0.161</v>
      </c>
      <c r="J46">
        <v>0.073999999999999996</v>
      </c>
      <c r="K46">
        <v>5</v>
      </c>
    </row>
    <row r="47" spans="1:11" ht="12.75">
      <c r="A47" t="s">
        <v>232</v>
      </c>
      <c r="B47" t="s">
        <v>133</v>
      </c>
      <c r="C47">
        <v>297.17899999999997</v>
      </c>
      <c r="D47">
        <v>326.553</v>
      </c>
      <c r="E47">
        <v>313.34199999999998</v>
      </c>
      <c r="F47">
        <v>272.01</v>
      </c>
      <c r="G47">
        <v>203.881</v>
      </c>
      <c r="H47">
        <v>133.261</v>
      </c>
      <c r="I47">
        <v>76.900999999999996</v>
      </c>
      <c r="J47">
        <v>38.893000000000001</v>
      </c>
      <c r="K47">
        <v>5</v>
      </c>
    </row>
    <row r="48" spans="1:11" ht="12.75">
      <c r="A48" t="s">
        <v>232</v>
      </c>
      <c r="B48" t="s">
        <v>134</v>
      </c>
      <c r="C48">
        <v>13.461</v>
      </c>
      <c r="D48">
        <v>11.176</v>
      </c>
      <c r="E48">
        <v>6.5209999999999999</v>
      </c>
      <c r="F48">
        <v>4.367</v>
      </c>
      <c r="G48">
        <v>3.0619999999999998</v>
      </c>
      <c r="H48">
        <v>1.9730000000000001</v>
      </c>
      <c r="I48">
        <v>1.159</v>
      </c>
      <c r="J48">
        <v>0.61599999999999999</v>
      </c>
      <c r="K48">
        <v>5</v>
      </c>
    </row>
    <row r="49" spans="1:11" ht="12.75">
      <c r="A49" t="s">
        <v>232</v>
      </c>
      <c r="B49" t="s">
        <v>135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5</v>
      </c>
    </row>
    <row r="50" spans="1:11" ht="12.75">
      <c r="A50" t="s">
        <v>232</v>
      </c>
      <c r="B50" t="s">
        <v>159</v>
      </c>
      <c r="C50">
        <v>0</v>
      </c>
      <c r="D50">
        <v>0</v>
      </c>
      <c r="E50">
        <v>0</v>
      </c>
      <c r="F50">
        <v>0.027</v>
      </c>
      <c r="G50">
        <v>1.565</v>
      </c>
      <c r="H50">
        <v>8.6170000000000009</v>
      </c>
      <c r="I50">
        <v>18.463999999999999</v>
      </c>
      <c r="J50">
        <v>29.48</v>
      </c>
      <c r="K50">
        <v>5</v>
      </c>
    </row>
    <row r="51" spans="1:11" ht="12.75">
      <c r="A51" t="s">
        <v>232</v>
      </c>
      <c r="B51" t="s">
        <v>136</v>
      </c>
      <c r="C51">
        <v>197.46600000000001</v>
      </c>
      <c r="D51">
        <v>131.79499999999999</v>
      </c>
      <c r="E51">
        <v>119.723</v>
      </c>
      <c r="F51">
        <v>111.33199999999999</v>
      </c>
      <c r="G51">
        <v>97.86</v>
      </c>
      <c r="H51">
        <v>81.155</v>
      </c>
      <c r="I51">
        <v>64.721999999999994</v>
      </c>
      <c r="J51">
        <v>49.869</v>
      </c>
      <c r="K51">
        <v>5</v>
      </c>
    </row>
    <row r="52" spans="1:11" ht="12.75">
      <c r="A52" t="s">
        <v>232</v>
      </c>
      <c r="B52" t="s">
        <v>171</v>
      </c>
      <c r="C52">
        <v>0.83899999999999997</v>
      </c>
      <c r="D52">
        <v>2.5099999999999998</v>
      </c>
      <c r="E52">
        <v>6.6020000000000003</v>
      </c>
      <c r="F52">
        <v>17.048999999999999</v>
      </c>
      <c r="G52">
        <v>34.215000000000003</v>
      </c>
      <c r="H52">
        <v>54.255</v>
      </c>
      <c r="I52">
        <v>73.730999999999995</v>
      </c>
      <c r="J52">
        <v>91.373999999999995</v>
      </c>
      <c r="K52">
        <v>5</v>
      </c>
    </row>
    <row r="53" spans="1:11" ht="12.75">
      <c r="A53" t="s">
        <v>232</v>
      </c>
      <c r="B53" t="s">
        <v>170</v>
      </c>
      <c r="C53">
        <v>0.021000000000000001</v>
      </c>
      <c r="D53">
        <v>0.065000000000000002</v>
      </c>
      <c r="E53">
        <v>0.248</v>
      </c>
      <c r="F53">
        <v>0.70399999999999996</v>
      </c>
      <c r="G53">
        <v>2.0190000000000001</v>
      </c>
      <c r="H53">
        <v>7.9320000000000004</v>
      </c>
      <c r="I53">
        <v>20.132999999999999</v>
      </c>
      <c r="J53">
        <v>34.554000000000002</v>
      </c>
      <c r="K53">
        <v>5</v>
      </c>
    </row>
    <row r="54" spans="1:11" ht="12.75">
      <c r="A54" t="s">
        <v>232</v>
      </c>
      <c r="B54" t="s">
        <v>137</v>
      </c>
      <c r="C54">
        <v>240.50700000000001</v>
      </c>
      <c r="D54">
        <v>189.833</v>
      </c>
      <c r="E54">
        <v>172.99799999999999</v>
      </c>
      <c r="F54">
        <v>154.405</v>
      </c>
      <c r="G54">
        <v>140.71100000000001</v>
      </c>
      <c r="H54">
        <v>127.08199999999999</v>
      </c>
      <c r="I54">
        <v>110.55500000000001</v>
      </c>
      <c r="J54">
        <v>94.036000000000001</v>
      </c>
      <c r="K54">
        <v>5</v>
      </c>
    </row>
    <row r="55" spans="1:11" ht="12.75">
      <c r="A55" t="s">
        <v>232</v>
      </c>
      <c r="B55" t="s">
        <v>214</v>
      </c>
      <c r="C55">
        <v>1.504</v>
      </c>
      <c r="D55">
        <v>12.359</v>
      </c>
      <c r="E55">
        <v>17.253</v>
      </c>
      <c r="F55">
        <v>15.496</v>
      </c>
      <c r="G55">
        <v>11.132</v>
      </c>
      <c r="H55">
        <v>6.745</v>
      </c>
      <c r="I55">
        <v>3.6520000000000001</v>
      </c>
      <c r="J55">
        <v>1.734</v>
      </c>
      <c r="K55">
        <v>5</v>
      </c>
    </row>
    <row r="56" spans="1:11" ht="12.75">
      <c r="A56" t="s">
        <v>232</v>
      </c>
      <c r="B56" t="s">
        <v>215</v>
      </c>
      <c r="C56">
        <v>678.78599999999994</v>
      </c>
      <c r="D56">
        <v>761.31399999999996</v>
      </c>
      <c r="E56">
        <v>676.25099999999998</v>
      </c>
      <c r="F56">
        <v>554.50099999999998</v>
      </c>
      <c r="G56">
        <v>368.70800000000003</v>
      </c>
      <c r="H56">
        <v>210.67</v>
      </c>
      <c r="I56">
        <v>113.441</v>
      </c>
      <c r="J56">
        <v>57.277000000000001</v>
      </c>
      <c r="K56">
        <v>5</v>
      </c>
    </row>
    <row r="57" spans="1:11" ht="12.75">
      <c r="A57" t="s">
        <v>232</v>
      </c>
      <c r="B57" t="s">
        <v>216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</v>
      </c>
    </row>
    <row r="58" spans="1:11" ht="12.75">
      <c r="A58" t="s">
        <v>232</v>
      </c>
      <c r="B58" t="s">
        <v>217</v>
      </c>
      <c r="C58">
        <v>1930.95</v>
      </c>
      <c r="D58">
        <v>1919.422</v>
      </c>
      <c r="E58" s="17">
        <v>1720.2829999999999</v>
      </c>
      <c r="F58">
        <v>1395.413</v>
      </c>
      <c r="G58">
        <v>922.79900000000009</v>
      </c>
      <c r="H58">
        <v>537.173</v>
      </c>
      <c r="I58">
        <v>295.1110000000001</v>
      </c>
      <c r="J58">
        <v>148.40500000000009</v>
      </c>
      <c r="K58">
        <v>5</v>
      </c>
    </row>
    <row r="59" spans="1:11" ht="12.75">
      <c r="A59" t="s">
        <v>232</v>
      </c>
      <c r="B59" t="s">
        <v>218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5</v>
      </c>
    </row>
    <row r="60" spans="1:11" ht="12.75">
      <c r="A60" t="s">
        <v>232</v>
      </c>
      <c r="B60" t="s">
        <v>219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5</v>
      </c>
    </row>
    <row r="61" spans="1:11" ht="12.75">
      <c r="A61" t="s">
        <v>232</v>
      </c>
      <c r="B61" t="s">
        <v>220</v>
      </c>
      <c r="C61">
        <v>0.61399999999999999</v>
      </c>
      <c r="D61">
        <v>9.6969999999999992</v>
      </c>
      <c r="E61">
        <v>182.25399999999999</v>
      </c>
      <c r="F61">
        <v>626.77099999999996</v>
      </c>
      <c r="G61">
        <v>1326.9159999999999</v>
      </c>
      <c r="H61">
        <v>2000.225</v>
      </c>
      <c r="I61">
        <v>2536.2539999999999</v>
      </c>
      <c r="J61">
        <v>2889.73</v>
      </c>
      <c r="K61">
        <v>5</v>
      </c>
    </row>
    <row r="62" spans="1:11" ht="12.75">
      <c r="A62" t="s">
        <v>232</v>
      </c>
      <c r="B62" t="s">
        <v>221</v>
      </c>
      <c r="C62">
        <v>1.0169999999999999</v>
      </c>
      <c r="D62">
        <v>45.62</v>
      </c>
      <c r="E62">
        <v>187.52</v>
      </c>
      <c r="F62">
        <v>298.81299999999999</v>
      </c>
      <c r="G62">
        <v>320.74200000000002</v>
      </c>
      <c r="H62">
        <v>269.952</v>
      </c>
      <c r="I62">
        <v>200.03299999999999</v>
      </c>
      <c r="J62">
        <v>129.16</v>
      </c>
      <c r="K62">
        <v>5</v>
      </c>
    </row>
    <row r="63" spans="1:11" ht="12.75">
      <c r="A63" t="s">
        <v>232</v>
      </c>
      <c r="B63" t="s">
        <v>235</v>
      </c>
      <c r="C63">
        <v>0</v>
      </c>
      <c r="D63">
        <v>0.001</v>
      </c>
      <c r="E63">
        <v>0.002</v>
      </c>
      <c r="F63">
        <v>0.02</v>
      </c>
      <c r="G63">
        <v>0.50600000000000001</v>
      </c>
      <c r="H63">
        <v>3.515</v>
      </c>
      <c r="I63">
        <v>18.696999999999999</v>
      </c>
      <c r="J63">
        <v>53.012</v>
      </c>
      <c r="K6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INS_EFF</vt:lpstr>
      <vt:lpstr>INS_AF</vt:lpstr>
      <vt:lpstr>INS_FLO</vt:lpstr>
      <vt:lpstr>Fill Data</vt:lpstr>
      <vt:lpstr>RdTRABYVals</vt:lpstr>
      <vt:lpstr>Average km per veh</vt:lpstr>
      <vt:lpstr>FI FLEET</vt:lpstr>
    </vt:vector>
  </TitlesOfParts>
  <Template/>
  <Manager/>
  <Company>Dell Computer Corporation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Lehtilä Antti</cp:lastModifiedBy>
  <cp:lastPrinted>2007-01-05T10:33:44Z</cp:lastPrinted>
  <dcterms:created xsi:type="dcterms:W3CDTF">2001-09-28T18:48:17Z</dcterms:created>
  <dcterms:modified xsi:type="dcterms:W3CDTF">2025-09-26T10:03:39Z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345953643321991</vt:lpwstr>
  </property>
</Properties>
</file>